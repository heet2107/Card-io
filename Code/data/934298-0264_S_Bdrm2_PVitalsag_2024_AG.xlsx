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5875" windowHeight="12345"/>
  </bookViews>
  <sheets>
    <sheet name="934298-0264 S.Bdrm2_PVitalsag_2" sheetId="1" r:id="rId1"/>
  </sheets>
  <calcPr calcId="145621"/>
</workbook>
</file>

<file path=xl/calcChain.xml><?xml version="1.0" encoding="utf-8"?>
<calcChain xmlns="http://schemas.openxmlformats.org/spreadsheetml/2006/main">
  <c r="X4" i="1" l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O132" i="1"/>
  <c r="O113" i="1"/>
  <c r="P60" i="1"/>
  <c r="O63" i="1"/>
  <c r="R158" i="1"/>
  <c r="O85" i="1"/>
  <c r="P111" i="1"/>
  <c r="AA115" i="1"/>
  <c r="P127" i="1"/>
  <c r="O82" i="1"/>
  <c r="O133" i="1"/>
  <c r="P29" i="1"/>
  <c r="P136" i="1"/>
  <c r="O8" i="1"/>
  <c r="O57" i="1"/>
  <c r="T102" i="1"/>
  <c r="P72" i="1"/>
  <c r="O24" i="1"/>
  <c r="P68" i="1"/>
  <c r="O127" i="1"/>
  <c r="O47" i="1"/>
  <c r="P37" i="1"/>
  <c r="P57" i="1"/>
  <c r="P6" i="1"/>
  <c r="P34" i="1"/>
  <c r="T27" i="1"/>
  <c r="P118" i="1"/>
  <c r="O70" i="1"/>
  <c r="O3" i="1"/>
  <c r="Z27" i="1"/>
  <c r="O105" i="1"/>
  <c r="P55" i="1"/>
  <c r="Z117" i="1"/>
  <c r="O71" i="1"/>
  <c r="P5" i="1"/>
  <c r="AA117" i="1"/>
  <c r="O109" i="1"/>
  <c r="P93" i="1"/>
  <c r="O56" i="1"/>
  <c r="O72" i="1"/>
  <c r="P36" i="1"/>
  <c r="P79" i="1"/>
  <c r="O29" i="1"/>
  <c r="O59" i="1"/>
  <c r="O92" i="1"/>
  <c r="O42" i="1"/>
  <c r="P113" i="1"/>
  <c r="P75" i="1"/>
  <c r="O107" i="1"/>
  <c r="O74" i="1"/>
  <c r="O53" i="1"/>
  <c r="O7" i="1"/>
  <c r="P63" i="1"/>
  <c r="P95" i="1"/>
  <c r="Y102" i="1"/>
  <c r="O31" i="1"/>
  <c r="O95" i="1"/>
  <c r="O139" i="1"/>
  <c r="P14" i="1"/>
  <c r="P11" i="1"/>
  <c r="O51" i="1"/>
  <c r="P67" i="1"/>
  <c r="P15" i="1"/>
  <c r="P144" i="1"/>
  <c r="O99" i="1"/>
  <c r="P10" i="1"/>
  <c r="O123" i="1"/>
  <c r="O65" i="1"/>
  <c r="O150" i="1"/>
  <c r="O40" i="1"/>
  <c r="Y115" i="1"/>
  <c r="O22" i="1"/>
  <c r="P87" i="1"/>
  <c r="P161" i="1"/>
  <c r="O55" i="1"/>
  <c r="O91" i="1"/>
  <c r="O21" i="1"/>
  <c r="O66" i="1"/>
  <c r="O151" i="1"/>
  <c r="O142" i="1"/>
  <c r="O16" i="1"/>
  <c r="AA33" i="1"/>
  <c r="O48" i="1"/>
  <c r="O23" i="1"/>
  <c r="P42" i="1"/>
  <c r="P47" i="1"/>
  <c r="P46" i="1"/>
  <c r="O130" i="1"/>
  <c r="O166" i="1"/>
  <c r="P26" i="1"/>
  <c r="P82" i="1"/>
  <c r="O78" i="1"/>
  <c r="P41" i="1"/>
  <c r="P85" i="1"/>
  <c r="Z102" i="1"/>
  <c r="S117" i="1"/>
  <c r="O111" i="1"/>
  <c r="O45" i="1"/>
  <c r="P48" i="1"/>
  <c r="P152" i="1"/>
  <c r="P148" i="1"/>
  <c r="P141" i="1"/>
  <c r="P143" i="1"/>
  <c r="T33" i="1"/>
  <c r="O155" i="1"/>
  <c r="P56" i="1"/>
  <c r="Y117" i="1"/>
  <c r="P125" i="1"/>
  <c r="O86" i="1"/>
  <c r="O131" i="1"/>
  <c r="P71" i="1"/>
  <c r="P100" i="1"/>
  <c r="P23" i="1"/>
  <c r="O19" i="1"/>
  <c r="O161" i="1"/>
  <c r="P35" i="1"/>
  <c r="P21" i="1"/>
  <c r="O44" i="1"/>
  <c r="O101" i="1"/>
  <c r="O148" i="1"/>
  <c r="O17" i="1"/>
  <c r="P17" i="1"/>
  <c r="P105" i="1"/>
  <c r="O76" i="1"/>
  <c r="P114" i="1"/>
  <c r="P137" i="1"/>
  <c r="O160" i="1"/>
  <c r="O26" i="1"/>
  <c r="O152" i="1"/>
  <c r="O73" i="1"/>
  <c r="O35" i="1"/>
  <c r="P77" i="1"/>
  <c r="O9" i="1"/>
  <c r="P9" i="1"/>
  <c r="P81" i="1"/>
  <c r="O94" i="1"/>
  <c r="P112" i="1"/>
  <c r="O68" i="1"/>
  <c r="O60" i="1"/>
  <c r="P61" i="1"/>
  <c r="O79" i="1"/>
  <c r="O154" i="1"/>
  <c r="P123" i="1"/>
  <c r="O145" i="1"/>
  <c r="O136" i="1"/>
  <c r="O135" i="1"/>
  <c r="P74" i="1"/>
  <c r="Z33" i="1"/>
  <c r="P4" i="1"/>
  <c r="P84" i="1"/>
  <c r="O58" i="1"/>
  <c r="P110" i="1"/>
  <c r="P51" i="1"/>
  <c r="P131" i="1"/>
  <c r="AA102" i="1"/>
  <c r="P12" i="1"/>
  <c r="P65" i="1"/>
  <c r="P104" i="1"/>
  <c r="O77" i="1"/>
  <c r="P157" i="1"/>
  <c r="O98" i="1"/>
  <c r="O100" i="1"/>
  <c r="P154" i="1"/>
  <c r="O62" i="1"/>
  <c r="O138" i="1"/>
  <c r="P91" i="1"/>
  <c r="P80" i="1"/>
  <c r="P90" i="1"/>
  <c r="P145" i="1"/>
  <c r="P133" i="1"/>
  <c r="O137" i="1"/>
  <c r="O157" i="1"/>
  <c r="P25" i="1"/>
  <c r="O89" i="1"/>
  <c r="O129" i="1"/>
  <c r="P13" i="1"/>
  <c r="P7" i="1"/>
  <c r="S102" i="1"/>
  <c r="O28" i="1"/>
  <c r="P94" i="1"/>
  <c r="O25" i="1"/>
  <c r="T117" i="1"/>
  <c r="O54" i="1"/>
  <c r="O32" i="1"/>
  <c r="O80" i="1"/>
  <c r="Z116" i="1"/>
  <c r="R102" i="1"/>
  <c r="P109" i="1"/>
  <c r="O141" i="1"/>
  <c r="O143" i="1"/>
  <c r="O128" i="1"/>
  <c r="P128" i="1"/>
  <c r="O5" i="1"/>
  <c r="O149" i="1"/>
  <c r="O81" i="1"/>
  <c r="O83" i="1"/>
  <c r="O46" i="1"/>
  <c r="P22" i="1"/>
  <c r="P59" i="1"/>
  <c r="P139" i="1"/>
  <c r="P73" i="1"/>
  <c r="P129" i="1"/>
  <c r="P103" i="1"/>
  <c r="P140" i="1"/>
  <c r="T115" i="1"/>
  <c r="O104" i="1"/>
  <c r="P106" i="1"/>
  <c r="O87" i="1"/>
  <c r="S115" i="1"/>
  <c r="P86" i="1"/>
  <c r="P30" i="1"/>
  <c r="P70" i="1"/>
  <c r="P8" i="1"/>
  <c r="P146" i="1"/>
  <c r="P45" i="1"/>
  <c r="P38" i="1"/>
  <c r="O52" i="1"/>
  <c r="P138" i="1"/>
  <c r="O90" i="1"/>
  <c r="P97" i="1"/>
  <c r="P31" i="1"/>
  <c r="P49" i="1"/>
  <c r="O43" i="1"/>
  <c r="O97" i="1"/>
  <c r="P98" i="1"/>
  <c r="O140" i="1"/>
  <c r="P3" i="1"/>
  <c r="Y27" i="1"/>
  <c r="P52" i="1"/>
  <c r="O67" i="1"/>
  <c r="P24" i="1"/>
  <c r="Z115" i="1"/>
  <c r="O125" i="1"/>
  <c r="P101" i="1"/>
  <c r="P135" i="1"/>
  <c r="P142" i="1"/>
  <c r="AA116" i="1"/>
  <c r="P134" i="1"/>
  <c r="O144" i="1"/>
  <c r="P92" i="1"/>
  <c r="O39" i="1"/>
  <c r="O38" i="1"/>
  <c r="AA27" i="1"/>
  <c r="O4" i="1"/>
  <c r="P62" i="1"/>
  <c r="P166" i="1"/>
  <c r="P108" i="1"/>
  <c r="O118" i="1"/>
  <c r="O96" i="1"/>
  <c r="P160" i="1"/>
  <c r="P18" i="1"/>
  <c r="R27" i="1"/>
  <c r="O14" i="1"/>
  <c r="O15" i="1"/>
  <c r="O6" i="1"/>
  <c r="O34" i="1"/>
  <c r="O147" i="1"/>
  <c r="R33" i="1"/>
  <c r="P132" i="1"/>
  <c r="O75" i="1"/>
  <c r="O114" i="1"/>
  <c r="O103" i="1"/>
  <c r="P89" i="1"/>
  <c r="O134" i="1"/>
  <c r="O88" i="1"/>
  <c r="O41" i="1"/>
  <c r="P32" i="1"/>
  <c r="P28" i="1"/>
  <c r="O30" i="1"/>
  <c r="P20" i="1"/>
  <c r="O50" i="1"/>
  <c r="P19" i="1"/>
  <c r="P99" i="1"/>
  <c r="P66" i="1"/>
  <c r="P88" i="1"/>
  <c r="P78" i="1"/>
  <c r="R116" i="1"/>
  <c r="P53" i="1"/>
  <c r="P147" i="1"/>
  <c r="O49" i="1"/>
  <c r="P155" i="1"/>
  <c r="O12" i="1"/>
  <c r="R117" i="1"/>
  <c r="O146" i="1"/>
  <c r="P150" i="1"/>
  <c r="O13" i="1"/>
  <c r="O36" i="1"/>
  <c r="P54" i="1"/>
  <c r="P39" i="1"/>
  <c r="O110" i="1"/>
  <c r="O108" i="1"/>
  <c r="O20" i="1"/>
  <c r="O84" i="1"/>
  <c r="P76" i="1"/>
  <c r="P151" i="1"/>
  <c r="P50" i="1"/>
  <c r="P43" i="1"/>
  <c r="P40" i="1"/>
  <c r="O93" i="1"/>
  <c r="P107" i="1"/>
  <c r="O18" i="1"/>
  <c r="P149" i="1"/>
  <c r="O11" i="1"/>
  <c r="P96" i="1"/>
  <c r="Y33" i="1"/>
  <c r="O10" i="1"/>
  <c r="O112" i="1"/>
  <c r="S33" i="1"/>
  <c r="R115" i="1"/>
  <c r="O37" i="1"/>
  <c r="P83" i="1"/>
  <c r="Y116" i="1"/>
  <c r="P44" i="1"/>
  <c r="P130" i="1"/>
  <c r="S116" i="1"/>
  <c r="P16" i="1"/>
  <c r="P58" i="1"/>
  <c r="O106" i="1"/>
  <c r="S27" i="1"/>
  <c r="O61" i="1"/>
  <c r="T116" i="1"/>
  <c r="Z61" i="1"/>
  <c r="S61" i="1"/>
  <c r="R106" i="1"/>
  <c r="T37" i="1"/>
  <c r="AA37" i="1"/>
  <c r="R112" i="1"/>
  <c r="T10" i="1"/>
  <c r="Z10" i="1"/>
  <c r="Z11" i="1"/>
  <c r="R18" i="1"/>
  <c r="AA18" i="1"/>
  <c r="AA93" i="1"/>
  <c r="T84" i="1"/>
  <c r="Y84" i="1"/>
  <c r="Y20" i="1"/>
  <c r="R108" i="1"/>
  <c r="T108" i="1"/>
  <c r="S110" i="1"/>
  <c r="AA36" i="1"/>
  <c r="S36" i="1"/>
  <c r="R13" i="1"/>
  <c r="T146" i="1"/>
  <c r="R146" i="1"/>
  <c r="Z12" i="1"/>
  <c r="R49" i="1"/>
  <c r="T49" i="1"/>
  <c r="T50" i="1"/>
  <c r="T30" i="1"/>
  <c r="R30" i="1"/>
  <c r="Z41" i="1"/>
  <c r="Y88" i="1"/>
  <c r="R88" i="1"/>
  <c r="R134" i="1"/>
  <c r="AA103" i="1"/>
  <c r="R103" i="1"/>
  <c r="T114" i="1"/>
  <c r="AA75" i="1"/>
  <c r="Z75" i="1"/>
  <c r="R147" i="1"/>
  <c r="R34" i="1"/>
  <c r="S34" i="1"/>
  <c r="Z6" i="1"/>
  <c r="AA15" i="1"/>
  <c r="Z15" i="1"/>
  <c r="Z14" i="1"/>
  <c r="S96" i="1"/>
  <c r="Z96" i="1"/>
  <c r="AA118" i="1"/>
  <c r="AA4" i="1"/>
  <c r="Z4" i="1"/>
  <c r="R38" i="1"/>
  <c r="AA39" i="1"/>
  <c r="R39" i="1"/>
  <c r="T144" i="1"/>
  <c r="R125" i="1"/>
  <c r="T125" i="1"/>
  <c r="Z67" i="1"/>
  <c r="AA140" i="1"/>
  <c r="R140" i="1"/>
  <c r="AA97" i="1"/>
  <c r="S43" i="1"/>
  <c r="Y43" i="1"/>
  <c r="R90" i="1"/>
  <c r="Z52" i="1"/>
  <c r="AA52" i="1"/>
  <c r="AA87" i="1"/>
  <c r="AA104" i="1"/>
  <c r="T104" i="1"/>
  <c r="Y46" i="1"/>
  <c r="Y83" i="1"/>
  <c r="AA83" i="1"/>
  <c r="R81" i="1"/>
  <c r="T149" i="1"/>
  <c r="S149" i="1"/>
  <c r="R5" i="1"/>
  <c r="Y128" i="1"/>
  <c r="T128" i="1"/>
  <c r="S143" i="1"/>
  <c r="S141" i="1"/>
  <c r="T141" i="1"/>
  <c r="Y80" i="1"/>
  <c r="Y32" i="1"/>
  <c r="S32" i="1"/>
  <c r="Y54" i="1"/>
  <c r="S25" i="1"/>
  <c r="R25" i="1"/>
  <c r="R28" i="1"/>
  <c r="T129" i="1"/>
  <c r="S129" i="1"/>
  <c r="AA89" i="1"/>
  <c r="S157" i="1"/>
  <c r="Z157" i="1"/>
  <c r="Z137" i="1"/>
  <c r="R138" i="1"/>
  <c r="Z138" i="1"/>
  <c r="AA62" i="1"/>
  <c r="S100" i="1"/>
  <c r="Y100" i="1"/>
  <c r="T98" i="1"/>
  <c r="T77" i="1"/>
  <c r="R77" i="1"/>
  <c r="T58" i="1"/>
  <c r="Z135" i="1"/>
  <c r="Y135" i="1"/>
  <c r="AA136" i="1"/>
  <c r="R145" i="1"/>
  <c r="AA145" i="1"/>
  <c r="S154" i="1"/>
  <c r="Y79" i="1"/>
  <c r="AA79" i="1"/>
  <c r="R60" i="1"/>
  <c r="AA68" i="1"/>
  <c r="Z68" i="1"/>
  <c r="AA94" i="1"/>
  <c r="AA9" i="1"/>
  <c r="Z9" i="1"/>
  <c r="T35" i="1"/>
  <c r="S73" i="1"/>
  <c r="T73" i="1"/>
  <c r="Z152" i="1"/>
  <c r="Y26" i="1"/>
  <c r="Z26" i="1"/>
  <c r="Z160" i="1"/>
  <c r="S76" i="1"/>
  <c r="Z76" i="1"/>
  <c r="R17" i="1"/>
  <c r="AA148" i="1"/>
  <c r="R148" i="1"/>
  <c r="R101" i="1"/>
  <c r="R44" i="1"/>
  <c r="Z44" i="1"/>
  <c r="Z161" i="1"/>
  <c r="Z19" i="1"/>
  <c r="T19" i="1"/>
  <c r="T131" i="1"/>
  <c r="T86" i="1"/>
  <c r="S86" i="1"/>
  <c r="Z155" i="1"/>
  <c r="S45" i="1"/>
  <c r="AA45" i="1"/>
  <c r="R111" i="1"/>
  <c r="R78" i="1"/>
  <c r="T78" i="1"/>
  <c r="T166" i="1"/>
  <c r="R130" i="1"/>
  <c r="S130" i="1"/>
  <c r="S23" i="1"/>
  <c r="Z48" i="1"/>
  <c r="AA48" i="1"/>
  <c r="Z16" i="1"/>
  <c r="Z142" i="1"/>
  <c r="Y142" i="1"/>
  <c r="R151" i="1"/>
  <c r="AA66" i="1"/>
  <c r="R66" i="1"/>
  <c r="T21" i="1"/>
  <c r="S91" i="1"/>
  <c r="Z91" i="1"/>
  <c r="S55" i="1"/>
  <c r="S22" i="1"/>
  <c r="T22" i="1"/>
  <c r="Y40" i="1"/>
  <c r="S150" i="1"/>
  <c r="T150" i="1"/>
  <c r="Y65" i="1"/>
  <c r="R123" i="1"/>
  <c r="Z123" i="1"/>
  <c r="Y99" i="1"/>
  <c r="Y51" i="1"/>
  <c r="Z51" i="1"/>
  <c r="Z139" i="1"/>
  <c r="AA95" i="1"/>
  <c r="T95" i="1"/>
  <c r="S31" i="1"/>
  <c r="T7" i="1"/>
  <c r="Y7" i="1"/>
  <c r="Z53" i="1"/>
  <c r="AA74" i="1"/>
  <c r="S74" i="1"/>
  <c r="Z107" i="1"/>
  <c r="Y42" i="1"/>
  <c r="T42" i="1"/>
  <c r="AA92" i="1"/>
  <c r="Z59" i="1"/>
  <c r="S59" i="1"/>
  <c r="T29" i="1"/>
  <c r="T72" i="1"/>
  <c r="S72" i="1"/>
  <c r="T56" i="1"/>
  <c r="T109" i="1"/>
  <c r="Z109" i="1"/>
  <c r="R71" i="1"/>
  <c r="T105" i="1"/>
  <c r="AA105" i="1"/>
  <c r="T3" i="1"/>
  <c r="Z70" i="1"/>
  <c r="T70" i="1"/>
  <c r="R47" i="1"/>
  <c r="AA127" i="1"/>
  <c r="Z127" i="1"/>
  <c r="T24" i="1"/>
  <c r="Y57" i="1"/>
  <c r="R57" i="1"/>
  <c r="S8" i="1"/>
  <c r="S133" i="1"/>
  <c r="Y133" i="1"/>
  <c r="AA82" i="1"/>
  <c r="T85" i="1"/>
  <c r="S85" i="1"/>
  <c r="R63" i="1"/>
  <c r="T113" i="1"/>
  <c r="Y113" i="1"/>
  <c r="AA132" i="1"/>
  <c r="AA61" i="1"/>
  <c r="T61" i="1"/>
  <c r="S106" i="1"/>
  <c r="Y37" i="1"/>
  <c r="R37" i="1"/>
  <c r="AA112" i="1"/>
  <c r="AA10" i="1"/>
  <c r="R10" i="1"/>
  <c r="T11" i="1"/>
  <c r="Z18" i="1"/>
  <c r="T18" i="1"/>
  <c r="S93" i="1"/>
  <c r="S84" i="1"/>
  <c r="Z84" i="1"/>
  <c r="AA20" i="1"/>
  <c r="Y108" i="1"/>
  <c r="S108" i="1"/>
  <c r="Z110" i="1"/>
  <c r="R36" i="1"/>
  <c r="Y36" i="1"/>
  <c r="S13" i="1"/>
  <c r="Z146" i="1"/>
  <c r="Y146" i="1"/>
  <c r="S12" i="1"/>
  <c r="Y49" i="1"/>
  <c r="AA49" i="1"/>
  <c r="AA50" i="1"/>
  <c r="AA30" i="1"/>
  <c r="Z30" i="1"/>
  <c r="AA41" i="1"/>
  <c r="AA88" i="1"/>
  <c r="S88" i="1"/>
  <c r="Y134" i="1"/>
  <c r="Z103" i="1"/>
  <c r="Y103" i="1"/>
  <c r="AA114" i="1"/>
  <c r="T75" i="1"/>
  <c r="R75" i="1"/>
  <c r="S147" i="1"/>
  <c r="Z34" i="1"/>
  <c r="Y34" i="1"/>
  <c r="Y6" i="1"/>
  <c r="T15" i="1"/>
  <c r="R15" i="1"/>
  <c r="T14" i="1"/>
  <c r="AA96" i="1"/>
  <c r="Y96" i="1"/>
  <c r="Y118" i="1"/>
  <c r="S4" i="1"/>
  <c r="Y4" i="1"/>
  <c r="T38" i="1"/>
  <c r="S39" i="1"/>
  <c r="Z39" i="1"/>
  <c r="Z144" i="1"/>
  <c r="S125" i="1"/>
  <c r="AA125" i="1"/>
  <c r="AA67" i="1"/>
  <c r="Z140" i="1"/>
  <c r="Y140" i="1"/>
  <c r="R97" i="1"/>
  <c r="T43" i="1"/>
  <c r="Z43" i="1"/>
  <c r="Z90" i="1"/>
  <c r="R52" i="1"/>
  <c r="Y52" i="1"/>
  <c r="Z87" i="1"/>
  <c r="S104" i="1"/>
  <c r="Y104" i="1"/>
  <c r="AA46" i="1"/>
  <c r="S83" i="1"/>
  <c r="T83" i="1"/>
  <c r="S81" i="1"/>
  <c r="Y149" i="1"/>
  <c r="Z149" i="1"/>
  <c r="AA5" i="1"/>
  <c r="Z128" i="1"/>
  <c r="AA128" i="1"/>
  <c r="T143" i="1"/>
  <c r="AA141" i="1"/>
  <c r="Y141" i="1"/>
  <c r="AA80" i="1"/>
  <c r="T32" i="1"/>
  <c r="AA32" i="1"/>
  <c r="T54" i="1"/>
  <c r="T25" i="1"/>
  <c r="Y25" i="1"/>
  <c r="S28" i="1"/>
  <c r="AA129" i="1"/>
  <c r="R129" i="1"/>
  <c r="Z89" i="1"/>
  <c r="Y157" i="1"/>
  <c r="T157" i="1"/>
  <c r="Y137" i="1"/>
  <c r="AA138" i="1"/>
  <c r="Y138" i="1"/>
  <c r="R62" i="1"/>
  <c r="R100" i="1"/>
  <c r="Z100" i="1"/>
  <c r="R98" i="1"/>
  <c r="S77" i="1"/>
  <c r="AA77" i="1"/>
  <c r="S58" i="1"/>
  <c r="S135" i="1"/>
  <c r="AA135" i="1"/>
  <c r="Y136" i="1"/>
  <c r="S145" i="1"/>
  <c r="Z145" i="1"/>
  <c r="AA154" i="1"/>
  <c r="Z79" i="1"/>
  <c r="T79" i="1"/>
  <c r="Z60" i="1"/>
  <c r="Y68" i="1"/>
  <c r="S68" i="1"/>
  <c r="S94" i="1"/>
  <c r="R9" i="1"/>
  <c r="S9" i="1"/>
  <c r="AA35" i="1"/>
  <c r="Y73" i="1"/>
  <c r="Z73" i="1"/>
  <c r="S152" i="1"/>
  <c r="S26" i="1"/>
  <c r="AA26" i="1"/>
  <c r="S160" i="1"/>
  <c r="AA76" i="1"/>
  <c r="Y76" i="1"/>
  <c r="Y17" i="1"/>
  <c r="T148" i="1"/>
  <c r="Z148" i="1"/>
  <c r="AA101" i="1"/>
  <c r="Y44" i="1"/>
  <c r="T44" i="1"/>
  <c r="S161" i="1"/>
  <c r="R19" i="1"/>
  <c r="AA19" i="1"/>
  <c r="AA131" i="1"/>
  <c r="AA86" i="1"/>
  <c r="Y86" i="1"/>
  <c r="T155" i="1"/>
  <c r="R45" i="1"/>
  <c r="Z45" i="1"/>
  <c r="AA111" i="1"/>
  <c r="AA78" i="1"/>
  <c r="Z78" i="1"/>
  <c r="S166" i="1"/>
  <c r="AA130" i="1"/>
  <c r="Y130" i="1"/>
  <c r="Z23" i="1"/>
  <c r="Y48" i="1"/>
  <c r="R48" i="1"/>
  <c r="S16" i="1"/>
  <c r="S142" i="1"/>
  <c r="T142" i="1"/>
  <c r="AA151" i="1"/>
  <c r="Y66" i="1"/>
  <c r="S66" i="1"/>
  <c r="Z21" i="1"/>
  <c r="AA91" i="1"/>
  <c r="R91" i="1"/>
  <c r="T55" i="1"/>
  <c r="Y22" i="1"/>
  <c r="AA22" i="1"/>
  <c r="T40" i="1"/>
  <c r="AA150" i="1"/>
  <c r="Z150" i="1"/>
  <c r="T65" i="1"/>
  <c r="AA123" i="1"/>
  <c r="S123" i="1"/>
  <c r="R99" i="1"/>
  <c r="T51" i="1"/>
  <c r="R51" i="1"/>
  <c r="Y139" i="1"/>
  <c r="R95" i="1"/>
  <c r="Y95" i="1"/>
  <c r="R31" i="1"/>
  <c r="Z7" i="1"/>
  <c r="S7" i="1"/>
  <c r="T53" i="1"/>
  <c r="R74" i="1"/>
  <c r="Y74" i="1"/>
  <c r="R107" i="1"/>
  <c r="S42" i="1"/>
  <c r="Z42" i="1"/>
  <c r="T92" i="1"/>
  <c r="T59" i="1"/>
  <c r="AA59" i="1"/>
  <c r="Y29" i="1"/>
  <c r="Y72" i="1"/>
  <c r="Z72" i="1"/>
  <c r="S56" i="1"/>
  <c r="AA109" i="1"/>
  <c r="Y109" i="1"/>
  <c r="T71" i="1"/>
  <c r="Z105" i="1"/>
  <c r="R105" i="1"/>
  <c r="S3" i="1"/>
  <c r="S70" i="1"/>
  <c r="AA70" i="1"/>
  <c r="Y47" i="1"/>
  <c r="R127" i="1"/>
  <c r="Y127" i="1"/>
  <c r="S24" i="1"/>
  <c r="T57" i="1"/>
  <c r="AA57" i="1"/>
  <c r="Z8" i="1"/>
  <c r="Z133" i="1"/>
  <c r="R133" i="1"/>
  <c r="Z82" i="1"/>
  <c r="Z85" i="1"/>
  <c r="Y85" i="1"/>
  <c r="T63" i="1"/>
  <c r="S113" i="1"/>
  <c r="Z113" i="1"/>
  <c r="Z132" i="1"/>
  <c r="R61" i="1"/>
  <c r="AA106" i="1"/>
  <c r="Y106" i="1"/>
  <c r="S37" i="1"/>
  <c r="T112" i="1"/>
  <c r="Z112" i="1"/>
  <c r="Y10" i="1"/>
  <c r="S11" i="1"/>
  <c r="AA11" i="1"/>
  <c r="S18" i="1"/>
  <c r="Y93" i="1"/>
  <c r="Z93" i="1"/>
  <c r="R84" i="1"/>
  <c r="R20" i="1"/>
  <c r="S20" i="1"/>
  <c r="Z108" i="1"/>
  <c r="T110" i="1"/>
  <c r="Y110" i="1"/>
  <c r="Z36" i="1"/>
  <c r="T13" i="1"/>
  <c r="AA13" i="1"/>
  <c r="S146" i="1"/>
  <c r="R12" i="1"/>
  <c r="AA12" i="1"/>
  <c r="S49" i="1"/>
  <c r="Y50" i="1"/>
  <c r="S50" i="1"/>
  <c r="S30" i="1"/>
  <c r="R41" i="1"/>
  <c r="S41" i="1"/>
  <c r="T88" i="1"/>
  <c r="Z134" i="1"/>
  <c r="S134" i="1"/>
  <c r="T103" i="1"/>
  <c r="Y114" i="1"/>
  <c r="R114" i="1"/>
  <c r="S75" i="1"/>
  <c r="Y147" i="1"/>
  <c r="T147" i="1"/>
  <c r="AA34" i="1"/>
  <c r="S6" i="1"/>
  <c r="R6" i="1"/>
  <c r="S15" i="1"/>
  <c r="R14" i="1"/>
  <c r="AA14" i="1"/>
  <c r="T96" i="1"/>
  <c r="Z118" i="1"/>
  <c r="R118" i="1"/>
  <c r="R4" i="1"/>
  <c r="Y38" i="1"/>
  <c r="S38" i="1"/>
  <c r="T39" i="1"/>
  <c r="R144" i="1"/>
  <c r="S144" i="1"/>
  <c r="Z125" i="1"/>
  <c r="R67" i="1"/>
  <c r="S67" i="1"/>
  <c r="T140" i="1"/>
  <c r="S97" i="1"/>
  <c r="Y97" i="1"/>
  <c r="R43" i="1"/>
  <c r="T90" i="1"/>
  <c r="S90" i="1"/>
  <c r="S52" i="1"/>
  <c r="Y87" i="1"/>
  <c r="R87" i="1"/>
  <c r="R104" i="1"/>
  <c r="Z46" i="1"/>
  <c r="R46" i="1"/>
  <c r="R83" i="1"/>
  <c r="Z81" i="1"/>
  <c r="AA81" i="1"/>
  <c r="R149" i="1"/>
  <c r="T5" i="1"/>
  <c r="Z5" i="1"/>
  <c r="R128" i="1"/>
  <c r="Z143" i="1"/>
  <c r="R143" i="1"/>
  <c r="Z141" i="1"/>
  <c r="Z80" i="1"/>
  <c r="R80" i="1"/>
  <c r="R32" i="1"/>
  <c r="S54" i="1"/>
  <c r="AA54" i="1"/>
  <c r="AA25" i="1"/>
  <c r="Y28" i="1"/>
  <c r="T28" i="1"/>
  <c r="Z129" i="1"/>
  <c r="T89" i="1"/>
  <c r="R89" i="1"/>
  <c r="AA157" i="1"/>
  <c r="T137" i="1"/>
  <c r="AA137" i="1"/>
  <c r="T138" i="1"/>
  <c r="S62" i="1"/>
  <c r="Z62" i="1"/>
  <c r="T100" i="1"/>
  <c r="AA98" i="1"/>
  <c r="S98" i="1"/>
  <c r="Y77" i="1"/>
  <c r="AA58" i="1"/>
  <c r="R58" i="1"/>
  <c r="T135" i="1"/>
  <c r="R136" i="1"/>
  <c r="Z136" i="1"/>
  <c r="Y145" i="1"/>
  <c r="T154" i="1"/>
  <c r="R154" i="1"/>
  <c r="S79" i="1"/>
  <c r="Y60" i="1"/>
  <c r="S60" i="1"/>
  <c r="R68" i="1"/>
  <c r="Z94" i="1"/>
  <c r="R94" i="1"/>
  <c r="T9" i="1"/>
  <c r="Y35" i="1"/>
  <c r="S35" i="1"/>
  <c r="AA73" i="1"/>
  <c r="R152" i="1"/>
  <c r="AA152" i="1"/>
  <c r="R26" i="1"/>
  <c r="AA160" i="1"/>
  <c r="R160" i="1"/>
  <c r="R76" i="1"/>
  <c r="AA17" i="1"/>
  <c r="T17" i="1"/>
  <c r="S148" i="1"/>
  <c r="Z101" i="1"/>
  <c r="S101" i="1"/>
  <c r="AA44" i="1"/>
  <c r="Y161" i="1"/>
  <c r="T161" i="1"/>
  <c r="S19" i="1"/>
  <c r="Z131" i="1"/>
  <c r="R131" i="1"/>
  <c r="R86" i="1"/>
  <c r="Y155" i="1"/>
  <c r="R155" i="1"/>
  <c r="Y45" i="1"/>
  <c r="Y111" i="1"/>
  <c r="T111" i="1"/>
  <c r="Y78" i="1"/>
  <c r="R166" i="1"/>
  <c r="Z166" i="1"/>
  <c r="Z130" i="1"/>
  <c r="R23" i="1"/>
  <c r="T23" i="1"/>
  <c r="S48" i="1"/>
  <c r="Y16" i="1"/>
  <c r="T16" i="1"/>
  <c r="AA142" i="1"/>
  <c r="T151" i="1"/>
  <c r="S151" i="1"/>
  <c r="Z66" i="1"/>
  <c r="R21" i="1"/>
  <c r="AA21" i="1"/>
  <c r="T91" i="1"/>
  <c r="Z55" i="1"/>
  <c r="R55" i="1"/>
  <c r="Z22" i="1"/>
  <c r="S40" i="1"/>
  <c r="R40" i="1"/>
  <c r="Y150" i="1"/>
  <c r="S65" i="1"/>
  <c r="R65" i="1"/>
  <c r="T123" i="1"/>
  <c r="S99" i="1"/>
  <c r="AA99" i="1"/>
  <c r="S51" i="1"/>
  <c r="S139" i="1"/>
  <c r="AA139" i="1"/>
  <c r="Z95" i="1"/>
  <c r="T31" i="1"/>
  <c r="Z31" i="1"/>
  <c r="AA7" i="1"/>
  <c r="Y53" i="1"/>
  <c r="R53" i="1"/>
  <c r="T74" i="1"/>
  <c r="T107" i="1"/>
  <c r="AA107" i="1"/>
  <c r="R42" i="1"/>
  <c r="Y92" i="1"/>
  <c r="R92" i="1"/>
  <c r="R59" i="1"/>
  <c r="Z29" i="1"/>
  <c r="R29" i="1"/>
  <c r="AA72" i="1"/>
  <c r="R56" i="1"/>
  <c r="AA56" i="1"/>
  <c r="R109" i="1"/>
  <c r="Z71" i="1"/>
  <c r="Y71" i="1"/>
  <c r="S105" i="1"/>
  <c r="R3" i="1"/>
  <c r="Z3" i="1"/>
  <c r="Y70" i="1"/>
  <c r="AA47" i="1"/>
  <c r="S47" i="1"/>
  <c r="S127" i="1"/>
  <c r="AA24" i="1"/>
  <c r="R24" i="1"/>
  <c r="S57" i="1"/>
  <c r="Y8" i="1"/>
  <c r="T8" i="1"/>
  <c r="T133" i="1"/>
  <c r="S82" i="1"/>
  <c r="R82" i="1"/>
  <c r="AA85" i="1"/>
  <c r="AA63" i="1"/>
  <c r="Y63" i="1"/>
  <c r="AA113" i="1"/>
  <c r="S132" i="1"/>
  <c r="R132" i="1"/>
  <c r="Y61" i="1"/>
  <c r="Y112" i="1"/>
  <c r="R11" i="1"/>
  <c r="AA84" i="1"/>
  <c r="R110" i="1"/>
  <c r="Y13" i="1"/>
  <c r="Z49" i="1"/>
  <c r="Y41" i="1"/>
  <c r="AA134" i="1"/>
  <c r="Y75" i="1"/>
  <c r="AA6" i="1"/>
  <c r="Y14" i="1"/>
  <c r="T4" i="1"/>
  <c r="AA144" i="1"/>
  <c r="Y67" i="1"/>
  <c r="AA43" i="1"/>
  <c r="T87" i="1"/>
  <c r="T46" i="1"/>
  <c r="AA149" i="1"/>
  <c r="Y143" i="1"/>
  <c r="S80" i="1"/>
  <c r="Z25" i="1"/>
  <c r="S89" i="1"/>
  <c r="S137" i="1"/>
  <c r="AA100" i="1"/>
  <c r="Z58" i="1"/>
  <c r="S136" i="1"/>
  <c r="R79" i="1"/>
  <c r="Y94" i="1"/>
  <c r="Z35" i="1"/>
  <c r="T26" i="1"/>
  <c r="S17" i="1"/>
  <c r="Y101" i="1"/>
  <c r="Y19" i="1"/>
  <c r="S155" i="1"/>
  <c r="S111" i="1"/>
  <c r="T130" i="1"/>
  <c r="R16" i="1"/>
  <c r="Y151" i="1"/>
  <c r="Y91" i="1"/>
  <c r="Z40" i="1"/>
  <c r="Z65" i="1"/>
  <c r="AA51" i="1"/>
  <c r="AA31" i="1"/>
  <c r="S53" i="1"/>
  <c r="AA42" i="1"/>
  <c r="S29" i="1"/>
  <c r="Y56" i="1"/>
  <c r="Y105" i="1"/>
  <c r="Z47" i="1"/>
  <c r="Y24" i="1"/>
  <c r="AA133" i="1"/>
  <c r="S63" i="1"/>
  <c r="Y132" i="1"/>
  <c r="T106" i="1"/>
  <c r="S112" i="1"/>
  <c r="Y18" i="1"/>
  <c r="T20" i="1"/>
  <c r="AA110" i="1"/>
  <c r="AA146" i="1"/>
  <c r="Z50" i="1"/>
  <c r="T41" i="1"/>
  <c r="S103" i="1"/>
  <c r="Z147" i="1"/>
  <c r="T6" i="1"/>
  <c r="R96" i="1"/>
  <c r="AA38" i="1"/>
  <c r="Y144" i="1"/>
  <c r="S140" i="1"/>
  <c r="Y90" i="1"/>
  <c r="S87" i="1"/>
  <c r="Z83" i="1"/>
  <c r="Y5" i="1"/>
  <c r="AA143" i="1"/>
  <c r="Z32" i="1"/>
  <c r="AA28" i="1"/>
  <c r="Y89" i="1"/>
  <c r="S138" i="1"/>
  <c r="Y98" i="1"/>
  <c r="Y58" i="1"/>
  <c r="T145" i="1"/>
  <c r="AA60" i="1"/>
  <c r="T94" i="1"/>
  <c r="R73" i="1"/>
  <c r="T160" i="1"/>
  <c r="Z17" i="1"/>
  <c r="S44" i="1"/>
  <c r="Y131" i="1"/>
  <c r="AA155" i="1"/>
  <c r="S78" i="1"/>
  <c r="AA23" i="1"/>
  <c r="AA16" i="1"/>
  <c r="T66" i="1"/>
  <c r="Y55" i="1"/>
  <c r="AA40" i="1"/>
  <c r="Y123" i="1"/>
  <c r="T139" i="1"/>
  <c r="Y31" i="1"/>
  <c r="Z74" i="1"/>
  <c r="Z92" i="1"/>
  <c r="AA29" i="1"/>
  <c r="S109" i="1"/>
  <c r="Y3" i="1"/>
  <c r="T47" i="1"/>
  <c r="Z57" i="1"/>
  <c r="Y82" i="1"/>
  <c r="Z63" i="1"/>
  <c r="R93" i="1"/>
  <c r="T134" i="1"/>
  <c r="T34" i="1"/>
  <c r="T118" i="1"/>
  <c r="T67" i="1"/>
  <c r="T52" i="1"/>
  <c r="Y81" i="1"/>
  <c r="T80" i="1"/>
  <c r="Y129" i="1"/>
  <c r="T62" i="1"/>
  <c r="T136" i="1"/>
  <c r="T68" i="1"/>
  <c r="Y152" i="1"/>
  <c r="T101" i="1"/>
  <c r="Z86" i="1"/>
  <c r="AA166" i="1"/>
  <c r="Z151" i="1"/>
  <c r="R22" i="1"/>
  <c r="Z99" i="1"/>
  <c r="AA53" i="1"/>
  <c r="Y59" i="1"/>
  <c r="AA71" i="1"/>
  <c r="Z24" i="1"/>
  <c r="R85" i="1"/>
  <c r="Z106" i="1"/>
  <c r="S10" i="1"/>
  <c r="T93" i="1"/>
  <c r="Z20" i="1"/>
  <c r="T36" i="1"/>
  <c r="T12" i="1"/>
  <c r="R50" i="1"/>
  <c r="Z88" i="1"/>
  <c r="Z114" i="1"/>
  <c r="AA147" i="1"/>
  <c r="Y15" i="1"/>
  <c r="S118" i="1"/>
  <c r="Z38" i="1"/>
  <c r="Y125" i="1"/>
  <c r="Z97" i="1"/>
  <c r="AA90" i="1"/>
  <c r="Z104" i="1"/>
  <c r="T81" i="1"/>
  <c r="S5" i="1"/>
  <c r="R141" i="1"/>
  <c r="Z54" i="1"/>
  <c r="Z28" i="1"/>
  <c r="R157" i="1"/>
  <c r="Y62" i="1"/>
  <c r="Z98" i="1"/>
  <c r="R135" i="1"/>
  <c r="Z154" i="1"/>
  <c r="T60" i="1"/>
  <c r="Y9" i="1"/>
  <c r="T152" i="1"/>
  <c r="Y160" i="1"/>
  <c r="Y148" i="1"/>
  <c r="AA161" i="1"/>
  <c r="S131" i="1"/>
  <c r="T45" i="1"/>
  <c r="Y166" i="1"/>
  <c r="Y23" i="1"/>
  <c r="R142" i="1"/>
  <c r="S21" i="1"/>
  <c r="AA55" i="1"/>
  <c r="R150" i="1"/>
  <c r="T99" i="1"/>
  <c r="R139" i="1"/>
  <c r="R7" i="1"/>
  <c r="S107" i="1"/>
  <c r="S92" i="1"/>
  <c r="R72" i="1"/>
  <c r="S71" i="1"/>
  <c r="AA3" i="1"/>
  <c r="T127" i="1"/>
  <c r="AA8" i="1"/>
  <c r="T82" i="1"/>
  <c r="R113" i="1"/>
  <c r="Z37" i="1"/>
  <c r="Y11" i="1"/>
  <c r="AA108" i="1"/>
  <c r="Z13" i="1"/>
  <c r="Y12" i="1"/>
  <c r="Y30" i="1"/>
  <c r="S114" i="1"/>
  <c r="S14" i="1"/>
  <c r="Y39" i="1"/>
  <c r="T97" i="1"/>
  <c r="S46" i="1"/>
  <c r="S128" i="1"/>
  <c r="R54" i="1"/>
  <c r="R137" i="1"/>
  <c r="Z77" i="1"/>
  <c r="Y154" i="1"/>
  <c r="R35" i="1"/>
  <c r="T76" i="1"/>
  <c r="R161" i="1"/>
  <c r="Z111" i="1"/>
  <c r="T48" i="1"/>
  <c r="Y21" i="1"/>
  <c r="AA65" i="1"/>
  <c r="S95" i="1"/>
  <c r="Y107" i="1"/>
  <c r="Z56" i="1"/>
  <c r="R70" i="1"/>
  <c r="R8" i="1"/>
  <c r="T132" i="1"/>
  <c r="U8" i="1" l="1"/>
  <c r="U70" i="1"/>
  <c r="AB107" i="1"/>
  <c r="AB21" i="1"/>
  <c r="U161" i="1"/>
  <c r="U35" i="1"/>
  <c r="AB154" i="1"/>
  <c r="U137" i="1"/>
  <c r="U54" i="1"/>
  <c r="AB39" i="1"/>
  <c r="AB30" i="1"/>
  <c r="AB12" i="1"/>
  <c r="AB11" i="1"/>
  <c r="U113" i="1"/>
  <c r="U72" i="1"/>
  <c r="U7" i="1"/>
  <c r="U139" i="1"/>
  <c r="U150" i="1"/>
  <c r="U142" i="1"/>
  <c r="AB23" i="1"/>
  <c r="AB166" i="1"/>
  <c r="AB148" i="1"/>
  <c r="AB160" i="1"/>
  <c r="AB9" i="1"/>
  <c r="U135" i="1"/>
  <c r="AB62" i="1"/>
  <c r="U157" i="1"/>
  <c r="U141" i="1"/>
  <c r="AB125" i="1"/>
  <c r="AB15" i="1"/>
  <c r="U50" i="1"/>
  <c r="U85" i="1"/>
  <c r="AB59" i="1"/>
  <c r="U22" i="1"/>
  <c r="AB152" i="1"/>
  <c r="AB129" i="1"/>
  <c r="AB81" i="1"/>
  <c r="U93" i="1"/>
  <c r="AB82" i="1"/>
  <c r="AB3" i="1"/>
  <c r="AB31" i="1"/>
  <c r="AB123" i="1"/>
  <c r="AB55" i="1"/>
  <c r="AB131" i="1"/>
  <c r="U73" i="1"/>
  <c r="AB58" i="1"/>
  <c r="AB98" i="1"/>
  <c r="AB89" i="1"/>
  <c r="AB5" i="1"/>
  <c r="AB90" i="1"/>
  <c r="AB144" i="1"/>
  <c r="U96" i="1"/>
  <c r="AB18" i="1"/>
  <c r="AB132" i="1"/>
  <c r="AB24" i="1"/>
  <c r="AB105" i="1"/>
  <c r="AB56" i="1"/>
  <c r="AB91" i="1"/>
  <c r="AB151" i="1"/>
  <c r="U16" i="1"/>
  <c r="AB19" i="1"/>
  <c r="AB101" i="1"/>
  <c r="AB94" i="1"/>
  <c r="U79" i="1"/>
  <c r="AB143" i="1"/>
  <c r="AB67" i="1"/>
  <c r="AB14" i="1"/>
  <c r="AB75" i="1"/>
  <c r="AB41" i="1"/>
  <c r="AB13" i="1"/>
  <c r="U110" i="1"/>
  <c r="U11" i="1"/>
  <c r="AB112" i="1"/>
  <c r="AB61" i="1"/>
  <c r="U132" i="1"/>
  <c r="AB63" i="1"/>
  <c r="U82" i="1"/>
  <c r="AB8" i="1"/>
  <c r="U24" i="1"/>
  <c r="AB70" i="1"/>
  <c r="U3" i="1"/>
  <c r="AB71" i="1"/>
  <c r="U109" i="1"/>
  <c r="U56" i="1"/>
  <c r="U29" i="1"/>
  <c r="U59" i="1"/>
  <c r="U92" i="1"/>
  <c r="AB92" i="1"/>
  <c r="U42" i="1"/>
  <c r="U53" i="1"/>
  <c r="AB53" i="1"/>
  <c r="U65" i="1"/>
  <c r="AB150" i="1"/>
  <c r="U40" i="1"/>
  <c r="U55" i="1"/>
  <c r="U21" i="1"/>
  <c r="AB16" i="1"/>
  <c r="U23" i="1"/>
  <c r="U166" i="1"/>
  <c r="AB78" i="1"/>
  <c r="AB111" i="1"/>
  <c r="AB45" i="1"/>
  <c r="U155" i="1"/>
  <c r="AB155" i="1"/>
  <c r="U86" i="1"/>
  <c r="U131" i="1"/>
  <c r="AB161" i="1"/>
  <c r="U76" i="1"/>
  <c r="U160" i="1"/>
  <c r="U26" i="1"/>
  <c r="U152" i="1"/>
  <c r="AB35" i="1"/>
  <c r="U94" i="1"/>
  <c r="U68" i="1"/>
  <c r="AB60" i="1"/>
  <c r="U154" i="1"/>
  <c r="AB145" i="1"/>
  <c r="U136" i="1"/>
  <c r="U58" i="1"/>
  <c r="AB77" i="1"/>
  <c r="U89" i="1"/>
  <c r="AB28" i="1"/>
  <c r="U32" i="1"/>
  <c r="U80" i="1"/>
  <c r="U143" i="1"/>
  <c r="U128" i="1"/>
  <c r="U149" i="1"/>
  <c r="U83" i="1"/>
  <c r="U46" i="1"/>
  <c r="U104" i="1"/>
  <c r="U87" i="1"/>
  <c r="AB87" i="1"/>
  <c r="U43" i="1"/>
  <c r="AB97" i="1"/>
  <c r="U67" i="1"/>
  <c r="U144" i="1"/>
  <c r="AB38" i="1"/>
  <c r="U4" i="1"/>
  <c r="U118" i="1"/>
  <c r="U14" i="1"/>
  <c r="U6" i="1"/>
  <c r="AB147" i="1"/>
  <c r="U114" i="1"/>
  <c r="AB114" i="1"/>
  <c r="U41" i="1"/>
  <c r="AB50" i="1"/>
  <c r="U12" i="1"/>
  <c r="AB110" i="1"/>
  <c r="U20" i="1"/>
  <c r="U84" i="1"/>
  <c r="AB93" i="1"/>
  <c r="AB10" i="1"/>
  <c r="AB106" i="1"/>
  <c r="U61" i="1"/>
  <c r="AB85" i="1"/>
  <c r="U133" i="1"/>
  <c r="AB127" i="1"/>
  <c r="U127" i="1"/>
  <c r="AB47" i="1"/>
  <c r="U105" i="1"/>
  <c r="AB109" i="1"/>
  <c r="AB72" i="1"/>
  <c r="AB29" i="1"/>
  <c r="U107" i="1"/>
  <c r="AB74" i="1"/>
  <c r="U74" i="1"/>
  <c r="U31" i="1"/>
  <c r="AB95" i="1"/>
  <c r="U95" i="1"/>
  <c r="AB139" i="1"/>
  <c r="U51" i="1"/>
  <c r="U99" i="1"/>
  <c r="AB22" i="1"/>
  <c r="U91" i="1"/>
  <c r="AB66" i="1"/>
  <c r="U48" i="1"/>
  <c r="AB48" i="1"/>
  <c r="AB130" i="1"/>
  <c r="U45" i="1"/>
  <c r="AB86" i="1"/>
  <c r="U19" i="1"/>
  <c r="AB44" i="1"/>
  <c r="AB17" i="1"/>
  <c r="AB76" i="1"/>
  <c r="AB73" i="1"/>
  <c r="U9" i="1"/>
  <c r="AB68" i="1"/>
  <c r="AB136" i="1"/>
  <c r="U98" i="1"/>
  <c r="U100" i="1"/>
  <c r="U62" i="1"/>
  <c r="AB138" i="1"/>
  <c r="AB137" i="1"/>
  <c r="AB157" i="1"/>
  <c r="U129" i="1"/>
  <c r="AB25" i="1"/>
  <c r="AB141" i="1"/>
  <c r="AB149" i="1"/>
  <c r="AB104" i="1"/>
  <c r="AB52" i="1"/>
  <c r="U52" i="1"/>
  <c r="U97" i="1"/>
  <c r="AB140" i="1"/>
  <c r="AB4" i="1"/>
  <c r="AB118" i="1"/>
  <c r="AB96" i="1"/>
  <c r="U15" i="1"/>
  <c r="AB6" i="1"/>
  <c r="AB34" i="1"/>
  <c r="U75" i="1"/>
  <c r="AB103" i="1"/>
  <c r="AB134" i="1"/>
  <c r="AB49" i="1"/>
  <c r="AB146" i="1"/>
  <c r="AB36" i="1"/>
  <c r="U36" i="1"/>
  <c r="AB108" i="1"/>
  <c r="U10" i="1"/>
  <c r="U37" i="1"/>
  <c r="AB37" i="1"/>
  <c r="AB113" i="1"/>
  <c r="U63" i="1"/>
  <c r="AB133" i="1"/>
  <c r="U57" i="1"/>
  <c r="AB57" i="1"/>
  <c r="U47" i="1"/>
  <c r="U71" i="1"/>
  <c r="AB42" i="1"/>
  <c r="AB7" i="1"/>
  <c r="AB51" i="1"/>
  <c r="AB99" i="1"/>
  <c r="U123" i="1"/>
  <c r="AB65" i="1"/>
  <c r="AB40" i="1"/>
  <c r="U66" i="1"/>
  <c r="U151" i="1"/>
  <c r="AB142" i="1"/>
  <c r="U130" i="1"/>
  <c r="U78" i="1"/>
  <c r="U111" i="1"/>
  <c r="U44" i="1"/>
  <c r="U101" i="1"/>
  <c r="U148" i="1"/>
  <c r="U17" i="1"/>
  <c r="AB26" i="1"/>
  <c r="U60" i="1"/>
  <c r="AB79" i="1"/>
  <c r="U145" i="1"/>
  <c r="AB135" i="1"/>
  <c r="U77" i="1"/>
  <c r="AB100" i="1"/>
  <c r="U138" i="1"/>
  <c r="U28" i="1"/>
  <c r="U25" i="1"/>
  <c r="AB54" i="1"/>
  <c r="AB32" i="1"/>
  <c r="AB80" i="1"/>
  <c r="AB128" i="1"/>
  <c r="U5" i="1"/>
  <c r="U81" i="1"/>
  <c r="AB83" i="1"/>
  <c r="AB46" i="1"/>
  <c r="U90" i="1"/>
  <c r="AB43" i="1"/>
  <c r="U140" i="1"/>
  <c r="U125" i="1"/>
  <c r="U39" i="1"/>
  <c r="U38" i="1"/>
  <c r="U34" i="1"/>
  <c r="U147" i="1"/>
  <c r="U103" i="1"/>
  <c r="U134" i="1"/>
  <c r="U88" i="1"/>
  <c r="AB88" i="1"/>
  <c r="U30" i="1"/>
  <c r="U49" i="1"/>
  <c r="U146" i="1"/>
  <c r="U13" i="1"/>
  <c r="U108" i="1"/>
  <c r="AB20" i="1"/>
  <c r="AB84" i="1"/>
  <c r="U18" i="1"/>
  <c r="U112" i="1"/>
  <c r="U106" i="1"/>
</calcChain>
</file>

<file path=xl/sharedStrings.xml><?xml version="1.0" encoding="utf-8"?>
<sst xmlns="http://schemas.openxmlformats.org/spreadsheetml/2006/main" count="2993" uniqueCount="159">
  <si>
    <t>Date</t>
  </si>
  <si>
    <t xml:space="preserve"> Time</t>
  </si>
  <si>
    <t xml:space="preserve"> XL-time</t>
  </si>
  <si>
    <t xml:space="preserve"> avg_Hr</t>
  </si>
  <si>
    <t xml:space="preserve">  max_Hr</t>
  </si>
  <si>
    <t xml:space="preserve"> min_Hr</t>
  </si>
  <si>
    <t xml:space="preserve"> </t>
  </si>
  <si>
    <t>avg_Rr</t>
  </si>
  <si>
    <t xml:space="preserve"> max_Rr</t>
  </si>
  <si>
    <t xml:space="preserve"> min_Rr</t>
  </si>
  <si>
    <t>cnt-Hr</t>
  </si>
  <si>
    <t>hr</t>
  </si>
  <si>
    <t>avg</t>
  </si>
  <si>
    <t>high</t>
  </si>
  <si>
    <t>low</t>
  </si>
  <si>
    <t>avg+</t>
  </si>
  <si>
    <t>hi</t>
  </si>
  <si>
    <t>lo</t>
  </si>
  <si>
    <t>D3:D6</t>
  </si>
  <si>
    <t>D7:D14</t>
  </si>
  <si>
    <t>D15:D20</t>
  </si>
  <si>
    <t>D21:D27</t>
  </si>
  <si>
    <t>D28:D38</t>
  </si>
  <si>
    <t>D39:D43</t>
  </si>
  <si>
    <t>D44:D54</t>
  </si>
  <si>
    <t>D55:D62</t>
  </si>
  <si>
    <t>D63:D74</t>
  </si>
  <si>
    <t>D75:D82</t>
  </si>
  <si>
    <t>D83:D92</t>
  </si>
  <si>
    <t>D93:D100</t>
  </si>
  <si>
    <t>D101:D111</t>
  </si>
  <si>
    <t>D112:D124</t>
  </si>
  <si>
    <t>D125:D133</t>
  </si>
  <si>
    <t>D134:D145</t>
  </si>
  <si>
    <t>D146:D153</t>
  </si>
  <si>
    <t>D154:D162</t>
  </si>
  <si>
    <t>D163:D173</t>
  </si>
  <si>
    <t>D174:D182</t>
  </si>
  <si>
    <t>D183:D190</t>
  </si>
  <si>
    <t>D191:D201</t>
  </si>
  <si>
    <t>D202:D206</t>
  </si>
  <si>
    <t>D207:D217</t>
  </si>
  <si>
    <t>D218:D220</t>
  </si>
  <si>
    <t>D221:D222</t>
  </si>
  <si>
    <t>D223:D233</t>
  </si>
  <si>
    <t>D234:D245</t>
  </si>
  <si>
    <t>D246:D255</t>
  </si>
  <si>
    <t>D256:D264</t>
  </si>
  <si>
    <t>D265:D278</t>
  </si>
  <si>
    <t>D279:D280</t>
  </si>
  <si>
    <t>D281:D285</t>
  </si>
  <si>
    <t>D286:D288</t>
  </si>
  <si>
    <t>D289:D295</t>
  </si>
  <si>
    <t>D296:D301</t>
  </si>
  <si>
    <t>D302:D305</t>
  </si>
  <si>
    <t>D306:D316</t>
  </si>
  <si>
    <t>D317:D321</t>
  </si>
  <si>
    <t>D322:D324</t>
  </si>
  <si>
    <t>D325:D335</t>
  </si>
  <si>
    <t>D336:D343</t>
  </si>
  <si>
    <t>D344:D352</t>
  </si>
  <si>
    <t>D353:D360</t>
  </si>
  <si>
    <t>D361:D365</t>
  </si>
  <si>
    <t>D366:D375</t>
  </si>
  <si>
    <t>D376:D377</t>
  </si>
  <si>
    <t>D378:D383</t>
  </si>
  <si>
    <t>D384:D384</t>
  </si>
  <si>
    <t>D384:D389</t>
  </si>
  <si>
    <t>D390:D391</t>
  </si>
  <si>
    <t>D392:D398</t>
  </si>
  <si>
    <t>D399:D402</t>
  </si>
  <si>
    <t>D403:D410</t>
  </si>
  <si>
    <t>D411:D411</t>
  </si>
  <si>
    <t>D412:D421</t>
  </si>
  <si>
    <t>D422:D422</t>
  </si>
  <si>
    <t>D423:D426</t>
  </si>
  <si>
    <t>D427:D427</t>
  </si>
  <si>
    <t>D428:D437</t>
  </si>
  <si>
    <t>D438:D440</t>
  </si>
  <si>
    <t>D441:D446</t>
  </si>
  <si>
    <t>D447:D450</t>
  </si>
  <si>
    <t>D451:D452</t>
  </si>
  <si>
    <t>D453:D464</t>
  </si>
  <si>
    <t>D465:D468</t>
  </si>
  <si>
    <t>D469:D476</t>
  </si>
  <si>
    <t>D477:D482</t>
  </si>
  <si>
    <t>D483:D484</t>
  </si>
  <si>
    <t>D485:D491</t>
  </si>
  <si>
    <t>D492:D500</t>
  </si>
  <si>
    <t>D501:D508</t>
  </si>
  <si>
    <t>D509:D518</t>
  </si>
  <si>
    <t>D519:D521</t>
  </si>
  <si>
    <t>D522:D524</t>
  </si>
  <si>
    <t>D525:D527</t>
  </si>
  <si>
    <t>D528:D531</t>
  </si>
  <si>
    <t>D532:D536</t>
  </si>
  <si>
    <t>D537:D539</t>
  </si>
  <si>
    <t>D540:D556</t>
  </si>
  <si>
    <t>D557:D564</t>
  </si>
  <si>
    <t>D565:D577</t>
  </si>
  <si>
    <t>D578:D589</t>
  </si>
  <si>
    <t>D590:D603</t>
  </si>
  <si>
    <t>D604:D612</t>
  </si>
  <si>
    <t>D613:D629</t>
  </si>
  <si>
    <t>D630:D644</t>
  </si>
  <si>
    <t>D645:D655</t>
  </si>
  <si>
    <t>D656:D659</t>
  </si>
  <si>
    <t>D660:D663</t>
  </si>
  <si>
    <t>D664:D666</t>
  </si>
  <si>
    <t>D667:D681</t>
  </si>
  <si>
    <t>D682:D689</t>
  </si>
  <si>
    <t>D690:D692</t>
  </si>
  <si>
    <t>D693:D698</t>
  </si>
  <si>
    <t>D699:D699</t>
  </si>
  <si>
    <t>D700:D701</t>
  </si>
  <si>
    <t>D702:D703</t>
  </si>
  <si>
    <t>D704:D704</t>
  </si>
  <si>
    <t>D705:D707</t>
  </si>
  <si>
    <t>D708:D718</t>
  </si>
  <si>
    <t>D719:D721</t>
  </si>
  <si>
    <t>D722:D725</t>
  </si>
  <si>
    <t>D726:D726</t>
  </si>
  <si>
    <t>D727:D730</t>
  </si>
  <si>
    <t>D731:D732</t>
  </si>
  <si>
    <t>D733:D733</t>
  </si>
  <si>
    <t>D734:D734</t>
  </si>
  <si>
    <t>D735:D735</t>
  </si>
  <si>
    <t>D736:D746</t>
  </si>
  <si>
    <t>D747:D756</t>
  </si>
  <si>
    <t>D757:D760</t>
  </si>
  <si>
    <t>D761:D772</t>
  </si>
  <si>
    <t>D773:D784</t>
  </si>
  <si>
    <t>D785:D794</t>
  </si>
  <si>
    <t>D795:D804</t>
  </si>
  <si>
    <t>D805:D811</t>
  </si>
  <si>
    <t>D812:D822</t>
  </si>
  <si>
    <t>D834:D844</t>
  </si>
  <si>
    <t>D823:D833</t>
  </si>
  <si>
    <t>D845:D847</t>
  </si>
  <si>
    <t>D848:D851</t>
  </si>
  <si>
    <t>D852:D856</t>
  </si>
  <si>
    <t>D857:D872</t>
  </si>
  <si>
    <t>D873:D886</t>
  </si>
  <si>
    <t>D887:D894</t>
  </si>
  <si>
    <t>D895:D897</t>
  </si>
  <si>
    <t>D898:D904</t>
  </si>
  <si>
    <t>D905:D915</t>
  </si>
  <si>
    <t>D916:D925</t>
  </si>
  <si>
    <t>D926:D935</t>
  </si>
  <si>
    <t>D936:D946</t>
  </si>
  <si>
    <t>D947:D954</t>
  </si>
  <si>
    <t>D955:D963</t>
  </si>
  <si>
    <t>D964:D967</t>
  </si>
  <si>
    <t>D968:D976</t>
  </si>
  <si>
    <t>D977:D982</t>
  </si>
  <si>
    <t>D996:D996</t>
  </si>
  <si>
    <t>D983:D995</t>
  </si>
  <si>
    <t>D997:D997</t>
  </si>
  <si>
    <t>D998:D1000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</si>
</sst>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9">
    <xf numFmtId="0" fontId="0" fillId="0" borderId="0" xfId="0"/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0" fillId="0" borderId="0" xfId="0"/>
    <xf numFmtId="0" fontId="0" fillId="0" borderId="0" xfId="0"/>
    <xf numFmtId="14" fontId="0" fillId="0" borderId="10" xfId="0" applyNumberFormat="1" applyBorder="1"/>
    <xf numFmtId="21" fontId="0" fillId="0" borderId="11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21" fontId="0" fillId="0" borderId="0" xfId="0" applyNumberFormat="1" applyBorder="1"/>
    <xf numFmtId="0" fontId="0" fillId="0" borderId="0" xfId="0" applyBorder="1"/>
    <xf numFmtId="0" fontId="0" fillId="0" borderId="14" xfId="0" applyBorder="1"/>
    <xf numFmtId="14" fontId="0" fillId="0" borderId="15" xfId="0" applyNumberFormat="1" applyBorder="1"/>
    <xf numFmtId="21" fontId="0" fillId="0" borderId="16" xfId="0" applyNumberFormat="1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165" fontId="0" fillId="0" borderId="0" xfId="0" applyNumberFormat="1"/>
    <xf numFmtId="22" fontId="0" fillId="0" borderId="16" xfId="0" applyNumberFormat="1" applyBorder="1"/>
    <xf numFmtId="22" fontId="0" fillId="0" borderId="11" xfId="0" applyNumberFormat="1" applyBorder="1"/>
    <xf numFmtId="22" fontId="0" fillId="0" borderId="0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22" fontId="0" fillId="0" borderId="19" xfId="0" applyNumberFormat="1" applyBorder="1"/>
    <xf numFmtId="0" fontId="0" fillId="0" borderId="19" xfId="0" applyBorder="1"/>
    <xf numFmtId="14" fontId="0" fillId="0" borderId="18" xfId="0" applyNumberFormat="1" applyBorder="1"/>
    <xf numFmtId="0" fontId="0" fillId="0" borderId="20" xfId="0" applyBorder="1"/>
    <xf numFmtId="21" fontId="0" fillId="0" borderId="19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 applyBorder="1"/>
    <xf numFmtId="14" fontId="0" fillId="0" borderId="11" xfId="0" applyNumberFormat="1" applyBorder="1"/>
    <xf numFmtId="14" fontId="0" fillId="0" borderId="16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 applyFont="1" applyBorder="1"/>
    <xf numFmtId="0" fontId="0" fillId="0" borderId="11" xfId="0" applyFont="1" applyBorder="1"/>
    <xf numFmtId="22" fontId="0" fillId="0" borderId="11" xfId="0" applyNumberFormat="1" applyFont="1" applyBorder="1"/>
    <xf numFmtId="21" fontId="0" fillId="0" borderId="11" xfId="0" applyNumberFormat="1" applyFont="1" applyBorder="1"/>
    <xf numFmtId="21" fontId="0" fillId="0" borderId="0" xfId="0" applyNumberFormat="1" applyFont="1" applyBorder="1"/>
    <xf numFmtId="21" fontId="0" fillId="0" borderId="16" xfId="0" applyNumberFormat="1" applyFont="1" applyBorder="1"/>
    <xf numFmtId="14" fontId="0" fillId="0" borderId="11" xfId="0" applyNumberFormat="1" applyFont="1" applyBorder="1"/>
    <xf numFmtId="14" fontId="0" fillId="0" borderId="16" xfId="0" applyNumberFormat="1" applyFont="1" applyBorder="1"/>
    <xf numFmtId="0" fontId="0" fillId="0" borderId="0" xfId="0" applyFont="1" applyBorder="1"/>
    <xf numFmtId="22" fontId="0" fillId="0" borderId="0" xfId="0" applyNumberFormat="1" applyFont="1" applyBorder="1"/>
    <xf numFmtId="0" fontId="0" fillId="0" borderId="16" xfId="0" applyFont="1" applyBorder="1"/>
    <xf numFmtId="22" fontId="0" fillId="0" borderId="16" xfId="0" applyNumberFormat="1" applyFon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19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Heart Rate-Sprecker</a:t>
            </a:r>
            <a:r>
              <a:rPr lang="en-US" baseline="0"/>
              <a:t> Bdrm2</a:t>
            </a:r>
            <a:endParaRPr lang="en-US"/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S.Bdrm2_PVitalsag_2'!$Q$90:$Q$167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'934298-0264 S.Bdrm2_PVitalsag_2'!$R$90:$R$167</c:f>
              <c:numCache>
                <c:formatCode>0.0</c:formatCode>
                <c:ptCount val="78"/>
                <c:pt idx="0">
                  <c:v>66.933333333333337</c:v>
                </c:pt>
                <c:pt idx="1">
                  <c:v>66.321428571428569</c:v>
                </c:pt>
                <c:pt idx="2">
                  <c:v>65.466666666666669</c:v>
                </c:pt>
                <c:pt idx="3">
                  <c:v>65.976470588235287</c:v>
                </c:pt>
                <c:pt idx="4">
                  <c:v>72.02000000000001</c:v>
                </c:pt>
                <c:pt idx="5">
                  <c:v>66.545454545454547</c:v>
                </c:pt>
                <c:pt idx="6">
                  <c:v>66.099999999999994</c:v>
                </c:pt>
                <c:pt idx="7">
                  <c:v>66.25</c:v>
                </c:pt>
                <c:pt idx="8">
                  <c:v>64.666666666666671</c:v>
                </c:pt>
                <c:pt idx="9">
                  <c:v>65.893333333333345</c:v>
                </c:pt>
                <c:pt idx="10">
                  <c:v>64.037499999999994</c:v>
                </c:pt>
                <c:pt idx="11">
                  <c:v>56.199999999999996</c:v>
                </c:pt>
                <c:pt idx="12">
                  <c:v>0</c:v>
                </c:pt>
                <c:pt idx="13">
                  <c:v>64.816666666666649</c:v>
                </c:pt>
                <c:pt idx="14">
                  <c:v>68.3</c:v>
                </c:pt>
                <c:pt idx="15">
                  <c:v>69.8</c:v>
                </c:pt>
                <c:pt idx="16">
                  <c:v>68.599999999999994</c:v>
                </c:pt>
                <c:pt idx="17">
                  <c:v>66.8</c:v>
                </c:pt>
                <c:pt idx="18">
                  <c:v>69.3</c:v>
                </c:pt>
                <c:pt idx="19">
                  <c:v>62.900000000000006</c:v>
                </c:pt>
                <c:pt idx="20">
                  <c:v>68.533333333333346</c:v>
                </c:pt>
                <c:pt idx="21">
                  <c:v>71.05</c:v>
                </c:pt>
                <c:pt idx="22">
                  <c:v>74.099999999999994</c:v>
                </c:pt>
                <c:pt idx="23">
                  <c:v>66.875</c:v>
                </c:pt>
                <c:pt idx="24">
                  <c:v>72.050000000000011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59.5</c:v>
                </c:pt>
                <c:pt idx="33">
                  <c:v>65</c:v>
                </c:pt>
                <c:pt idx="35">
                  <c:v>55.5</c:v>
                </c:pt>
                <c:pt idx="37">
                  <c:v>64.718181818181819</c:v>
                </c:pt>
                <c:pt idx="38">
                  <c:v>59.509999999999991</c:v>
                </c:pt>
                <c:pt idx="39">
                  <c:v>63.424999999999997</c:v>
                </c:pt>
                <c:pt idx="40">
                  <c:v>61.975000000000001</c:v>
                </c:pt>
                <c:pt idx="41">
                  <c:v>62.375000000000007</c:v>
                </c:pt>
                <c:pt idx="42">
                  <c:v>62.58</c:v>
                </c:pt>
                <c:pt idx="43">
                  <c:v>63.780000000000008</c:v>
                </c:pt>
                <c:pt idx="44">
                  <c:v>66.785714285714292</c:v>
                </c:pt>
                <c:pt idx="45">
                  <c:v>62.499999999999993</c:v>
                </c:pt>
                <c:pt idx="46">
                  <c:v>61.518181818181823</c:v>
                </c:pt>
                <c:pt idx="47">
                  <c:v>64.745454545454535</c:v>
                </c:pt>
                <c:pt idx="48">
                  <c:v>64.7</c:v>
                </c:pt>
                <c:pt idx="49">
                  <c:v>64.224999999999994</c:v>
                </c:pt>
                <c:pt idx="50">
                  <c:v>70.97999999999999</c:v>
                </c:pt>
                <c:pt idx="51">
                  <c:v>67.056250000000006</c:v>
                </c:pt>
                <c:pt idx="52">
                  <c:v>61.957142857142863</c:v>
                </c:pt>
                <c:pt idx="53">
                  <c:v>63.174999999999997</c:v>
                </c:pt>
                <c:pt idx="54">
                  <c:v>73.366666666666674</c:v>
                </c:pt>
                <c:pt idx="55">
                  <c:v>62.828571428571429</c:v>
                </c:pt>
                <c:pt idx="56">
                  <c:v>62.572727272727271</c:v>
                </c:pt>
                <c:pt idx="57">
                  <c:v>63.149999999999991</c:v>
                </c:pt>
                <c:pt idx="58">
                  <c:v>64.109999999999985</c:v>
                </c:pt>
                <c:pt idx="59">
                  <c:v>65.72727272727272</c:v>
                </c:pt>
                <c:pt idx="60">
                  <c:v>63.0625</c:v>
                </c:pt>
                <c:pt idx="61">
                  <c:v>59.588888888888881</c:v>
                </c:pt>
                <c:pt idx="62">
                  <c:v>62.074999999999996</c:v>
                </c:pt>
                <c:pt idx="64">
                  <c:v>62.988888888888887</c:v>
                </c:pt>
                <c:pt idx="65">
                  <c:v>62.966666666666669</c:v>
                </c:pt>
                <c:pt idx="67">
                  <c:v>67.699999999999989</c:v>
                </c:pt>
                <c:pt idx="68">
                  <c:v>0</c:v>
                </c:pt>
                <c:pt idx="70">
                  <c:v>70.3</c:v>
                </c:pt>
                <c:pt idx="71">
                  <c:v>65.7</c:v>
                </c:pt>
                <c:pt idx="76">
                  <c:v>50.333333333333336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S.Bdrm2_PVitalsag_2'!$Q$90:$Q$167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'934298-0264 S.Bdrm2_PVitalsag_2'!$S$90:$S$167</c:f>
              <c:numCache>
                <c:formatCode>General</c:formatCode>
                <c:ptCount val="78"/>
                <c:pt idx="0">
                  <c:v>80</c:v>
                </c:pt>
                <c:pt idx="1">
                  <c:v>75</c:v>
                </c:pt>
                <c:pt idx="2">
                  <c:v>76.099999999999994</c:v>
                </c:pt>
                <c:pt idx="3">
                  <c:v>77.400000000000006</c:v>
                </c:pt>
                <c:pt idx="4">
                  <c:v>89.8</c:v>
                </c:pt>
                <c:pt idx="5">
                  <c:v>80</c:v>
                </c:pt>
                <c:pt idx="6">
                  <c:v>74.8</c:v>
                </c:pt>
                <c:pt idx="7">
                  <c:v>74.5</c:v>
                </c:pt>
                <c:pt idx="8">
                  <c:v>73.2</c:v>
                </c:pt>
                <c:pt idx="9">
                  <c:v>75.7</c:v>
                </c:pt>
                <c:pt idx="10">
                  <c:v>72.7</c:v>
                </c:pt>
                <c:pt idx="11">
                  <c:v>66.2</c:v>
                </c:pt>
                <c:pt idx="12">
                  <c:v>0</c:v>
                </c:pt>
                <c:pt idx="13">
                  <c:v>75.599999999999994</c:v>
                </c:pt>
                <c:pt idx="14">
                  <c:v>71.7</c:v>
                </c:pt>
                <c:pt idx="15">
                  <c:v>75.3</c:v>
                </c:pt>
                <c:pt idx="16">
                  <c:v>73.099999999999994</c:v>
                </c:pt>
                <c:pt idx="17">
                  <c:v>66.8</c:v>
                </c:pt>
                <c:pt idx="18">
                  <c:v>75.400000000000006</c:v>
                </c:pt>
                <c:pt idx="19">
                  <c:v>74.3</c:v>
                </c:pt>
                <c:pt idx="20">
                  <c:v>71</c:v>
                </c:pt>
                <c:pt idx="21">
                  <c:v>74.099999999999994</c:v>
                </c:pt>
                <c:pt idx="22">
                  <c:v>74.7</c:v>
                </c:pt>
                <c:pt idx="23">
                  <c:v>72</c:v>
                </c:pt>
                <c:pt idx="24">
                  <c:v>75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60.2</c:v>
                </c:pt>
                <c:pt idx="33">
                  <c:v>65.599999999999994</c:v>
                </c:pt>
                <c:pt idx="35">
                  <c:v>55.5</c:v>
                </c:pt>
                <c:pt idx="37">
                  <c:v>74.599999999999994</c:v>
                </c:pt>
                <c:pt idx="38">
                  <c:v>70.8</c:v>
                </c:pt>
                <c:pt idx="39">
                  <c:v>70.7</c:v>
                </c:pt>
                <c:pt idx="40">
                  <c:v>71</c:v>
                </c:pt>
                <c:pt idx="41">
                  <c:v>70.3</c:v>
                </c:pt>
                <c:pt idx="42">
                  <c:v>74.2</c:v>
                </c:pt>
                <c:pt idx="43">
                  <c:v>77.900000000000006</c:v>
                </c:pt>
                <c:pt idx="44">
                  <c:v>75.599999999999994</c:v>
                </c:pt>
                <c:pt idx="45">
                  <c:v>70.8</c:v>
                </c:pt>
                <c:pt idx="46">
                  <c:v>74.5</c:v>
                </c:pt>
                <c:pt idx="47">
                  <c:v>74.2</c:v>
                </c:pt>
                <c:pt idx="48">
                  <c:v>71.599999999999994</c:v>
                </c:pt>
                <c:pt idx="49">
                  <c:v>72.5</c:v>
                </c:pt>
                <c:pt idx="50">
                  <c:v>79.8</c:v>
                </c:pt>
                <c:pt idx="51">
                  <c:v>79.7</c:v>
                </c:pt>
                <c:pt idx="52">
                  <c:v>74.7</c:v>
                </c:pt>
                <c:pt idx="53">
                  <c:v>71.5</c:v>
                </c:pt>
                <c:pt idx="54">
                  <c:v>87.3</c:v>
                </c:pt>
                <c:pt idx="55">
                  <c:v>72</c:v>
                </c:pt>
                <c:pt idx="56">
                  <c:v>73.099999999999994</c:v>
                </c:pt>
                <c:pt idx="57">
                  <c:v>71.599999999999994</c:v>
                </c:pt>
                <c:pt idx="58">
                  <c:v>72.900000000000006</c:v>
                </c:pt>
                <c:pt idx="59">
                  <c:v>75.5</c:v>
                </c:pt>
                <c:pt idx="60">
                  <c:v>72.2</c:v>
                </c:pt>
                <c:pt idx="61">
                  <c:v>65.900000000000006</c:v>
                </c:pt>
                <c:pt idx="62">
                  <c:v>74.7</c:v>
                </c:pt>
                <c:pt idx="64">
                  <c:v>70.7</c:v>
                </c:pt>
                <c:pt idx="65">
                  <c:v>75</c:v>
                </c:pt>
                <c:pt idx="67">
                  <c:v>80.8</c:v>
                </c:pt>
                <c:pt idx="70">
                  <c:v>71.3</c:v>
                </c:pt>
                <c:pt idx="71">
                  <c:v>66.3</c:v>
                </c:pt>
                <c:pt idx="76">
                  <c:v>53.5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S.Bdrm2_PVitalsag_2'!$Q$90:$Q$167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'934298-0264 S.Bdrm2_PVitalsag_2'!$T$90:$T$167</c:f>
              <c:numCache>
                <c:formatCode>General</c:formatCode>
                <c:ptCount val="78"/>
                <c:pt idx="0">
                  <c:v>48.9</c:v>
                </c:pt>
                <c:pt idx="1">
                  <c:v>51.8</c:v>
                </c:pt>
                <c:pt idx="2">
                  <c:v>47</c:v>
                </c:pt>
                <c:pt idx="3">
                  <c:v>45.2</c:v>
                </c:pt>
                <c:pt idx="4">
                  <c:v>48.7</c:v>
                </c:pt>
                <c:pt idx="5">
                  <c:v>53.2</c:v>
                </c:pt>
                <c:pt idx="6">
                  <c:v>50.1</c:v>
                </c:pt>
                <c:pt idx="7">
                  <c:v>57.4</c:v>
                </c:pt>
                <c:pt idx="8">
                  <c:v>59.8</c:v>
                </c:pt>
                <c:pt idx="9">
                  <c:v>49.9</c:v>
                </c:pt>
                <c:pt idx="10">
                  <c:v>50</c:v>
                </c:pt>
                <c:pt idx="11">
                  <c:v>49.1</c:v>
                </c:pt>
                <c:pt idx="12">
                  <c:v>0</c:v>
                </c:pt>
                <c:pt idx="13">
                  <c:v>48.4</c:v>
                </c:pt>
                <c:pt idx="14">
                  <c:v>64.900000000000006</c:v>
                </c:pt>
                <c:pt idx="15">
                  <c:v>58.1</c:v>
                </c:pt>
                <c:pt idx="16">
                  <c:v>64.099999999999994</c:v>
                </c:pt>
                <c:pt idx="17">
                  <c:v>66.8</c:v>
                </c:pt>
                <c:pt idx="18">
                  <c:v>61.7</c:v>
                </c:pt>
                <c:pt idx="19">
                  <c:v>49.2</c:v>
                </c:pt>
                <c:pt idx="20">
                  <c:v>64.099999999999994</c:v>
                </c:pt>
                <c:pt idx="21">
                  <c:v>69.599999999999994</c:v>
                </c:pt>
                <c:pt idx="22">
                  <c:v>73.400000000000006</c:v>
                </c:pt>
                <c:pt idx="23">
                  <c:v>62.9</c:v>
                </c:pt>
                <c:pt idx="24">
                  <c:v>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58.9</c:v>
                </c:pt>
                <c:pt idx="33">
                  <c:v>64.400000000000006</c:v>
                </c:pt>
                <c:pt idx="35">
                  <c:v>55.5</c:v>
                </c:pt>
                <c:pt idx="37">
                  <c:v>47.7</c:v>
                </c:pt>
                <c:pt idx="38">
                  <c:v>48</c:v>
                </c:pt>
                <c:pt idx="39">
                  <c:v>53.4</c:v>
                </c:pt>
                <c:pt idx="40">
                  <c:v>48.9</c:v>
                </c:pt>
                <c:pt idx="41">
                  <c:v>47.6</c:v>
                </c:pt>
                <c:pt idx="42">
                  <c:v>53.3</c:v>
                </c:pt>
                <c:pt idx="43">
                  <c:v>49.8</c:v>
                </c:pt>
                <c:pt idx="44">
                  <c:v>57.5</c:v>
                </c:pt>
                <c:pt idx="45">
                  <c:v>53.8</c:v>
                </c:pt>
                <c:pt idx="46">
                  <c:v>53.6</c:v>
                </c:pt>
                <c:pt idx="47">
                  <c:v>49.5</c:v>
                </c:pt>
                <c:pt idx="48">
                  <c:v>54</c:v>
                </c:pt>
                <c:pt idx="49">
                  <c:v>52.9</c:v>
                </c:pt>
                <c:pt idx="50">
                  <c:v>62.3</c:v>
                </c:pt>
                <c:pt idx="51">
                  <c:v>50.2</c:v>
                </c:pt>
                <c:pt idx="52">
                  <c:v>50.3</c:v>
                </c:pt>
                <c:pt idx="53">
                  <c:v>49.8</c:v>
                </c:pt>
                <c:pt idx="54">
                  <c:v>51.6</c:v>
                </c:pt>
                <c:pt idx="55">
                  <c:v>47</c:v>
                </c:pt>
                <c:pt idx="56">
                  <c:v>47.1</c:v>
                </c:pt>
                <c:pt idx="57">
                  <c:v>52.6</c:v>
                </c:pt>
                <c:pt idx="58">
                  <c:v>49.1</c:v>
                </c:pt>
                <c:pt idx="59">
                  <c:v>56</c:v>
                </c:pt>
                <c:pt idx="60">
                  <c:v>50.2</c:v>
                </c:pt>
                <c:pt idx="61">
                  <c:v>51.1</c:v>
                </c:pt>
                <c:pt idx="62">
                  <c:v>52.8</c:v>
                </c:pt>
                <c:pt idx="64">
                  <c:v>56.1</c:v>
                </c:pt>
                <c:pt idx="65">
                  <c:v>55.4</c:v>
                </c:pt>
                <c:pt idx="67">
                  <c:v>51.2</c:v>
                </c:pt>
                <c:pt idx="70">
                  <c:v>69.599999999999994</c:v>
                </c:pt>
                <c:pt idx="71">
                  <c:v>65.099999999999994</c:v>
                </c:pt>
                <c:pt idx="76">
                  <c:v>47.5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S.Bdrm2_PVitalsag_2'!$Q$90:$Q$167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'934298-0264 S.Bdrm2_PVitalsag_2'!$U$90:$U$167</c:f>
              <c:numCache>
                <c:formatCode>0.0</c:formatCode>
                <c:ptCount val="78"/>
                <c:pt idx="0">
                  <c:v>67.933333333333337</c:v>
                </c:pt>
                <c:pt idx="1">
                  <c:v>67.321428571428569</c:v>
                </c:pt>
                <c:pt idx="2">
                  <c:v>66.466666666666669</c:v>
                </c:pt>
                <c:pt idx="3">
                  <c:v>66.976470588235287</c:v>
                </c:pt>
                <c:pt idx="4">
                  <c:v>73.02000000000001</c:v>
                </c:pt>
                <c:pt idx="5">
                  <c:v>67.545454545454547</c:v>
                </c:pt>
                <c:pt idx="6">
                  <c:v>67.099999999999994</c:v>
                </c:pt>
                <c:pt idx="7">
                  <c:v>67.25</c:v>
                </c:pt>
                <c:pt idx="8">
                  <c:v>65.666666666666671</c:v>
                </c:pt>
                <c:pt idx="9">
                  <c:v>66.893333333333345</c:v>
                </c:pt>
                <c:pt idx="10">
                  <c:v>65.037499999999994</c:v>
                </c:pt>
                <c:pt idx="11">
                  <c:v>57.199999999999996</c:v>
                </c:pt>
                <c:pt idx="13">
                  <c:v>65.816666666666649</c:v>
                </c:pt>
                <c:pt idx="14">
                  <c:v>69.3</c:v>
                </c:pt>
                <c:pt idx="15">
                  <c:v>70.8</c:v>
                </c:pt>
                <c:pt idx="16">
                  <c:v>69.599999999999994</c:v>
                </c:pt>
                <c:pt idx="17">
                  <c:v>67.8</c:v>
                </c:pt>
                <c:pt idx="18">
                  <c:v>70.3</c:v>
                </c:pt>
                <c:pt idx="19">
                  <c:v>63.900000000000006</c:v>
                </c:pt>
                <c:pt idx="20">
                  <c:v>69.533333333333346</c:v>
                </c:pt>
                <c:pt idx="21">
                  <c:v>72.05</c:v>
                </c:pt>
                <c:pt idx="22">
                  <c:v>75.099999999999994</c:v>
                </c:pt>
                <c:pt idx="23">
                  <c:v>67.875</c:v>
                </c:pt>
                <c:pt idx="24">
                  <c:v>73.050000000000011</c:v>
                </c:pt>
                <c:pt idx="28">
                  <c:v>60.5</c:v>
                </c:pt>
                <c:pt idx="33">
                  <c:v>66</c:v>
                </c:pt>
                <c:pt idx="35">
                  <c:v>56.5</c:v>
                </c:pt>
                <c:pt idx="37">
                  <c:v>65.718181818181819</c:v>
                </c:pt>
                <c:pt idx="38">
                  <c:v>60.509999999999991</c:v>
                </c:pt>
                <c:pt idx="39">
                  <c:v>64.424999999999997</c:v>
                </c:pt>
                <c:pt idx="40">
                  <c:v>62.975000000000001</c:v>
                </c:pt>
                <c:pt idx="41">
                  <c:v>63.375000000000007</c:v>
                </c:pt>
                <c:pt idx="42">
                  <c:v>63.58</c:v>
                </c:pt>
                <c:pt idx="43">
                  <c:v>64.78</c:v>
                </c:pt>
                <c:pt idx="44">
                  <c:v>67.785714285714292</c:v>
                </c:pt>
                <c:pt idx="45">
                  <c:v>63.499999999999993</c:v>
                </c:pt>
                <c:pt idx="46">
                  <c:v>62.518181818181823</c:v>
                </c:pt>
                <c:pt idx="47">
                  <c:v>65.745454545454535</c:v>
                </c:pt>
                <c:pt idx="48">
                  <c:v>65.7</c:v>
                </c:pt>
                <c:pt idx="49">
                  <c:v>65.224999999999994</c:v>
                </c:pt>
                <c:pt idx="50">
                  <c:v>71.97999999999999</c:v>
                </c:pt>
                <c:pt idx="51">
                  <c:v>68.056250000000006</c:v>
                </c:pt>
                <c:pt idx="52">
                  <c:v>62.957142857142863</c:v>
                </c:pt>
                <c:pt idx="53">
                  <c:v>64.174999999999997</c:v>
                </c:pt>
                <c:pt idx="54">
                  <c:v>74.366666666666674</c:v>
                </c:pt>
                <c:pt idx="55">
                  <c:v>63.828571428571429</c:v>
                </c:pt>
                <c:pt idx="56">
                  <c:v>63.572727272727271</c:v>
                </c:pt>
                <c:pt idx="57">
                  <c:v>64.149999999999991</c:v>
                </c:pt>
                <c:pt idx="58">
                  <c:v>65.109999999999985</c:v>
                </c:pt>
                <c:pt idx="59">
                  <c:v>66.72727272727272</c:v>
                </c:pt>
                <c:pt idx="60">
                  <c:v>64.0625</c:v>
                </c:pt>
                <c:pt idx="61">
                  <c:v>60.588888888888881</c:v>
                </c:pt>
                <c:pt idx="62">
                  <c:v>63.074999999999996</c:v>
                </c:pt>
                <c:pt idx="64">
                  <c:v>63.988888888888887</c:v>
                </c:pt>
                <c:pt idx="65">
                  <c:v>63.966666666666669</c:v>
                </c:pt>
                <c:pt idx="67">
                  <c:v>68.699999999999989</c:v>
                </c:pt>
                <c:pt idx="70">
                  <c:v>71.3</c:v>
                </c:pt>
                <c:pt idx="71">
                  <c:v>66.7</c:v>
                </c:pt>
                <c:pt idx="76">
                  <c:v>51.333333333333336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75843200"/>
        <c:axId val="175844736"/>
      </c:stockChart>
      <c:dateAx>
        <c:axId val="175843200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crossAx val="175844736"/>
        <c:crosses val="autoZero"/>
        <c:auto val="1"/>
        <c:lblOffset val="100"/>
        <c:baseTimeUnit val="days"/>
        <c:majorUnit val="1"/>
        <c:majorTimeUnit val="days"/>
      </c:dateAx>
      <c:valAx>
        <c:axId val="17584473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5843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Respiratory Rate-Sprecker Bdrm2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S.Bdrm2_PVitalsag_2'!$X$92:$X$167</c:f>
              <c:numCache>
                <c:formatCode>m/d/yy;@</c:formatCode>
                <c:ptCount val="76"/>
                <c:pt idx="0">
                  <c:v>45399</c:v>
                </c:pt>
                <c:pt idx="1">
                  <c:v>45400</c:v>
                </c:pt>
                <c:pt idx="2">
                  <c:v>45401</c:v>
                </c:pt>
                <c:pt idx="3">
                  <c:v>45402</c:v>
                </c:pt>
                <c:pt idx="4">
                  <c:v>45403</c:v>
                </c:pt>
                <c:pt idx="5">
                  <c:v>45404</c:v>
                </c:pt>
                <c:pt idx="6">
                  <c:v>45405</c:v>
                </c:pt>
                <c:pt idx="7">
                  <c:v>45406</c:v>
                </c:pt>
                <c:pt idx="8">
                  <c:v>45407</c:v>
                </c:pt>
                <c:pt idx="9">
                  <c:v>45408</c:v>
                </c:pt>
                <c:pt idx="10">
                  <c:v>45409</c:v>
                </c:pt>
                <c:pt idx="11">
                  <c:v>45410</c:v>
                </c:pt>
                <c:pt idx="12">
                  <c:v>45411</c:v>
                </c:pt>
                <c:pt idx="13">
                  <c:v>45412</c:v>
                </c:pt>
                <c:pt idx="14">
                  <c:v>45413</c:v>
                </c:pt>
                <c:pt idx="15">
                  <c:v>45414</c:v>
                </c:pt>
                <c:pt idx="16">
                  <c:v>45415</c:v>
                </c:pt>
                <c:pt idx="17">
                  <c:v>45416</c:v>
                </c:pt>
                <c:pt idx="18">
                  <c:v>45417</c:v>
                </c:pt>
                <c:pt idx="19">
                  <c:v>45418</c:v>
                </c:pt>
                <c:pt idx="20">
                  <c:v>45419</c:v>
                </c:pt>
                <c:pt idx="21">
                  <c:v>45420</c:v>
                </c:pt>
                <c:pt idx="22">
                  <c:v>45421</c:v>
                </c:pt>
                <c:pt idx="23">
                  <c:v>45422</c:v>
                </c:pt>
                <c:pt idx="24">
                  <c:v>45423</c:v>
                </c:pt>
                <c:pt idx="25">
                  <c:v>45424</c:v>
                </c:pt>
                <c:pt idx="26">
                  <c:v>45425</c:v>
                </c:pt>
                <c:pt idx="27">
                  <c:v>45426</c:v>
                </c:pt>
                <c:pt idx="28">
                  <c:v>45427</c:v>
                </c:pt>
                <c:pt idx="29">
                  <c:v>45428</c:v>
                </c:pt>
                <c:pt idx="30">
                  <c:v>45429</c:v>
                </c:pt>
                <c:pt idx="31">
                  <c:v>45430</c:v>
                </c:pt>
                <c:pt idx="32">
                  <c:v>45431</c:v>
                </c:pt>
                <c:pt idx="33">
                  <c:v>45432</c:v>
                </c:pt>
                <c:pt idx="34">
                  <c:v>45433</c:v>
                </c:pt>
                <c:pt idx="35">
                  <c:v>45434</c:v>
                </c:pt>
                <c:pt idx="36">
                  <c:v>45435</c:v>
                </c:pt>
                <c:pt idx="37">
                  <c:v>45436</c:v>
                </c:pt>
                <c:pt idx="38">
                  <c:v>45437</c:v>
                </c:pt>
                <c:pt idx="39">
                  <c:v>45438</c:v>
                </c:pt>
                <c:pt idx="40">
                  <c:v>45439</c:v>
                </c:pt>
                <c:pt idx="41">
                  <c:v>45440</c:v>
                </c:pt>
                <c:pt idx="42">
                  <c:v>45441</c:v>
                </c:pt>
                <c:pt idx="43">
                  <c:v>45442</c:v>
                </c:pt>
                <c:pt idx="44">
                  <c:v>45443</c:v>
                </c:pt>
                <c:pt idx="45">
                  <c:v>45444</c:v>
                </c:pt>
                <c:pt idx="46">
                  <c:v>45445</c:v>
                </c:pt>
                <c:pt idx="47">
                  <c:v>45446</c:v>
                </c:pt>
                <c:pt idx="48">
                  <c:v>45447</c:v>
                </c:pt>
                <c:pt idx="49">
                  <c:v>45448</c:v>
                </c:pt>
                <c:pt idx="50">
                  <c:v>45449</c:v>
                </c:pt>
                <c:pt idx="51">
                  <c:v>45450</c:v>
                </c:pt>
                <c:pt idx="52">
                  <c:v>45451</c:v>
                </c:pt>
                <c:pt idx="53">
                  <c:v>45452</c:v>
                </c:pt>
                <c:pt idx="54">
                  <c:v>45453</c:v>
                </c:pt>
                <c:pt idx="55">
                  <c:v>45454</c:v>
                </c:pt>
                <c:pt idx="56">
                  <c:v>45455</c:v>
                </c:pt>
                <c:pt idx="57">
                  <c:v>45456</c:v>
                </c:pt>
                <c:pt idx="58">
                  <c:v>45457</c:v>
                </c:pt>
                <c:pt idx="59">
                  <c:v>45458</c:v>
                </c:pt>
                <c:pt idx="60">
                  <c:v>45459</c:v>
                </c:pt>
                <c:pt idx="61">
                  <c:v>45460</c:v>
                </c:pt>
                <c:pt idx="62">
                  <c:v>45461</c:v>
                </c:pt>
                <c:pt idx="63">
                  <c:v>45462</c:v>
                </c:pt>
                <c:pt idx="64">
                  <c:v>45463</c:v>
                </c:pt>
                <c:pt idx="65">
                  <c:v>45464</c:v>
                </c:pt>
                <c:pt idx="66">
                  <c:v>45465</c:v>
                </c:pt>
                <c:pt idx="67">
                  <c:v>45466</c:v>
                </c:pt>
                <c:pt idx="68">
                  <c:v>45467</c:v>
                </c:pt>
                <c:pt idx="69">
                  <c:v>45468</c:v>
                </c:pt>
                <c:pt idx="70">
                  <c:v>45469</c:v>
                </c:pt>
                <c:pt idx="71">
                  <c:v>45470</c:v>
                </c:pt>
                <c:pt idx="72">
                  <c:v>45471</c:v>
                </c:pt>
                <c:pt idx="73">
                  <c:v>45472</c:v>
                </c:pt>
                <c:pt idx="74">
                  <c:v>45473</c:v>
                </c:pt>
                <c:pt idx="75">
                  <c:v>45474</c:v>
                </c:pt>
              </c:numCache>
            </c:numRef>
          </c:cat>
          <c:val>
            <c:numRef>
              <c:f>'934298-0264 S.Bdrm2_PVitalsag_2'!$Y$92:$Y$167</c:f>
              <c:numCache>
                <c:formatCode>0.0</c:formatCode>
                <c:ptCount val="76"/>
                <c:pt idx="0">
                  <c:v>18.344444444444445</c:v>
                </c:pt>
                <c:pt idx="1">
                  <c:v>18.694117647058821</c:v>
                </c:pt>
                <c:pt idx="2">
                  <c:v>20.053333333333338</c:v>
                </c:pt>
                <c:pt idx="3">
                  <c:v>17.799999999999997</c:v>
                </c:pt>
                <c:pt idx="4">
                  <c:v>18</c:v>
                </c:pt>
                <c:pt idx="5">
                  <c:v>16.600000000000001</c:v>
                </c:pt>
                <c:pt idx="6">
                  <c:v>14.1</c:v>
                </c:pt>
                <c:pt idx="7">
                  <c:v>16.473333333333333</c:v>
                </c:pt>
                <c:pt idx="8">
                  <c:v>17.862500000000001</c:v>
                </c:pt>
                <c:pt idx="9">
                  <c:v>19.8</c:v>
                </c:pt>
                <c:pt idx="10">
                  <c:v>0</c:v>
                </c:pt>
                <c:pt idx="11">
                  <c:v>17.783333333333335</c:v>
                </c:pt>
                <c:pt idx="12">
                  <c:v>8.5</c:v>
                </c:pt>
                <c:pt idx="13">
                  <c:v>14.95</c:v>
                </c:pt>
                <c:pt idx="14">
                  <c:v>12.35</c:v>
                </c:pt>
                <c:pt idx="15">
                  <c:v>9.9</c:v>
                </c:pt>
                <c:pt idx="16">
                  <c:v>10.5</c:v>
                </c:pt>
                <c:pt idx="17">
                  <c:v>18.118181818181817</c:v>
                </c:pt>
                <c:pt idx="18">
                  <c:v>9.5</c:v>
                </c:pt>
                <c:pt idx="19">
                  <c:v>11.175000000000001</c:v>
                </c:pt>
                <c:pt idx="20">
                  <c:v>7.9</c:v>
                </c:pt>
                <c:pt idx="21">
                  <c:v>15.45</c:v>
                </c:pt>
                <c:pt idx="22">
                  <c:v>20.45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8.8000000000000007</c:v>
                </c:pt>
                <c:pt idx="31">
                  <c:v>8.3000000000000007</c:v>
                </c:pt>
                <c:pt idx="33">
                  <c:v>8.9</c:v>
                </c:pt>
                <c:pt idx="35">
                  <c:v>19.281818181818185</c:v>
                </c:pt>
                <c:pt idx="36">
                  <c:v>18.27</c:v>
                </c:pt>
                <c:pt idx="37">
                  <c:v>20.075000000000003</c:v>
                </c:pt>
                <c:pt idx="38">
                  <c:v>17.850000000000001</c:v>
                </c:pt>
                <c:pt idx="39">
                  <c:v>19.425000000000001</c:v>
                </c:pt>
                <c:pt idx="40">
                  <c:v>18.7</c:v>
                </c:pt>
                <c:pt idx="41">
                  <c:v>18.149999999999999</c:v>
                </c:pt>
                <c:pt idx="42">
                  <c:v>19.957142857142856</c:v>
                </c:pt>
                <c:pt idx="43">
                  <c:v>18.072727272727274</c:v>
                </c:pt>
                <c:pt idx="44">
                  <c:v>18.127272727272729</c:v>
                </c:pt>
                <c:pt idx="45">
                  <c:v>18.363636363636363</c:v>
                </c:pt>
                <c:pt idx="46">
                  <c:v>19.033333333333335</c:v>
                </c:pt>
                <c:pt idx="47">
                  <c:v>17.725000000000001</c:v>
                </c:pt>
                <c:pt idx="48">
                  <c:v>15.86</c:v>
                </c:pt>
                <c:pt idx="49">
                  <c:v>16.59375</c:v>
                </c:pt>
                <c:pt idx="50">
                  <c:v>17.578571428571426</c:v>
                </c:pt>
                <c:pt idx="51">
                  <c:v>18.574999999999999</c:v>
                </c:pt>
                <c:pt idx="52">
                  <c:v>20.099999999999998</c:v>
                </c:pt>
                <c:pt idx="53">
                  <c:v>19.271428571428569</c:v>
                </c:pt>
                <c:pt idx="54">
                  <c:v>18.436363636363634</c:v>
                </c:pt>
                <c:pt idx="55">
                  <c:v>18.529999999999998</c:v>
                </c:pt>
                <c:pt idx="56">
                  <c:v>18.389999999999997</c:v>
                </c:pt>
                <c:pt idx="57">
                  <c:v>16.899999999999999</c:v>
                </c:pt>
                <c:pt idx="58">
                  <c:v>16.925000000000001</c:v>
                </c:pt>
                <c:pt idx="59">
                  <c:v>17.222222222222218</c:v>
                </c:pt>
                <c:pt idx="60">
                  <c:v>19.299999999999997</c:v>
                </c:pt>
                <c:pt idx="62">
                  <c:v>17.744444444444444</c:v>
                </c:pt>
                <c:pt idx="63">
                  <c:v>18.916666666666668</c:v>
                </c:pt>
                <c:pt idx="65">
                  <c:v>19.323076923076922</c:v>
                </c:pt>
                <c:pt idx="68">
                  <c:v>12</c:v>
                </c:pt>
                <c:pt idx="69">
                  <c:v>26.4</c:v>
                </c:pt>
                <c:pt idx="74">
                  <c:v>14.866666666666667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S.Bdrm2_PVitalsag_2'!$X$92:$X$167</c:f>
              <c:numCache>
                <c:formatCode>m/d/yy;@</c:formatCode>
                <c:ptCount val="76"/>
                <c:pt idx="0">
                  <c:v>45399</c:v>
                </c:pt>
                <c:pt idx="1">
                  <c:v>45400</c:v>
                </c:pt>
                <c:pt idx="2">
                  <c:v>45401</c:v>
                </c:pt>
                <c:pt idx="3">
                  <c:v>45402</c:v>
                </c:pt>
                <c:pt idx="4">
                  <c:v>45403</c:v>
                </c:pt>
                <c:pt idx="5">
                  <c:v>45404</c:v>
                </c:pt>
                <c:pt idx="6">
                  <c:v>45405</c:v>
                </c:pt>
                <c:pt idx="7">
                  <c:v>45406</c:v>
                </c:pt>
                <c:pt idx="8">
                  <c:v>45407</c:v>
                </c:pt>
                <c:pt idx="9">
                  <c:v>45408</c:v>
                </c:pt>
                <c:pt idx="10">
                  <c:v>45409</c:v>
                </c:pt>
                <c:pt idx="11">
                  <c:v>45410</c:v>
                </c:pt>
                <c:pt idx="12">
                  <c:v>45411</c:v>
                </c:pt>
                <c:pt idx="13">
                  <c:v>45412</c:v>
                </c:pt>
                <c:pt idx="14">
                  <c:v>45413</c:v>
                </c:pt>
                <c:pt idx="15">
                  <c:v>45414</c:v>
                </c:pt>
                <c:pt idx="16">
                  <c:v>45415</c:v>
                </c:pt>
                <c:pt idx="17">
                  <c:v>45416</c:v>
                </c:pt>
                <c:pt idx="18">
                  <c:v>45417</c:v>
                </c:pt>
                <c:pt idx="19">
                  <c:v>45418</c:v>
                </c:pt>
                <c:pt idx="20">
                  <c:v>45419</c:v>
                </c:pt>
                <c:pt idx="21">
                  <c:v>45420</c:v>
                </c:pt>
                <c:pt idx="22">
                  <c:v>45421</c:v>
                </c:pt>
                <c:pt idx="23">
                  <c:v>45422</c:v>
                </c:pt>
                <c:pt idx="24">
                  <c:v>45423</c:v>
                </c:pt>
                <c:pt idx="25">
                  <c:v>45424</c:v>
                </c:pt>
                <c:pt idx="26">
                  <c:v>45425</c:v>
                </c:pt>
                <c:pt idx="27">
                  <c:v>45426</c:v>
                </c:pt>
                <c:pt idx="28">
                  <c:v>45427</c:v>
                </c:pt>
                <c:pt idx="29">
                  <c:v>45428</c:v>
                </c:pt>
                <c:pt idx="30">
                  <c:v>45429</c:v>
                </c:pt>
                <c:pt idx="31">
                  <c:v>45430</c:v>
                </c:pt>
                <c:pt idx="32">
                  <c:v>45431</c:v>
                </c:pt>
                <c:pt idx="33">
                  <c:v>45432</c:v>
                </c:pt>
                <c:pt idx="34">
                  <c:v>45433</c:v>
                </c:pt>
                <c:pt idx="35">
                  <c:v>45434</c:v>
                </c:pt>
                <c:pt idx="36">
                  <c:v>45435</c:v>
                </c:pt>
                <c:pt idx="37">
                  <c:v>45436</c:v>
                </c:pt>
                <c:pt idx="38">
                  <c:v>45437</c:v>
                </c:pt>
                <c:pt idx="39">
                  <c:v>45438</c:v>
                </c:pt>
                <c:pt idx="40">
                  <c:v>45439</c:v>
                </c:pt>
                <c:pt idx="41">
                  <c:v>45440</c:v>
                </c:pt>
                <c:pt idx="42">
                  <c:v>45441</c:v>
                </c:pt>
                <c:pt idx="43">
                  <c:v>45442</c:v>
                </c:pt>
                <c:pt idx="44">
                  <c:v>45443</c:v>
                </c:pt>
                <c:pt idx="45">
                  <c:v>45444</c:v>
                </c:pt>
                <c:pt idx="46">
                  <c:v>45445</c:v>
                </c:pt>
                <c:pt idx="47">
                  <c:v>45446</c:v>
                </c:pt>
                <c:pt idx="48">
                  <c:v>45447</c:v>
                </c:pt>
                <c:pt idx="49">
                  <c:v>45448</c:v>
                </c:pt>
                <c:pt idx="50">
                  <c:v>45449</c:v>
                </c:pt>
                <c:pt idx="51">
                  <c:v>45450</c:v>
                </c:pt>
                <c:pt idx="52">
                  <c:v>45451</c:v>
                </c:pt>
                <c:pt idx="53">
                  <c:v>45452</c:v>
                </c:pt>
                <c:pt idx="54">
                  <c:v>45453</c:v>
                </c:pt>
                <c:pt idx="55">
                  <c:v>45454</c:v>
                </c:pt>
                <c:pt idx="56">
                  <c:v>45455</c:v>
                </c:pt>
                <c:pt idx="57">
                  <c:v>45456</c:v>
                </c:pt>
                <c:pt idx="58">
                  <c:v>45457</c:v>
                </c:pt>
                <c:pt idx="59">
                  <c:v>45458</c:v>
                </c:pt>
                <c:pt idx="60">
                  <c:v>45459</c:v>
                </c:pt>
                <c:pt idx="61">
                  <c:v>45460</c:v>
                </c:pt>
                <c:pt idx="62">
                  <c:v>45461</c:v>
                </c:pt>
                <c:pt idx="63">
                  <c:v>45462</c:v>
                </c:pt>
                <c:pt idx="64">
                  <c:v>45463</c:v>
                </c:pt>
                <c:pt idx="65">
                  <c:v>45464</c:v>
                </c:pt>
                <c:pt idx="66">
                  <c:v>45465</c:v>
                </c:pt>
                <c:pt idx="67">
                  <c:v>45466</c:v>
                </c:pt>
                <c:pt idx="68">
                  <c:v>45467</c:v>
                </c:pt>
                <c:pt idx="69">
                  <c:v>45468</c:v>
                </c:pt>
                <c:pt idx="70">
                  <c:v>45469</c:v>
                </c:pt>
                <c:pt idx="71">
                  <c:v>45470</c:v>
                </c:pt>
                <c:pt idx="72">
                  <c:v>45471</c:v>
                </c:pt>
                <c:pt idx="73">
                  <c:v>45472</c:v>
                </c:pt>
                <c:pt idx="74">
                  <c:v>45473</c:v>
                </c:pt>
                <c:pt idx="75">
                  <c:v>45474</c:v>
                </c:pt>
              </c:numCache>
            </c:numRef>
          </c:cat>
          <c:val>
            <c:numRef>
              <c:f>'934298-0264 S.Bdrm2_PVitalsag_2'!$Z$92:$Z$167</c:f>
              <c:numCache>
                <c:formatCode>General</c:formatCode>
                <c:ptCount val="76"/>
                <c:pt idx="0">
                  <c:v>31.4</c:v>
                </c:pt>
                <c:pt idx="1">
                  <c:v>31</c:v>
                </c:pt>
                <c:pt idx="2">
                  <c:v>27.9</c:v>
                </c:pt>
                <c:pt idx="3">
                  <c:v>24.6</c:v>
                </c:pt>
                <c:pt idx="4">
                  <c:v>27</c:v>
                </c:pt>
                <c:pt idx="5">
                  <c:v>26.6</c:v>
                </c:pt>
                <c:pt idx="6">
                  <c:v>16.899999999999999</c:v>
                </c:pt>
                <c:pt idx="7">
                  <c:v>36.1</c:v>
                </c:pt>
                <c:pt idx="8">
                  <c:v>28.9</c:v>
                </c:pt>
                <c:pt idx="9">
                  <c:v>22.5</c:v>
                </c:pt>
                <c:pt idx="10">
                  <c:v>0</c:v>
                </c:pt>
                <c:pt idx="11">
                  <c:v>26.5</c:v>
                </c:pt>
                <c:pt idx="12">
                  <c:v>9.1999999999999993</c:v>
                </c:pt>
                <c:pt idx="13">
                  <c:v>23.4</c:v>
                </c:pt>
                <c:pt idx="14">
                  <c:v>13.2</c:v>
                </c:pt>
                <c:pt idx="15">
                  <c:v>9.9</c:v>
                </c:pt>
                <c:pt idx="16">
                  <c:v>12.1</c:v>
                </c:pt>
                <c:pt idx="17">
                  <c:v>32.700000000000003</c:v>
                </c:pt>
                <c:pt idx="18">
                  <c:v>12</c:v>
                </c:pt>
                <c:pt idx="19">
                  <c:v>19.899999999999999</c:v>
                </c:pt>
                <c:pt idx="20">
                  <c:v>8.1999999999999993</c:v>
                </c:pt>
                <c:pt idx="21">
                  <c:v>20.2</c:v>
                </c:pt>
                <c:pt idx="22">
                  <c:v>28.2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8.8000000000000007</c:v>
                </c:pt>
                <c:pt idx="31">
                  <c:v>8.6</c:v>
                </c:pt>
                <c:pt idx="33">
                  <c:v>9</c:v>
                </c:pt>
                <c:pt idx="35">
                  <c:v>36.700000000000003</c:v>
                </c:pt>
                <c:pt idx="36">
                  <c:v>36.200000000000003</c:v>
                </c:pt>
                <c:pt idx="37">
                  <c:v>27.9</c:v>
                </c:pt>
                <c:pt idx="38">
                  <c:v>31.9</c:v>
                </c:pt>
                <c:pt idx="39">
                  <c:v>33.1</c:v>
                </c:pt>
                <c:pt idx="40">
                  <c:v>31.3</c:v>
                </c:pt>
                <c:pt idx="41">
                  <c:v>30</c:v>
                </c:pt>
                <c:pt idx="42">
                  <c:v>24</c:v>
                </c:pt>
                <c:pt idx="43">
                  <c:v>24.7</c:v>
                </c:pt>
                <c:pt idx="44">
                  <c:v>31.4</c:v>
                </c:pt>
                <c:pt idx="45">
                  <c:v>27.4</c:v>
                </c:pt>
                <c:pt idx="46">
                  <c:v>27.7</c:v>
                </c:pt>
                <c:pt idx="47">
                  <c:v>24.4</c:v>
                </c:pt>
                <c:pt idx="48">
                  <c:v>22.8</c:v>
                </c:pt>
                <c:pt idx="49">
                  <c:v>25.2</c:v>
                </c:pt>
                <c:pt idx="50">
                  <c:v>33.700000000000003</c:v>
                </c:pt>
                <c:pt idx="51">
                  <c:v>28.9</c:v>
                </c:pt>
                <c:pt idx="52">
                  <c:v>27.8</c:v>
                </c:pt>
                <c:pt idx="53">
                  <c:v>25.1</c:v>
                </c:pt>
                <c:pt idx="54">
                  <c:v>24.2</c:v>
                </c:pt>
                <c:pt idx="55">
                  <c:v>26.8</c:v>
                </c:pt>
                <c:pt idx="56">
                  <c:v>35.4</c:v>
                </c:pt>
                <c:pt idx="57">
                  <c:v>34.200000000000003</c:v>
                </c:pt>
                <c:pt idx="58">
                  <c:v>30.8</c:v>
                </c:pt>
                <c:pt idx="59">
                  <c:v>33.4</c:v>
                </c:pt>
                <c:pt idx="60">
                  <c:v>39.1</c:v>
                </c:pt>
                <c:pt idx="62">
                  <c:v>30.5</c:v>
                </c:pt>
                <c:pt idx="63">
                  <c:v>23.9</c:v>
                </c:pt>
                <c:pt idx="65">
                  <c:v>28.3</c:v>
                </c:pt>
                <c:pt idx="68">
                  <c:v>13.9</c:v>
                </c:pt>
                <c:pt idx="69">
                  <c:v>26.6</c:v>
                </c:pt>
                <c:pt idx="74">
                  <c:v>18.2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S.Bdrm2_PVitalsag_2'!$X$92:$X$167</c:f>
              <c:numCache>
                <c:formatCode>m/d/yy;@</c:formatCode>
                <c:ptCount val="76"/>
                <c:pt idx="0">
                  <c:v>45399</c:v>
                </c:pt>
                <c:pt idx="1">
                  <c:v>45400</c:v>
                </c:pt>
                <c:pt idx="2">
                  <c:v>45401</c:v>
                </c:pt>
                <c:pt idx="3">
                  <c:v>45402</c:v>
                </c:pt>
                <c:pt idx="4">
                  <c:v>45403</c:v>
                </c:pt>
                <c:pt idx="5">
                  <c:v>45404</c:v>
                </c:pt>
                <c:pt idx="6">
                  <c:v>45405</c:v>
                </c:pt>
                <c:pt idx="7">
                  <c:v>45406</c:v>
                </c:pt>
                <c:pt idx="8">
                  <c:v>45407</c:v>
                </c:pt>
                <c:pt idx="9">
                  <c:v>45408</c:v>
                </c:pt>
                <c:pt idx="10">
                  <c:v>45409</c:v>
                </c:pt>
                <c:pt idx="11">
                  <c:v>45410</c:v>
                </c:pt>
                <c:pt idx="12">
                  <c:v>45411</c:v>
                </c:pt>
                <c:pt idx="13">
                  <c:v>45412</c:v>
                </c:pt>
                <c:pt idx="14">
                  <c:v>45413</c:v>
                </c:pt>
                <c:pt idx="15">
                  <c:v>45414</c:v>
                </c:pt>
                <c:pt idx="16">
                  <c:v>45415</c:v>
                </c:pt>
                <c:pt idx="17">
                  <c:v>45416</c:v>
                </c:pt>
                <c:pt idx="18">
                  <c:v>45417</c:v>
                </c:pt>
                <c:pt idx="19">
                  <c:v>45418</c:v>
                </c:pt>
                <c:pt idx="20">
                  <c:v>45419</c:v>
                </c:pt>
                <c:pt idx="21">
                  <c:v>45420</c:v>
                </c:pt>
                <c:pt idx="22">
                  <c:v>45421</c:v>
                </c:pt>
                <c:pt idx="23">
                  <c:v>45422</c:v>
                </c:pt>
                <c:pt idx="24">
                  <c:v>45423</c:v>
                </c:pt>
                <c:pt idx="25">
                  <c:v>45424</c:v>
                </c:pt>
                <c:pt idx="26">
                  <c:v>45425</c:v>
                </c:pt>
                <c:pt idx="27">
                  <c:v>45426</c:v>
                </c:pt>
                <c:pt idx="28">
                  <c:v>45427</c:v>
                </c:pt>
                <c:pt idx="29">
                  <c:v>45428</c:v>
                </c:pt>
                <c:pt idx="30">
                  <c:v>45429</c:v>
                </c:pt>
                <c:pt idx="31">
                  <c:v>45430</c:v>
                </c:pt>
                <c:pt idx="32">
                  <c:v>45431</c:v>
                </c:pt>
                <c:pt idx="33">
                  <c:v>45432</c:v>
                </c:pt>
                <c:pt idx="34">
                  <c:v>45433</c:v>
                </c:pt>
                <c:pt idx="35">
                  <c:v>45434</c:v>
                </c:pt>
                <c:pt idx="36">
                  <c:v>45435</c:v>
                </c:pt>
                <c:pt idx="37">
                  <c:v>45436</c:v>
                </c:pt>
                <c:pt idx="38">
                  <c:v>45437</c:v>
                </c:pt>
                <c:pt idx="39">
                  <c:v>45438</c:v>
                </c:pt>
                <c:pt idx="40">
                  <c:v>45439</c:v>
                </c:pt>
                <c:pt idx="41">
                  <c:v>45440</c:v>
                </c:pt>
                <c:pt idx="42">
                  <c:v>45441</c:v>
                </c:pt>
                <c:pt idx="43">
                  <c:v>45442</c:v>
                </c:pt>
                <c:pt idx="44">
                  <c:v>45443</c:v>
                </c:pt>
                <c:pt idx="45">
                  <c:v>45444</c:v>
                </c:pt>
                <c:pt idx="46">
                  <c:v>45445</c:v>
                </c:pt>
                <c:pt idx="47">
                  <c:v>45446</c:v>
                </c:pt>
                <c:pt idx="48">
                  <c:v>45447</c:v>
                </c:pt>
                <c:pt idx="49">
                  <c:v>45448</c:v>
                </c:pt>
                <c:pt idx="50">
                  <c:v>45449</c:v>
                </c:pt>
                <c:pt idx="51">
                  <c:v>45450</c:v>
                </c:pt>
                <c:pt idx="52">
                  <c:v>45451</c:v>
                </c:pt>
                <c:pt idx="53">
                  <c:v>45452</c:v>
                </c:pt>
                <c:pt idx="54">
                  <c:v>45453</c:v>
                </c:pt>
                <c:pt idx="55">
                  <c:v>45454</c:v>
                </c:pt>
                <c:pt idx="56">
                  <c:v>45455</c:v>
                </c:pt>
                <c:pt idx="57">
                  <c:v>45456</c:v>
                </c:pt>
                <c:pt idx="58">
                  <c:v>45457</c:v>
                </c:pt>
                <c:pt idx="59">
                  <c:v>45458</c:v>
                </c:pt>
                <c:pt idx="60">
                  <c:v>45459</c:v>
                </c:pt>
                <c:pt idx="61">
                  <c:v>45460</c:v>
                </c:pt>
                <c:pt idx="62">
                  <c:v>45461</c:v>
                </c:pt>
                <c:pt idx="63">
                  <c:v>45462</c:v>
                </c:pt>
                <c:pt idx="64">
                  <c:v>45463</c:v>
                </c:pt>
                <c:pt idx="65">
                  <c:v>45464</c:v>
                </c:pt>
                <c:pt idx="66">
                  <c:v>45465</c:v>
                </c:pt>
                <c:pt idx="67">
                  <c:v>45466</c:v>
                </c:pt>
                <c:pt idx="68">
                  <c:v>45467</c:v>
                </c:pt>
                <c:pt idx="69">
                  <c:v>45468</c:v>
                </c:pt>
                <c:pt idx="70">
                  <c:v>45469</c:v>
                </c:pt>
                <c:pt idx="71">
                  <c:v>45470</c:v>
                </c:pt>
                <c:pt idx="72">
                  <c:v>45471</c:v>
                </c:pt>
                <c:pt idx="73">
                  <c:v>45472</c:v>
                </c:pt>
                <c:pt idx="74">
                  <c:v>45473</c:v>
                </c:pt>
                <c:pt idx="75">
                  <c:v>45474</c:v>
                </c:pt>
              </c:numCache>
            </c:numRef>
          </c:cat>
          <c:val>
            <c:numRef>
              <c:f>'934298-0264 S.Bdrm2_PVitalsag_2'!$AA$92:$AA$167</c:f>
              <c:numCache>
                <c:formatCode>General</c:formatCode>
                <c:ptCount val="76"/>
                <c:pt idx="0">
                  <c:v>10.5</c:v>
                </c:pt>
                <c:pt idx="1">
                  <c:v>7.8</c:v>
                </c:pt>
                <c:pt idx="2">
                  <c:v>13.2</c:v>
                </c:pt>
                <c:pt idx="3">
                  <c:v>8.5</c:v>
                </c:pt>
                <c:pt idx="4">
                  <c:v>8.6</c:v>
                </c:pt>
                <c:pt idx="5">
                  <c:v>13.5</c:v>
                </c:pt>
                <c:pt idx="6">
                  <c:v>11.2</c:v>
                </c:pt>
                <c:pt idx="7">
                  <c:v>8.1999999999999993</c:v>
                </c:pt>
                <c:pt idx="8">
                  <c:v>9.9</c:v>
                </c:pt>
                <c:pt idx="9">
                  <c:v>13.3</c:v>
                </c:pt>
                <c:pt idx="10">
                  <c:v>0</c:v>
                </c:pt>
                <c:pt idx="11">
                  <c:v>9.1</c:v>
                </c:pt>
                <c:pt idx="12">
                  <c:v>7.8</c:v>
                </c:pt>
                <c:pt idx="13">
                  <c:v>9.9</c:v>
                </c:pt>
                <c:pt idx="14">
                  <c:v>11.5</c:v>
                </c:pt>
                <c:pt idx="15">
                  <c:v>9.9</c:v>
                </c:pt>
                <c:pt idx="16">
                  <c:v>8.8000000000000007</c:v>
                </c:pt>
                <c:pt idx="17">
                  <c:v>8.4</c:v>
                </c:pt>
                <c:pt idx="18">
                  <c:v>7.7</c:v>
                </c:pt>
                <c:pt idx="19">
                  <c:v>7.8</c:v>
                </c:pt>
                <c:pt idx="20">
                  <c:v>7.7</c:v>
                </c:pt>
                <c:pt idx="21">
                  <c:v>13.2</c:v>
                </c:pt>
                <c:pt idx="22">
                  <c:v>12.1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8.8000000000000007</c:v>
                </c:pt>
                <c:pt idx="31">
                  <c:v>8</c:v>
                </c:pt>
                <c:pt idx="33">
                  <c:v>8.9</c:v>
                </c:pt>
                <c:pt idx="35">
                  <c:v>14.9</c:v>
                </c:pt>
                <c:pt idx="36">
                  <c:v>14.1</c:v>
                </c:pt>
                <c:pt idx="37">
                  <c:v>16</c:v>
                </c:pt>
                <c:pt idx="38">
                  <c:v>8</c:v>
                </c:pt>
                <c:pt idx="39">
                  <c:v>13.7</c:v>
                </c:pt>
                <c:pt idx="40">
                  <c:v>13.8</c:v>
                </c:pt>
                <c:pt idx="41">
                  <c:v>13.2</c:v>
                </c:pt>
                <c:pt idx="42">
                  <c:v>14.1</c:v>
                </c:pt>
                <c:pt idx="43">
                  <c:v>12.5</c:v>
                </c:pt>
                <c:pt idx="44">
                  <c:v>14.1</c:v>
                </c:pt>
                <c:pt idx="45">
                  <c:v>14</c:v>
                </c:pt>
                <c:pt idx="46">
                  <c:v>15.3</c:v>
                </c:pt>
                <c:pt idx="47">
                  <c:v>13.7</c:v>
                </c:pt>
                <c:pt idx="48">
                  <c:v>10.7</c:v>
                </c:pt>
                <c:pt idx="49">
                  <c:v>8.4</c:v>
                </c:pt>
                <c:pt idx="50">
                  <c:v>8.4</c:v>
                </c:pt>
                <c:pt idx="51">
                  <c:v>15.4</c:v>
                </c:pt>
                <c:pt idx="52">
                  <c:v>14.5</c:v>
                </c:pt>
                <c:pt idx="53">
                  <c:v>15.5</c:v>
                </c:pt>
                <c:pt idx="54">
                  <c:v>14.5</c:v>
                </c:pt>
                <c:pt idx="55">
                  <c:v>14.2</c:v>
                </c:pt>
                <c:pt idx="56">
                  <c:v>14.8</c:v>
                </c:pt>
                <c:pt idx="57">
                  <c:v>7.8</c:v>
                </c:pt>
                <c:pt idx="58">
                  <c:v>13.3</c:v>
                </c:pt>
                <c:pt idx="59">
                  <c:v>13.9</c:v>
                </c:pt>
                <c:pt idx="60">
                  <c:v>14.3</c:v>
                </c:pt>
                <c:pt idx="62">
                  <c:v>12.4</c:v>
                </c:pt>
                <c:pt idx="63">
                  <c:v>14.4</c:v>
                </c:pt>
                <c:pt idx="65">
                  <c:v>11</c:v>
                </c:pt>
                <c:pt idx="68">
                  <c:v>8.1999999999999993</c:v>
                </c:pt>
                <c:pt idx="69">
                  <c:v>26.1</c:v>
                </c:pt>
                <c:pt idx="74">
                  <c:v>11.8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'934298-0264 S.Bdrm2_PVitalsag_2'!$X$92:$X$167</c:f>
              <c:numCache>
                <c:formatCode>m/d/yy;@</c:formatCode>
                <c:ptCount val="76"/>
                <c:pt idx="0">
                  <c:v>45399</c:v>
                </c:pt>
                <c:pt idx="1">
                  <c:v>45400</c:v>
                </c:pt>
                <c:pt idx="2">
                  <c:v>45401</c:v>
                </c:pt>
                <c:pt idx="3">
                  <c:v>45402</c:v>
                </c:pt>
                <c:pt idx="4">
                  <c:v>45403</c:v>
                </c:pt>
                <c:pt idx="5">
                  <c:v>45404</c:v>
                </c:pt>
                <c:pt idx="6">
                  <c:v>45405</c:v>
                </c:pt>
                <c:pt idx="7">
                  <c:v>45406</c:v>
                </c:pt>
                <c:pt idx="8">
                  <c:v>45407</c:v>
                </c:pt>
                <c:pt idx="9">
                  <c:v>45408</c:v>
                </c:pt>
                <c:pt idx="10">
                  <c:v>45409</c:v>
                </c:pt>
                <c:pt idx="11">
                  <c:v>45410</c:v>
                </c:pt>
                <c:pt idx="12">
                  <c:v>45411</c:v>
                </c:pt>
                <c:pt idx="13">
                  <c:v>45412</c:v>
                </c:pt>
                <c:pt idx="14">
                  <c:v>45413</c:v>
                </c:pt>
                <c:pt idx="15">
                  <c:v>45414</c:v>
                </c:pt>
                <c:pt idx="16">
                  <c:v>45415</c:v>
                </c:pt>
                <c:pt idx="17">
                  <c:v>45416</c:v>
                </c:pt>
                <c:pt idx="18">
                  <c:v>45417</c:v>
                </c:pt>
                <c:pt idx="19">
                  <c:v>45418</c:v>
                </c:pt>
                <c:pt idx="20">
                  <c:v>45419</c:v>
                </c:pt>
                <c:pt idx="21">
                  <c:v>45420</c:v>
                </c:pt>
                <c:pt idx="22">
                  <c:v>45421</c:v>
                </c:pt>
                <c:pt idx="23">
                  <c:v>45422</c:v>
                </c:pt>
                <c:pt idx="24">
                  <c:v>45423</c:v>
                </c:pt>
                <c:pt idx="25">
                  <c:v>45424</c:v>
                </c:pt>
                <c:pt idx="26">
                  <c:v>45425</c:v>
                </c:pt>
                <c:pt idx="27">
                  <c:v>45426</c:v>
                </c:pt>
                <c:pt idx="28">
                  <c:v>45427</c:v>
                </c:pt>
                <c:pt idx="29">
                  <c:v>45428</c:v>
                </c:pt>
                <c:pt idx="30">
                  <c:v>45429</c:v>
                </c:pt>
                <c:pt idx="31">
                  <c:v>45430</c:v>
                </c:pt>
                <c:pt idx="32">
                  <c:v>45431</c:v>
                </c:pt>
                <c:pt idx="33">
                  <c:v>45432</c:v>
                </c:pt>
                <c:pt idx="34">
                  <c:v>45433</c:v>
                </c:pt>
                <c:pt idx="35">
                  <c:v>45434</c:v>
                </c:pt>
                <c:pt idx="36">
                  <c:v>45435</c:v>
                </c:pt>
                <c:pt idx="37">
                  <c:v>45436</c:v>
                </c:pt>
                <c:pt idx="38">
                  <c:v>45437</c:v>
                </c:pt>
                <c:pt idx="39">
                  <c:v>45438</c:v>
                </c:pt>
                <c:pt idx="40">
                  <c:v>45439</c:v>
                </c:pt>
                <c:pt idx="41">
                  <c:v>45440</c:v>
                </c:pt>
                <c:pt idx="42">
                  <c:v>45441</c:v>
                </c:pt>
                <c:pt idx="43">
                  <c:v>45442</c:v>
                </c:pt>
                <c:pt idx="44">
                  <c:v>45443</c:v>
                </c:pt>
                <c:pt idx="45">
                  <c:v>45444</c:v>
                </c:pt>
                <c:pt idx="46">
                  <c:v>45445</c:v>
                </c:pt>
                <c:pt idx="47">
                  <c:v>45446</c:v>
                </c:pt>
                <c:pt idx="48">
                  <c:v>45447</c:v>
                </c:pt>
                <c:pt idx="49">
                  <c:v>45448</c:v>
                </c:pt>
                <c:pt idx="50">
                  <c:v>45449</c:v>
                </c:pt>
                <c:pt idx="51">
                  <c:v>45450</c:v>
                </c:pt>
                <c:pt idx="52">
                  <c:v>45451</c:v>
                </c:pt>
                <c:pt idx="53">
                  <c:v>45452</c:v>
                </c:pt>
                <c:pt idx="54">
                  <c:v>45453</c:v>
                </c:pt>
                <c:pt idx="55">
                  <c:v>45454</c:v>
                </c:pt>
                <c:pt idx="56">
                  <c:v>45455</c:v>
                </c:pt>
                <c:pt idx="57">
                  <c:v>45456</c:v>
                </c:pt>
                <c:pt idx="58">
                  <c:v>45457</c:v>
                </c:pt>
                <c:pt idx="59">
                  <c:v>45458</c:v>
                </c:pt>
                <c:pt idx="60">
                  <c:v>45459</c:v>
                </c:pt>
                <c:pt idx="61">
                  <c:v>45460</c:v>
                </c:pt>
                <c:pt idx="62">
                  <c:v>45461</c:v>
                </c:pt>
                <c:pt idx="63">
                  <c:v>45462</c:v>
                </c:pt>
                <c:pt idx="64">
                  <c:v>45463</c:v>
                </c:pt>
                <c:pt idx="65">
                  <c:v>45464</c:v>
                </c:pt>
                <c:pt idx="66">
                  <c:v>45465</c:v>
                </c:pt>
                <c:pt idx="67">
                  <c:v>45466</c:v>
                </c:pt>
                <c:pt idx="68">
                  <c:v>45467</c:v>
                </c:pt>
                <c:pt idx="69">
                  <c:v>45468</c:v>
                </c:pt>
                <c:pt idx="70">
                  <c:v>45469</c:v>
                </c:pt>
                <c:pt idx="71">
                  <c:v>45470</c:v>
                </c:pt>
                <c:pt idx="72">
                  <c:v>45471</c:v>
                </c:pt>
                <c:pt idx="73">
                  <c:v>45472</c:v>
                </c:pt>
                <c:pt idx="74">
                  <c:v>45473</c:v>
                </c:pt>
                <c:pt idx="75">
                  <c:v>45474</c:v>
                </c:pt>
              </c:numCache>
            </c:numRef>
          </c:cat>
          <c:val>
            <c:numRef>
              <c:f>'934298-0264 S.Bdrm2_PVitalsag_2'!$AB$92:$AB$167</c:f>
              <c:numCache>
                <c:formatCode>0.0</c:formatCode>
                <c:ptCount val="76"/>
                <c:pt idx="0">
                  <c:v>18.644444444444446</c:v>
                </c:pt>
                <c:pt idx="1">
                  <c:v>18.994117647058822</c:v>
                </c:pt>
                <c:pt idx="2">
                  <c:v>20.353333333333339</c:v>
                </c:pt>
                <c:pt idx="3">
                  <c:v>18.099999999999998</c:v>
                </c:pt>
                <c:pt idx="4">
                  <c:v>18.3</c:v>
                </c:pt>
                <c:pt idx="5">
                  <c:v>16.900000000000002</c:v>
                </c:pt>
                <c:pt idx="6">
                  <c:v>14.4</c:v>
                </c:pt>
                <c:pt idx="7">
                  <c:v>16.773333333333333</c:v>
                </c:pt>
                <c:pt idx="8">
                  <c:v>18.162500000000001</c:v>
                </c:pt>
                <c:pt idx="9">
                  <c:v>20.100000000000001</c:v>
                </c:pt>
                <c:pt idx="11">
                  <c:v>18.083333333333336</c:v>
                </c:pt>
                <c:pt idx="12">
                  <c:v>8.8000000000000007</c:v>
                </c:pt>
                <c:pt idx="13">
                  <c:v>15.25</c:v>
                </c:pt>
                <c:pt idx="14">
                  <c:v>12.65</c:v>
                </c:pt>
                <c:pt idx="15">
                  <c:v>10.200000000000001</c:v>
                </c:pt>
                <c:pt idx="16">
                  <c:v>10.8</c:v>
                </c:pt>
                <c:pt idx="17">
                  <c:v>18.418181818181818</c:v>
                </c:pt>
                <c:pt idx="18">
                  <c:v>9.8000000000000007</c:v>
                </c:pt>
                <c:pt idx="19">
                  <c:v>11.475000000000001</c:v>
                </c:pt>
                <c:pt idx="20">
                  <c:v>8.2000000000000011</c:v>
                </c:pt>
                <c:pt idx="21">
                  <c:v>15.75</c:v>
                </c:pt>
                <c:pt idx="22">
                  <c:v>20.75</c:v>
                </c:pt>
                <c:pt idx="26">
                  <c:v>9.1000000000000014</c:v>
                </c:pt>
                <c:pt idx="31">
                  <c:v>8.6000000000000014</c:v>
                </c:pt>
                <c:pt idx="33">
                  <c:v>9.2000000000000011</c:v>
                </c:pt>
                <c:pt idx="35">
                  <c:v>19.581818181818186</c:v>
                </c:pt>
                <c:pt idx="36">
                  <c:v>18.57</c:v>
                </c:pt>
                <c:pt idx="37">
                  <c:v>20.375000000000004</c:v>
                </c:pt>
                <c:pt idx="38">
                  <c:v>18.150000000000002</c:v>
                </c:pt>
                <c:pt idx="39">
                  <c:v>19.725000000000001</c:v>
                </c:pt>
                <c:pt idx="40">
                  <c:v>19</c:v>
                </c:pt>
                <c:pt idx="41">
                  <c:v>18.45</c:v>
                </c:pt>
                <c:pt idx="42">
                  <c:v>20.257142857142856</c:v>
                </c:pt>
                <c:pt idx="43">
                  <c:v>18.372727272727275</c:v>
                </c:pt>
                <c:pt idx="44">
                  <c:v>18.427272727272729</c:v>
                </c:pt>
                <c:pt idx="45">
                  <c:v>18.663636363636364</c:v>
                </c:pt>
                <c:pt idx="46">
                  <c:v>19.333333333333336</c:v>
                </c:pt>
                <c:pt idx="47">
                  <c:v>18.025000000000002</c:v>
                </c:pt>
                <c:pt idx="48">
                  <c:v>16.16</c:v>
                </c:pt>
                <c:pt idx="49">
                  <c:v>16.893750000000001</c:v>
                </c:pt>
                <c:pt idx="50">
                  <c:v>17.878571428571426</c:v>
                </c:pt>
                <c:pt idx="51">
                  <c:v>18.875</c:v>
                </c:pt>
                <c:pt idx="52">
                  <c:v>20.399999999999999</c:v>
                </c:pt>
                <c:pt idx="53">
                  <c:v>19.571428571428569</c:v>
                </c:pt>
                <c:pt idx="54">
                  <c:v>18.736363636363635</c:v>
                </c:pt>
                <c:pt idx="55">
                  <c:v>18.829999999999998</c:v>
                </c:pt>
                <c:pt idx="56">
                  <c:v>18.689999999999998</c:v>
                </c:pt>
                <c:pt idx="57">
                  <c:v>17.2</c:v>
                </c:pt>
                <c:pt idx="58">
                  <c:v>17.225000000000001</c:v>
                </c:pt>
                <c:pt idx="59">
                  <c:v>17.522222222222219</c:v>
                </c:pt>
                <c:pt idx="60">
                  <c:v>19.599999999999998</c:v>
                </c:pt>
                <c:pt idx="62">
                  <c:v>18.044444444444444</c:v>
                </c:pt>
                <c:pt idx="63">
                  <c:v>19.216666666666669</c:v>
                </c:pt>
                <c:pt idx="65">
                  <c:v>19.623076923076923</c:v>
                </c:pt>
                <c:pt idx="68">
                  <c:v>12.3</c:v>
                </c:pt>
                <c:pt idx="69">
                  <c:v>26.7</c:v>
                </c:pt>
                <c:pt idx="74">
                  <c:v>15.166666666666668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75897984"/>
        <c:axId val="175944832"/>
      </c:stockChart>
      <c:dateAx>
        <c:axId val="17589798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crossAx val="175944832"/>
        <c:crosses val="autoZero"/>
        <c:auto val="1"/>
        <c:lblOffset val="100"/>
        <c:baseTimeUnit val="days"/>
        <c:majorUnit val="1"/>
        <c:majorTimeUnit val="days"/>
      </c:dateAx>
      <c:valAx>
        <c:axId val="17594483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5897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114300</xdr:colOff>
      <xdr:row>1</xdr:row>
      <xdr:rowOff>52386</xdr:rowOff>
    </xdr:from>
    <xdr:to>
      <xdr:col>38</xdr:col>
      <xdr:colOff>171450</xdr:colOff>
      <xdr:row>19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200024</xdr:colOff>
      <xdr:row>20</xdr:row>
      <xdr:rowOff>166686</xdr:rowOff>
    </xdr:from>
    <xdr:to>
      <xdr:col>38</xdr:col>
      <xdr:colOff>266700</xdr:colOff>
      <xdr:row>39</xdr:row>
      <xdr:rowOff>95249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0.675</cdr:x>
      <cdr:y>0.66667</cdr:y>
    </cdr:from>
    <cdr:to>
      <cdr:x>0.96667</cdr:x>
      <cdr:y>0.7691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6099" y="1828800"/>
          <a:ext cx="1333501" cy="280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0.60806</cdr:x>
      <cdr:y>0.19008</cdr:y>
    </cdr:from>
    <cdr:to>
      <cdr:x>0.97472</cdr:x>
      <cdr:y>0.31856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747295" y="674418"/>
          <a:ext cx="2259607" cy="4558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breaths per minute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topLeftCell="A971" workbookViewId="0">
      <selection activeCell="D1010" sqref="D1010"/>
    </sheetView>
  </sheetViews>
  <sheetFormatPr defaultRowHeight="15" x14ac:dyDescent="0.25"/>
  <cols>
    <col min="1" max="1" width="9.7109375" bestFit="1" customWidth="1"/>
    <col min="2" max="2" width="8.140625" bestFit="1" customWidth="1"/>
    <col min="3" max="3" width="14.85546875" bestFit="1" customWidth="1"/>
    <col min="4" max="4" width="7.42578125" bestFit="1" customWidth="1"/>
    <col min="5" max="5" width="8.5703125" bestFit="1" customWidth="1"/>
    <col min="6" max="6" width="7.85546875" bestFit="1" customWidth="1"/>
    <col min="7" max="7" width="1.42578125" bestFit="1" customWidth="1"/>
    <col min="8" max="8" width="6.85546875" bestFit="1" customWidth="1"/>
    <col min="9" max="9" width="8" bestFit="1" customWidth="1"/>
    <col min="10" max="10" width="7.7109375" bestFit="1" customWidth="1"/>
    <col min="11" max="11" width="1.42578125" bestFit="1" customWidth="1"/>
    <col min="12" max="12" width="6.42578125" bestFit="1" customWidth="1"/>
    <col min="13" max="13" width="6.42578125" style="35" customWidth="1"/>
    <col min="14" max="14" width="10.140625" style="35" bestFit="1" customWidth="1"/>
    <col min="15" max="15" width="5.85546875" style="35" bestFit="1" customWidth="1"/>
    <col min="16" max="16" width="5.85546875" bestFit="1" customWidth="1"/>
    <col min="17" max="17" width="7.7109375" bestFit="1" customWidth="1"/>
    <col min="18" max="18" width="4.5703125" bestFit="1" customWidth="1"/>
    <col min="19" max="21" width="5" bestFit="1" customWidth="1"/>
    <col min="22" max="23" width="1.7109375" style="5" customWidth="1"/>
    <col min="24" max="24" width="7.7109375" style="5" bestFit="1" customWidth="1"/>
    <col min="25" max="25" width="4.5703125" bestFit="1" customWidth="1"/>
    <col min="26" max="26" width="5" bestFit="1" customWidth="1"/>
    <col min="27" max="27" width="4" bestFit="1" customWidth="1"/>
    <col min="28" max="28" width="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P1" t="s">
        <v>6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Y1" s="4" t="s">
        <v>12</v>
      </c>
      <c r="Z1" s="4" t="s">
        <v>16</v>
      </c>
      <c r="AA1" s="4" t="s">
        <v>17</v>
      </c>
      <c r="AB1" s="4" t="s">
        <v>15</v>
      </c>
    </row>
    <row r="2" spans="1:28" s="4" customFormat="1" x14ac:dyDescent="0.25">
      <c r="M2" s="35"/>
      <c r="N2" s="35"/>
      <c r="O2" s="35"/>
      <c r="V2" s="5"/>
      <c r="W2" s="5"/>
      <c r="X2" s="5"/>
    </row>
    <row r="3" spans="1:28" x14ac:dyDescent="0.25">
      <c r="A3" s="6">
        <v>45310</v>
      </c>
      <c r="B3" s="7">
        <v>0.58333333333333337</v>
      </c>
      <c r="C3" s="1">
        <v>45310.583333333336</v>
      </c>
      <c r="D3" s="8">
        <v>67.3</v>
      </c>
      <c r="E3" s="8">
        <v>74.400000000000006</v>
      </c>
      <c r="F3" s="8">
        <v>54.1</v>
      </c>
      <c r="G3" s="8" t="s">
        <v>6</v>
      </c>
      <c r="H3" s="8">
        <v>18.5</v>
      </c>
      <c r="I3" s="8">
        <v>33</v>
      </c>
      <c r="J3" s="9">
        <v>10.9</v>
      </c>
      <c r="K3" t="s">
        <v>6</v>
      </c>
      <c r="L3">
        <v>145</v>
      </c>
      <c r="N3" s="35" t="s">
        <v>18</v>
      </c>
      <c r="O3" s="35">
        <f ca="1">MIN(ROW(INDIRECT(N3)))</f>
        <v>3</v>
      </c>
      <c r="P3">
        <f ca="1">MIN(ROW(INDIRECT(N3))) + ROWS(INDIRECT(N3)) -1</f>
        <v>6</v>
      </c>
      <c r="Q3" s="19">
        <v>45310</v>
      </c>
      <c r="R3" s="18">
        <f ca="1">IFERROR(AVERAGE(INDIRECT("D" &amp; $O3):INDIRECT("D" &amp; $P3)),"")</f>
        <v>68.924999999999997</v>
      </c>
      <c r="S3">
        <f ca="1">IFERROR(MAX(INDIRECT("E" &amp; $O3):INDIRECT("E" &amp; $P3)),"")</f>
        <v>78.5</v>
      </c>
      <c r="T3">
        <f ca="1">IFERROR(MIN(INDIRECT("F" &amp; $O3):INDIRECT("F" &amp; $P3)),"")</f>
        <v>54.1</v>
      </c>
      <c r="U3" s="18">
        <f t="shared" ref="U3" ca="1" si="0">R3+1</f>
        <v>69.924999999999997</v>
      </c>
      <c r="V3" s="18"/>
      <c r="W3" s="18"/>
      <c r="X3" s="19">
        <v>45310</v>
      </c>
      <c r="Y3" s="18">
        <f ca="1">IFERROR(AVERAGE(INDIRECT("H" &amp; $O3):INDIRECT("H" &amp; $P3)),"")</f>
        <v>13.425000000000001</v>
      </c>
      <c r="Z3" s="5">
        <f ca="1">IFERROR(MAX(INDIRECT("I" &amp; $O3):INDIRECT("I" &amp; $P3)),"")</f>
        <v>33</v>
      </c>
      <c r="AA3" s="5">
        <f ca="1">IFERROR(MIN(INDIRECT("J" &amp; $O3):INDIRECT("J" &amp; $P3)),"")</f>
        <v>3.1</v>
      </c>
      <c r="AB3" s="18">
        <f ca="1">Y3+0.3</f>
        <v>13.725000000000001</v>
      </c>
    </row>
    <row r="4" spans="1:28" x14ac:dyDescent="0.25">
      <c r="A4" s="10">
        <v>45310</v>
      </c>
      <c r="B4" s="11">
        <v>0.625</v>
      </c>
      <c r="C4" s="2">
        <v>45310.625</v>
      </c>
      <c r="D4" s="12">
        <v>71.7</v>
      </c>
      <c r="E4" s="12">
        <v>78.5</v>
      </c>
      <c r="F4" s="12">
        <v>60</v>
      </c>
      <c r="G4" s="12" t="s">
        <v>6</v>
      </c>
      <c r="H4" s="12">
        <v>17.100000000000001</v>
      </c>
      <c r="I4" s="12">
        <v>29.7</v>
      </c>
      <c r="J4" s="13">
        <v>11.7</v>
      </c>
      <c r="K4" t="s">
        <v>6</v>
      </c>
      <c r="L4">
        <v>218</v>
      </c>
      <c r="N4" s="35" t="s">
        <v>19</v>
      </c>
      <c r="O4" s="35">
        <f t="shared" ref="O4:O28" ca="1" si="1">MIN(ROW(INDIRECT(N4)))</f>
        <v>7</v>
      </c>
      <c r="P4" s="35">
        <f t="shared" ref="P4:P28" ca="1" si="2">MIN(ROW(INDIRECT(N4))) + ROWS(INDIRECT(N4)) -1</f>
        <v>14</v>
      </c>
      <c r="Q4" s="19">
        <f>Q3+1</f>
        <v>45311</v>
      </c>
      <c r="R4" s="18">
        <f ca="1">IFERROR(AVERAGE(INDIRECT("D" &amp; $O4):INDIRECT("D" &amp; $P4)),"")</f>
        <v>69.924999999999997</v>
      </c>
      <c r="S4" s="35">
        <f ca="1">IFERROR(MAX(INDIRECT("E" &amp; $O4):INDIRECT("E" &amp; $P4)),"")</f>
        <v>82.5</v>
      </c>
      <c r="T4" s="35">
        <f ca="1">IFERROR(MIN(INDIRECT("F" &amp; $O4):INDIRECT("F" &amp; $P4)),"")</f>
        <v>53</v>
      </c>
      <c r="U4" s="18">
        <f t="shared" ref="U4:U28" ca="1" si="3">R4+1</f>
        <v>70.924999999999997</v>
      </c>
      <c r="V4" s="18"/>
      <c r="W4" s="18"/>
      <c r="X4" s="19">
        <f>X3+1</f>
        <v>45311</v>
      </c>
      <c r="Y4" s="18">
        <f ca="1">IFERROR(AVERAGE(INDIRECT("H" &amp; $O4):INDIRECT("H" &amp; $P4)),"")</f>
        <v>16.462500000000002</v>
      </c>
      <c r="Z4" s="35">
        <f ca="1">IFERROR(MAX(INDIRECT("I" &amp; $O4):INDIRECT("I" &amp; $P4)),"")</f>
        <v>41.5</v>
      </c>
      <c r="AA4" s="35">
        <f ca="1">IFERROR(MIN(INDIRECT("J" &amp; $O4):INDIRECT("J" &amp; $P4)),"")</f>
        <v>5.2</v>
      </c>
      <c r="AB4" s="18">
        <f t="shared" ref="AB4:AB28" ca="1" si="4">Y4+0.3</f>
        <v>16.762500000000003</v>
      </c>
    </row>
    <row r="5" spans="1:28" x14ac:dyDescent="0.25">
      <c r="A5" s="10">
        <v>45310</v>
      </c>
      <c r="B5" s="11">
        <v>0.66666666666666663</v>
      </c>
      <c r="C5" s="2">
        <v>45310.666666666664</v>
      </c>
      <c r="D5" s="12">
        <v>72.2</v>
      </c>
      <c r="E5" s="12">
        <v>76.8</v>
      </c>
      <c r="F5" s="12">
        <v>67.400000000000006</v>
      </c>
      <c r="G5" s="12" t="s">
        <v>6</v>
      </c>
      <c r="H5" s="12">
        <v>15</v>
      </c>
      <c r="I5" s="12">
        <v>18.8</v>
      </c>
      <c r="J5" s="13">
        <v>8.9</v>
      </c>
      <c r="K5" t="s">
        <v>6</v>
      </c>
      <c r="L5">
        <v>126</v>
      </c>
      <c r="N5" s="35" t="s">
        <v>20</v>
      </c>
      <c r="O5" s="35">
        <f t="shared" ca="1" si="1"/>
        <v>15</v>
      </c>
      <c r="P5" s="35">
        <f t="shared" ca="1" si="2"/>
        <v>20</v>
      </c>
      <c r="Q5" s="19">
        <f t="shared" ref="Q5:Q73" si="5">Q4+1</f>
        <v>45312</v>
      </c>
      <c r="R5" s="18">
        <f ca="1">IFERROR(AVERAGE(INDIRECT("D" &amp; $O5):INDIRECT("D" &amp; $P5)),"")</f>
        <v>66.516666666666666</v>
      </c>
      <c r="S5" s="35">
        <f ca="1">IFERROR(MAX(INDIRECT("E" &amp; $O5):INDIRECT("E" &amp; $P5)),"")</f>
        <v>83.2</v>
      </c>
      <c r="T5" s="35">
        <f ca="1">IFERROR(MIN(INDIRECT("F" &amp; $O5):INDIRECT("F" &amp; $P5)),"")</f>
        <v>54.1</v>
      </c>
      <c r="U5" s="18">
        <f t="shared" ca="1" si="3"/>
        <v>67.516666666666666</v>
      </c>
      <c r="X5" s="19">
        <f t="shared" ref="X5:X73" si="6">X4+1</f>
        <v>45312</v>
      </c>
      <c r="Y5" s="18">
        <f ca="1">IFERROR(AVERAGE(INDIRECT("H" &amp; $O5):INDIRECT("H" &amp; $P5)),"")</f>
        <v>16.683333333333334</v>
      </c>
      <c r="Z5" s="35">
        <f ca="1">IFERROR(MAX(INDIRECT("I" &amp; $O5):INDIRECT("I" &amp; $P5)),"")</f>
        <v>33.1</v>
      </c>
      <c r="AA5" s="35">
        <f ca="1">IFERROR(MIN(INDIRECT("J" &amp; $O5):INDIRECT("J" &amp; $P5)),"")</f>
        <v>3</v>
      </c>
      <c r="AB5" s="18">
        <f t="shared" ca="1" si="4"/>
        <v>16.983333333333334</v>
      </c>
    </row>
    <row r="6" spans="1:28" x14ac:dyDescent="0.25">
      <c r="A6" s="14">
        <v>45311</v>
      </c>
      <c r="B6" s="15">
        <v>0.29166666666666669</v>
      </c>
      <c r="C6" s="3">
        <v>45311.291666666664</v>
      </c>
      <c r="D6" s="16">
        <v>64.5</v>
      </c>
      <c r="E6" s="16">
        <v>64.5</v>
      </c>
      <c r="F6" s="16">
        <v>64.5</v>
      </c>
      <c r="G6" s="16" t="s">
        <v>6</v>
      </c>
      <c r="H6" s="16">
        <v>3.1</v>
      </c>
      <c r="I6" s="16">
        <v>3.1</v>
      </c>
      <c r="J6" s="17">
        <v>3.1</v>
      </c>
      <c r="K6" t="s">
        <v>6</v>
      </c>
      <c r="L6">
        <v>1</v>
      </c>
      <c r="N6" s="35" t="s">
        <v>21</v>
      </c>
      <c r="O6" s="35">
        <f t="shared" ca="1" si="1"/>
        <v>21</v>
      </c>
      <c r="P6" s="35">
        <f t="shared" ca="1" si="2"/>
        <v>27</v>
      </c>
      <c r="Q6" s="19">
        <f t="shared" si="5"/>
        <v>45313</v>
      </c>
      <c r="R6" s="18">
        <f ca="1">IFERROR(AVERAGE(INDIRECT("D" &amp; $O6):INDIRECT("D" &amp; $P6)),"")</f>
        <v>62.342857142857149</v>
      </c>
      <c r="S6" s="35">
        <f ca="1">IFERROR(MAX(INDIRECT("E" &amp; $O6):INDIRECT("E" &amp; $P6)),"")</f>
        <v>74.3</v>
      </c>
      <c r="T6" s="35">
        <f ca="1">IFERROR(MIN(INDIRECT("F" &amp; $O6):INDIRECT("F" &amp; $P6)),"")</f>
        <v>45.1</v>
      </c>
      <c r="U6" s="18">
        <f t="shared" ca="1" si="3"/>
        <v>63.342857142857149</v>
      </c>
      <c r="X6" s="19">
        <f t="shared" si="6"/>
        <v>45313</v>
      </c>
      <c r="Y6" s="18">
        <f ca="1">IFERROR(AVERAGE(INDIRECT("H" &amp; $O6):INDIRECT("H" &amp; $P6)),"")</f>
        <v>17.185714285714287</v>
      </c>
      <c r="Z6" s="35">
        <f ca="1">IFERROR(MAX(INDIRECT("I" &amp; $O6):INDIRECT("I" &amp; $P6)),"")</f>
        <v>47.9</v>
      </c>
      <c r="AA6" s="35">
        <f ca="1">IFERROR(MIN(INDIRECT("J" &amp; $O6):INDIRECT("J" &amp; $P6)),"")</f>
        <v>3.8</v>
      </c>
      <c r="AB6" s="18">
        <f t="shared" ca="1" si="4"/>
        <v>17.485714285714288</v>
      </c>
    </row>
    <row r="7" spans="1:28" x14ac:dyDescent="0.25">
      <c r="A7" s="6">
        <v>45311</v>
      </c>
      <c r="B7" s="7">
        <v>0.58333333333333337</v>
      </c>
      <c r="C7" s="1">
        <v>45311.583333333336</v>
      </c>
      <c r="D7" s="8">
        <v>60.9</v>
      </c>
      <c r="E7" s="8">
        <v>67.2</v>
      </c>
      <c r="F7" s="8">
        <v>55.2</v>
      </c>
      <c r="G7" s="8" t="s">
        <v>6</v>
      </c>
      <c r="H7" s="8">
        <v>7</v>
      </c>
      <c r="I7" s="8">
        <v>7.8</v>
      </c>
      <c r="J7" s="9">
        <v>5.2</v>
      </c>
      <c r="K7" t="s">
        <v>6</v>
      </c>
      <c r="L7">
        <v>6</v>
      </c>
      <c r="N7" s="35" t="s">
        <v>22</v>
      </c>
      <c r="O7" s="35">
        <f t="shared" ca="1" si="1"/>
        <v>28</v>
      </c>
      <c r="P7" s="35">
        <f t="shared" ca="1" si="2"/>
        <v>38</v>
      </c>
      <c r="Q7" s="19">
        <f t="shared" si="5"/>
        <v>45314</v>
      </c>
      <c r="R7" s="18">
        <f ca="1">IFERROR(AVERAGE(INDIRECT("D" &amp; $O7):INDIRECT("D" &amp; $P7)),"")</f>
        <v>63.890909090909084</v>
      </c>
      <c r="S7" s="35">
        <f ca="1">IFERROR(MAX(INDIRECT("E" &amp; $O7):INDIRECT("E" &amp; $P7)),"")</f>
        <v>72.5</v>
      </c>
      <c r="T7" s="35">
        <f ca="1">IFERROR(MIN(INDIRECT("F" &amp; $O7):INDIRECT("F" &amp; $P7)),"")</f>
        <v>52.3</v>
      </c>
      <c r="U7" s="18">
        <f t="shared" ca="1" si="3"/>
        <v>64.890909090909076</v>
      </c>
      <c r="X7" s="19">
        <f t="shared" si="6"/>
        <v>45314</v>
      </c>
      <c r="Y7" s="18">
        <f ca="1">IFERROR(AVERAGE(INDIRECT("H" &amp; $O7):INDIRECT("H" &amp; $P7)),"")</f>
        <v>16.86363636363636</v>
      </c>
      <c r="Z7" s="35">
        <f ca="1">IFERROR(MAX(INDIRECT("I" &amp; $O7):INDIRECT("I" &amp; $P7)),"")</f>
        <v>30.7</v>
      </c>
      <c r="AA7" s="35">
        <f ca="1">IFERROR(MIN(INDIRECT("J" &amp; $O7):INDIRECT("J" &amp; $P7)),"")</f>
        <v>7.5</v>
      </c>
      <c r="AB7" s="18">
        <f t="shared" ca="1" si="4"/>
        <v>17.16363636363636</v>
      </c>
    </row>
    <row r="8" spans="1:28" x14ac:dyDescent="0.25">
      <c r="A8" s="10">
        <v>45311</v>
      </c>
      <c r="B8" s="11">
        <v>0.83333333333333337</v>
      </c>
      <c r="C8" s="2">
        <v>45311.833333333336</v>
      </c>
      <c r="D8" s="12">
        <v>71</v>
      </c>
      <c r="E8" s="12">
        <v>82.5</v>
      </c>
      <c r="F8" s="12">
        <v>53</v>
      </c>
      <c r="G8" s="12" t="s">
        <v>6</v>
      </c>
      <c r="H8" s="12">
        <v>20.8</v>
      </c>
      <c r="I8" s="12">
        <v>41.5</v>
      </c>
      <c r="J8" s="13">
        <v>8.4</v>
      </c>
      <c r="K8" t="s">
        <v>6</v>
      </c>
      <c r="L8">
        <v>74</v>
      </c>
      <c r="N8" s="35" t="s">
        <v>23</v>
      </c>
      <c r="O8" s="35">
        <f t="shared" ca="1" si="1"/>
        <v>39</v>
      </c>
      <c r="P8" s="35">
        <f t="shared" ca="1" si="2"/>
        <v>43</v>
      </c>
      <c r="Q8" s="19">
        <f t="shared" si="5"/>
        <v>45315</v>
      </c>
      <c r="R8" s="18">
        <f ca="1">IFERROR(AVERAGE(INDIRECT("D" &amp; $O8):INDIRECT("D" &amp; $P8)),"")</f>
        <v>64.16</v>
      </c>
      <c r="S8" s="35">
        <f ca="1">IFERROR(MAX(INDIRECT("E" &amp; $O8):INDIRECT("E" &amp; $P8)),"")</f>
        <v>76.5</v>
      </c>
      <c r="T8" s="35">
        <f ca="1">IFERROR(MIN(INDIRECT("F" &amp; $O8):INDIRECT("F" &amp; $P8)),"")</f>
        <v>47.1</v>
      </c>
      <c r="U8" s="18">
        <f t="shared" ca="1" si="3"/>
        <v>65.16</v>
      </c>
      <c r="X8" s="19">
        <f t="shared" si="6"/>
        <v>45315</v>
      </c>
      <c r="Y8" s="18">
        <f ca="1">IFERROR(AVERAGE(INDIRECT("H" &amp; $O8):INDIRECT("H" &amp; $P8)),"")</f>
        <v>18.98</v>
      </c>
      <c r="Z8" s="35">
        <f ca="1">IFERROR(MAX(INDIRECT("I" &amp; $O8):INDIRECT("I" &amp; $P8)),"")</f>
        <v>29.3</v>
      </c>
      <c r="AA8" s="35">
        <f ca="1">IFERROR(MIN(INDIRECT("J" &amp; $O8):INDIRECT("J" &amp; $P8)),"")</f>
        <v>4.7</v>
      </c>
      <c r="AB8" s="18">
        <f t="shared" ca="1" si="4"/>
        <v>19.28</v>
      </c>
    </row>
    <row r="9" spans="1:28" x14ac:dyDescent="0.25">
      <c r="A9" s="10">
        <v>45311</v>
      </c>
      <c r="B9" s="11">
        <v>0.875</v>
      </c>
      <c r="C9" s="2">
        <v>45311.875</v>
      </c>
      <c r="D9" s="12">
        <v>70.900000000000006</v>
      </c>
      <c r="E9" s="12">
        <v>77</v>
      </c>
      <c r="F9" s="12">
        <v>60.1</v>
      </c>
      <c r="G9" s="12" t="s">
        <v>6</v>
      </c>
      <c r="H9" s="12">
        <v>17.7</v>
      </c>
      <c r="I9" s="12">
        <v>24.4</v>
      </c>
      <c r="J9" s="13">
        <v>11.8</v>
      </c>
      <c r="K9" t="s">
        <v>6</v>
      </c>
      <c r="L9">
        <v>221</v>
      </c>
      <c r="N9" s="35" t="s">
        <v>24</v>
      </c>
      <c r="O9" s="35">
        <f t="shared" ca="1" si="1"/>
        <v>44</v>
      </c>
      <c r="P9" s="35">
        <f t="shared" ca="1" si="2"/>
        <v>54</v>
      </c>
      <c r="Q9" s="19">
        <f t="shared" si="5"/>
        <v>45316</v>
      </c>
      <c r="R9" s="18">
        <f ca="1">IFERROR(AVERAGE(INDIRECT("D" &amp; $O9):INDIRECT("D" &amp; $P9)),"")</f>
        <v>66.881818181818176</v>
      </c>
      <c r="S9" s="35">
        <f ca="1">IFERROR(MAX(INDIRECT("E" &amp; $O9):INDIRECT("E" &amp; $P9)),"")</f>
        <v>83.2</v>
      </c>
      <c r="T9" s="35">
        <f ca="1">IFERROR(MIN(INDIRECT("F" &amp; $O9):INDIRECT("F" &amp; $P9)),"")</f>
        <v>53.5</v>
      </c>
      <c r="U9" s="18">
        <f t="shared" ca="1" si="3"/>
        <v>67.881818181818176</v>
      </c>
      <c r="X9" s="19">
        <f t="shared" si="6"/>
        <v>45316</v>
      </c>
      <c r="Y9" s="18">
        <f ca="1">IFERROR(AVERAGE(INDIRECT("H" &amp; $O9):INDIRECT("H" &amp; $P9)),"")</f>
        <v>15.909090909090908</v>
      </c>
      <c r="Z9" s="35">
        <f ca="1">IFERROR(MAX(INDIRECT("I" &amp; $O9):INDIRECT("I" &amp; $P9)),"")</f>
        <v>30.1</v>
      </c>
      <c r="AA9" s="35">
        <f ca="1">IFERROR(MIN(INDIRECT("J" &amp; $O9):INDIRECT("J" &amp; $P9)),"")</f>
        <v>4.5</v>
      </c>
      <c r="AB9" s="18">
        <f t="shared" ca="1" si="4"/>
        <v>16.209090909090907</v>
      </c>
    </row>
    <row r="10" spans="1:28" x14ac:dyDescent="0.25">
      <c r="A10" s="10">
        <v>45311</v>
      </c>
      <c r="B10" s="11">
        <v>0.91666666666666663</v>
      </c>
      <c r="C10" s="2">
        <v>45311.916666666664</v>
      </c>
      <c r="D10" s="12">
        <v>74.2</v>
      </c>
      <c r="E10" s="12">
        <v>82.3</v>
      </c>
      <c r="F10" s="12">
        <v>69.2</v>
      </c>
      <c r="G10" s="12" t="s">
        <v>6</v>
      </c>
      <c r="H10" s="12">
        <v>17.5</v>
      </c>
      <c r="I10" s="12">
        <v>25.2</v>
      </c>
      <c r="J10" s="13">
        <v>9.1</v>
      </c>
      <c r="K10" t="s">
        <v>6</v>
      </c>
      <c r="L10">
        <v>223</v>
      </c>
      <c r="N10" s="35" t="s">
        <v>25</v>
      </c>
      <c r="O10" s="35">
        <f t="shared" ca="1" si="1"/>
        <v>55</v>
      </c>
      <c r="P10" s="35">
        <f t="shared" ca="1" si="2"/>
        <v>62</v>
      </c>
      <c r="Q10" s="19">
        <f t="shared" si="5"/>
        <v>45317</v>
      </c>
      <c r="R10" s="18">
        <f ca="1">IFERROR(AVERAGE(INDIRECT("D" &amp; $O10):INDIRECT("D" &amp; $P10)),"")</f>
        <v>64.924999999999997</v>
      </c>
      <c r="S10" s="35">
        <f ca="1">IFERROR(MAX(INDIRECT("E" &amp; $O10):INDIRECT("E" &amp; $P10)),"")</f>
        <v>85.1</v>
      </c>
      <c r="T10" s="35">
        <f ca="1">IFERROR(MIN(INDIRECT("F" &amp; $O10):INDIRECT("F" &amp; $P10)),"")</f>
        <v>53.7</v>
      </c>
      <c r="U10" s="18">
        <f t="shared" ca="1" si="3"/>
        <v>65.924999999999997</v>
      </c>
      <c r="X10" s="19">
        <f t="shared" si="6"/>
        <v>45317</v>
      </c>
      <c r="Y10" s="18">
        <f ca="1">IFERROR(AVERAGE(INDIRECT("H" &amp; $O10):INDIRECT("H" &amp; $P10)),"")</f>
        <v>16.862500000000001</v>
      </c>
      <c r="Z10" s="35">
        <f ca="1">IFERROR(MAX(INDIRECT("I" &amp; $O10):INDIRECT("I" &amp; $P10)),"")</f>
        <v>35.4</v>
      </c>
      <c r="AA10" s="35">
        <f ca="1">IFERROR(MIN(INDIRECT("J" &amp; $O10):INDIRECT("J" &amp; $P10)),"")</f>
        <v>8.6</v>
      </c>
      <c r="AB10" s="18">
        <f t="shared" ca="1" si="4"/>
        <v>17.162500000000001</v>
      </c>
    </row>
    <row r="11" spans="1:28" x14ac:dyDescent="0.25">
      <c r="A11" s="10">
        <v>45311</v>
      </c>
      <c r="B11" s="11">
        <v>0.95833333333333337</v>
      </c>
      <c r="C11" s="2">
        <v>45311.958333333336</v>
      </c>
      <c r="D11" s="12">
        <v>72</v>
      </c>
      <c r="E11" s="12">
        <v>78.099999999999994</v>
      </c>
      <c r="F11" s="12">
        <v>57.6</v>
      </c>
      <c r="G11" s="12" t="s">
        <v>6</v>
      </c>
      <c r="H11" s="12">
        <v>18.100000000000001</v>
      </c>
      <c r="I11" s="12">
        <v>27.9</v>
      </c>
      <c r="J11" s="13">
        <v>10.199999999999999</v>
      </c>
      <c r="K11" t="s">
        <v>6</v>
      </c>
      <c r="L11">
        <v>86</v>
      </c>
      <c r="N11" s="35" t="s">
        <v>26</v>
      </c>
      <c r="O11" s="35">
        <f t="shared" ca="1" si="1"/>
        <v>63</v>
      </c>
      <c r="P11" s="35">
        <f t="shared" ca="1" si="2"/>
        <v>74</v>
      </c>
      <c r="Q11" s="19">
        <f t="shared" si="5"/>
        <v>45318</v>
      </c>
      <c r="R11" s="18">
        <f ca="1">IFERROR(AVERAGE(INDIRECT("D" &amp; $O11):INDIRECT("D" &amp; $P11)),"")</f>
        <v>65.2</v>
      </c>
      <c r="S11" s="35">
        <f ca="1">IFERROR(MAX(INDIRECT("E" &amp; $O11):INDIRECT("E" &amp; $P11)),"")</f>
        <v>76.7</v>
      </c>
      <c r="T11" s="35">
        <f ca="1">IFERROR(MIN(INDIRECT("F" &amp; $O11):INDIRECT("F" &amp; $P11)),"")</f>
        <v>49.4</v>
      </c>
      <c r="U11" s="18">
        <f t="shared" ca="1" si="3"/>
        <v>66.2</v>
      </c>
      <c r="V11" s="24"/>
      <c r="W11" s="24"/>
      <c r="X11" s="19">
        <f t="shared" si="6"/>
        <v>45318</v>
      </c>
      <c r="Y11" s="18">
        <f ca="1">IFERROR(AVERAGE(INDIRECT("H" &amp; $O11):INDIRECT("H" &amp; $P11)),"")</f>
        <v>15.166666666666666</v>
      </c>
      <c r="Z11" s="35">
        <f ca="1">IFERROR(MAX(INDIRECT("I" &amp; $O11):INDIRECT("I" &amp; $P11)),"")</f>
        <v>29.8</v>
      </c>
      <c r="AA11" s="35">
        <f ca="1">IFERROR(MIN(INDIRECT("J" &amp; $O11):INDIRECT("J" &amp; $P11)),"")</f>
        <v>5.2</v>
      </c>
      <c r="AB11" s="18">
        <f t="shared" ca="1" si="4"/>
        <v>15.466666666666667</v>
      </c>
    </row>
    <row r="12" spans="1:28" x14ac:dyDescent="0.25">
      <c r="A12" s="10">
        <v>45312</v>
      </c>
      <c r="B12" s="11">
        <v>4.1666666666666664E-2</v>
      </c>
      <c r="C12" s="2">
        <v>45312.041666666664</v>
      </c>
      <c r="D12" s="12">
        <v>69.7</v>
      </c>
      <c r="E12" s="12">
        <v>75.5</v>
      </c>
      <c r="F12" s="12">
        <v>59.7</v>
      </c>
      <c r="G12" s="12" t="s">
        <v>6</v>
      </c>
      <c r="H12" s="12">
        <v>16.399999999999999</v>
      </c>
      <c r="I12" s="12">
        <v>23.6</v>
      </c>
      <c r="J12" s="13">
        <v>9.6</v>
      </c>
      <c r="K12" t="s">
        <v>6</v>
      </c>
      <c r="L12">
        <v>97</v>
      </c>
      <c r="N12" s="35" t="s">
        <v>27</v>
      </c>
      <c r="O12" s="35">
        <f t="shared" ca="1" si="1"/>
        <v>75</v>
      </c>
      <c r="P12" s="35">
        <f t="shared" ca="1" si="2"/>
        <v>82</v>
      </c>
      <c r="Q12" s="19">
        <f t="shared" si="5"/>
        <v>45319</v>
      </c>
      <c r="R12" s="18">
        <f ca="1">IFERROR(AVERAGE(INDIRECT("D" &amp; $O12):INDIRECT("D" &amp; $P12)),"")</f>
        <v>66.100000000000009</v>
      </c>
      <c r="S12" s="35">
        <f ca="1">IFERROR(MAX(INDIRECT("E" &amp; $O12):INDIRECT("E" &amp; $P12)),"")</f>
        <v>85</v>
      </c>
      <c r="T12" s="35">
        <f ca="1">IFERROR(MIN(INDIRECT("F" &amp; $O12):INDIRECT("F" &amp; $P12)),"")</f>
        <v>44.7</v>
      </c>
      <c r="U12" s="18">
        <f t="shared" ca="1" si="3"/>
        <v>67.100000000000009</v>
      </c>
      <c r="V12" s="24"/>
      <c r="W12" s="24"/>
      <c r="X12" s="19">
        <f t="shared" si="6"/>
        <v>45319</v>
      </c>
      <c r="Y12" s="18">
        <f ca="1">IFERROR(AVERAGE(INDIRECT("H" &amp; $O12):INDIRECT("H" &amp; $P12)),"")</f>
        <v>16.512500000000003</v>
      </c>
      <c r="Z12" s="35">
        <f ca="1">IFERROR(MAX(INDIRECT("I" &amp; $O12):INDIRECT("I" &amp; $P12)),"")</f>
        <v>30</v>
      </c>
      <c r="AA12" s="35">
        <f ca="1">IFERROR(MIN(INDIRECT("J" &amp; $O12):INDIRECT("J" &amp; $P12)),"")</f>
        <v>4.7</v>
      </c>
      <c r="AB12" s="18">
        <f t="shared" ca="1" si="4"/>
        <v>16.812500000000004</v>
      </c>
    </row>
    <row r="13" spans="1:28" x14ac:dyDescent="0.25">
      <c r="A13" s="10">
        <v>45312</v>
      </c>
      <c r="B13" s="11">
        <v>8.3333333333333329E-2</v>
      </c>
      <c r="C13" s="2">
        <v>45312.083333333336</v>
      </c>
      <c r="D13" s="12">
        <v>71.7</v>
      </c>
      <c r="E13" s="12">
        <v>76.900000000000006</v>
      </c>
      <c r="F13" s="12">
        <v>64.8</v>
      </c>
      <c r="G13" s="12" t="s">
        <v>6</v>
      </c>
      <c r="H13" s="12">
        <v>15.9</v>
      </c>
      <c r="I13" s="12">
        <v>24.2</v>
      </c>
      <c r="J13" s="13">
        <v>8.8000000000000007</v>
      </c>
      <c r="K13" t="s">
        <v>6</v>
      </c>
      <c r="L13">
        <v>214</v>
      </c>
      <c r="N13" s="35" t="s">
        <v>28</v>
      </c>
      <c r="O13" s="35">
        <f t="shared" ca="1" si="1"/>
        <v>83</v>
      </c>
      <c r="P13" s="35">
        <f t="shared" ca="1" si="2"/>
        <v>92</v>
      </c>
      <c r="Q13" s="19">
        <f t="shared" si="5"/>
        <v>45320</v>
      </c>
      <c r="R13" s="18">
        <f ca="1">IFERROR(AVERAGE(INDIRECT("D" &amp; $O13):INDIRECT("D" &amp; $P13)),"")</f>
        <v>59.71</v>
      </c>
      <c r="S13" s="35">
        <f ca="1">IFERROR(MAX(INDIRECT("E" &amp; $O13):INDIRECT("E" &amp; $P13)),"")</f>
        <v>70.5</v>
      </c>
      <c r="T13" s="35">
        <f ca="1">IFERROR(MIN(INDIRECT("F" &amp; $O13):INDIRECT("F" &amp; $P13)),"")</f>
        <v>47.3</v>
      </c>
      <c r="U13" s="18">
        <f t="shared" ca="1" si="3"/>
        <v>60.71</v>
      </c>
      <c r="V13" s="25"/>
      <c r="W13" s="25"/>
      <c r="X13" s="19">
        <f t="shared" si="6"/>
        <v>45320</v>
      </c>
      <c r="Y13" s="18">
        <f ca="1">IFERROR(AVERAGE(INDIRECT("H" &amp; $O13):INDIRECT("H" &amp; $P13)),"")</f>
        <v>16.28</v>
      </c>
      <c r="Z13" s="35">
        <f ca="1">IFERROR(MAX(INDIRECT("I" &amp; $O13):INDIRECT("I" &amp; $P13)),"")</f>
        <v>36.1</v>
      </c>
      <c r="AA13" s="35">
        <f ca="1">IFERROR(MIN(INDIRECT("J" &amp; $O13):INDIRECT("J" &amp; $P13)),"")</f>
        <v>3.3</v>
      </c>
      <c r="AB13" s="18">
        <f t="shared" ca="1" si="4"/>
        <v>16.580000000000002</v>
      </c>
    </row>
    <row r="14" spans="1:28" x14ac:dyDescent="0.25">
      <c r="A14" s="14">
        <v>45312</v>
      </c>
      <c r="B14" s="15">
        <v>0.125</v>
      </c>
      <c r="C14" s="3">
        <v>45312.125</v>
      </c>
      <c r="D14" s="16">
        <v>69</v>
      </c>
      <c r="E14" s="16">
        <v>76.099999999999994</v>
      </c>
      <c r="F14" s="16">
        <v>59.9</v>
      </c>
      <c r="G14" s="16" t="s">
        <v>6</v>
      </c>
      <c r="H14" s="16">
        <v>18.3</v>
      </c>
      <c r="I14" s="16">
        <v>26.1</v>
      </c>
      <c r="J14" s="17">
        <v>11.7</v>
      </c>
      <c r="K14" t="s">
        <v>6</v>
      </c>
      <c r="L14">
        <v>173</v>
      </c>
      <c r="N14" s="35" t="s">
        <v>29</v>
      </c>
      <c r="O14" s="35">
        <f t="shared" ca="1" si="1"/>
        <v>93</v>
      </c>
      <c r="P14" s="35">
        <f t="shared" ca="1" si="2"/>
        <v>100</v>
      </c>
      <c r="Q14" s="19">
        <f t="shared" si="5"/>
        <v>45321</v>
      </c>
      <c r="R14" s="18">
        <f ca="1">IFERROR(AVERAGE(INDIRECT("D" &amp; $O14):INDIRECT("D" &amp; $P14)),"")</f>
        <v>64.075000000000003</v>
      </c>
      <c r="S14" s="35">
        <f ca="1">IFERROR(MAX(INDIRECT("E" &amp; $O14):INDIRECT("E" &amp; $P14)),"")</f>
        <v>76.5</v>
      </c>
      <c r="T14" s="35">
        <f ca="1">IFERROR(MIN(INDIRECT("F" &amp; $O14):INDIRECT("F" &amp; $P14)),"")</f>
        <v>48.2</v>
      </c>
      <c r="U14" s="18">
        <f t="shared" ca="1" si="3"/>
        <v>65.075000000000003</v>
      </c>
      <c r="V14" s="26"/>
      <c r="W14" s="26"/>
      <c r="X14" s="19">
        <f t="shared" si="6"/>
        <v>45321</v>
      </c>
      <c r="Y14" s="18">
        <f ca="1">IFERROR(AVERAGE(INDIRECT("H" &amp; $O14):INDIRECT("H" &amp; $P14)),"")</f>
        <v>19.262499999999999</v>
      </c>
      <c r="Z14" s="35">
        <f ca="1">IFERROR(MAX(INDIRECT("I" &amp; $O14):INDIRECT("I" &amp; $P14)),"")</f>
        <v>34.1</v>
      </c>
      <c r="AA14" s="35">
        <f ca="1">IFERROR(MIN(INDIRECT("J" &amp; $O14):INDIRECT("J" &amp; $P14)),"")</f>
        <v>8.6</v>
      </c>
      <c r="AB14" s="18">
        <f t="shared" ca="1" si="4"/>
        <v>19.5625</v>
      </c>
    </row>
    <row r="15" spans="1:28" x14ac:dyDescent="0.25">
      <c r="A15" s="6">
        <v>45312</v>
      </c>
      <c r="B15" s="7">
        <v>0.875</v>
      </c>
      <c r="C15" s="21">
        <v>45312.875</v>
      </c>
      <c r="D15" s="8">
        <v>62.5</v>
      </c>
      <c r="E15" s="8">
        <v>69.7</v>
      </c>
      <c r="F15" s="8">
        <v>54.1</v>
      </c>
      <c r="G15" s="8" t="s">
        <v>6</v>
      </c>
      <c r="H15" s="8">
        <v>18</v>
      </c>
      <c r="I15" s="8">
        <v>26.5</v>
      </c>
      <c r="J15" s="9">
        <v>3</v>
      </c>
      <c r="K15" t="s">
        <v>6</v>
      </c>
      <c r="L15">
        <v>217</v>
      </c>
      <c r="N15" s="35" t="s">
        <v>30</v>
      </c>
      <c r="O15" s="35">
        <f t="shared" ca="1" si="1"/>
        <v>101</v>
      </c>
      <c r="P15" s="35">
        <f t="shared" ca="1" si="2"/>
        <v>111</v>
      </c>
      <c r="Q15" s="19">
        <f t="shared" si="5"/>
        <v>45322</v>
      </c>
      <c r="R15" s="18">
        <f ca="1">IFERROR(AVERAGE(INDIRECT("D" &amp; $O15):INDIRECT("D" &amp; $P15)),"")</f>
        <v>62.554545454545455</v>
      </c>
      <c r="S15" s="35">
        <f ca="1">IFERROR(MAX(INDIRECT("E" &amp; $O15):INDIRECT("E" &amp; $P15)),"")</f>
        <v>74.3</v>
      </c>
      <c r="T15" s="35">
        <f ca="1">IFERROR(MIN(INDIRECT("F" &amp; $O15):INDIRECT("F" &amp; $P15)),"")</f>
        <v>51.2</v>
      </c>
      <c r="U15" s="18">
        <f t="shared" ca="1" si="3"/>
        <v>63.554545454545455</v>
      </c>
      <c r="V15" s="26"/>
      <c r="W15" s="26"/>
      <c r="X15" s="19">
        <f t="shared" si="6"/>
        <v>45322</v>
      </c>
      <c r="Y15" s="18">
        <f ca="1">IFERROR(AVERAGE(INDIRECT("H" &amp; $O15):INDIRECT("H" &amp; $P15)),"")</f>
        <v>18.318181818181817</v>
      </c>
      <c r="Z15" s="35">
        <f ca="1">IFERROR(MAX(INDIRECT("I" &amp; $O15):INDIRECT("I" &amp; $P15)),"")</f>
        <v>36.4</v>
      </c>
      <c r="AA15" s="35">
        <f ca="1">IFERROR(MIN(INDIRECT("J" &amp; $O15):INDIRECT("J" &amp; $P15)),"")</f>
        <v>9</v>
      </c>
      <c r="AB15" s="18">
        <f t="shared" ca="1" si="4"/>
        <v>18.618181818181817</v>
      </c>
    </row>
    <row r="16" spans="1:28" x14ac:dyDescent="0.25">
      <c r="A16" s="10">
        <v>45312</v>
      </c>
      <c r="B16" s="11">
        <v>0.91666666666666663</v>
      </c>
      <c r="C16" s="22">
        <v>45312.916666666664</v>
      </c>
      <c r="D16" s="12">
        <v>68</v>
      </c>
      <c r="E16" s="12">
        <v>74.2</v>
      </c>
      <c r="F16" s="12">
        <v>57</v>
      </c>
      <c r="G16" s="12" t="s">
        <v>6</v>
      </c>
      <c r="H16" s="12">
        <v>15.8</v>
      </c>
      <c r="I16" s="12">
        <v>21.7</v>
      </c>
      <c r="J16" s="13">
        <v>9</v>
      </c>
      <c r="K16" t="s">
        <v>6</v>
      </c>
      <c r="L16">
        <v>216</v>
      </c>
      <c r="N16" s="35" t="s">
        <v>31</v>
      </c>
      <c r="O16" s="35">
        <f t="shared" ca="1" si="1"/>
        <v>112</v>
      </c>
      <c r="P16" s="35">
        <f t="shared" ca="1" si="2"/>
        <v>124</v>
      </c>
      <c r="Q16" s="19">
        <f t="shared" si="5"/>
        <v>45323</v>
      </c>
      <c r="R16" s="18">
        <f ca="1">IFERROR(AVERAGE(INDIRECT("D" &amp; $O16):INDIRECT("D" &amp; $P16)),"")</f>
        <v>66.407692307692301</v>
      </c>
      <c r="S16" s="35">
        <f ca="1">IFERROR(MAX(INDIRECT("E" &amp; $O16):INDIRECT("E" &amp; $P16)),"")</f>
        <v>77.2</v>
      </c>
      <c r="T16" s="35">
        <f ca="1">IFERROR(MIN(INDIRECT("F" &amp; $O16):INDIRECT("F" &amp; $P16)),"")</f>
        <v>49.1</v>
      </c>
      <c r="U16" s="18">
        <f t="shared" ca="1" si="3"/>
        <v>67.407692307692301</v>
      </c>
      <c r="V16" s="27"/>
      <c r="W16" s="27"/>
      <c r="X16" s="19">
        <f t="shared" si="6"/>
        <v>45323</v>
      </c>
      <c r="Y16" s="18">
        <f ca="1">IFERROR(AVERAGE(INDIRECT("H" &amp; $O16):INDIRECT("H" &amp; $P16)),"")</f>
        <v>18.392307692307693</v>
      </c>
      <c r="Z16" s="35">
        <f ca="1">IFERROR(MAX(INDIRECT("I" &amp; $O16):INDIRECT("I" &amp; $P16)),"")</f>
        <v>31.4</v>
      </c>
      <c r="AA16" s="35">
        <f ca="1">IFERROR(MIN(INDIRECT("J" &amp; $O16):INDIRECT("J" &amp; $P16)),"")</f>
        <v>6.2</v>
      </c>
      <c r="AB16" s="18">
        <f t="shared" ca="1" si="4"/>
        <v>18.692307692307693</v>
      </c>
    </row>
    <row r="17" spans="1:28" x14ac:dyDescent="0.25">
      <c r="A17" s="10">
        <v>45312</v>
      </c>
      <c r="B17" s="11">
        <v>0.95833333333333337</v>
      </c>
      <c r="C17" s="22">
        <v>45312.958333333336</v>
      </c>
      <c r="D17" s="12">
        <v>65.400000000000006</v>
      </c>
      <c r="E17" s="12">
        <v>70.400000000000006</v>
      </c>
      <c r="F17" s="12">
        <v>55.5</v>
      </c>
      <c r="G17" s="12" t="s">
        <v>6</v>
      </c>
      <c r="H17" s="12">
        <v>17.399999999999999</v>
      </c>
      <c r="I17" s="12">
        <v>33.1</v>
      </c>
      <c r="J17" s="13">
        <v>11.5</v>
      </c>
      <c r="K17" t="s">
        <v>6</v>
      </c>
      <c r="L17">
        <v>195</v>
      </c>
      <c r="N17" s="35" t="s">
        <v>32</v>
      </c>
      <c r="O17" s="35">
        <f t="shared" ca="1" si="1"/>
        <v>125</v>
      </c>
      <c r="P17" s="35">
        <f t="shared" ca="1" si="2"/>
        <v>133</v>
      </c>
      <c r="Q17" s="19">
        <f t="shared" si="5"/>
        <v>45324</v>
      </c>
      <c r="R17" s="18">
        <f ca="1">IFERROR(AVERAGE(INDIRECT("D" &amp; $O17):INDIRECT("D" &amp; $P17)),"")</f>
        <v>66.188888888888897</v>
      </c>
      <c r="S17" s="35">
        <f ca="1">IFERROR(MAX(INDIRECT("E" &amp; $O17):INDIRECT("E" &amp; $P17)),"")</f>
        <v>74.8</v>
      </c>
      <c r="T17" s="35">
        <f ca="1">IFERROR(MIN(INDIRECT("F" &amp; $O17):INDIRECT("F" &amp; $P17)),"")</f>
        <v>50.9</v>
      </c>
      <c r="U17" s="18">
        <f t="shared" ca="1" si="3"/>
        <v>67.188888888888897</v>
      </c>
      <c r="V17" s="28"/>
      <c r="W17" s="28"/>
      <c r="X17" s="19">
        <f t="shared" si="6"/>
        <v>45324</v>
      </c>
      <c r="Y17" s="18">
        <f ca="1">IFERROR(AVERAGE(INDIRECT("H" &amp; $O17):INDIRECT("H" &amp; $P17)),"")</f>
        <v>18.533333333333331</v>
      </c>
      <c r="Z17" s="35">
        <f ca="1">IFERROR(MAX(INDIRECT("I" &amp; $O17):INDIRECT("I" &amp; $P17)),"")</f>
        <v>30.8</v>
      </c>
      <c r="AA17" s="35">
        <f ca="1">IFERROR(MIN(INDIRECT("J" &amp; $O17):INDIRECT("J" &amp; $P17)),"")</f>
        <v>8</v>
      </c>
      <c r="AB17" s="18">
        <f t="shared" ca="1" si="4"/>
        <v>18.833333333333332</v>
      </c>
    </row>
    <row r="18" spans="1:28" x14ac:dyDescent="0.25">
      <c r="A18" s="10">
        <v>45313</v>
      </c>
      <c r="B18" s="11">
        <v>0</v>
      </c>
      <c r="C18" s="22">
        <v>45313</v>
      </c>
      <c r="D18" s="12">
        <v>65.400000000000006</v>
      </c>
      <c r="E18" s="12">
        <v>74.7</v>
      </c>
      <c r="F18" s="12">
        <v>55.8</v>
      </c>
      <c r="G18" s="12" t="s">
        <v>6</v>
      </c>
      <c r="H18" s="12">
        <v>16.899999999999999</v>
      </c>
      <c r="I18" s="12">
        <v>26.7</v>
      </c>
      <c r="J18" s="13">
        <v>8.3000000000000007</v>
      </c>
      <c r="K18" t="s">
        <v>6</v>
      </c>
      <c r="L18">
        <v>214</v>
      </c>
      <c r="N18" s="35" t="s">
        <v>33</v>
      </c>
      <c r="O18" s="35">
        <f t="shared" ca="1" si="1"/>
        <v>134</v>
      </c>
      <c r="P18" s="35">
        <f t="shared" ca="1" si="2"/>
        <v>145</v>
      </c>
      <c r="Q18" s="19">
        <f t="shared" si="5"/>
        <v>45325</v>
      </c>
      <c r="R18" s="18">
        <f ca="1">IFERROR(AVERAGE(INDIRECT("D" &amp; $O18):INDIRECT("D" &amp; $P18)),"")</f>
        <v>71.908333333333331</v>
      </c>
      <c r="S18" s="35">
        <f ca="1">IFERROR(MAX(INDIRECT("E" &amp; $O18):INDIRECT("E" &amp; $P18)),"")</f>
        <v>84.8</v>
      </c>
      <c r="T18" s="35">
        <f ca="1">IFERROR(MIN(INDIRECT("F" &amp; $O18):INDIRECT("F" &amp; $P18)),"")</f>
        <v>56.5</v>
      </c>
      <c r="U18" s="18">
        <f t="shared" ca="1" si="3"/>
        <v>72.908333333333331</v>
      </c>
      <c r="V18" s="28"/>
      <c r="W18" s="28"/>
      <c r="X18" s="19">
        <f t="shared" si="6"/>
        <v>45325</v>
      </c>
      <c r="Y18" s="18">
        <f ca="1">IFERROR(AVERAGE(INDIRECT("H" &amp; $O18):INDIRECT("H" &amp; $P18)),"")</f>
        <v>17.299999999999997</v>
      </c>
      <c r="Z18" s="35">
        <f ca="1">IFERROR(MAX(INDIRECT("I" &amp; $O18):INDIRECT("I" &amp; $P18)),"")</f>
        <v>29.1</v>
      </c>
      <c r="AA18" s="35">
        <f ca="1">IFERROR(MIN(INDIRECT("J" &amp; $O18):INDIRECT("J" &amp; $P18)),"")</f>
        <v>4.7</v>
      </c>
      <c r="AB18" s="18">
        <f t="shared" ca="1" si="4"/>
        <v>17.599999999999998</v>
      </c>
    </row>
    <row r="19" spans="1:28" x14ac:dyDescent="0.25">
      <c r="A19" s="10">
        <v>45313</v>
      </c>
      <c r="B19" s="11">
        <v>4.1666666666666664E-2</v>
      </c>
      <c r="C19" s="22">
        <v>45313.041666666664</v>
      </c>
      <c r="D19" s="12">
        <v>67</v>
      </c>
      <c r="E19" s="12">
        <v>74.7</v>
      </c>
      <c r="F19" s="12">
        <v>60.2</v>
      </c>
      <c r="G19" s="12" t="s">
        <v>6</v>
      </c>
      <c r="H19" s="12">
        <v>16.2</v>
      </c>
      <c r="I19" s="12">
        <v>27.5</v>
      </c>
      <c r="J19" s="13">
        <v>7.4</v>
      </c>
      <c r="K19" t="s">
        <v>6</v>
      </c>
      <c r="L19">
        <v>213</v>
      </c>
      <c r="N19" s="35" t="s">
        <v>34</v>
      </c>
      <c r="O19" s="35">
        <f t="shared" ca="1" si="1"/>
        <v>146</v>
      </c>
      <c r="P19" s="35">
        <f t="shared" ca="1" si="2"/>
        <v>153</v>
      </c>
      <c r="Q19" s="19">
        <f t="shared" si="5"/>
        <v>45326</v>
      </c>
      <c r="R19" s="18">
        <f ca="1">IFERROR(AVERAGE(INDIRECT("D" &amp; $O19):INDIRECT("D" &amp; $P19)),"")</f>
        <v>69.037499999999994</v>
      </c>
      <c r="S19" s="35">
        <f ca="1">IFERROR(MAX(INDIRECT("E" &amp; $O19):INDIRECT("E" &amp; $P19)),"")</f>
        <v>83</v>
      </c>
      <c r="T19" s="35">
        <f ca="1">IFERROR(MIN(INDIRECT("F" &amp; $O19):INDIRECT("F" &amp; $P19)),"")</f>
        <v>52.4</v>
      </c>
      <c r="U19" s="18">
        <f t="shared" ca="1" si="3"/>
        <v>70.037499999999994</v>
      </c>
      <c r="V19" s="28"/>
      <c r="W19" s="28"/>
      <c r="X19" s="19">
        <f t="shared" si="6"/>
        <v>45326</v>
      </c>
      <c r="Y19" s="18">
        <f ca="1">IFERROR(AVERAGE(INDIRECT("H" &amp; $O19):INDIRECT("H" &amp; $P19)),"")</f>
        <v>16.974999999999998</v>
      </c>
      <c r="Z19" s="35">
        <f ca="1">IFERROR(MAX(INDIRECT("I" &amp; $O19):INDIRECT("I" &amp; $P19)),"")</f>
        <v>46.2</v>
      </c>
      <c r="AA19" s="35">
        <f ca="1">IFERROR(MIN(INDIRECT("J" &amp; $O19):INDIRECT("J" &amp; $P19)),"")</f>
        <v>5.9</v>
      </c>
      <c r="AB19" s="18">
        <f t="shared" ca="1" si="4"/>
        <v>17.274999999999999</v>
      </c>
    </row>
    <row r="20" spans="1:28" x14ac:dyDescent="0.25">
      <c r="A20" s="14">
        <v>45313</v>
      </c>
      <c r="B20" s="15">
        <v>8.3333333333333329E-2</v>
      </c>
      <c r="C20" s="20">
        <v>45313.083333333336</v>
      </c>
      <c r="D20" s="16">
        <v>70.8</v>
      </c>
      <c r="E20" s="16">
        <v>83.2</v>
      </c>
      <c r="F20" s="16">
        <v>62.2</v>
      </c>
      <c r="G20" s="16" t="s">
        <v>6</v>
      </c>
      <c r="H20" s="16">
        <v>15.8</v>
      </c>
      <c r="I20" s="16">
        <v>27.1</v>
      </c>
      <c r="J20" s="17">
        <v>7.7</v>
      </c>
      <c r="K20" t="s">
        <v>6</v>
      </c>
      <c r="L20">
        <v>189</v>
      </c>
      <c r="N20" s="35" t="s">
        <v>35</v>
      </c>
      <c r="O20" s="35">
        <f t="shared" ca="1" si="1"/>
        <v>154</v>
      </c>
      <c r="P20" s="35">
        <f t="shared" ca="1" si="2"/>
        <v>162</v>
      </c>
      <c r="Q20" s="19">
        <f t="shared" si="5"/>
        <v>45327</v>
      </c>
      <c r="R20" s="18">
        <f ca="1">IFERROR(AVERAGE(INDIRECT("D" &amp; $O20):INDIRECT("D" &amp; $P20)),"")</f>
        <v>70.800000000000011</v>
      </c>
      <c r="S20" s="35">
        <f ca="1">IFERROR(MAX(INDIRECT("E" &amp; $O20):INDIRECT("E" &amp; $P20)),"")</f>
        <v>83.9</v>
      </c>
      <c r="T20" s="35">
        <f ca="1">IFERROR(MIN(INDIRECT("F" &amp; $O20):INDIRECT("F" &amp; $P20)),"")</f>
        <v>49.6</v>
      </c>
      <c r="U20" s="18">
        <f t="shared" ca="1" si="3"/>
        <v>71.800000000000011</v>
      </c>
      <c r="V20" s="29"/>
      <c r="W20" s="29"/>
      <c r="X20" s="19">
        <f t="shared" si="6"/>
        <v>45327</v>
      </c>
      <c r="Y20" s="18">
        <f ca="1">IFERROR(AVERAGE(INDIRECT("H" &amp; $O20):INDIRECT("H" &amp; $P20)),"")</f>
        <v>16.166666666666668</v>
      </c>
      <c r="Z20" s="35">
        <f ca="1">IFERROR(MAX(INDIRECT("I" &amp; $O20):INDIRECT("I" &amp; $P20)),"")</f>
        <v>35.799999999999997</v>
      </c>
      <c r="AA20" s="35">
        <f ca="1">IFERROR(MIN(INDIRECT("J" &amp; $O20):INDIRECT("J" &amp; $P20)),"")</f>
        <v>7.6</v>
      </c>
      <c r="AB20" s="18">
        <f t="shared" ca="1" si="4"/>
        <v>16.466666666666669</v>
      </c>
    </row>
    <row r="21" spans="1:28" x14ac:dyDescent="0.25">
      <c r="A21" s="6">
        <v>45313</v>
      </c>
      <c r="B21" s="7">
        <v>0.83333333333333337</v>
      </c>
      <c r="C21" s="21">
        <v>45313.833333333336</v>
      </c>
      <c r="D21" s="8">
        <v>63.9</v>
      </c>
      <c r="E21" s="8">
        <v>72.3</v>
      </c>
      <c r="F21" s="8">
        <v>58.2</v>
      </c>
      <c r="G21" s="8" t="s">
        <v>6</v>
      </c>
      <c r="H21" s="8">
        <v>17.100000000000001</v>
      </c>
      <c r="I21" s="8">
        <v>22.3</v>
      </c>
      <c r="J21" s="9">
        <v>9.1</v>
      </c>
      <c r="K21" s="23" t="s">
        <v>6</v>
      </c>
      <c r="L21" s="23">
        <v>19</v>
      </c>
      <c r="N21" s="35" t="s">
        <v>36</v>
      </c>
      <c r="O21" s="35">
        <f t="shared" ca="1" si="1"/>
        <v>163</v>
      </c>
      <c r="P21" s="35">
        <f t="shared" ca="1" si="2"/>
        <v>173</v>
      </c>
      <c r="Q21" s="19">
        <f t="shared" si="5"/>
        <v>45328</v>
      </c>
      <c r="R21" s="18">
        <f ca="1">IFERROR(AVERAGE(INDIRECT("D" &amp; $O21):INDIRECT("D" &amp; $P21)),"")</f>
        <v>71.61818181818181</v>
      </c>
      <c r="S21" s="35">
        <f ca="1">IFERROR(MAX(INDIRECT("E" &amp; $O21):INDIRECT("E" &amp; $P21)),"")</f>
        <v>85.2</v>
      </c>
      <c r="T21" s="35">
        <f ca="1">IFERROR(MIN(INDIRECT("F" &amp; $O21):INDIRECT("F" &amp; $P21)),"")</f>
        <v>49.1</v>
      </c>
      <c r="U21" s="18">
        <f t="shared" ca="1" si="3"/>
        <v>72.61818181818181</v>
      </c>
      <c r="V21" s="30"/>
      <c r="W21" s="30"/>
      <c r="X21" s="19">
        <f t="shared" si="6"/>
        <v>45328</v>
      </c>
      <c r="Y21" s="18">
        <f ca="1">IFERROR(AVERAGE(INDIRECT("H" &amp; $O21):INDIRECT("H" &amp; $P21)),"")</f>
        <v>17.227272727272734</v>
      </c>
      <c r="Z21" s="35">
        <f ca="1">IFERROR(MAX(INDIRECT("I" &amp; $O21):INDIRECT("I" &amp; $P21)),"")</f>
        <v>29.4</v>
      </c>
      <c r="AA21" s="35">
        <f ca="1">IFERROR(MIN(INDIRECT("J" &amp; $O21):INDIRECT("J" &amp; $P21)),"")</f>
        <v>5.0999999999999996</v>
      </c>
      <c r="AB21" s="18">
        <f t="shared" ca="1" si="4"/>
        <v>17.527272727272734</v>
      </c>
    </row>
    <row r="22" spans="1:28" x14ac:dyDescent="0.25">
      <c r="A22" s="10">
        <v>45313</v>
      </c>
      <c r="B22" s="11">
        <v>0.875</v>
      </c>
      <c r="C22" s="22">
        <v>45313.875</v>
      </c>
      <c r="D22" s="12">
        <v>61.8</v>
      </c>
      <c r="E22" s="12">
        <v>67.599999999999994</v>
      </c>
      <c r="F22" s="12">
        <v>52.3</v>
      </c>
      <c r="G22" s="12" t="s">
        <v>6</v>
      </c>
      <c r="H22" s="12">
        <v>18.2</v>
      </c>
      <c r="I22" s="12">
        <v>31.4</v>
      </c>
      <c r="J22" s="13">
        <v>12</v>
      </c>
      <c r="K22" s="23" t="s">
        <v>6</v>
      </c>
      <c r="L22" s="23">
        <v>223</v>
      </c>
      <c r="N22" s="35" t="s">
        <v>37</v>
      </c>
      <c r="O22" s="35">
        <f t="shared" ca="1" si="1"/>
        <v>174</v>
      </c>
      <c r="P22" s="35">
        <f t="shared" ca="1" si="2"/>
        <v>182</v>
      </c>
      <c r="Q22" s="19">
        <f t="shared" si="5"/>
        <v>45329</v>
      </c>
      <c r="R22" s="18">
        <f ca="1">IFERROR(AVERAGE(INDIRECT("D" &amp; $O22):INDIRECT("D" &amp; $P22)),"")</f>
        <v>70.744444444444454</v>
      </c>
      <c r="S22" s="35">
        <f ca="1">IFERROR(MAX(INDIRECT("E" &amp; $O22):INDIRECT("E" &amp; $P22)),"")</f>
        <v>83.2</v>
      </c>
      <c r="T22" s="35">
        <f ca="1">IFERROR(MIN(INDIRECT("F" &amp; $O22):INDIRECT("F" &amp; $P22)),"")</f>
        <v>54.5</v>
      </c>
      <c r="U22" s="18">
        <f t="shared" ca="1" si="3"/>
        <v>71.744444444444454</v>
      </c>
      <c r="V22" s="31"/>
      <c r="W22" s="31"/>
      <c r="X22" s="19">
        <f t="shared" si="6"/>
        <v>45329</v>
      </c>
      <c r="Y22" s="18">
        <f ca="1">IFERROR(AVERAGE(INDIRECT("H" &amp; $O22):INDIRECT("H" &amp; $P22)),"")</f>
        <v>18.211111111111112</v>
      </c>
      <c r="Z22" s="35">
        <f ca="1">IFERROR(MAX(INDIRECT("I" &amp; $O22):INDIRECT("I" &amp; $P22)),"")</f>
        <v>33.6</v>
      </c>
      <c r="AA22" s="35">
        <f ca="1">IFERROR(MIN(INDIRECT("J" &amp; $O22):INDIRECT("J" &amp; $P22)),"")</f>
        <v>4.9000000000000004</v>
      </c>
      <c r="AB22" s="18">
        <f t="shared" ca="1" si="4"/>
        <v>18.511111111111113</v>
      </c>
    </row>
    <row r="23" spans="1:28" x14ac:dyDescent="0.25">
      <c r="A23" s="10">
        <v>45313</v>
      </c>
      <c r="B23" s="11">
        <v>0.91666666666666663</v>
      </c>
      <c r="C23" s="22">
        <v>45313.916666666664</v>
      </c>
      <c r="D23" s="12">
        <v>66.400000000000006</v>
      </c>
      <c r="E23" s="12">
        <v>73.599999999999994</v>
      </c>
      <c r="F23" s="12">
        <v>57.9</v>
      </c>
      <c r="G23" s="12" t="s">
        <v>6</v>
      </c>
      <c r="H23" s="12">
        <v>17.399999999999999</v>
      </c>
      <c r="I23" s="12">
        <v>27.7</v>
      </c>
      <c r="J23" s="13">
        <v>10</v>
      </c>
      <c r="K23" s="23" t="s">
        <v>6</v>
      </c>
      <c r="L23" s="23">
        <v>207</v>
      </c>
      <c r="N23" s="35" t="s">
        <v>37</v>
      </c>
      <c r="O23" s="35">
        <f t="shared" ca="1" si="1"/>
        <v>174</v>
      </c>
      <c r="P23" s="35">
        <f t="shared" ca="1" si="2"/>
        <v>182</v>
      </c>
      <c r="Q23" s="19">
        <f t="shared" si="5"/>
        <v>45330</v>
      </c>
      <c r="R23" s="18">
        <f ca="1">IFERROR(AVERAGE(INDIRECT("D" &amp; $O23):INDIRECT("D" &amp; $P23)),"")</f>
        <v>70.744444444444454</v>
      </c>
      <c r="S23" s="35">
        <f ca="1">IFERROR(MAX(INDIRECT("E" &amp; $O23):INDIRECT("E" &amp; $P23)),"")</f>
        <v>83.2</v>
      </c>
      <c r="T23" s="35">
        <f ca="1">IFERROR(MIN(INDIRECT("F" &amp; $O23):INDIRECT("F" &amp; $P23)),"")</f>
        <v>54.5</v>
      </c>
      <c r="U23" s="18">
        <f t="shared" ca="1" si="3"/>
        <v>71.744444444444454</v>
      </c>
      <c r="V23" s="32"/>
      <c r="W23" s="32"/>
      <c r="X23" s="19">
        <f t="shared" si="6"/>
        <v>45330</v>
      </c>
      <c r="Y23" s="18">
        <f ca="1">IFERROR(AVERAGE(INDIRECT("H" &amp; $O23):INDIRECT("H" &amp; $P23)),"")</f>
        <v>18.211111111111112</v>
      </c>
      <c r="Z23" s="35">
        <f ca="1">IFERROR(MAX(INDIRECT("I" &amp; $O23):INDIRECT("I" &amp; $P23)),"")</f>
        <v>33.6</v>
      </c>
      <c r="AA23" s="35">
        <f ca="1">IFERROR(MIN(INDIRECT("J" &amp; $O23):INDIRECT("J" &amp; $P23)),"")</f>
        <v>4.9000000000000004</v>
      </c>
      <c r="AB23" s="18">
        <f t="shared" ca="1" si="4"/>
        <v>18.511111111111113</v>
      </c>
    </row>
    <row r="24" spans="1:28" x14ac:dyDescent="0.25">
      <c r="A24" s="10">
        <v>45313</v>
      </c>
      <c r="B24" s="11">
        <v>0.95833333333333337</v>
      </c>
      <c r="C24" s="22">
        <v>45313.958333333336</v>
      </c>
      <c r="D24" s="12">
        <v>67.5</v>
      </c>
      <c r="E24" s="12">
        <v>74.3</v>
      </c>
      <c r="F24" s="12">
        <v>59.5</v>
      </c>
      <c r="G24" s="12" t="s">
        <v>6</v>
      </c>
      <c r="H24" s="12">
        <v>15.7</v>
      </c>
      <c r="I24" s="12">
        <v>25.1</v>
      </c>
      <c r="J24" s="13">
        <v>9.6999999999999993</v>
      </c>
      <c r="K24" s="23" t="s">
        <v>6</v>
      </c>
      <c r="L24" s="23">
        <v>156</v>
      </c>
      <c r="N24" s="35" t="s">
        <v>38</v>
      </c>
      <c r="O24" s="35">
        <f t="shared" ca="1" si="1"/>
        <v>183</v>
      </c>
      <c r="P24" s="35">
        <f t="shared" ca="1" si="2"/>
        <v>190</v>
      </c>
      <c r="Q24" s="19">
        <f t="shared" si="5"/>
        <v>45331</v>
      </c>
      <c r="R24" s="18">
        <f ca="1">IFERROR(AVERAGE(INDIRECT("D" &amp; $O24):INDIRECT("D" &amp; $P24)),"")</f>
        <v>70.8</v>
      </c>
      <c r="S24" s="35">
        <f ca="1">IFERROR(MAX(INDIRECT("E" &amp; $O24):INDIRECT("E" &amp; $P24)),"")</f>
        <v>85.1</v>
      </c>
      <c r="T24" s="35">
        <f ca="1">IFERROR(MIN(INDIRECT("F" &amp; $O24):INDIRECT("F" &amp; $P24)),"")</f>
        <v>51</v>
      </c>
      <c r="U24" s="18">
        <f t="shared" ca="1" si="3"/>
        <v>71.8</v>
      </c>
      <c r="V24" s="33"/>
      <c r="W24" s="33"/>
      <c r="X24" s="19">
        <f t="shared" si="6"/>
        <v>45331</v>
      </c>
      <c r="Y24" s="18">
        <f ca="1">IFERROR(AVERAGE(INDIRECT("H" &amp; $O24):INDIRECT("H" &amp; $P24)),"")</f>
        <v>17.324999999999999</v>
      </c>
      <c r="Z24" s="35">
        <f ca="1">IFERROR(MAX(INDIRECT("I" &amp; $O24):INDIRECT("I" &amp; $P24)),"")</f>
        <v>29</v>
      </c>
      <c r="AA24" s="35">
        <f ca="1">IFERROR(MIN(INDIRECT("J" &amp; $O24):INDIRECT("J" &amp; $P24)),"")</f>
        <v>7.6</v>
      </c>
      <c r="AB24" s="18">
        <f t="shared" ca="1" si="4"/>
        <v>17.625</v>
      </c>
    </row>
    <row r="25" spans="1:28" x14ac:dyDescent="0.25">
      <c r="A25" s="10">
        <v>45314</v>
      </c>
      <c r="B25" s="11">
        <v>0.20833333333333334</v>
      </c>
      <c r="C25" s="22">
        <v>45314.208333333336</v>
      </c>
      <c r="D25" s="12">
        <v>55.5</v>
      </c>
      <c r="E25" s="12">
        <v>69.2</v>
      </c>
      <c r="F25" s="12">
        <v>45.1</v>
      </c>
      <c r="G25" s="12" t="s">
        <v>6</v>
      </c>
      <c r="H25" s="12">
        <v>21.3</v>
      </c>
      <c r="I25" s="12">
        <v>23.2</v>
      </c>
      <c r="J25" s="13">
        <v>19.899999999999999</v>
      </c>
      <c r="K25" s="23" t="s">
        <v>6</v>
      </c>
      <c r="L25" s="23">
        <v>13</v>
      </c>
      <c r="N25" s="35" t="s">
        <v>39</v>
      </c>
      <c r="O25" s="35">
        <f t="shared" ca="1" si="1"/>
        <v>191</v>
      </c>
      <c r="P25" s="35">
        <f t="shared" ca="1" si="2"/>
        <v>201</v>
      </c>
      <c r="Q25" s="19">
        <f t="shared" si="5"/>
        <v>45332</v>
      </c>
      <c r="R25" s="18">
        <f ca="1">IFERROR(AVERAGE(INDIRECT("D" &amp; $O25):INDIRECT("D" &amp; $P25)),"")</f>
        <v>70.290909090909096</v>
      </c>
      <c r="S25" s="35">
        <f ca="1">IFERROR(MAX(INDIRECT("E" &amp; $O25):INDIRECT("E" &amp; $P25)),"")</f>
        <v>84.8</v>
      </c>
      <c r="T25" s="35">
        <f ca="1">IFERROR(MIN(INDIRECT("F" &amp; $O25):INDIRECT("F" &amp; $P25)),"")</f>
        <v>56.8</v>
      </c>
      <c r="U25" s="18">
        <f t="shared" ca="1" si="3"/>
        <v>71.290909090909096</v>
      </c>
      <c r="V25" s="33"/>
      <c r="W25" s="33"/>
      <c r="X25" s="19">
        <f t="shared" si="6"/>
        <v>45332</v>
      </c>
      <c r="Y25" s="18">
        <f ca="1">IFERROR(AVERAGE(INDIRECT("H" &amp; $O25):INDIRECT("H" &amp; $P25)),"")</f>
        <v>15.799999999999999</v>
      </c>
      <c r="Z25" s="35">
        <f ca="1">IFERROR(MAX(INDIRECT("I" &amp; $O25):INDIRECT("I" &amp; $P25)),"")</f>
        <v>28.7</v>
      </c>
      <c r="AA25" s="35">
        <f ca="1">IFERROR(MIN(INDIRECT("J" &amp; $O25):INDIRECT("J" &amp; $P25)),"")</f>
        <v>4.2</v>
      </c>
      <c r="AB25" s="18">
        <f t="shared" ca="1" si="4"/>
        <v>16.099999999999998</v>
      </c>
    </row>
    <row r="26" spans="1:28" x14ac:dyDescent="0.25">
      <c r="A26" s="10">
        <v>45314</v>
      </c>
      <c r="B26" s="11">
        <v>0.25</v>
      </c>
      <c r="C26" s="22">
        <v>45314.25</v>
      </c>
      <c r="D26" s="12">
        <v>59.1</v>
      </c>
      <c r="E26" s="12">
        <v>67</v>
      </c>
      <c r="F26" s="12">
        <v>49.4</v>
      </c>
      <c r="G26" s="12" t="s">
        <v>6</v>
      </c>
      <c r="H26" s="12">
        <v>25.2</v>
      </c>
      <c r="I26" s="12">
        <v>47.9</v>
      </c>
      <c r="J26" s="13">
        <v>8.8000000000000007</v>
      </c>
      <c r="K26" s="23" t="s">
        <v>6</v>
      </c>
      <c r="L26" s="23">
        <v>165</v>
      </c>
      <c r="N26" s="35" t="s">
        <v>40</v>
      </c>
      <c r="O26" s="35">
        <f t="shared" ca="1" si="1"/>
        <v>202</v>
      </c>
      <c r="P26" s="35">
        <f t="shared" ca="1" si="2"/>
        <v>206</v>
      </c>
      <c r="Q26" s="19">
        <f t="shared" si="5"/>
        <v>45333</v>
      </c>
      <c r="R26" s="18">
        <f ca="1">IFERROR(AVERAGE(INDIRECT("D" &amp; $O26):INDIRECT("D" &amp; $P26)),"")</f>
        <v>73.5</v>
      </c>
      <c r="S26" s="35">
        <f ca="1">IFERROR(MAX(INDIRECT("E" &amp; $O26):INDIRECT("E" &amp; $P26)),"")</f>
        <v>91.6</v>
      </c>
      <c r="T26" s="35">
        <f ca="1">IFERROR(MIN(INDIRECT("F" &amp; $O26):INDIRECT("F" &amp; $P26)),"")</f>
        <v>53.1</v>
      </c>
      <c r="U26" s="18">
        <f t="shared" ca="1" si="3"/>
        <v>74.5</v>
      </c>
      <c r="V26" s="33"/>
      <c r="W26" s="33"/>
      <c r="X26" s="19">
        <f t="shared" si="6"/>
        <v>45333</v>
      </c>
      <c r="Y26" s="18">
        <f ca="1">IFERROR(AVERAGE(INDIRECT("H" &amp; $O26):INDIRECT("H" &amp; $P26)),"")</f>
        <v>16.279999999999998</v>
      </c>
      <c r="Z26" s="35">
        <f ca="1">IFERROR(MAX(INDIRECT("I" &amp; $O26):INDIRECT("I" &amp; $P26)),"")</f>
        <v>28.3</v>
      </c>
      <c r="AA26" s="35">
        <f ca="1">IFERROR(MIN(INDIRECT("J" &amp; $O26):INDIRECT("J" &amp; $P26)),"")</f>
        <v>3.5</v>
      </c>
      <c r="AB26" s="18">
        <f t="shared" ca="1" si="4"/>
        <v>16.579999999999998</v>
      </c>
    </row>
    <row r="27" spans="1:28" x14ac:dyDescent="0.25">
      <c r="A27" s="10">
        <v>45314</v>
      </c>
      <c r="B27" s="11">
        <v>0.29166666666666669</v>
      </c>
      <c r="C27" s="22">
        <v>45314.291666666664</v>
      </c>
      <c r="D27" s="12">
        <v>62.2</v>
      </c>
      <c r="E27" s="12">
        <v>64.8</v>
      </c>
      <c r="F27" s="12">
        <v>60.8</v>
      </c>
      <c r="G27" s="12" t="s">
        <v>6</v>
      </c>
      <c r="H27" s="12">
        <v>5.4</v>
      </c>
      <c r="I27" s="12">
        <v>6.3</v>
      </c>
      <c r="J27" s="13">
        <v>3.8</v>
      </c>
      <c r="K27" s="23" t="s">
        <v>6</v>
      </c>
      <c r="L27" s="23">
        <v>3</v>
      </c>
      <c r="P27" s="35"/>
      <c r="Q27" s="19">
        <f t="shared" si="5"/>
        <v>45334</v>
      </c>
      <c r="R27" s="18" t="str">
        <f ca="1">IFERROR(AVERAGE(INDIRECT("D" &amp; $O27):INDIRECT("D" &amp; $P27)),"")</f>
        <v/>
      </c>
      <c r="S27" s="35" t="str">
        <f ca="1">IFERROR(MAX(INDIRECT("E" &amp; $O27):INDIRECT("E" &amp; $P27)),"")</f>
        <v/>
      </c>
      <c r="T27" s="35" t="str">
        <f ca="1">IFERROR(MIN(INDIRECT("F" &amp; $O27):INDIRECT("F" &amp; $P27)),"")</f>
        <v/>
      </c>
      <c r="U27" s="18"/>
      <c r="V27" s="34"/>
      <c r="W27" s="34"/>
      <c r="X27" s="19">
        <f t="shared" si="6"/>
        <v>45334</v>
      </c>
      <c r="Y27" s="18" t="str">
        <f ca="1">IFERROR(AVERAGE(INDIRECT("H" &amp; $O27):INDIRECT("H" &amp; $P27)),"")</f>
        <v/>
      </c>
      <c r="Z27" s="35" t="str">
        <f ca="1">IFERROR(MAX(INDIRECT("I" &amp; $O27):INDIRECT("I" &amp; $P27)),"")</f>
        <v/>
      </c>
      <c r="AA27" s="35" t="str">
        <f ca="1">IFERROR(MIN(INDIRECT("J" &amp; $O27):INDIRECT("J" &amp; $P27)),"")</f>
        <v/>
      </c>
      <c r="AB27" s="18"/>
    </row>
    <row r="28" spans="1:28" x14ac:dyDescent="0.25">
      <c r="A28" s="6">
        <v>45314</v>
      </c>
      <c r="B28" s="7">
        <v>0.83333333333333337</v>
      </c>
      <c r="C28" s="21">
        <v>45314.833333333336</v>
      </c>
      <c r="D28" s="8">
        <v>60.5</v>
      </c>
      <c r="E28" s="8">
        <v>64.8</v>
      </c>
      <c r="F28" s="8">
        <v>54.8</v>
      </c>
      <c r="G28" s="8" t="s">
        <v>6</v>
      </c>
      <c r="H28" s="8">
        <v>19.899999999999999</v>
      </c>
      <c r="I28" s="8">
        <v>25.4</v>
      </c>
      <c r="J28" s="8">
        <v>8.3000000000000007</v>
      </c>
      <c r="K28" s="8" t="s">
        <v>6</v>
      </c>
      <c r="L28" s="9">
        <v>46</v>
      </c>
      <c r="M28" s="12"/>
      <c r="N28" s="12" t="s">
        <v>41</v>
      </c>
      <c r="O28" s="35">
        <f t="shared" ca="1" si="1"/>
        <v>207</v>
      </c>
      <c r="P28" s="35">
        <f t="shared" ca="1" si="2"/>
        <v>217</v>
      </c>
      <c r="Q28" s="19">
        <f t="shared" si="5"/>
        <v>45335</v>
      </c>
      <c r="R28" s="18">
        <f ca="1">IFERROR(AVERAGE(INDIRECT("D" &amp; $O28):INDIRECT("D" &amp; $P28)),"")</f>
        <v>69.590909090909093</v>
      </c>
      <c r="S28" s="35">
        <f ca="1">IFERROR(MAX(INDIRECT("E" &amp; $O28):INDIRECT("E" &amp; $P28)),"")</f>
        <v>84.8</v>
      </c>
      <c r="T28" s="35">
        <f ca="1">IFERROR(MIN(INDIRECT("F" &amp; $O28):INDIRECT("F" &amp; $P28)),"")</f>
        <v>50.9</v>
      </c>
      <c r="U28" s="18">
        <f t="shared" ca="1" si="3"/>
        <v>70.590909090909093</v>
      </c>
      <c r="V28" s="34"/>
      <c r="W28" s="34"/>
      <c r="X28" s="19">
        <f t="shared" si="6"/>
        <v>45335</v>
      </c>
      <c r="Y28" s="18">
        <f ca="1">IFERROR(AVERAGE(INDIRECT("H" &amp; $O28):INDIRECT("H" &amp; $P28)),"")</f>
        <v>17.490909090909092</v>
      </c>
      <c r="Z28" s="35">
        <f ca="1">IFERROR(MAX(INDIRECT("I" &amp; $O28):INDIRECT("I" &amp; $P28)),"")</f>
        <v>26.7</v>
      </c>
      <c r="AA28" s="35">
        <f ca="1">IFERROR(MIN(INDIRECT("J" &amp; $O28):INDIRECT("J" &amp; $P28)),"")</f>
        <v>8.6</v>
      </c>
      <c r="AB28" s="18">
        <f t="shared" ca="1" si="4"/>
        <v>17.790909090909093</v>
      </c>
    </row>
    <row r="29" spans="1:28" x14ac:dyDescent="0.25">
      <c r="A29" s="10">
        <v>45314</v>
      </c>
      <c r="B29" s="11">
        <v>0.875</v>
      </c>
      <c r="C29" s="22">
        <v>45314.875</v>
      </c>
      <c r="D29" s="12">
        <v>64.2</v>
      </c>
      <c r="E29" s="12">
        <v>72.5</v>
      </c>
      <c r="F29" s="12">
        <v>53.2</v>
      </c>
      <c r="G29" s="12" t="s">
        <v>6</v>
      </c>
      <c r="H29" s="12">
        <v>18.899999999999999</v>
      </c>
      <c r="I29" s="12">
        <v>24.4</v>
      </c>
      <c r="J29" s="12">
        <v>12.8</v>
      </c>
      <c r="K29" s="12" t="s">
        <v>6</v>
      </c>
      <c r="L29" s="13">
        <v>219</v>
      </c>
      <c r="M29" s="12"/>
      <c r="N29" s="12" t="s">
        <v>42</v>
      </c>
      <c r="O29" s="36">
        <f t="shared" ref="O29" ca="1" si="7">MIN(ROW(INDIRECT(N29)))</f>
        <v>218</v>
      </c>
      <c r="P29" s="36">
        <f t="shared" ref="P29" ca="1" si="8">MIN(ROW(INDIRECT(N29))) + ROWS(INDIRECT(N29)) -1</f>
        <v>220</v>
      </c>
      <c r="Q29" s="19">
        <f t="shared" si="5"/>
        <v>45336</v>
      </c>
      <c r="R29" s="18">
        <f ca="1">IFERROR(AVERAGE(INDIRECT("D" &amp; $O29):INDIRECT("D" &amp; $P29)),"")</f>
        <v>63.533333333333331</v>
      </c>
      <c r="S29" s="36">
        <f ca="1">IFERROR(MAX(INDIRECT("E" &amp; $O29):INDIRECT("E" &amp; $P29)),"")</f>
        <v>73.400000000000006</v>
      </c>
      <c r="T29" s="36">
        <f ca="1">IFERROR(MIN(INDIRECT("F" &amp; $O29):INDIRECT("F" &amp; $P29)),"")</f>
        <v>54.4</v>
      </c>
      <c r="U29" s="18">
        <f t="shared" ref="U29" ca="1" si="9">R29+1</f>
        <v>64.533333333333331</v>
      </c>
      <c r="V29" s="36"/>
      <c r="W29" s="36"/>
      <c r="X29" s="19">
        <f t="shared" si="6"/>
        <v>45336</v>
      </c>
      <c r="Y29" s="18">
        <f ca="1">IFERROR(AVERAGE(INDIRECT("H" &amp; $O29):INDIRECT("H" &amp; $P29)),"")</f>
        <v>19.5</v>
      </c>
      <c r="Z29" s="36">
        <f ca="1">IFERROR(MAX(INDIRECT("I" &amp; $O29):INDIRECT("I" &amp; $P29)),"")</f>
        <v>28.2</v>
      </c>
      <c r="AA29" s="36">
        <f ca="1">IFERROR(MIN(INDIRECT("J" &amp; $O29):INDIRECT("J" &amp; $P29)),"")</f>
        <v>9.5</v>
      </c>
      <c r="AB29" s="18">
        <f t="shared" ref="AB29" ca="1" si="10">Y29+0.3</f>
        <v>19.8</v>
      </c>
    </row>
    <row r="30" spans="1:28" x14ac:dyDescent="0.25">
      <c r="A30" s="10">
        <v>45314</v>
      </c>
      <c r="B30" s="11">
        <v>0.91666666666666663</v>
      </c>
      <c r="C30" s="22">
        <v>45314.916666666664</v>
      </c>
      <c r="D30" s="12">
        <v>64.900000000000006</v>
      </c>
      <c r="E30" s="12">
        <v>69.400000000000006</v>
      </c>
      <c r="F30" s="12">
        <v>59.3</v>
      </c>
      <c r="G30" s="12" t="s">
        <v>6</v>
      </c>
      <c r="H30" s="12">
        <v>15.4</v>
      </c>
      <c r="I30" s="12">
        <v>30.5</v>
      </c>
      <c r="J30" s="12">
        <v>10.199999999999999</v>
      </c>
      <c r="K30" s="12" t="s">
        <v>6</v>
      </c>
      <c r="L30" s="13">
        <v>142</v>
      </c>
      <c r="M30" s="12"/>
      <c r="N30" s="12" t="s">
        <v>43</v>
      </c>
      <c r="O30" s="37">
        <f t="shared" ref="O30" ca="1" si="11">MIN(ROW(INDIRECT(N30)))</f>
        <v>221</v>
      </c>
      <c r="P30" s="37">
        <f t="shared" ref="P30" ca="1" si="12">MIN(ROW(INDIRECT(N30))) + ROWS(INDIRECT(N30)) -1</f>
        <v>222</v>
      </c>
      <c r="Q30" s="19">
        <f t="shared" si="5"/>
        <v>45337</v>
      </c>
      <c r="R30" s="18">
        <f ca="1">IFERROR(AVERAGE(INDIRECT("D" &amp; $O30):INDIRECT("D" &amp; $P30)),"")</f>
        <v>67</v>
      </c>
      <c r="S30" s="37">
        <f ca="1">IFERROR(MAX(INDIRECT("E" &amp; $O30):INDIRECT("E" &amp; $P30)),"")</f>
        <v>68.8</v>
      </c>
      <c r="T30" s="37">
        <f ca="1">IFERROR(MIN(INDIRECT("F" &amp; $O30):INDIRECT("F" &amp; $P30)),"")</f>
        <v>64.599999999999994</v>
      </c>
      <c r="U30" s="18">
        <f t="shared" ref="U30" ca="1" si="13">R30+1</f>
        <v>68</v>
      </c>
      <c r="V30" s="37"/>
      <c r="W30" s="37"/>
      <c r="X30" s="19">
        <f t="shared" si="6"/>
        <v>45337</v>
      </c>
      <c r="Y30" s="18">
        <f ca="1">IFERROR(AVERAGE(INDIRECT("H" &amp; $O30):INDIRECT("H" &amp; $P30)),"")</f>
        <v>6.45</v>
      </c>
      <c r="Z30" s="37">
        <f ca="1">IFERROR(MAX(INDIRECT("I" &amp; $O30):INDIRECT("I" &amp; $P30)),"")</f>
        <v>11.1</v>
      </c>
      <c r="AA30" s="37">
        <f ca="1">IFERROR(MIN(INDIRECT("J" &amp; $O30):INDIRECT("J" &amp; $P30)),"")</f>
        <v>2.5</v>
      </c>
      <c r="AB30" s="18">
        <f t="shared" ref="AB30" ca="1" si="14">Y30+0.3</f>
        <v>6.75</v>
      </c>
    </row>
    <row r="31" spans="1:28" x14ac:dyDescent="0.25">
      <c r="A31" s="10">
        <v>45315</v>
      </c>
      <c r="B31" s="11">
        <v>0</v>
      </c>
      <c r="C31" s="22">
        <v>45315</v>
      </c>
      <c r="D31" s="12">
        <v>62.6</v>
      </c>
      <c r="E31" s="12">
        <v>68.900000000000006</v>
      </c>
      <c r="F31" s="12">
        <v>56.3</v>
      </c>
      <c r="G31" s="12" t="s">
        <v>6</v>
      </c>
      <c r="H31" s="12">
        <v>20.7</v>
      </c>
      <c r="I31" s="12">
        <v>26.2</v>
      </c>
      <c r="J31" s="12">
        <v>11.8</v>
      </c>
      <c r="K31" s="12" t="s">
        <v>6</v>
      </c>
      <c r="L31" s="13">
        <v>102</v>
      </c>
      <c r="M31" s="12"/>
      <c r="N31" s="12" t="s">
        <v>44</v>
      </c>
      <c r="O31" s="38">
        <f t="shared" ref="O31:O32" ca="1" si="15">MIN(ROW(INDIRECT(N31)))</f>
        <v>223</v>
      </c>
      <c r="P31" s="38">
        <f t="shared" ref="P31:P32" ca="1" si="16">MIN(ROW(INDIRECT(N31))) + ROWS(INDIRECT(N31)) -1</f>
        <v>233</v>
      </c>
      <c r="Q31" s="19">
        <f t="shared" si="5"/>
        <v>45338</v>
      </c>
      <c r="R31" s="18">
        <f ca="1">IFERROR(AVERAGE(INDIRECT("D" &amp; $O31):INDIRECT("D" &amp; $P31)),"")</f>
        <v>66.681818181818187</v>
      </c>
      <c r="S31" s="38">
        <f ca="1">IFERROR(MAX(INDIRECT("E" &amp; $O31):INDIRECT("E" &amp; $P31)),"")</f>
        <v>81.7</v>
      </c>
      <c r="T31" s="38">
        <f ca="1">IFERROR(MIN(INDIRECT("F" &amp; $O31):INDIRECT("F" &amp; $P31)),"")</f>
        <v>47.7</v>
      </c>
      <c r="U31" s="18">
        <f t="shared" ref="U31:U32" ca="1" si="17">R31+1</f>
        <v>67.681818181818187</v>
      </c>
      <c r="V31" s="38"/>
      <c r="W31" s="38"/>
      <c r="X31" s="19">
        <f t="shared" si="6"/>
        <v>45338</v>
      </c>
      <c r="Y31" s="18">
        <f ca="1">IFERROR(AVERAGE(INDIRECT("H" &amp; $O31):INDIRECT("H" &amp; $P31)),"")</f>
        <v>15.91818181818182</v>
      </c>
      <c r="Z31" s="38">
        <f ca="1">IFERROR(MAX(INDIRECT("I" &amp; $O31):INDIRECT("I" &amp; $P31)),"")</f>
        <v>31.4</v>
      </c>
      <c r="AA31" s="38">
        <f ca="1">IFERROR(MIN(INDIRECT("J" &amp; $O31):INDIRECT("J" &amp; $P31)),"")</f>
        <v>4.3</v>
      </c>
      <c r="AB31" s="18">
        <f t="shared" ref="AB31:AB32" ca="1" si="18">Y31+0.3</f>
        <v>16.218181818181819</v>
      </c>
    </row>
    <row r="32" spans="1:28" x14ac:dyDescent="0.25">
      <c r="A32" s="10">
        <v>45315</v>
      </c>
      <c r="B32" s="11">
        <v>4.1666666666666664E-2</v>
      </c>
      <c r="C32" s="22">
        <v>45315.041666666664</v>
      </c>
      <c r="D32" s="12">
        <v>64.400000000000006</v>
      </c>
      <c r="E32" s="12">
        <v>67.5</v>
      </c>
      <c r="F32" s="12">
        <v>59.7</v>
      </c>
      <c r="G32" s="12" t="s">
        <v>6</v>
      </c>
      <c r="H32" s="12">
        <v>15.7</v>
      </c>
      <c r="I32" s="12">
        <v>23.7</v>
      </c>
      <c r="J32" s="12">
        <v>10.3</v>
      </c>
      <c r="K32" s="12" t="s">
        <v>6</v>
      </c>
      <c r="L32" s="13">
        <v>73</v>
      </c>
      <c r="M32" s="12"/>
      <c r="N32" s="12" t="s">
        <v>45</v>
      </c>
      <c r="O32" s="38">
        <f t="shared" ca="1" si="15"/>
        <v>234</v>
      </c>
      <c r="P32" s="38">
        <f t="shared" ca="1" si="16"/>
        <v>245</v>
      </c>
      <c r="Q32" s="19">
        <f t="shared" si="5"/>
        <v>45339</v>
      </c>
      <c r="R32" s="18">
        <f ca="1">IFERROR(AVERAGE(INDIRECT("D" &amp; $O32):INDIRECT("D" &amp; $P32)),"")</f>
        <v>65.324999999999989</v>
      </c>
      <c r="S32" s="38">
        <f ca="1">IFERROR(MAX(INDIRECT("E" &amp; $O32):INDIRECT("E" &amp; $P32)),"")</f>
        <v>83.7</v>
      </c>
      <c r="T32" s="38">
        <f ca="1">IFERROR(MIN(INDIRECT("F" &amp; $O32):INDIRECT("F" &amp; $P32)),"")</f>
        <v>50.3</v>
      </c>
      <c r="U32" s="18">
        <f t="shared" ca="1" si="17"/>
        <v>66.324999999999989</v>
      </c>
      <c r="V32" s="38"/>
      <c r="W32" s="38"/>
      <c r="X32" s="19">
        <f t="shared" si="6"/>
        <v>45339</v>
      </c>
      <c r="Y32" s="18">
        <f ca="1">IFERROR(AVERAGE(INDIRECT("H" &amp; $O32):INDIRECT("H" &amp; $P32)),"")</f>
        <v>16.000000000000004</v>
      </c>
      <c r="Z32" s="38">
        <f ca="1">IFERROR(MAX(INDIRECT("I" &amp; $O32):INDIRECT("I" &amp; $P32)),"")</f>
        <v>27.9</v>
      </c>
      <c r="AA32" s="38">
        <f ca="1">IFERROR(MIN(INDIRECT("J" &amp; $O32):INDIRECT("J" &amp; $P32)),"")</f>
        <v>3.9</v>
      </c>
      <c r="AB32" s="18">
        <f t="shared" ca="1" si="18"/>
        <v>16.300000000000004</v>
      </c>
    </row>
    <row r="33" spans="1:28" x14ac:dyDescent="0.25">
      <c r="A33" s="10">
        <v>45315</v>
      </c>
      <c r="B33" s="11">
        <v>8.3333333333333329E-2</v>
      </c>
      <c r="C33" s="22">
        <v>45315.083333333336</v>
      </c>
      <c r="D33" s="12">
        <v>62.3</v>
      </c>
      <c r="E33" s="12">
        <v>71.099999999999994</v>
      </c>
      <c r="F33" s="12">
        <v>54.2</v>
      </c>
      <c r="G33" s="12" t="s">
        <v>6</v>
      </c>
      <c r="H33" s="12">
        <v>14.7</v>
      </c>
      <c r="I33" s="12">
        <v>24.5</v>
      </c>
      <c r="J33" s="12">
        <v>7.6</v>
      </c>
      <c r="K33" s="12" t="s">
        <v>6</v>
      </c>
      <c r="L33" s="13">
        <v>217</v>
      </c>
      <c r="M33" s="12"/>
      <c r="N33" s="12"/>
      <c r="O33" s="39"/>
      <c r="P33" s="39"/>
      <c r="Q33" s="19">
        <f t="shared" si="5"/>
        <v>45340</v>
      </c>
      <c r="R33" s="18" t="str">
        <f ca="1">IFERROR(AVERAGE(INDIRECT("D" &amp; $O33):INDIRECT("D" &amp; $P33)),"")</f>
        <v/>
      </c>
      <c r="S33" s="39" t="str">
        <f ca="1">IFERROR(MAX(INDIRECT("E" &amp; $O33):INDIRECT("E" &amp; $P33)),"")</f>
        <v/>
      </c>
      <c r="T33" s="39" t="str">
        <f ca="1">IFERROR(MIN(INDIRECT("F" &amp; $O33):INDIRECT("F" &amp; $P33)),"")</f>
        <v/>
      </c>
      <c r="U33" s="18"/>
      <c r="V33" s="39"/>
      <c r="W33" s="39"/>
      <c r="X33" s="19">
        <f t="shared" si="6"/>
        <v>45340</v>
      </c>
      <c r="Y33" s="18" t="str">
        <f ca="1">IFERROR(AVERAGE(INDIRECT("H" &amp; $O33):INDIRECT("H" &amp; $P33)),"")</f>
        <v/>
      </c>
      <c r="Z33" s="39" t="str">
        <f ca="1">IFERROR(MAX(INDIRECT("I" &amp; $O33):INDIRECT("I" &amp; $P33)),"")</f>
        <v/>
      </c>
      <c r="AA33" s="39" t="str">
        <f ca="1">IFERROR(MIN(INDIRECT("J" &amp; $O33):INDIRECT("J" &amp; $P33)),"")</f>
        <v/>
      </c>
      <c r="AB33" s="18"/>
    </row>
    <row r="34" spans="1:28" x14ac:dyDescent="0.25">
      <c r="A34" s="10">
        <v>45315</v>
      </c>
      <c r="B34" s="11">
        <v>0.125</v>
      </c>
      <c r="C34" s="22">
        <v>45315.125</v>
      </c>
      <c r="D34" s="12">
        <v>66.5</v>
      </c>
      <c r="E34" s="12">
        <v>72.099999999999994</v>
      </c>
      <c r="F34" s="12">
        <v>60.7</v>
      </c>
      <c r="G34" s="12" t="s">
        <v>6</v>
      </c>
      <c r="H34" s="12">
        <v>14.9</v>
      </c>
      <c r="I34" s="12">
        <v>24.7</v>
      </c>
      <c r="J34" s="12">
        <v>8</v>
      </c>
      <c r="K34" s="12" t="s">
        <v>6</v>
      </c>
      <c r="L34" s="13">
        <v>220</v>
      </c>
      <c r="M34" s="12"/>
      <c r="N34" s="12" t="s">
        <v>46</v>
      </c>
      <c r="O34" s="41">
        <f t="shared" ref="O34:O35" ca="1" si="19">MIN(ROW(INDIRECT(N34)))</f>
        <v>246</v>
      </c>
      <c r="P34" s="41">
        <f t="shared" ref="P34:P35" ca="1" si="20">MIN(ROW(INDIRECT(N34))) + ROWS(INDIRECT(N34)) -1</f>
        <v>255</v>
      </c>
      <c r="Q34" s="19">
        <f t="shared" si="5"/>
        <v>45341</v>
      </c>
      <c r="R34" s="18">
        <f ca="1">IFERROR(AVERAGE(INDIRECT("D" &amp; $O34):INDIRECT("D" &amp; $P34)),"")</f>
        <v>69.399999999999991</v>
      </c>
      <c r="S34" s="41">
        <f ca="1">IFERROR(MAX(INDIRECT("E" &amp; $O34):INDIRECT("E" &amp; $P34)),"")</f>
        <v>86.9</v>
      </c>
      <c r="T34" s="41">
        <f ca="1">IFERROR(MIN(INDIRECT("F" &amp; $O34):INDIRECT("F" &amp; $P34)),"")</f>
        <v>53.9</v>
      </c>
      <c r="U34" s="18">
        <f t="shared" ref="U34:U35" ca="1" si="21">R34+1</f>
        <v>70.399999999999991</v>
      </c>
      <c r="V34" s="41"/>
      <c r="W34" s="41"/>
      <c r="X34" s="19">
        <f t="shared" si="6"/>
        <v>45341</v>
      </c>
      <c r="Y34" s="18">
        <f ca="1">IFERROR(AVERAGE(INDIRECT("H" &amp; $O34):INDIRECT("H" &amp; $P34)),"")</f>
        <v>18.350000000000001</v>
      </c>
      <c r="Z34" s="41">
        <f ca="1">IFERROR(MAX(INDIRECT("I" &amp; $O34):INDIRECT("I" &amp; $P34)),"")</f>
        <v>36.299999999999997</v>
      </c>
      <c r="AA34" s="41">
        <f ca="1">IFERROR(MIN(INDIRECT("J" &amp; $O34):INDIRECT("J" &amp; $P34)),"")</f>
        <v>7.5</v>
      </c>
      <c r="AB34" s="18">
        <f t="shared" ref="AB34:AB35" ca="1" si="22">Y34+0.3</f>
        <v>18.650000000000002</v>
      </c>
    </row>
    <row r="35" spans="1:28" x14ac:dyDescent="0.25">
      <c r="A35" s="10">
        <v>45315</v>
      </c>
      <c r="B35" s="11">
        <v>0.16666666666666666</v>
      </c>
      <c r="C35" s="22">
        <v>45315.166666666664</v>
      </c>
      <c r="D35" s="12">
        <v>64.2</v>
      </c>
      <c r="E35" s="12">
        <v>67.7</v>
      </c>
      <c r="F35" s="12">
        <v>52.3</v>
      </c>
      <c r="G35" s="12" t="s">
        <v>6</v>
      </c>
      <c r="H35" s="12">
        <v>18.5</v>
      </c>
      <c r="I35" s="12">
        <v>25.4</v>
      </c>
      <c r="J35" s="12">
        <v>11.2</v>
      </c>
      <c r="K35" s="12" t="s">
        <v>6</v>
      </c>
      <c r="L35" s="13">
        <v>73</v>
      </c>
      <c r="M35" s="12"/>
      <c r="N35" s="12" t="s">
        <v>47</v>
      </c>
      <c r="O35" s="41">
        <f t="shared" ca="1" si="19"/>
        <v>256</v>
      </c>
      <c r="P35" s="41">
        <f t="shared" ca="1" si="20"/>
        <v>264</v>
      </c>
      <c r="Q35" s="19">
        <f t="shared" si="5"/>
        <v>45342</v>
      </c>
      <c r="R35" s="18">
        <f ca="1">IFERROR(AVERAGE(INDIRECT("D" &amp; $O35):INDIRECT("D" &amp; $P35)),"")</f>
        <v>72.98888888888888</v>
      </c>
      <c r="S35" s="41">
        <f ca="1">IFERROR(MAX(INDIRECT("E" &amp; $O35):INDIRECT("E" &amp; $P35)),"")</f>
        <v>88.6</v>
      </c>
      <c r="T35" s="41">
        <f ca="1">IFERROR(MIN(INDIRECT("F" &amp; $O35):INDIRECT("F" &amp; $P35)),"")</f>
        <v>51</v>
      </c>
      <c r="U35" s="18">
        <f t="shared" ca="1" si="21"/>
        <v>73.98888888888888</v>
      </c>
      <c r="V35" s="41"/>
      <c r="W35" s="41"/>
      <c r="X35" s="19">
        <f t="shared" si="6"/>
        <v>45342</v>
      </c>
      <c r="Y35" s="18">
        <f ca="1">IFERROR(AVERAGE(INDIRECT("H" &amp; $O35):INDIRECT("H" &amp; $P35)),"")</f>
        <v>19.844444444444445</v>
      </c>
      <c r="Z35" s="41">
        <f ca="1">IFERROR(MAX(INDIRECT("I" &amp; $O35):INDIRECT("I" &amp; $P35)),"")</f>
        <v>66.900000000000006</v>
      </c>
      <c r="AA35" s="41">
        <f ca="1">IFERROR(MIN(INDIRECT("J" &amp; $O35):INDIRECT("J" &amp; $P35)),"")</f>
        <v>7.7</v>
      </c>
      <c r="AB35" s="18">
        <f t="shared" ca="1" si="22"/>
        <v>20.144444444444446</v>
      </c>
    </row>
    <row r="36" spans="1:28" x14ac:dyDescent="0.25">
      <c r="A36" s="10">
        <v>45315</v>
      </c>
      <c r="B36" s="11">
        <v>0.25</v>
      </c>
      <c r="C36" s="22">
        <v>45315.25</v>
      </c>
      <c r="D36" s="12">
        <v>64.900000000000006</v>
      </c>
      <c r="E36" s="12">
        <v>68.400000000000006</v>
      </c>
      <c r="F36" s="12">
        <v>61.8</v>
      </c>
      <c r="G36" s="12" t="s">
        <v>6</v>
      </c>
      <c r="H36" s="12">
        <v>17.5</v>
      </c>
      <c r="I36" s="12">
        <v>23.6</v>
      </c>
      <c r="J36" s="12">
        <v>11.4</v>
      </c>
      <c r="K36" s="12" t="s">
        <v>6</v>
      </c>
      <c r="L36" s="13">
        <v>30</v>
      </c>
      <c r="M36" s="12"/>
      <c r="N36" s="42" t="s">
        <v>48</v>
      </c>
      <c r="O36" s="41">
        <f t="shared" ref="O36" ca="1" si="23">MIN(ROW(INDIRECT(N36)))</f>
        <v>265</v>
      </c>
      <c r="P36" s="41">
        <f t="shared" ref="P36" ca="1" si="24">MIN(ROW(INDIRECT(N36))) + ROWS(INDIRECT(N36)) -1</f>
        <v>278</v>
      </c>
      <c r="Q36" s="19">
        <f t="shared" si="5"/>
        <v>45343</v>
      </c>
      <c r="R36" s="18">
        <f ca="1">IFERROR(AVERAGE(INDIRECT("D" &amp; $O36):INDIRECT("D" &amp; $P36)),"")</f>
        <v>71.600000000000009</v>
      </c>
      <c r="S36" s="41">
        <f ca="1">IFERROR(MAX(INDIRECT("E" &amp; $O36):INDIRECT("E" &amp; $P36)),"")</f>
        <v>90.7</v>
      </c>
      <c r="T36" s="41">
        <f ca="1">IFERROR(MIN(INDIRECT("F" &amp; $O36):INDIRECT("F" &amp; $P36)),"")</f>
        <v>42.3</v>
      </c>
      <c r="U36" s="18">
        <f t="shared" ref="U36" ca="1" si="25">R36+1</f>
        <v>72.600000000000009</v>
      </c>
      <c r="V36" s="41"/>
      <c r="W36" s="41"/>
      <c r="X36" s="19">
        <f t="shared" si="6"/>
        <v>45343</v>
      </c>
      <c r="Y36" s="18">
        <f ca="1">IFERROR(AVERAGE(INDIRECT("H" &amp; $O36):INDIRECT("H" &amp; $P36)),"")</f>
        <v>16.792857142857144</v>
      </c>
      <c r="Z36" s="41">
        <f ca="1">IFERROR(MAX(INDIRECT("I" &amp; $O36):INDIRECT("I" &amp; $P36)),"")</f>
        <v>32.1</v>
      </c>
      <c r="AA36" s="41">
        <f ca="1">IFERROR(MIN(INDIRECT("J" &amp; $O36):INDIRECT("J" &amp; $P36)),"")</f>
        <v>3.1</v>
      </c>
      <c r="AB36" s="18">
        <f t="shared" ref="AB36" ca="1" si="26">Y36+0.3</f>
        <v>17.092857142857145</v>
      </c>
    </row>
    <row r="37" spans="1:28" x14ac:dyDescent="0.25">
      <c r="A37" s="10">
        <v>45315</v>
      </c>
      <c r="B37" s="11">
        <v>0.29166666666666669</v>
      </c>
      <c r="C37" s="22">
        <v>45315.291666666664</v>
      </c>
      <c r="D37" s="12">
        <v>63.8</v>
      </c>
      <c r="E37" s="12">
        <v>70.2</v>
      </c>
      <c r="F37" s="12">
        <v>55.7</v>
      </c>
      <c r="G37" s="12" t="s">
        <v>6</v>
      </c>
      <c r="H37" s="12">
        <v>14.7</v>
      </c>
      <c r="I37" s="12">
        <v>30.7</v>
      </c>
      <c r="J37" s="12">
        <v>7.5</v>
      </c>
      <c r="K37" s="12" t="s">
        <v>6</v>
      </c>
      <c r="L37" s="13">
        <v>222</v>
      </c>
      <c r="M37" s="12"/>
      <c r="N37" s="12" t="s">
        <v>49</v>
      </c>
      <c r="O37" s="43">
        <f t="shared" ref="O37" ca="1" si="27">MIN(ROW(INDIRECT(N37)))</f>
        <v>279</v>
      </c>
      <c r="P37" s="43">
        <f t="shared" ref="P37" ca="1" si="28">MIN(ROW(INDIRECT(N37))) + ROWS(INDIRECT(N37)) -1</f>
        <v>280</v>
      </c>
      <c r="Q37" s="19">
        <f t="shared" si="5"/>
        <v>45344</v>
      </c>
      <c r="R37" s="18">
        <f ca="1">IFERROR(AVERAGE(INDIRECT("D" &amp; $O37):INDIRECT("D" &amp; $P37)),"")</f>
        <v>67.599999999999994</v>
      </c>
      <c r="S37" s="43">
        <f ca="1">IFERROR(MAX(INDIRECT("E" &amp; $O37):INDIRECT("E" &amp; $P37)),"")</f>
        <v>72.400000000000006</v>
      </c>
      <c r="T37" s="43">
        <f ca="1">IFERROR(MIN(INDIRECT("F" &amp; $O37):INDIRECT("F" &amp; $P37)),"")</f>
        <v>65.3</v>
      </c>
      <c r="U37" s="18">
        <f t="shared" ref="U37" ca="1" si="29">R37+1</f>
        <v>68.599999999999994</v>
      </c>
      <c r="V37" s="43"/>
      <c r="W37" s="43"/>
      <c r="X37" s="19">
        <f t="shared" si="6"/>
        <v>45344</v>
      </c>
      <c r="Y37" s="18">
        <f ca="1">IFERROR(AVERAGE(INDIRECT("H" &amp; $O37):INDIRECT("H" &amp; $P37)),"")</f>
        <v>9.0500000000000007</v>
      </c>
      <c r="Z37" s="43">
        <f ca="1">IFERROR(MAX(INDIRECT("I" &amp; $O37):INDIRECT("I" &amp; $P37)),"")</f>
        <v>11.3</v>
      </c>
      <c r="AA37" s="43">
        <f ca="1">IFERROR(MIN(INDIRECT("J" &amp; $O37):INDIRECT("J" &amp; $P37)),"")</f>
        <v>7.7</v>
      </c>
      <c r="AB37" s="18">
        <f t="shared" ref="AB37" ca="1" si="30">Y37+0.3</f>
        <v>9.3500000000000014</v>
      </c>
    </row>
    <row r="38" spans="1:28" x14ac:dyDescent="0.25">
      <c r="A38" s="14">
        <v>45315</v>
      </c>
      <c r="B38" s="15">
        <v>0.33333333333333331</v>
      </c>
      <c r="C38" s="20">
        <v>45315.333333333336</v>
      </c>
      <c r="D38" s="16">
        <v>64.5</v>
      </c>
      <c r="E38" s="16">
        <v>70.599999999999994</v>
      </c>
      <c r="F38" s="16">
        <v>59.9</v>
      </c>
      <c r="G38" s="16" t="s">
        <v>6</v>
      </c>
      <c r="H38" s="16">
        <v>14.6</v>
      </c>
      <c r="I38" s="16">
        <v>19.100000000000001</v>
      </c>
      <c r="J38" s="16">
        <v>9.9</v>
      </c>
      <c r="K38" s="16" t="s">
        <v>6</v>
      </c>
      <c r="L38" s="17">
        <v>98</v>
      </c>
      <c r="M38" s="12"/>
      <c r="N38" s="12" t="s">
        <v>50</v>
      </c>
      <c r="O38" s="45">
        <f t="shared" ref="O38:O40" ca="1" si="31">MIN(ROW(INDIRECT(N38)))</f>
        <v>281</v>
      </c>
      <c r="P38" s="45">
        <f t="shared" ref="P38:P40" ca="1" si="32">MIN(ROW(INDIRECT(N38))) + ROWS(INDIRECT(N38)) -1</f>
        <v>285</v>
      </c>
      <c r="Q38" s="19">
        <f t="shared" si="5"/>
        <v>45345</v>
      </c>
      <c r="R38" s="18">
        <f ca="1">IFERROR(AVERAGE(INDIRECT("D" &amp; $O38):INDIRECT("D" &amp; $P38)),"")</f>
        <v>67.5</v>
      </c>
      <c r="S38" s="45">
        <f ca="1">IFERROR(MAX(INDIRECT("E" &amp; $O38):INDIRECT("E" &amp; $P38)),"")</f>
        <v>84.7</v>
      </c>
      <c r="T38" s="45">
        <f ca="1">IFERROR(MIN(INDIRECT("F" &amp; $O38):INDIRECT("F" &amp; $P38)),"")</f>
        <v>53.9</v>
      </c>
      <c r="U38" s="18">
        <f t="shared" ref="U38:U40" ca="1" si="33">R38+1</f>
        <v>68.5</v>
      </c>
      <c r="V38" s="45"/>
      <c r="W38" s="45"/>
      <c r="X38" s="19">
        <f t="shared" si="6"/>
        <v>45345</v>
      </c>
      <c r="Y38" s="18">
        <f ca="1">IFERROR(AVERAGE(INDIRECT("H" &amp; $O38):INDIRECT("H" &amp; $P38)),"")</f>
        <v>10.52</v>
      </c>
      <c r="Z38" s="45">
        <f ca="1">IFERROR(MAX(INDIRECT("I" &amp; $O38):INDIRECT("I" &amp; $P38)),"")</f>
        <v>31.1</v>
      </c>
      <c r="AA38" s="45">
        <f ca="1">IFERROR(MIN(INDIRECT("J" &amp; $O38):INDIRECT("J" &amp; $P38)),"")</f>
        <v>3.8</v>
      </c>
      <c r="AB38" s="18">
        <f t="shared" ref="AB38:AB40" ca="1" si="34">Y38+0.3</f>
        <v>10.82</v>
      </c>
    </row>
    <row r="39" spans="1:28" x14ac:dyDescent="0.25">
      <c r="A39" s="6">
        <v>45315</v>
      </c>
      <c r="B39" s="7">
        <v>0.58333333333333337</v>
      </c>
      <c r="C39" s="21">
        <v>45315.583333333336</v>
      </c>
      <c r="D39" s="8">
        <v>58.2</v>
      </c>
      <c r="E39" s="8">
        <v>68.7</v>
      </c>
      <c r="F39" s="8">
        <v>47.1</v>
      </c>
      <c r="G39" s="8" t="s">
        <v>6</v>
      </c>
      <c r="H39" s="8">
        <v>22.6</v>
      </c>
      <c r="I39" s="8">
        <v>29.3</v>
      </c>
      <c r="J39" s="8">
        <v>4.7</v>
      </c>
      <c r="K39" s="8" t="s">
        <v>6</v>
      </c>
      <c r="L39" s="9">
        <v>54</v>
      </c>
      <c r="M39" s="12"/>
      <c r="N39" s="12" t="s">
        <v>51</v>
      </c>
      <c r="O39" s="45">
        <f t="shared" ca="1" si="31"/>
        <v>286</v>
      </c>
      <c r="P39" s="45">
        <f t="shared" ca="1" si="32"/>
        <v>288</v>
      </c>
      <c r="Q39" s="19">
        <f t="shared" si="5"/>
        <v>45346</v>
      </c>
      <c r="R39" s="18">
        <f ca="1">IFERROR(AVERAGE(INDIRECT("D" &amp; $O39):INDIRECT("D" &amp; $P39)),"")</f>
        <v>72.066666666666663</v>
      </c>
      <c r="S39" s="45">
        <f ca="1">IFERROR(MAX(INDIRECT("E" &amp; $O39):INDIRECT("E" &amp; $P39)),"")</f>
        <v>79.5</v>
      </c>
      <c r="T39" s="45">
        <f ca="1">IFERROR(MIN(INDIRECT("F" &amp; $O39):INDIRECT("F" &amp; $P39)),"")</f>
        <v>58.3</v>
      </c>
      <c r="U39" s="18">
        <f t="shared" ca="1" si="33"/>
        <v>73.066666666666663</v>
      </c>
      <c r="V39" s="45"/>
      <c r="W39" s="45"/>
      <c r="X39" s="19">
        <f t="shared" si="6"/>
        <v>45346</v>
      </c>
      <c r="Y39" s="18">
        <f ca="1">IFERROR(AVERAGE(INDIRECT("H" &amp; $O39):INDIRECT("H" &amp; $P39)),"")</f>
        <v>16.833333333333332</v>
      </c>
      <c r="Z39" s="45">
        <f ca="1">IFERROR(MAX(INDIRECT("I" &amp; $O39):INDIRECT("I" &amp; $P39)),"")</f>
        <v>25.6</v>
      </c>
      <c r="AA39" s="45">
        <f ca="1">IFERROR(MIN(INDIRECT("J" &amp; $O39):INDIRECT("J" &amp; $P39)),"")</f>
        <v>2.6</v>
      </c>
      <c r="AB39" s="18">
        <f t="shared" ca="1" si="34"/>
        <v>17.133333333333333</v>
      </c>
    </row>
    <row r="40" spans="1:28" x14ac:dyDescent="0.25">
      <c r="A40" s="10">
        <v>45315</v>
      </c>
      <c r="B40" s="11">
        <v>0.625</v>
      </c>
      <c r="C40" s="22">
        <v>45315.625</v>
      </c>
      <c r="D40" s="12">
        <v>63.2</v>
      </c>
      <c r="E40" s="12">
        <v>66.7</v>
      </c>
      <c r="F40" s="12">
        <v>58.4</v>
      </c>
      <c r="G40" s="12" t="s">
        <v>6</v>
      </c>
      <c r="H40" s="12">
        <v>20.5</v>
      </c>
      <c r="I40" s="12">
        <v>24.2</v>
      </c>
      <c r="J40" s="12">
        <v>13.1</v>
      </c>
      <c r="K40" s="12" t="s">
        <v>6</v>
      </c>
      <c r="L40" s="13">
        <v>28</v>
      </c>
      <c r="M40" s="12"/>
      <c r="N40" s="12" t="s">
        <v>52</v>
      </c>
      <c r="O40" s="45">
        <f t="shared" ca="1" si="31"/>
        <v>289</v>
      </c>
      <c r="P40" s="45">
        <f t="shared" ca="1" si="32"/>
        <v>295</v>
      </c>
      <c r="Q40" s="19">
        <f t="shared" si="5"/>
        <v>45347</v>
      </c>
      <c r="R40" s="18">
        <f ca="1">IFERROR(AVERAGE(INDIRECT("D" &amp; $O40):INDIRECT("D" &amp; $P40)),"")</f>
        <v>69.042857142857159</v>
      </c>
      <c r="S40" s="45">
        <f ca="1">IFERROR(MAX(INDIRECT("E" &amp; $O40):INDIRECT("E" &amp; $P40)),"")</f>
        <v>87.6</v>
      </c>
      <c r="T40" s="45">
        <f ca="1">IFERROR(MIN(INDIRECT("F" &amp; $O40):INDIRECT("F" &amp; $P40)),"")</f>
        <v>52.5</v>
      </c>
      <c r="U40" s="18">
        <f t="shared" ca="1" si="33"/>
        <v>70.042857142857159</v>
      </c>
      <c r="V40" s="45"/>
      <c r="W40" s="45"/>
      <c r="X40" s="19">
        <f t="shared" si="6"/>
        <v>45347</v>
      </c>
      <c r="Y40" s="18">
        <f ca="1">IFERROR(AVERAGE(INDIRECT("H" &amp; $O40):INDIRECT("H" &amp; $P40)),"")</f>
        <v>15.62857142857143</v>
      </c>
      <c r="Z40" s="45">
        <f ca="1">IFERROR(MAX(INDIRECT("I" &amp; $O40):INDIRECT("I" &amp; $P40)),"")</f>
        <v>31.6</v>
      </c>
      <c r="AA40" s="45">
        <f ca="1">IFERROR(MIN(INDIRECT("J" &amp; $O40):INDIRECT("J" &amp; $P40)),"")</f>
        <v>3.7</v>
      </c>
      <c r="AB40" s="18">
        <f t="shared" ca="1" si="34"/>
        <v>15.928571428571431</v>
      </c>
    </row>
    <row r="41" spans="1:28" x14ac:dyDescent="0.25">
      <c r="A41" s="10">
        <v>45315</v>
      </c>
      <c r="B41" s="11">
        <v>0.79166666666666663</v>
      </c>
      <c r="C41" s="22">
        <v>45315.791666666664</v>
      </c>
      <c r="D41" s="12">
        <v>61.3</v>
      </c>
      <c r="E41" s="12">
        <v>61.9</v>
      </c>
      <c r="F41" s="12">
        <v>60.9</v>
      </c>
      <c r="G41" s="12" t="s">
        <v>6</v>
      </c>
      <c r="H41" s="12">
        <v>17.8</v>
      </c>
      <c r="I41" s="12">
        <v>19.7</v>
      </c>
      <c r="J41" s="12">
        <v>15.6</v>
      </c>
      <c r="K41" s="12" t="s">
        <v>6</v>
      </c>
      <c r="L41" s="13">
        <v>3</v>
      </c>
      <c r="M41" s="12"/>
      <c r="N41" s="12" t="s">
        <v>53</v>
      </c>
      <c r="O41" s="46">
        <f t="shared" ref="O41" ca="1" si="35">MIN(ROW(INDIRECT(N41)))</f>
        <v>296</v>
      </c>
      <c r="P41" s="46">
        <f t="shared" ref="P41" ca="1" si="36">MIN(ROW(INDIRECT(N41))) + ROWS(INDIRECT(N41)) -1</f>
        <v>301</v>
      </c>
      <c r="Q41" s="19">
        <f t="shared" si="5"/>
        <v>45348</v>
      </c>
      <c r="R41" s="18">
        <f ca="1">IFERROR(AVERAGE(INDIRECT("D" &amp; $O41):INDIRECT("D" &amp; $P41)),"")</f>
        <v>66.833333333333329</v>
      </c>
      <c r="S41" s="46">
        <f ca="1">IFERROR(MAX(INDIRECT("E" &amp; $O41):INDIRECT("E" &amp; $P41)),"")</f>
        <v>79.3</v>
      </c>
      <c r="T41" s="46">
        <f ca="1">IFERROR(MIN(INDIRECT("F" &amp; $O41):INDIRECT("F" &amp; $P41)),"")</f>
        <v>53.2</v>
      </c>
      <c r="U41" s="18">
        <f t="shared" ref="U41" ca="1" si="37">R41+1</f>
        <v>67.833333333333329</v>
      </c>
      <c r="V41" s="46"/>
      <c r="W41" s="46"/>
      <c r="X41" s="19">
        <f t="shared" si="6"/>
        <v>45348</v>
      </c>
      <c r="Y41" s="18">
        <f ca="1">IFERROR(AVERAGE(INDIRECT("H" &amp; $O41):INDIRECT("H" &amp; $P41)),"")</f>
        <v>14.116666666666667</v>
      </c>
      <c r="Z41" s="46">
        <f ca="1">IFERROR(MAX(INDIRECT("I" &amp; $O41):INDIRECT("I" &amp; $P41)),"")</f>
        <v>30.5</v>
      </c>
      <c r="AA41" s="46">
        <f ca="1">IFERROR(MIN(INDIRECT("J" &amp; $O41):INDIRECT("J" &amp; $P41)),"")</f>
        <v>3.8</v>
      </c>
      <c r="AB41" s="18">
        <f t="shared" ref="AB41" ca="1" si="38">Y41+0.3</f>
        <v>14.416666666666668</v>
      </c>
    </row>
    <row r="42" spans="1:28" x14ac:dyDescent="0.25">
      <c r="A42" s="10">
        <v>45315</v>
      </c>
      <c r="B42" s="11">
        <v>0.95833333333333337</v>
      </c>
      <c r="C42" s="22">
        <v>45315.958333333336</v>
      </c>
      <c r="D42" s="12">
        <v>70.2</v>
      </c>
      <c r="E42" s="12">
        <v>76.5</v>
      </c>
      <c r="F42" s="12">
        <v>58.2</v>
      </c>
      <c r="G42" s="12" t="s">
        <v>6</v>
      </c>
      <c r="H42" s="12">
        <v>18.5</v>
      </c>
      <c r="I42" s="12">
        <v>25.4</v>
      </c>
      <c r="J42" s="12">
        <v>11.5</v>
      </c>
      <c r="K42" s="12" t="s">
        <v>6</v>
      </c>
      <c r="L42" s="13">
        <v>214</v>
      </c>
      <c r="M42" s="12"/>
      <c r="N42" s="12" t="s">
        <v>54</v>
      </c>
      <c r="O42" s="47">
        <f t="shared" ref="O42:O43" ca="1" si="39">MIN(ROW(INDIRECT(N42)))</f>
        <v>302</v>
      </c>
      <c r="P42" s="47">
        <f t="shared" ref="P42:P43" ca="1" si="40">MIN(ROW(INDIRECT(N42))) + ROWS(INDIRECT(N42)) -1</f>
        <v>305</v>
      </c>
      <c r="Q42" s="19">
        <f t="shared" si="5"/>
        <v>45349</v>
      </c>
      <c r="R42" s="18">
        <f ca="1">IFERROR(AVERAGE(INDIRECT("D" &amp; $O42):INDIRECT("D" &amp; $P42)),"")</f>
        <v>65.525000000000006</v>
      </c>
      <c r="S42" s="47">
        <f ca="1">IFERROR(MAX(INDIRECT("E" &amp; $O42):INDIRECT("E" &amp; $P42)),"")</f>
        <v>78.5</v>
      </c>
      <c r="T42" s="47">
        <f ca="1">IFERROR(MIN(INDIRECT("F" &amp; $O42):INDIRECT("F" &amp; $P42)),"")</f>
        <v>55.6</v>
      </c>
      <c r="U42" s="18">
        <f t="shared" ref="U42:U43" ca="1" si="41">R42+1</f>
        <v>66.525000000000006</v>
      </c>
      <c r="V42" s="47"/>
      <c r="W42" s="47"/>
      <c r="X42" s="19">
        <f t="shared" si="6"/>
        <v>45349</v>
      </c>
      <c r="Y42" s="18">
        <f ca="1">IFERROR(AVERAGE(INDIRECT("H" &amp; $O42):INDIRECT("H" &amp; $P42)),"")</f>
        <v>17.524999999999999</v>
      </c>
      <c r="Z42" s="47">
        <f ca="1">IFERROR(MAX(INDIRECT("I" &amp; $O42):INDIRECT("I" &amp; $P42)),"")</f>
        <v>28.1</v>
      </c>
      <c r="AA42" s="47">
        <f ca="1">IFERROR(MIN(INDIRECT("J" &amp; $O42):INDIRECT("J" &amp; $P42)),"")</f>
        <v>8.5</v>
      </c>
      <c r="AB42" s="18">
        <f t="shared" ref="AB42:AB43" ca="1" si="42">Y42+0.3</f>
        <v>17.824999999999999</v>
      </c>
    </row>
    <row r="43" spans="1:28" x14ac:dyDescent="0.25">
      <c r="A43" s="14">
        <v>45316</v>
      </c>
      <c r="B43" s="15">
        <v>0</v>
      </c>
      <c r="C43" s="20">
        <v>45316</v>
      </c>
      <c r="D43" s="16">
        <v>67.900000000000006</v>
      </c>
      <c r="E43" s="16">
        <v>74.3</v>
      </c>
      <c r="F43" s="16">
        <v>64</v>
      </c>
      <c r="G43" s="16" t="s">
        <v>6</v>
      </c>
      <c r="H43" s="16">
        <v>15.5</v>
      </c>
      <c r="I43" s="16">
        <v>23.7</v>
      </c>
      <c r="J43" s="16">
        <v>10.4</v>
      </c>
      <c r="K43" s="16" t="s">
        <v>6</v>
      </c>
      <c r="L43" s="17">
        <v>66</v>
      </c>
      <c r="M43" s="12"/>
      <c r="N43" s="12" t="s">
        <v>55</v>
      </c>
      <c r="O43" s="47">
        <f t="shared" ca="1" si="39"/>
        <v>306</v>
      </c>
      <c r="P43" s="47">
        <f t="shared" ca="1" si="40"/>
        <v>316</v>
      </c>
      <c r="Q43" s="19">
        <f t="shared" si="5"/>
        <v>45350</v>
      </c>
      <c r="R43" s="18">
        <f ca="1">IFERROR(AVERAGE(INDIRECT("D" &amp; $O43):INDIRECT("D" &amp; $P43)),"")</f>
        <v>69.390909090909091</v>
      </c>
      <c r="S43" s="47">
        <f ca="1">IFERROR(MAX(INDIRECT("E" &amp; $O43):INDIRECT("E" &amp; $P43)),"")</f>
        <v>84.7</v>
      </c>
      <c r="T43" s="47">
        <f ca="1">IFERROR(MIN(INDIRECT("F" &amp; $O43):INDIRECT("F" &amp; $P43)),"")</f>
        <v>51</v>
      </c>
      <c r="U43" s="18">
        <f t="shared" ca="1" si="41"/>
        <v>70.390909090909091</v>
      </c>
      <c r="V43" s="47"/>
      <c r="W43" s="47"/>
      <c r="X43" s="19">
        <f t="shared" si="6"/>
        <v>45350</v>
      </c>
      <c r="Y43" s="18">
        <f ca="1">IFERROR(AVERAGE(INDIRECT("H" &amp; $O43):INDIRECT("H" &amp; $P43)),"")</f>
        <v>15.236363636363638</v>
      </c>
      <c r="Z43" s="47">
        <f ca="1">IFERROR(MAX(INDIRECT("I" &amp; $O43):INDIRECT("I" &amp; $P43)),"")</f>
        <v>28.8</v>
      </c>
      <c r="AA43" s="47">
        <f ca="1">IFERROR(MIN(INDIRECT("J" &amp; $O43):INDIRECT("J" &amp; $P43)),"")</f>
        <v>6.9</v>
      </c>
      <c r="AB43" s="18">
        <f t="shared" ca="1" si="42"/>
        <v>15.536363636363639</v>
      </c>
    </row>
    <row r="44" spans="1:28" x14ac:dyDescent="0.25">
      <c r="A44" s="6">
        <v>45316</v>
      </c>
      <c r="B44" s="7">
        <v>0.83333333333333337</v>
      </c>
      <c r="C44" s="21">
        <v>45316.833333333336</v>
      </c>
      <c r="D44" s="8">
        <v>71.2</v>
      </c>
      <c r="E44" s="8">
        <v>73</v>
      </c>
      <c r="F44" s="8">
        <v>69.3</v>
      </c>
      <c r="G44" s="8" t="s">
        <v>6</v>
      </c>
      <c r="H44" s="8">
        <v>5.7</v>
      </c>
      <c r="I44" s="8">
        <v>6.8</v>
      </c>
      <c r="J44" s="8">
        <v>4.5</v>
      </c>
      <c r="K44" s="8" t="s">
        <v>6</v>
      </c>
      <c r="L44" s="9">
        <v>2</v>
      </c>
      <c r="M44" s="12"/>
      <c r="N44" s="12" t="s">
        <v>56</v>
      </c>
      <c r="O44" s="49">
        <f t="shared" ref="O44" ca="1" si="43">MIN(ROW(INDIRECT(N44)))</f>
        <v>317</v>
      </c>
      <c r="P44" s="49">
        <f t="shared" ref="P44" ca="1" si="44">MIN(ROW(INDIRECT(N44))) + ROWS(INDIRECT(N44)) -1</f>
        <v>321</v>
      </c>
      <c r="Q44" s="19">
        <f t="shared" si="5"/>
        <v>45351</v>
      </c>
      <c r="R44" s="18">
        <f ca="1">IFERROR(AVERAGE(INDIRECT("D" &amp; $O44):INDIRECT("D" &amp; $P44)),"")</f>
        <v>67</v>
      </c>
      <c r="S44" s="49">
        <f ca="1">IFERROR(MAX(INDIRECT("E" &amp; $O44):INDIRECT("E" &amp; $P44)),"")</f>
        <v>79.900000000000006</v>
      </c>
      <c r="T44" s="49">
        <f ca="1">IFERROR(MIN(INDIRECT("F" &amp; $O44):INDIRECT("F" &amp; $P44)),"")</f>
        <v>48.3</v>
      </c>
      <c r="U44" s="18">
        <f t="shared" ref="U44" ca="1" si="45">R44+1</f>
        <v>68</v>
      </c>
      <c r="V44" s="49"/>
      <c r="W44" s="49"/>
      <c r="X44" s="19">
        <f t="shared" si="6"/>
        <v>45351</v>
      </c>
      <c r="Y44" s="18">
        <f ca="1">IFERROR(AVERAGE(INDIRECT("H" &amp; $O44):INDIRECT("H" &amp; $P44)),"")</f>
        <v>12.48</v>
      </c>
      <c r="Z44" s="49">
        <f ca="1">IFERROR(MAX(INDIRECT("I" &amp; $O44):INDIRECT("I" &amp; $P44)),"")</f>
        <v>22.6</v>
      </c>
      <c r="AA44" s="49">
        <f ca="1">IFERROR(MIN(INDIRECT("J" &amp; $O44):INDIRECT("J" &amp; $P44)),"")</f>
        <v>3.8</v>
      </c>
      <c r="AB44" s="18">
        <f t="shared" ref="AB44" ca="1" si="46">Y44+0.3</f>
        <v>12.780000000000001</v>
      </c>
    </row>
    <row r="45" spans="1:28" x14ac:dyDescent="0.25">
      <c r="A45" s="10">
        <v>45316</v>
      </c>
      <c r="B45" s="11">
        <v>0.875</v>
      </c>
      <c r="C45" s="22">
        <v>45316.875</v>
      </c>
      <c r="D45" s="12">
        <v>71</v>
      </c>
      <c r="E45" s="12">
        <v>83.2</v>
      </c>
      <c r="F45" s="12">
        <v>53.8</v>
      </c>
      <c r="G45" s="12" t="s">
        <v>6</v>
      </c>
      <c r="H45" s="12">
        <v>19.2</v>
      </c>
      <c r="I45" s="12">
        <v>24.6</v>
      </c>
      <c r="J45" s="12">
        <v>5.9</v>
      </c>
      <c r="K45" s="12" t="s">
        <v>6</v>
      </c>
      <c r="L45" s="13">
        <v>102</v>
      </c>
      <c r="M45" s="12"/>
      <c r="N45" s="12" t="s">
        <v>57</v>
      </c>
      <c r="O45" s="50">
        <f t="shared" ref="O45:O47" ca="1" si="47">MIN(ROW(INDIRECT(N45)))</f>
        <v>322</v>
      </c>
      <c r="P45" s="50">
        <f t="shared" ref="P45:P47" ca="1" si="48">MIN(ROW(INDIRECT(N45))) + ROWS(INDIRECT(N45)) -1</f>
        <v>324</v>
      </c>
      <c r="Q45" s="19">
        <f t="shared" si="5"/>
        <v>45352</v>
      </c>
      <c r="R45" s="18">
        <f ca="1">IFERROR(AVERAGE(INDIRECT("D" &amp; $O45):INDIRECT("D" &amp; $P45)),"")</f>
        <v>66.666666666666671</v>
      </c>
      <c r="S45" s="50">
        <f ca="1">IFERROR(MAX(INDIRECT("E" &amp; $O45):INDIRECT("E" &amp; $P45)),"")</f>
        <v>73.7</v>
      </c>
      <c r="T45" s="50">
        <f ca="1">IFERROR(MIN(INDIRECT("F" &amp; $O45):INDIRECT("F" &amp; $P45)),"")</f>
        <v>49.7</v>
      </c>
      <c r="U45" s="18">
        <f t="shared" ref="U45:U47" ca="1" si="49">R45+1</f>
        <v>67.666666666666671</v>
      </c>
      <c r="V45" s="50">
        <v>1</v>
      </c>
      <c r="W45" s="50"/>
      <c r="X45" s="19">
        <f t="shared" si="6"/>
        <v>45352</v>
      </c>
      <c r="Y45" s="18">
        <f ca="1">IFERROR(AVERAGE(INDIRECT("H" &amp; $O45):INDIRECT("H" &amp; $P45)),"")</f>
        <v>15.966666666666667</v>
      </c>
      <c r="Z45" s="50">
        <f ca="1">IFERROR(MAX(INDIRECT("I" &amp; $O45):INDIRECT("I" &amp; $P45)),"")</f>
        <v>26.6</v>
      </c>
      <c r="AA45" s="50">
        <f ca="1">IFERROR(MIN(INDIRECT("J" &amp; $O45):INDIRECT("J" &amp; $P45)),"")</f>
        <v>7</v>
      </c>
      <c r="AB45" s="18">
        <f t="shared" ref="AB45:AB47" ca="1" si="50">Y45+0.3</f>
        <v>16.266666666666666</v>
      </c>
    </row>
    <row r="46" spans="1:28" x14ac:dyDescent="0.25">
      <c r="A46" s="10">
        <v>45316</v>
      </c>
      <c r="B46" s="11">
        <v>0.91666666666666663</v>
      </c>
      <c r="C46" s="22">
        <v>45316.916666666664</v>
      </c>
      <c r="D46" s="12">
        <v>71</v>
      </c>
      <c r="E46" s="12">
        <v>77.8</v>
      </c>
      <c r="F46" s="12">
        <v>61.6</v>
      </c>
      <c r="G46" s="12" t="s">
        <v>6</v>
      </c>
      <c r="H46" s="12">
        <v>17.2</v>
      </c>
      <c r="I46" s="12">
        <v>25.9</v>
      </c>
      <c r="J46" s="12">
        <v>8.1999999999999993</v>
      </c>
      <c r="K46" s="12" t="s">
        <v>6</v>
      </c>
      <c r="L46" s="13">
        <v>216</v>
      </c>
      <c r="M46" s="12"/>
      <c r="N46" s="12" t="s">
        <v>58</v>
      </c>
      <c r="O46" s="50">
        <f t="shared" ca="1" si="47"/>
        <v>325</v>
      </c>
      <c r="P46" s="50">
        <f t="shared" ca="1" si="48"/>
        <v>335</v>
      </c>
      <c r="Q46" s="19">
        <f t="shared" si="5"/>
        <v>45353</v>
      </c>
      <c r="R46" s="18">
        <f ca="1">IFERROR(AVERAGE(INDIRECT("D" &amp; $O46):INDIRECT("D" &amp; $P46)),"")</f>
        <v>67.88181818181819</v>
      </c>
      <c r="S46" s="50">
        <f ca="1">IFERROR(MAX(INDIRECT("E" &amp; $O46):INDIRECT("E" &amp; $P46)),"")</f>
        <v>83.9</v>
      </c>
      <c r="T46" s="50">
        <f ca="1">IFERROR(MIN(INDIRECT("F" &amp; $O46):INDIRECT("F" &amp; $P46)),"")</f>
        <v>47.8</v>
      </c>
      <c r="U46" s="18">
        <f t="shared" ca="1" si="49"/>
        <v>68.88181818181819</v>
      </c>
      <c r="V46" s="50"/>
      <c r="W46" s="50"/>
      <c r="X46" s="19">
        <f t="shared" si="6"/>
        <v>45353</v>
      </c>
      <c r="Y46" s="18">
        <f ca="1">IFERROR(AVERAGE(INDIRECT("H" &amp; $O46):INDIRECT("H" &amp; $P46)),"")</f>
        <v>21.209090909090907</v>
      </c>
      <c r="Z46" s="50">
        <f ca="1">IFERROR(MAX(INDIRECT("I" &amp; $O46):INDIRECT("I" &amp; $P46)),"")</f>
        <v>60.9</v>
      </c>
      <c r="AA46" s="50">
        <f ca="1">IFERROR(MIN(INDIRECT("J" &amp; $O46):INDIRECT("J" &amp; $P46)),"")</f>
        <v>7.5</v>
      </c>
      <c r="AB46" s="18">
        <f t="shared" ca="1" si="50"/>
        <v>21.509090909090908</v>
      </c>
    </row>
    <row r="47" spans="1:28" x14ac:dyDescent="0.25">
      <c r="A47" s="10">
        <v>45316</v>
      </c>
      <c r="B47" s="11">
        <v>0.95833333333333337</v>
      </c>
      <c r="C47" s="22">
        <v>45316.958333333336</v>
      </c>
      <c r="D47" s="12">
        <v>67.7</v>
      </c>
      <c r="E47" s="12">
        <v>67.8</v>
      </c>
      <c r="F47" s="12">
        <v>67.599999999999994</v>
      </c>
      <c r="G47" s="12" t="s">
        <v>6</v>
      </c>
      <c r="H47" s="12">
        <v>18.399999999999999</v>
      </c>
      <c r="I47" s="12">
        <v>19.399999999999999</v>
      </c>
      <c r="J47" s="12">
        <v>17.5</v>
      </c>
      <c r="K47" s="12" t="s">
        <v>6</v>
      </c>
      <c r="L47" s="13">
        <v>2</v>
      </c>
      <c r="M47" s="12"/>
      <c r="N47" s="12" t="s">
        <v>59</v>
      </c>
      <c r="O47" s="50">
        <f t="shared" ca="1" si="47"/>
        <v>336</v>
      </c>
      <c r="P47" s="50">
        <f t="shared" ca="1" si="48"/>
        <v>343</v>
      </c>
      <c r="Q47" s="19">
        <f t="shared" si="5"/>
        <v>45354</v>
      </c>
      <c r="R47" s="18">
        <f ca="1">IFERROR(AVERAGE(INDIRECT("D" &amp; $O47):INDIRECT("D" &amp; $P47)),"")</f>
        <v>68.95</v>
      </c>
      <c r="S47" s="50">
        <f ca="1">IFERROR(MAX(INDIRECT("E" &amp; $O47):INDIRECT("E" &amp; $P47)),"")</f>
        <v>80.2</v>
      </c>
      <c r="T47" s="50">
        <f ca="1">IFERROR(MIN(INDIRECT("F" &amp; $O47):INDIRECT("F" &amp; $P47)),"")</f>
        <v>46</v>
      </c>
      <c r="U47" s="18">
        <f t="shared" ca="1" si="49"/>
        <v>69.95</v>
      </c>
      <c r="V47" s="50"/>
      <c r="W47" s="50"/>
      <c r="X47" s="19">
        <f t="shared" si="6"/>
        <v>45354</v>
      </c>
      <c r="Y47" s="18">
        <f ca="1">IFERROR(AVERAGE(INDIRECT("H" &amp; $O47):INDIRECT("H" &amp; $P47)),"")</f>
        <v>16.237499999999997</v>
      </c>
      <c r="Z47" s="50">
        <f ca="1">IFERROR(MAX(INDIRECT("I" &amp; $O47):INDIRECT("I" &amp; $P47)),"")</f>
        <v>32.6</v>
      </c>
      <c r="AA47" s="50">
        <f ca="1">IFERROR(MIN(INDIRECT("J" &amp; $O47):INDIRECT("J" &amp; $P47)),"")</f>
        <v>6.3</v>
      </c>
      <c r="AB47" s="18">
        <f t="shared" ca="1" si="50"/>
        <v>16.537499999999998</v>
      </c>
    </row>
    <row r="48" spans="1:28" x14ac:dyDescent="0.25">
      <c r="A48" s="10">
        <v>45317</v>
      </c>
      <c r="B48" s="11">
        <v>8.3333333333333329E-2</v>
      </c>
      <c r="C48" s="22">
        <v>45317.083333333336</v>
      </c>
      <c r="D48" s="12">
        <v>65.400000000000006</v>
      </c>
      <c r="E48" s="12">
        <v>71.8</v>
      </c>
      <c r="F48" s="12">
        <v>60.2</v>
      </c>
      <c r="G48" s="12" t="s">
        <v>6</v>
      </c>
      <c r="H48" s="12">
        <v>17.600000000000001</v>
      </c>
      <c r="I48" s="12">
        <v>22.9</v>
      </c>
      <c r="J48" s="12">
        <v>12.2</v>
      </c>
      <c r="K48" s="12" t="s">
        <v>6</v>
      </c>
      <c r="L48" s="13">
        <v>80</v>
      </c>
      <c r="M48" s="12"/>
      <c r="N48" s="12" t="s">
        <v>60</v>
      </c>
      <c r="O48" s="51">
        <f t="shared" ref="O48" ca="1" si="51">MIN(ROW(INDIRECT(N48)))</f>
        <v>344</v>
      </c>
      <c r="P48" s="51">
        <f t="shared" ref="P48" ca="1" si="52">MIN(ROW(INDIRECT(N48))) + ROWS(INDIRECT(N48)) -1</f>
        <v>352</v>
      </c>
      <c r="Q48" s="19">
        <f t="shared" si="5"/>
        <v>45355</v>
      </c>
      <c r="R48" s="18">
        <f ca="1">IFERROR(AVERAGE(INDIRECT("D" &amp; $O48):INDIRECT("D" &amp; $P48)),"")</f>
        <v>66.288888888888891</v>
      </c>
      <c r="S48" s="51">
        <f ca="1">IFERROR(MAX(INDIRECT("E" &amp; $O48):INDIRECT("E" &amp; $P48)),"")</f>
        <v>79.099999999999994</v>
      </c>
      <c r="T48" s="51">
        <f ca="1">IFERROR(MIN(INDIRECT("F" &amp; $O48):INDIRECT("F" &amp; $P48)),"")</f>
        <v>51.8</v>
      </c>
      <c r="U48" s="18">
        <f t="shared" ref="U48" ca="1" si="53">R48+1</f>
        <v>67.288888888888891</v>
      </c>
      <c r="V48" s="51"/>
      <c r="W48" s="51"/>
      <c r="X48" s="19">
        <f t="shared" si="6"/>
        <v>45355</v>
      </c>
      <c r="Y48" s="18">
        <f ca="1">IFERROR(AVERAGE(INDIRECT("H" &amp; $O48):INDIRECT("H" &amp; $P48)),"")</f>
        <v>16.033333333333335</v>
      </c>
      <c r="Z48" s="51">
        <f ca="1">IFERROR(MAX(INDIRECT("I" &amp; $O48):INDIRECT("I" &amp; $P48)),"")</f>
        <v>32.200000000000003</v>
      </c>
      <c r="AA48" s="51">
        <f ca="1">IFERROR(MIN(INDIRECT("J" &amp; $O48):INDIRECT("J" &amp; $P48)),"")</f>
        <v>3.2</v>
      </c>
      <c r="AB48" s="18">
        <f t="shared" ref="AB48" ca="1" si="54">Y48+0.3</f>
        <v>16.333333333333336</v>
      </c>
    </row>
    <row r="49" spans="1:28" x14ac:dyDescent="0.25">
      <c r="A49" s="10">
        <v>45317</v>
      </c>
      <c r="B49" s="11">
        <v>0.125</v>
      </c>
      <c r="C49" s="22">
        <v>45317.125</v>
      </c>
      <c r="D49" s="12">
        <v>64.7</v>
      </c>
      <c r="E49" s="12">
        <v>70.900000000000006</v>
      </c>
      <c r="F49" s="12">
        <v>57.8</v>
      </c>
      <c r="G49" s="12" t="s">
        <v>6</v>
      </c>
      <c r="H49" s="12">
        <v>16.100000000000001</v>
      </c>
      <c r="I49" s="12">
        <v>20.6</v>
      </c>
      <c r="J49" s="12">
        <v>9.1999999999999993</v>
      </c>
      <c r="K49" s="12" t="s">
        <v>6</v>
      </c>
      <c r="L49" s="13">
        <v>211</v>
      </c>
      <c r="M49" s="12"/>
      <c r="N49" s="12" t="s">
        <v>61</v>
      </c>
      <c r="O49" s="52">
        <f t="shared" ref="O49" ca="1" si="55">MIN(ROW(INDIRECT(N49)))</f>
        <v>353</v>
      </c>
      <c r="P49" s="52">
        <f t="shared" ref="P49" ca="1" si="56">MIN(ROW(INDIRECT(N49))) + ROWS(INDIRECT(N49)) -1</f>
        <v>360</v>
      </c>
      <c r="Q49" s="19">
        <f t="shared" si="5"/>
        <v>45356</v>
      </c>
      <c r="R49" s="18">
        <f ca="1">IFERROR(AVERAGE(INDIRECT("D" &amp; $O49):INDIRECT("D" &amp; $P49)),"")</f>
        <v>69.924999999999997</v>
      </c>
      <c r="S49" s="52">
        <f ca="1">IFERROR(MAX(INDIRECT("E" &amp; $O49):INDIRECT("E" &amp; $P49)),"")</f>
        <v>90.3</v>
      </c>
      <c r="T49" s="52">
        <f ca="1">IFERROR(MIN(INDIRECT("F" &amp; $O49):INDIRECT("F" &amp; $P49)),"")</f>
        <v>49.2</v>
      </c>
      <c r="U49" s="18">
        <f t="shared" ref="U49" ca="1" si="57">R49+1</f>
        <v>70.924999999999997</v>
      </c>
      <c r="V49" s="52"/>
      <c r="W49" s="52"/>
      <c r="X49" s="19">
        <f t="shared" si="6"/>
        <v>45356</v>
      </c>
      <c r="Y49" s="18">
        <f ca="1">IFERROR(AVERAGE(INDIRECT("H" &amp; $O49):INDIRECT("H" &amp; $P49)),"")</f>
        <v>14.8</v>
      </c>
      <c r="Z49" s="52">
        <f ca="1">IFERROR(MAX(INDIRECT("I" &amp; $O49):INDIRECT("I" &amp; $P49)),"")</f>
        <v>25.7</v>
      </c>
      <c r="AA49" s="52">
        <f ca="1">IFERROR(MIN(INDIRECT("J" &amp; $O49):INDIRECT("J" &amp; $P49)),"")</f>
        <v>3.2</v>
      </c>
      <c r="AB49" s="18">
        <f t="shared" ref="AB49" ca="1" si="58">Y49+0.3</f>
        <v>15.100000000000001</v>
      </c>
    </row>
    <row r="50" spans="1:28" x14ac:dyDescent="0.25">
      <c r="A50" s="10">
        <v>45317</v>
      </c>
      <c r="B50" s="11">
        <v>0.16666666666666666</v>
      </c>
      <c r="C50" s="22">
        <v>45317.166666666664</v>
      </c>
      <c r="D50" s="12">
        <v>67.400000000000006</v>
      </c>
      <c r="E50" s="12">
        <v>81.900000000000006</v>
      </c>
      <c r="F50" s="12">
        <v>57.9</v>
      </c>
      <c r="G50" s="12" t="s">
        <v>6</v>
      </c>
      <c r="H50" s="12">
        <v>15.1</v>
      </c>
      <c r="I50" s="12">
        <v>22.5</v>
      </c>
      <c r="J50" s="12">
        <v>8.6999999999999993</v>
      </c>
      <c r="K50" s="12" t="s">
        <v>6</v>
      </c>
      <c r="L50" s="13">
        <v>175</v>
      </c>
      <c r="M50" s="12"/>
      <c r="N50" s="12" t="s">
        <v>62</v>
      </c>
      <c r="O50" s="53">
        <f t="shared" ref="O50" ca="1" si="59">MIN(ROW(INDIRECT(N50)))</f>
        <v>361</v>
      </c>
      <c r="P50" s="53">
        <f t="shared" ref="P50" ca="1" si="60">MIN(ROW(INDIRECT(N50))) + ROWS(INDIRECT(N50)) -1</f>
        <v>365</v>
      </c>
      <c r="Q50" s="19">
        <f t="shared" si="5"/>
        <v>45357</v>
      </c>
      <c r="R50" s="18">
        <f ca="1">IFERROR(AVERAGE(INDIRECT("D" &amp; $O50):INDIRECT("D" &amp; $P50)),"")</f>
        <v>66.58</v>
      </c>
      <c r="S50" s="53">
        <f ca="1">IFERROR(MAX(INDIRECT("E" &amp; $O50):INDIRECT("E" &amp; $P50)),"")</f>
        <v>80</v>
      </c>
      <c r="T50" s="53">
        <f ca="1">IFERROR(MIN(INDIRECT("F" &amp; $O50):INDIRECT("F" &amp; $P50)),"")</f>
        <v>48.4</v>
      </c>
      <c r="U50" s="18">
        <f t="shared" ref="U50" ca="1" si="61">R50+1</f>
        <v>67.58</v>
      </c>
      <c r="V50" s="53"/>
      <c r="W50" s="53"/>
      <c r="X50" s="19">
        <f t="shared" si="6"/>
        <v>45357</v>
      </c>
      <c r="Y50" s="18">
        <f ca="1">IFERROR(AVERAGE(INDIRECT("H" &amp; $O50):INDIRECT("H" &amp; $P50)),"")</f>
        <v>12.86</v>
      </c>
      <c r="Z50" s="53">
        <f ca="1">IFERROR(MAX(INDIRECT("I" &amp; $O50):INDIRECT("I" &amp; $P50)),"")</f>
        <v>28.2</v>
      </c>
      <c r="AA50" s="53">
        <f ca="1">IFERROR(MIN(INDIRECT("J" &amp; $O50):INDIRECT("J" &amp; $P50)),"")</f>
        <v>5.9</v>
      </c>
      <c r="AB50" s="18">
        <f t="shared" ref="AB50" ca="1" si="62">Y50+0.3</f>
        <v>13.16</v>
      </c>
    </row>
    <row r="51" spans="1:28" x14ac:dyDescent="0.25">
      <c r="A51" s="10">
        <v>45317</v>
      </c>
      <c r="B51" s="11">
        <v>0.20833333333333334</v>
      </c>
      <c r="C51" s="22">
        <v>45317.208333333336</v>
      </c>
      <c r="D51" s="12">
        <v>65.099999999999994</v>
      </c>
      <c r="E51" s="12">
        <v>77.3</v>
      </c>
      <c r="F51" s="12">
        <v>56.8</v>
      </c>
      <c r="G51" s="12" t="s">
        <v>6</v>
      </c>
      <c r="H51" s="12">
        <v>17.7</v>
      </c>
      <c r="I51" s="12">
        <v>23.4</v>
      </c>
      <c r="J51" s="12">
        <v>12.4</v>
      </c>
      <c r="K51" s="12" t="s">
        <v>6</v>
      </c>
      <c r="L51" s="13">
        <v>222</v>
      </c>
      <c r="M51" s="12"/>
      <c r="N51" s="12" t="s">
        <v>63</v>
      </c>
      <c r="O51" s="54">
        <f t="shared" ref="O51" ca="1" si="63">MIN(ROW(INDIRECT(N51)))</f>
        <v>366</v>
      </c>
      <c r="P51" s="54">
        <f t="shared" ref="P51" ca="1" si="64">MIN(ROW(INDIRECT(N51))) + ROWS(INDIRECT(N51)) -1</f>
        <v>375</v>
      </c>
      <c r="Q51" s="19">
        <f t="shared" si="5"/>
        <v>45358</v>
      </c>
      <c r="R51" s="18">
        <f ca="1">IFERROR(AVERAGE(INDIRECT("D" &amp; $O51):INDIRECT("D" &amp; $P51)),"")</f>
        <v>72.75</v>
      </c>
      <c r="S51" s="54">
        <f ca="1">IFERROR(MAX(INDIRECT("E" &amp; $O51):INDIRECT("E" &amp; $P51)),"")</f>
        <v>84.7</v>
      </c>
      <c r="T51" s="54">
        <f ca="1">IFERROR(MIN(INDIRECT("F" &amp; $O51):INDIRECT("F" &amp; $P51)),"")</f>
        <v>60.9</v>
      </c>
      <c r="U51" s="18">
        <f t="shared" ref="U51" ca="1" si="65">R51+1</f>
        <v>73.75</v>
      </c>
      <c r="V51" s="54"/>
      <c r="W51" s="54"/>
      <c r="X51" s="19">
        <f t="shared" si="6"/>
        <v>45358</v>
      </c>
      <c r="Y51" s="18">
        <f ca="1">IFERROR(AVERAGE(INDIRECT("H" &amp; $O51):INDIRECT("H" &amp; $P51)),"")</f>
        <v>13.679999999999998</v>
      </c>
      <c r="Z51" s="54">
        <f ca="1">IFERROR(MAX(INDIRECT("I" &amp; $O51):INDIRECT("I" &amp; $P51)),"")</f>
        <v>27.6</v>
      </c>
      <c r="AA51" s="54">
        <f ca="1">IFERROR(MIN(INDIRECT("J" &amp; $O51):INDIRECT("J" &amp; $P51)),"")</f>
        <v>2.2000000000000002</v>
      </c>
      <c r="AB51" s="18">
        <f t="shared" ref="AB51" ca="1" si="66">Y51+0.3</f>
        <v>13.979999999999999</v>
      </c>
    </row>
    <row r="52" spans="1:28" x14ac:dyDescent="0.25">
      <c r="A52" s="10">
        <v>45317</v>
      </c>
      <c r="B52" s="11">
        <v>0.25</v>
      </c>
      <c r="C52" s="22">
        <v>45317.25</v>
      </c>
      <c r="D52" s="12">
        <v>62</v>
      </c>
      <c r="E52" s="12">
        <v>71.7</v>
      </c>
      <c r="F52" s="12">
        <v>53.5</v>
      </c>
      <c r="G52" s="12" t="s">
        <v>6</v>
      </c>
      <c r="H52" s="12">
        <v>16.2</v>
      </c>
      <c r="I52" s="12">
        <v>22.8</v>
      </c>
      <c r="J52" s="12">
        <v>9.8000000000000007</v>
      </c>
      <c r="K52" s="12" t="s">
        <v>6</v>
      </c>
      <c r="L52" s="13">
        <v>221</v>
      </c>
      <c r="M52" s="12"/>
      <c r="N52" s="12" t="s">
        <v>64</v>
      </c>
      <c r="O52" s="57">
        <f t="shared" ref="O52:O54" ca="1" si="67">MIN(ROW(INDIRECT(N52)))</f>
        <v>376</v>
      </c>
      <c r="P52" s="57">
        <f t="shared" ref="P52:P54" ca="1" si="68">MIN(ROW(INDIRECT(N52))) + ROWS(INDIRECT(N52)) -1</f>
        <v>377</v>
      </c>
      <c r="Q52" s="19">
        <f t="shared" si="5"/>
        <v>45359</v>
      </c>
      <c r="R52" s="18">
        <f ca="1">IFERROR(AVERAGE(INDIRECT("D" &amp; $O52):INDIRECT("D" &amp; $P52)),"")</f>
        <v>67.150000000000006</v>
      </c>
      <c r="S52" s="57">
        <f ca="1">IFERROR(MAX(INDIRECT("E" &amp; $O52):INDIRECT("E" &amp; $P52)),"")</f>
        <v>71.099999999999994</v>
      </c>
      <c r="T52" s="57">
        <f ca="1">IFERROR(MIN(INDIRECT("F" &amp; $O52):INDIRECT("F" &amp; $P52)),"")</f>
        <v>63.2</v>
      </c>
      <c r="U52" s="18">
        <f t="shared" ref="U52:U54" ca="1" si="69">R52+1</f>
        <v>68.150000000000006</v>
      </c>
      <c r="V52" s="57"/>
      <c r="W52" s="57"/>
      <c r="X52" s="19">
        <f t="shared" si="6"/>
        <v>45359</v>
      </c>
      <c r="Y52" s="18">
        <f ca="1">IFERROR(AVERAGE(INDIRECT("H" &amp; $O52):INDIRECT("H" &amp; $P52)),"")</f>
        <v>4.7</v>
      </c>
      <c r="Z52" s="57">
        <f ca="1">IFERROR(MAX(INDIRECT("I" &amp; $O52):INDIRECT("I" &amp; $P52)),"")</f>
        <v>6.3</v>
      </c>
      <c r="AA52" s="57">
        <f ca="1">IFERROR(MIN(INDIRECT("J" &amp; $O52):INDIRECT("J" &amp; $P52)),"")</f>
        <v>3.1</v>
      </c>
      <c r="AB52" s="18">
        <f t="shared" ref="AB52:AB54" ca="1" si="70">Y52+0.3</f>
        <v>5</v>
      </c>
    </row>
    <row r="53" spans="1:28" x14ac:dyDescent="0.25">
      <c r="A53" s="10">
        <v>45317</v>
      </c>
      <c r="B53" s="11">
        <v>0.29166666666666669</v>
      </c>
      <c r="C53" s="22">
        <v>45317.291666666664</v>
      </c>
      <c r="D53" s="12">
        <v>67.400000000000006</v>
      </c>
      <c r="E53" s="12">
        <v>79.599999999999994</v>
      </c>
      <c r="F53" s="12">
        <v>55.7</v>
      </c>
      <c r="G53" s="12" t="s">
        <v>6</v>
      </c>
      <c r="H53" s="12">
        <v>16.899999999999999</v>
      </c>
      <c r="I53" s="12">
        <v>30.1</v>
      </c>
      <c r="J53" s="12">
        <v>9.1</v>
      </c>
      <c r="K53" s="12" t="s">
        <v>6</v>
      </c>
      <c r="L53" s="13">
        <v>229</v>
      </c>
      <c r="M53" s="12"/>
      <c r="N53" s="12" t="s">
        <v>65</v>
      </c>
      <c r="O53" s="57">
        <f t="shared" ca="1" si="67"/>
        <v>378</v>
      </c>
      <c r="P53" s="57">
        <f t="shared" ca="1" si="68"/>
        <v>383</v>
      </c>
      <c r="Q53" s="19">
        <f t="shared" si="5"/>
        <v>45360</v>
      </c>
      <c r="R53" s="18">
        <f ca="1">IFERROR(AVERAGE(INDIRECT("D" &amp; $O53):INDIRECT("D" &amp; $P53)),"")</f>
        <v>72.350000000000009</v>
      </c>
      <c r="S53" s="57">
        <f ca="1">IFERROR(MAX(INDIRECT("E" &amp; $O53):INDIRECT("E" &amp; $P53)),"")</f>
        <v>86.7</v>
      </c>
      <c r="T53" s="57">
        <f ca="1">IFERROR(MIN(INDIRECT("F" &amp; $O53):INDIRECT("F" &amp; $P53)),"")</f>
        <v>56.4</v>
      </c>
      <c r="U53" s="18">
        <f t="shared" ca="1" si="69"/>
        <v>73.350000000000009</v>
      </c>
      <c r="V53" s="57"/>
      <c r="W53" s="57"/>
      <c r="X53" s="19">
        <f t="shared" si="6"/>
        <v>45360</v>
      </c>
      <c r="Y53" s="18">
        <f ca="1">IFERROR(AVERAGE(INDIRECT("H" &amp; $O53):INDIRECT("H" &amp; $P53)),"")</f>
        <v>14.783333333333333</v>
      </c>
      <c r="Z53" s="57">
        <f ca="1">IFERROR(MAX(INDIRECT("I" &amp; $O53):INDIRECT("I" &amp; $P53)),"")</f>
        <v>36.9</v>
      </c>
      <c r="AA53" s="57">
        <f ca="1">IFERROR(MIN(INDIRECT("J" &amp; $O53):INDIRECT("J" &amp; $P53)),"")</f>
        <v>5.0999999999999996</v>
      </c>
      <c r="AB53" s="18">
        <f t="shared" ca="1" si="70"/>
        <v>15.083333333333334</v>
      </c>
    </row>
    <row r="54" spans="1:28" x14ac:dyDescent="0.25">
      <c r="A54" s="14">
        <v>45317</v>
      </c>
      <c r="B54" s="15">
        <v>0.33333333333333331</v>
      </c>
      <c r="C54" s="20">
        <v>45317.333333333336</v>
      </c>
      <c r="D54" s="16">
        <v>62.8</v>
      </c>
      <c r="E54" s="16">
        <v>76.3</v>
      </c>
      <c r="F54" s="16">
        <v>57.5</v>
      </c>
      <c r="G54" s="16" t="s">
        <v>6</v>
      </c>
      <c r="H54" s="16">
        <v>14.9</v>
      </c>
      <c r="I54" s="16">
        <v>18.8</v>
      </c>
      <c r="J54" s="16">
        <v>11</v>
      </c>
      <c r="K54" s="16" t="s">
        <v>6</v>
      </c>
      <c r="L54" s="17">
        <v>29</v>
      </c>
      <c r="M54" s="12"/>
      <c r="N54" s="12" t="s">
        <v>66</v>
      </c>
      <c r="O54" s="57">
        <f t="shared" ca="1" si="67"/>
        <v>384</v>
      </c>
      <c r="P54" s="57">
        <f t="shared" ca="1" si="68"/>
        <v>384</v>
      </c>
      <c r="Q54" s="19">
        <f t="shared" si="5"/>
        <v>45361</v>
      </c>
      <c r="R54" s="18">
        <f ca="1">IFERROR(AVERAGE(INDIRECT("D" &amp; $O54):INDIRECT("D" &amp; $P54)),"")</f>
        <v>64.900000000000006</v>
      </c>
      <c r="S54" s="57">
        <f ca="1">IFERROR(MAX(INDIRECT("E" &amp; $O54):INDIRECT("E" &amp; $P54)),"")</f>
        <v>68.8</v>
      </c>
      <c r="T54" s="57">
        <f ca="1">IFERROR(MIN(INDIRECT("F" &amp; $O54):INDIRECT("F" &amp; $P54)),"")</f>
        <v>60.9</v>
      </c>
      <c r="U54" s="18">
        <f t="shared" ca="1" si="69"/>
        <v>65.900000000000006</v>
      </c>
      <c r="V54" s="57"/>
      <c r="W54" s="57"/>
      <c r="X54" s="19">
        <f t="shared" si="6"/>
        <v>45361</v>
      </c>
      <c r="Y54" s="18">
        <f ca="1">IFERROR(AVERAGE(INDIRECT("H" &amp; $O54):INDIRECT("H" &amp; $P54)),"")</f>
        <v>11.6</v>
      </c>
      <c r="Z54" s="57">
        <f ca="1">IFERROR(MAX(INDIRECT("I" &amp; $O54):INDIRECT("I" &amp; $P54)),"")</f>
        <v>14.4</v>
      </c>
      <c r="AA54" s="57">
        <f ca="1">IFERROR(MIN(INDIRECT("J" &amp; $O54):INDIRECT("J" &amp; $P54)),"")</f>
        <v>7.5</v>
      </c>
      <c r="AB54" s="18">
        <f t="shared" ca="1" si="70"/>
        <v>11.9</v>
      </c>
    </row>
    <row r="55" spans="1:28" x14ac:dyDescent="0.25">
      <c r="A55" s="6">
        <v>45317</v>
      </c>
      <c r="B55" s="7">
        <v>0.83333333333333337</v>
      </c>
      <c r="C55" s="21">
        <v>45317.833333333336</v>
      </c>
      <c r="D55" s="8">
        <v>68.7</v>
      </c>
      <c r="E55" s="8">
        <v>70.599999999999994</v>
      </c>
      <c r="F55" s="8">
        <v>66.7</v>
      </c>
      <c r="G55" s="8" t="s">
        <v>6</v>
      </c>
      <c r="H55" s="8">
        <v>10.5</v>
      </c>
      <c r="I55" s="8">
        <v>11.4</v>
      </c>
      <c r="J55" s="8">
        <v>9.6</v>
      </c>
      <c r="K55" s="9" t="s">
        <v>6</v>
      </c>
      <c r="L55" s="24">
        <v>2</v>
      </c>
      <c r="N55" s="35" t="s">
        <v>67</v>
      </c>
      <c r="O55" s="58">
        <f t="shared" ref="O55" ca="1" si="71">MIN(ROW(INDIRECT(N55)))</f>
        <v>384</v>
      </c>
      <c r="P55" s="58">
        <f t="shared" ref="P55" ca="1" si="72">MIN(ROW(INDIRECT(N55))) + ROWS(INDIRECT(N55)) -1</f>
        <v>389</v>
      </c>
      <c r="Q55" s="19">
        <f t="shared" si="5"/>
        <v>45362</v>
      </c>
      <c r="R55" s="18">
        <f ca="1">IFERROR(AVERAGE(INDIRECT("D" &amp; $O55):INDIRECT("D" &amp; $P55)),"")</f>
        <v>67.183333333333337</v>
      </c>
      <c r="S55" s="58">
        <f ca="1">IFERROR(MAX(INDIRECT("E" &amp; $O55):INDIRECT("E" &amp; $P55)),"")</f>
        <v>76</v>
      </c>
      <c r="T55" s="58">
        <f ca="1">IFERROR(MIN(INDIRECT("F" &amp; $O55):INDIRECT("F" &amp; $P55)),"")</f>
        <v>53.8</v>
      </c>
      <c r="U55" s="18">
        <f t="shared" ref="U55" ca="1" si="73">R55+1</f>
        <v>68.183333333333337</v>
      </c>
      <c r="V55" s="58"/>
      <c r="W55" s="58"/>
      <c r="X55" s="19">
        <f t="shared" si="6"/>
        <v>45362</v>
      </c>
      <c r="Y55" s="18">
        <f ca="1">IFERROR(AVERAGE(INDIRECT("H" &amp; $O55):INDIRECT("H" &amp; $P55)),"")</f>
        <v>16.483333333333334</v>
      </c>
      <c r="Z55" s="58">
        <f ca="1">IFERROR(MAX(INDIRECT("I" &amp; $O55):INDIRECT("I" &amp; $P55)),"")</f>
        <v>27.2</v>
      </c>
      <c r="AA55" s="58">
        <f ca="1">IFERROR(MIN(INDIRECT("J" &amp; $O55):INDIRECT("J" &amp; $P55)),"")</f>
        <v>7.5</v>
      </c>
      <c r="AB55" s="18">
        <f t="shared" ref="AB55" ca="1" si="74">Y55+0.3</f>
        <v>16.783333333333335</v>
      </c>
    </row>
    <row r="56" spans="1:28" x14ac:dyDescent="0.25">
      <c r="A56" s="10">
        <v>45317</v>
      </c>
      <c r="B56" s="11">
        <v>0.875</v>
      </c>
      <c r="C56" s="22">
        <v>45317.875</v>
      </c>
      <c r="D56" s="12">
        <v>72.3</v>
      </c>
      <c r="E56" s="12">
        <v>85.1</v>
      </c>
      <c r="F56" s="12">
        <v>61.9</v>
      </c>
      <c r="G56" s="12" t="s">
        <v>6</v>
      </c>
      <c r="H56" s="12">
        <v>18.899999999999999</v>
      </c>
      <c r="I56" s="12">
        <v>26.3</v>
      </c>
      <c r="J56" s="12">
        <v>9.1</v>
      </c>
      <c r="K56" s="13" t="s">
        <v>6</v>
      </c>
      <c r="L56" s="24">
        <v>140</v>
      </c>
      <c r="N56" s="35" t="s">
        <v>68</v>
      </c>
      <c r="O56" s="59">
        <f t="shared" ref="O56" ca="1" si="75">MIN(ROW(INDIRECT(N56)))</f>
        <v>390</v>
      </c>
      <c r="P56" s="59">
        <f t="shared" ref="P56" ca="1" si="76">MIN(ROW(INDIRECT(N56))) + ROWS(INDIRECT(N56)) -1</f>
        <v>391</v>
      </c>
      <c r="Q56" s="19">
        <f t="shared" si="5"/>
        <v>45363</v>
      </c>
      <c r="R56" s="18">
        <f ca="1">IFERROR(AVERAGE(INDIRECT("D" &amp; $O56):INDIRECT("D" &amp; $P56)),"")</f>
        <v>67.95</v>
      </c>
      <c r="S56" s="59">
        <f ca="1">IFERROR(MAX(INDIRECT("E" &amp; $O56):INDIRECT("E" &amp; $P56)),"")</f>
        <v>75.599999999999994</v>
      </c>
      <c r="T56" s="59">
        <f ca="1">IFERROR(MIN(INDIRECT("F" &amp; $O56):INDIRECT("F" &amp; $P56)),"")</f>
        <v>65.900000000000006</v>
      </c>
      <c r="U56" s="18">
        <f t="shared" ref="U56" ca="1" si="77">R56+1</f>
        <v>68.95</v>
      </c>
      <c r="V56" s="59"/>
      <c r="W56" s="59"/>
      <c r="X56" s="19">
        <f t="shared" si="6"/>
        <v>45363</v>
      </c>
      <c r="Y56" s="18">
        <f ca="1">IFERROR(AVERAGE(INDIRECT("H" &amp; $O56):INDIRECT("H" &amp; $P56)),"")</f>
        <v>10.050000000000001</v>
      </c>
      <c r="Z56" s="59">
        <f ca="1">IFERROR(MAX(INDIRECT("I" &amp; $O56):INDIRECT("I" &amp; $P56)),"")</f>
        <v>20.2</v>
      </c>
      <c r="AA56" s="59">
        <f ca="1">IFERROR(MIN(INDIRECT("J" &amp; $O56):INDIRECT("J" &amp; $P56)),"")</f>
        <v>6.1</v>
      </c>
      <c r="AB56" s="18">
        <f t="shared" ref="AB56" ca="1" si="78">Y56+0.3</f>
        <v>10.350000000000001</v>
      </c>
    </row>
    <row r="57" spans="1:28" x14ac:dyDescent="0.25">
      <c r="A57" s="10">
        <v>45317</v>
      </c>
      <c r="B57" s="11">
        <v>0.91666666666666663</v>
      </c>
      <c r="C57" s="22">
        <v>45317.916666666664</v>
      </c>
      <c r="D57" s="12">
        <v>67</v>
      </c>
      <c r="E57" s="12">
        <v>76.2</v>
      </c>
      <c r="F57" s="12">
        <v>58.9</v>
      </c>
      <c r="G57" s="12" t="s">
        <v>6</v>
      </c>
      <c r="H57" s="12">
        <v>17.5</v>
      </c>
      <c r="I57" s="12">
        <v>35.4</v>
      </c>
      <c r="J57" s="12">
        <v>9</v>
      </c>
      <c r="K57" s="13" t="s">
        <v>6</v>
      </c>
      <c r="L57" s="24">
        <v>225</v>
      </c>
      <c r="N57" s="35" t="s">
        <v>69</v>
      </c>
      <c r="O57" s="60">
        <f t="shared" ref="O57" ca="1" si="79">MIN(ROW(INDIRECT(N57)))</f>
        <v>392</v>
      </c>
      <c r="P57" s="60">
        <f t="shared" ref="P57" ca="1" si="80">MIN(ROW(INDIRECT(N57))) + ROWS(INDIRECT(N57)) -1</f>
        <v>398</v>
      </c>
      <c r="Q57" s="19">
        <f t="shared" si="5"/>
        <v>45364</v>
      </c>
      <c r="R57" s="18">
        <f ca="1">IFERROR(AVERAGE(INDIRECT("D" &amp; $O57):INDIRECT("D" &amp; $P57)),"")</f>
        <v>69.55714285714285</v>
      </c>
      <c r="S57" s="60">
        <f ca="1">IFERROR(MAX(INDIRECT("E" &amp; $O57):INDIRECT("E" &amp; $P57)),"")</f>
        <v>79.099999999999994</v>
      </c>
      <c r="T57" s="60">
        <f ca="1">IFERROR(MIN(INDIRECT("F" &amp; $O57):INDIRECT("F" &amp; $P57)),"")</f>
        <v>53.4</v>
      </c>
      <c r="U57" s="18">
        <f t="shared" ref="U57" ca="1" si="81">R57+1</f>
        <v>70.55714285714285</v>
      </c>
      <c r="V57" s="60"/>
      <c r="W57" s="60"/>
      <c r="X57" s="19">
        <f t="shared" si="6"/>
        <v>45364</v>
      </c>
      <c r="Y57" s="18">
        <f ca="1">IFERROR(AVERAGE(INDIRECT("H" &amp; $O57):INDIRECT("H" &amp; $P57)),"")</f>
        <v>16.542857142857141</v>
      </c>
      <c r="Z57" s="60">
        <f ca="1">IFERROR(MAX(INDIRECT("I" &amp; $O57):INDIRECT("I" &amp; $P57)),"")</f>
        <v>30.4</v>
      </c>
      <c r="AA57" s="60">
        <f ca="1">IFERROR(MIN(INDIRECT("J" &amp; $O57):INDIRECT("J" &amp; $P57)),"")</f>
        <v>5.0999999999999996</v>
      </c>
      <c r="AB57" s="18">
        <f t="shared" ref="AB57" ca="1" si="82">Y57+0.3</f>
        <v>16.842857142857142</v>
      </c>
    </row>
    <row r="58" spans="1:28" x14ac:dyDescent="0.25">
      <c r="A58" s="10">
        <v>45317</v>
      </c>
      <c r="B58" s="11">
        <v>0.95833333333333337</v>
      </c>
      <c r="C58" s="22">
        <v>45317.958333333336</v>
      </c>
      <c r="D58" s="12">
        <v>63.4</v>
      </c>
      <c r="E58" s="12">
        <v>74</v>
      </c>
      <c r="F58" s="12">
        <v>54.5</v>
      </c>
      <c r="G58" s="12" t="s">
        <v>6</v>
      </c>
      <c r="H58" s="12">
        <v>18.899999999999999</v>
      </c>
      <c r="I58" s="12">
        <v>30.1</v>
      </c>
      <c r="J58" s="12">
        <v>8.6</v>
      </c>
      <c r="K58" s="13" t="s">
        <v>6</v>
      </c>
      <c r="L58" s="24">
        <v>207</v>
      </c>
      <c r="N58" s="35" t="s">
        <v>70</v>
      </c>
      <c r="O58" s="61">
        <f t="shared" ref="O58" ca="1" si="83">MIN(ROW(INDIRECT(N58)))</f>
        <v>399</v>
      </c>
      <c r="P58" s="61">
        <f t="shared" ref="P58" ca="1" si="84">MIN(ROW(INDIRECT(N58))) + ROWS(INDIRECT(N58)) -1</f>
        <v>402</v>
      </c>
      <c r="Q58" s="19">
        <f t="shared" si="5"/>
        <v>45365</v>
      </c>
      <c r="R58" s="18">
        <f ca="1">IFERROR(AVERAGE(INDIRECT("D" &amp; $O58):INDIRECT("D" &amp; $P58)),"")</f>
        <v>65.2</v>
      </c>
      <c r="S58" s="61">
        <f ca="1">IFERROR(MAX(INDIRECT("E" &amp; $O58):INDIRECT("E" &amp; $P58)),"")</f>
        <v>71.7</v>
      </c>
      <c r="T58" s="61">
        <f ca="1">IFERROR(MIN(INDIRECT("F" &amp; $O58):INDIRECT("F" &amp; $P58)),"")</f>
        <v>62.4</v>
      </c>
      <c r="U58" s="18">
        <f t="shared" ref="U58" ca="1" si="85">R58+1</f>
        <v>66.2</v>
      </c>
      <c r="V58" s="61"/>
      <c r="W58" s="61"/>
      <c r="X58" s="19">
        <f t="shared" si="6"/>
        <v>45365</v>
      </c>
      <c r="Y58" s="18">
        <f ca="1">IFERROR(AVERAGE(INDIRECT("H" &amp; $O58):INDIRECT("H" &amp; $P58)),"")</f>
        <v>4.4749999999999996</v>
      </c>
      <c r="Z58" s="61">
        <f ca="1">IFERROR(MAX(INDIRECT("I" &amp; $O58):INDIRECT("I" &amp; $P58)),"")</f>
        <v>5.7</v>
      </c>
      <c r="AA58" s="61">
        <f ca="1">IFERROR(MIN(INDIRECT("J" &amp; $O58):INDIRECT("J" &amp; $P58)),"")</f>
        <v>3.6</v>
      </c>
      <c r="AB58" s="18">
        <f t="shared" ref="AB58" ca="1" si="86">Y58+0.3</f>
        <v>4.7749999999999995</v>
      </c>
    </row>
    <row r="59" spans="1:28" x14ac:dyDescent="0.25">
      <c r="A59" s="10">
        <v>45318</v>
      </c>
      <c r="B59" s="11">
        <v>0</v>
      </c>
      <c r="C59" s="22">
        <v>45318</v>
      </c>
      <c r="D59" s="12">
        <v>63.4</v>
      </c>
      <c r="E59" s="12">
        <v>71.7</v>
      </c>
      <c r="F59" s="12">
        <v>56.1</v>
      </c>
      <c r="G59" s="12" t="s">
        <v>6</v>
      </c>
      <c r="H59" s="12">
        <v>16.600000000000001</v>
      </c>
      <c r="I59" s="12">
        <v>21.2</v>
      </c>
      <c r="J59" s="12">
        <v>9</v>
      </c>
      <c r="K59" s="13" t="s">
        <v>6</v>
      </c>
      <c r="L59" s="24">
        <v>216</v>
      </c>
      <c r="N59" s="35" t="s">
        <v>71</v>
      </c>
      <c r="O59" s="62">
        <f t="shared" ref="O59" ca="1" si="87">MIN(ROW(INDIRECT(N59)))</f>
        <v>403</v>
      </c>
      <c r="P59" s="62">
        <f t="shared" ref="P59" ca="1" si="88">MIN(ROW(INDIRECT(N59))) + ROWS(INDIRECT(N59)) -1</f>
        <v>410</v>
      </c>
      <c r="Q59" s="19">
        <f t="shared" si="5"/>
        <v>45366</v>
      </c>
      <c r="R59" s="18">
        <f ca="1">IFERROR(AVERAGE(INDIRECT("D" &amp; $O59):INDIRECT("D" &amp; $P59)),"")</f>
        <v>68.199999999999989</v>
      </c>
      <c r="S59" s="62">
        <f ca="1">IFERROR(MAX(INDIRECT("E" &amp; $O59):INDIRECT("E" &amp; $P59)),"")</f>
        <v>90.1</v>
      </c>
      <c r="T59" s="62">
        <f ca="1">IFERROR(MIN(INDIRECT("F" &amp; $O59):INDIRECT("F" &amp; $P59)),"")</f>
        <v>49.4</v>
      </c>
      <c r="U59" s="18">
        <f t="shared" ref="U59" ca="1" si="89">R59+1</f>
        <v>69.199999999999989</v>
      </c>
      <c r="V59" s="62">
        <v>1</v>
      </c>
      <c r="W59" s="62"/>
      <c r="X59" s="19">
        <f t="shared" si="6"/>
        <v>45366</v>
      </c>
      <c r="Y59" s="18">
        <f ca="1">IFERROR(AVERAGE(INDIRECT("H" &amp; $O59):INDIRECT("H" &amp; $P59)),"")</f>
        <v>15.275</v>
      </c>
      <c r="Z59" s="62">
        <f ca="1">IFERROR(MAX(INDIRECT("I" &amp; $O59):INDIRECT("I" &amp; $P59)),"")</f>
        <v>30.3</v>
      </c>
      <c r="AA59" s="62">
        <f ca="1">IFERROR(MIN(INDIRECT("J" &amp; $O59):INDIRECT("J" &amp; $P59)),"")</f>
        <v>4.5999999999999996</v>
      </c>
      <c r="AB59" s="18">
        <f t="shared" ref="AB59" ca="1" si="90">Y59+0.3</f>
        <v>15.575000000000001</v>
      </c>
    </row>
    <row r="60" spans="1:28" x14ac:dyDescent="0.25">
      <c r="A60" s="10">
        <v>45318</v>
      </c>
      <c r="B60" s="11">
        <v>4.1666666666666664E-2</v>
      </c>
      <c r="C60" s="22">
        <v>45318.041666666664</v>
      </c>
      <c r="D60" s="12">
        <v>59.8</v>
      </c>
      <c r="E60" s="12">
        <v>64.3</v>
      </c>
      <c r="F60" s="12">
        <v>56.1</v>
      </c>
      <c r="G60" s="12" t="s">
        <v>6</v>
      </c>
      <c r="H60" s="12">
        <v>16.8</v>
      </c>
      <c r="I60" s="12">
        <v>21.9</v>
      </c>
      <c r="J60" s="12">
        <v>12</v>
      </c>
      <c r="K60" s="13" t="s">
        <v>6</v>
      </c>
      <c r="L60" s="24">
        <v>89</v>
      </c>
      <c r="N60" s="63" t="s">
        <v>72</v>
      </c>
      <c r="O60" s="63">
        <f t="shared" ref="O60" ca="1" si="91">MIN(ROW(INDIRECT(N60)))</f>
        <v>411</v>
      </c>
      <c r="P60" s="63">
        <f t="shared" ref="P60" ca="1" si="92">MIN(ROW(INDIRECT(N60))) + ROWS(INDIRECT(N60)) -1</f>
        <v>411</v>
      </c>
      <c r="Q60" s="19">
        <f t="shared" si="5"/>
        <v>45367</v>
      </c>
      <c r="R60" s="18">
        <f ca="1">IFERROR(AVERAGE(INDIRECT("D" &amp; $O60):INDIRECT("D" &amp; $P60)),"")</f>
        <v>62</v>
      </c>
      <c r="S60" s="63">
        <f ca="1">IFERROR(MAX(INDIRECT("E" &amp; $O60):INDIRECT("E" &amp; $P60)),"")</f>
        <v>62</v>
      </c>
      <c r="T60" s="63">
        <f ca="1">IFERROR(MIN(INDIRECT("F" &amp; $O60):INDIRECT("F" &amp; $P60)),"")</f>
        <v>62</v>
      </c>
      <c r="U60" s="18">
        <f t="shared" ref="U60" ca="1" si="93">R60+1</f>
        <v>63</v>
      </c>
      <c r="V60" s="63"/>
      <c r="W60" s="63"/>
      <c r="X60" s="19">
        <f t="shared" si="6"/>
        <v>45367</v>
      </c>
      <c r="Y60" s="18">
        <f ca="1">IFERROR(AVERAGE(INDIRECT("H" &amp; $O60):INDIRECT("H" &amp; $P60)),"")</f>
        <v>10.8</v>
      </c>
      <c r="Z60" s="63">
        <f ca="1">IFERROR(MAX(INDIRECT("I" &amp; $O60):INDIRECT("I" &amp; $P60)),"")</f>
        <v>11.3</v>
      </c>
      <c r="AA60" s="63">
        <f ca="1">IFERROR(MIN(INDIRECT("J" &amp; $O60):INDIRECT("J" &amp; $P60)),"")</f>
        <v>10.199999999999999</v>
      </c>
      <c r="AB60" s="18">
        <f t="shared" ref="AB60" ca="1" si="94">Y60+0.3</f>
        <v>11.100000000000001</v>
      </c>
    </row>
    <row r="61" spans="1:28" x14ac:dyDescent="0.25">
      <c r="A61" s="10">
        <v>45318</v>
      </c>
      <c r="B61" s="11">
        <v>0.16666666666666666</v>
      </c>
      <c r="C61" s="22">
        <v>45318.166666666664</v>
      </c>
      <c r="D61" s="12">
        <v>63.5</v>
      </c>
      <c r="E61" s="12">
        <v>73</v>
      </c>
      <c r="F61" s="12">
        <v>56</v>
      </c>
      <c r="G61" s="12" t="s">
        <v>6</v>
      </c>
      <c r="H61" s="12">
        <v>18.899999999999999</v>
      </c>
      <c r="I61" s="12">
        <v>30.6</v>
      </c>
      <c r="J61" s="12">
        <v>12.4</v>
      </c>
      <c r="K61" s="13" t="s">
        <v>6</v>
      </c>
      <c r="L61" s="24">
        <v>184</v>
      </c>
      <c r="N61" s="35" t="s">
        <v>73</v>
      </c>
      <c r="O61" s="69">
        <f t="shared" ref="O61" ca="1" si="95">MIN(ROW(INDIRECT(N61)))</f>
        <v>412</v>
      </c>
      <c r="P61" s="69">
        <f t="shared" ref="P61" ca="1" si="96">MIN(ROW(INDIRECT(N61))) + ROWS(INDIRECT(N61)) -1</f>
        <v>421</v>
      </c>
      <c r="Q61" s="19">
        <f t="shared" si="5"/>
        <v>45368</v>
      </c>
      <c r="R61" s="18">
        <f ca="1">IFERROR(AVERAGE(INDIRECT("D" &amp; $O61):INDIRECT("D" &amp; $P61)),"")</f>
        <v>71.58</v>
      </c>
      <c r="S61" s="69">
        <f ca="1">IFERROR(MAX(INDIRECT("E" &amp; $O61):INDIRECT("E" &amp; $P61)),"")</f>
        <v>85.8</v>
      </c>
      <c r="T61" s="69">
        <f ca="1">IFERROR(MIN(INDIRECT("F" &amp; $O61):INDIRECT("F" &amp; $P61)),"")</f>
        <v>50.2</v>
      </c>
      <c r="U61" s="18">
        <f t="shared" ref="U61" ca="1" si="97">R61+1</f>
        <v>72.58</v>
      </c>
      <c r="V61" s="69"/>
      <c r="W61" s="69"/>
      <c r="X61" s="19">
        <f t="shared" si="6"/>
        <v>45368</v>
      </c>
      <c r="Y61" s="18">
        <f ca="1">IFERROR(AVERAGE(INDIRECT("H" &amp; $O61):INDIRECT("H" &amp; $P61)),"")</f>
        <v>17.919999999999998</v>
      </c>
      <c r="Z61" s="69">
        <f ca="1">IFERROR(MAX(INDIRECT("I" &amp; $O61):INDIRECT("I" &amp; $P61)),"")</f>
        <v>33.299999999999997</v>
      </c>
      <c r="AA61" s="69">
        <f ca="1">IFERROR(MIN(INDIRECT("J" &amp; $O61):INDIRECT("J" &amp; $P61)),"")</f>
        <v>5.6</v>
      </c>
      <c r="AB61" s="18">
        <f t="shared" ref="AB61" ca="1" si="98">Y61+0.3</f>
        <v>18.22</v>
      </c>
    </row>
    <row r="62" spans="1:28" x14ac:dyDescent="0.25">
      <c r="A62" s="14">
        <v>45318</v>
      </c>
      <c r="B62" s="15">
        <v>0.20833333333333334</v>
      </c>
      <c r="C62" s="20">
        <v>45318.208333333336</v>
      </c>
      <c r="D62" s="16">
        <v>61.3</v>
      </c>
      <c r="E62" s="16">
        <v>67.599999999999994</v>
      </c>
      <c r="F62" s="16">
        <v>53.7</v>
      </c>
      <c r="G62" s="16" t="s">
        <v>6</v>
      </c>
      <c r="H62" s="16">
        <v>16.8</v>
      </c>
      <c r="I62" s="16">
        <v>25.3</v>
      </c>
      <c r="J62" s="16">
        <v>9.6999999999999993</v>
      </c>
      <c r="K62" s="17" t="s">
        <v>6</v>
      </c>
      <c r="L62" s="24">
        <v>209</v>
      </c>
      <c r="N62" s="35" t="s">
        <v>74</v>
      </c>
      <c r="O62" s="70">
        <f t="shared" ref="O62" ca="1" si="99">MIN(ROW(INDIRECT(N62)))</f>
        <v>422</v>
      </c>
      <c r="P62" s="70">
        <f t="shared" ref="P62" ca="1" si="100">MIN(ROW(INDIRECT(N62))) + ROWS(INDIRECT(N62)) -1</f>
        <v>422</v>
      </c>
      <c r="Q62" s="19">
        <f t="shared" si="5"/>
        <v>45369</v>
      </c>
      <c r="R62" s="18">
        <f ca="1">IFERROR(AVERAGE(INDIRECT("D" &amp; $O62):INDIRECT("D" &amp; $P62)),"")</f>
        <v>70</v>
      </c>
      <c r="S62" s="70">
        <f ca="1">IFERROR(MAX(INDIRECT("E" &amp; $O62):INDIRECT("E" &amp; $P62)),"")</f>
        <v>70.5</v>
      </c>
      <c r="T62" s="70">
        <f ca="1">IFERROR(MIN(INDIRECT("F" &amp; $O62):INDIRECT("F" &amp; $P62)),"")</f>
        <v>69.8</v>
      </c>
      <c r="U62" s="18">
        <f t="shared" ref="U62" ca="1" si="101">R62+1</f>
        <v>71</v>
      </c>
      <c r="V62" s="70"/>
      <c r="W62" s="70"/>
      <c r="X62" s="19">
        <f t="shared" si="6"/>
        <v>45369</v>
      </c>
      <c r="Y62" s="18">
        <f ca="1">IFERROR(AVERAGE(INDIRECT("H" &amp; $O62):INDIRECT("H" &amp; $P62)),"")</f>
        <v>8</v>
      </c>
      <c r="Z62" s="70">
        <f ca="1">IFERROR(MAX(INDIRECT("I" &amp; $O62):INDIRECT("I" &amp; $P62)),"")</f>
        <v>11.2</v>
      </c>
      <c r="AA62" s="70">
        <f ca="1">IFERROR(MIN(INDIRECT("J" &amp; $O62):INDIRECT("J" &amp; $P62)),"")</f>
        <v>4.2</v>
      </c>
      <c r="AB62" s="18">
        <f t="shared" ref="AB62" ca="1" si="102">Y62+0.3</f>
        <v>8.3000000000000007</v>
      </c>
    </row>
    <row r="63" spans="1:28" x14ac:dyDescent="0.25">
      <c r="A63" s="6">
        <v>45318</v>
      </c>
      <c r="B63" s="7">
        <v>0.41666666666666669</v>
      </c>
      <c r="C63" s="21">
        <v>45318.416666666664</v>
      </c>
      <c r="D63" s="8">
        <v>67.5</v>
      </c>
      <c r="E63" s="8">
        <v>67.5</v>
      </c>
      <c r="F63" s="8">
        <v>67.5</v>
      </c>
      <c r="G63" s="8" t="s">
        <v>6</v>
      </c>
      <c r="H63" s="8">
        <v>5.2</v>
      </c>
      <c r="I63" s="8">
        <v>5.2</v>
      </c>
      <c r="J63" s="8">
        <v>5.2</v>
      </c>
      <c r="K63" s="9" t="s">
        <v>6</v>
      </c>
      <c r="L63" s="24">
        <v>1</v>
      </c>
      <c r="N63" s="35" t="s">
        <v>75</v>
      </c>
      <c r="O63" s="71">
        <f t="shared" ref="O63" ca="1" si="103">MIN(ROW(INDIRECT(N63)))</f>
        <v>423</v>
      </c>
      <c r="P63" s="71">
        <f t="shared" ref="P63" ca="1" si="104">MIN(ROW(INDIRECT(N63))) + ROWS(INDIRECT(N63)) -1</f>
        <v>426</v>
      </c>
      <c r="Q63" s="19">
        <f t="shared" si="5"/>
        <v>45370</v>
      </c>
      <c r="R63" s="18">
        <f ca="1">IFERROR(AVERAGE(INDIRECT("D" &amp; $O63):INDIRECT("D" &amp; $P63)),"")</f>
        <v>68.774999999999991</v>
      </c>
      <c r="S63" s="71">
        <f ca="1">IFERROR(MAX(INDIRECT("E" &amp; $O63):INDIRECT("E" &amp; $P63)),"")</f>
        <v>81.099999999999994</v>
      </c>
      <c r="T63" s="71">
        <f ca="1">IFERROR(MIN(INDIRECT("F" &amp; $O63):INDIRECT("F" &amp; $P63)),"")</f>
        <v>52</v>
      </c>
      <c r="U63" s="18">
        <f t="shared" ref="U63" ca="1" si="105">R63+1</f>
        <v>69.774999999999991</v>
      </c>
      <c r="V63" s="71"/>
      <c r="W63" s="71"/>
      <c r="X63" s="19">
        <f t="shared" si="6"/>
        <v>45370</v>
      </c>
      <c r="Y63" s="18">
        <f ca="1">IFERROR(AVERAGE(INDIRECT("H" &amp; $O63):INDIRECT("H" &amp; $P63)),"")</f>
        <v>18.074999999999999</v>
      </c>
      <c r="Z63" s="71">
        <f ca="1">IFERROR(MAX(INDIRECT("I" &amp; $O63):INDIRECT("I" &amp; $P63)),"")</f>
        <v>29.4</v>
      </c>
      <c r="AA63" s="71">
        <f ca="1">IFERROR(MIN(INDIRECT("J" &amp; $O63):INDIRECT("J" &amp; $P63)),"")</f>
        <v>6.2</v>
      </c>
      <c r="AB63" s="18">
        <f t="shared" ref="AB63" ca="1" si="106">Y63+0.3</f>
        <v>18.375</v>
      </c>
    </row>
    <row r="64" spans="1:28" x14ac:dyDescent="0.25">
      <c r="A64" s="10">
        <v>45318</v>
      </c>
      <c r="B64" s="11">
        <v>0.45833333333333331</v>
      </c>
      <c r="C64" s="22">
        <v>45318.458333333336</v>
      </c>
      <c r="D64" s="12">
        <v>72.2</v>
      </c>
      <c r="E64" s="12">
        <v>75.900000000000006</v>
      </c>
      <c r="F64" s="12">
        <v>68.5</v>
      </c>
      <c r="G64" s="12" t="s">
        <v>6</v>
      </c>
      <c r="H64" s="12">
        <v>8.5</v>
      </c>
      <c r="I64" s="12">
        <v>11.5</v>
      </c>
      <c r="J64" s="12">
        <v>5.5</v>
      </c>
      <c r="K64" s="13" t="s">
        <v>6</v>
      </c>
      <c r="L64" s="24">
        <v>2</v>
      </c>
      <c r="P64" s="24" t="s">
        <v>6</v>
      </c>
      <c r="Q64" s="19">
        <f t="shared" si="5"/>
        <v>45371</v>
      </c>
      <c r="X64" s="19">
        <f t="shared" si="6"/>
        <v>45371</v>
      </c>
    </row>
    <row r="65" spans="1:28" x14ac:dyDescent="0.25">
      <c r="A65" s="10">
        <v>45318</v>
      </c>
      <c r="B65" s="11">
        <v>0.5</v>
      </c>
      <c r="C65" s="22">
        <v>45318.5</v>
      </c>
      <c r="D65" s="12">
        <v>73.2</v>
      </c>
      <c r="E65" s="12">
        <v>75.8</v>
      </c>
      <c r="F65" s="12">
        <v>70.2</v>
      </c>
      <c r="G65" s="12" t="s">
        <v>6</v>
      </c>
      <c r="H65" s="12">
        <v>10.9</v>
      </c>
      <c r="I65" s="12">
        <v>16.8</v>
      </c>
      <c r="J65" s="12">
        <v>7.1</v>
      </c>
      <c r="K65" s="13" t="s">
        <v>6</v>
      </c>
      <c r="L65" s="24">
        <v>4</v>
      </c>
      <c r="N65" s="35" t="s">
        <v>76</v>
      </c>
      <c r="O65" s="72">
        <f t="shared" ref="O65" ca="1" si="107">MIN(ROW(INDIRECT(N65)))</f>
        <v>427</v>
      </c>
      <c r="P65" s="72">
        <f t="shared" ref="P65" ca="1" si="108">MIN(ROW(INDIRECT(N65))) + ROWS(INDIRECT(N65)) -1</f>
        <v>427</v>
      </c>
      <c r="Q65" s="19">
        <f t="shared" si="5"/>
        <v>45372</v>
      </c>
      <c r="R65" s="18">
        <f ca="1">IFERROR(AVERAGE(INDIRECT("D" &amp; $O65):INDIRECT("D" &amp; $P65)),"")</f>
        <v>67.900000000000006</v>
      </c>
      <c r="S65" s="72">
        <f ca="1">IFERROR(MAX(INDIRECT("E" &amp; $O65):INDIRECT("E" &amp; $P65)),"")</f>
        <v>67.900000000000006</v>
      </c>
      <c r="T65" s="72">
        <f ca="1">IFERROR(MIN(INDIRECT("F" &amp; $O65):INDIRECT("F" &amp; $P65)),"")</f>
        <v>67.900000000000006</v>
      </c>
      <c r="U65" s="18">
        <f t="shared" ref="U65" ca="1" si="109">R65+1</f>
        <v>68.900000000000006</v>
      </c>
      <c r="V65" s="72"/>
      <c r="W65" s="72"/>
      <c r="X65" s="19">
        <f t="shared" si="6"/>
        <v>45372</v>
      </c>
      <c r="Y65" s="18">
        <f ca="1">IFERROR(AVERAGE(INDIRECT("H" &amp; $O65):INDIRECT("H" &amp; $P65)),"")</f>
        <v>4.5999999999999996</v>
      </c>
      <c r="Z65" s="72">
        <f ca="1">IFERROR(MAX(INDIRECT("I" &amp; $O65):INDIRECT("I" &amp; $P65)),"")</f>
        <v>4.5999999999999996</v>
      </c>
      <c r="AA65" s="72">
        <f ca="1">IFERROR(MIN(INDIRECT("J" &amp; $O65):INDIRECT("J" &amp; $P65)),"")</f>
        <v>4.5999999999999996</v>
      </c>
      <c r="AB65" s="18">
        <f t="shared" ref="AB65" ca="1" si="110">Y65+0.3</f>
        <v>4.8999999999999995</v>
      </c>
    </row>
    <row r="66" spans="1:28" x14ac:dyDescent="0.25">
      <c r="A66" s="10">
        <v>45318</v>
      </c>
      <c r="B66" s="11">
        <v>0.75</v>
      </c>
      <c r="C66" s="22">
        <v>45318.75</v>
      </c>
      <c r="D66" s="12">
        <v>56.8</v>
      </c>
      <c r="E66" s="12">
        <v>59.9</v>
      </c>
      <c r="F66" s="12">
        <v>53.6</v>
      </c>
      <c r="G66" s="12" t="s">
        <v>6</v>
      </c>
      <c r="H66" s="12">
        <v>9.1999999999999993</v>
      </c>
      <c r="I66" s="12">
        <v>9.1999999999999993</v>
      </c>
      <c r="J66" s="12">
        <v>9.1999999999999993</v>
      </c>
      <c r="K66" s="13" t="s">
        <v>6</v>
      </c>
      <c r="L66" s="24">
        <v>2</v>
      </c>
      <c r="N66" s="35" t="s">
        <v>77</v>
      </c>
      <c r="O66" s="73">
        <f t="shared" ref="O66:O67" ca="1" si="111">MIN(ROW(INDIRECT(N66)))</f>
        <v>428</v>
      </c>
      <c r="P66" s="73">
        <f t="shared" ref="P66:P67" ca="1" si="112">MIN(ROW(INDIRECT(N66))) + ROWS(INDIRECT(N66)) -1</f>
        <v>437</v>
      </c>
      <c r="Q66" s="19">
        <f t="shared" si="5"/>
        <v>45373</v>
      </c>
      <c r="R66" s="18">
        <f ca="1">IFERROR(AVERAGE(INDIRECT("D" &amp; $O66):INDIRECT("D" &amp; $P66)),"")</f>
        <v>65.679999999999993</v>
      </c>
      <c r="S66" s="73">
        <f ca="1">IFERROR(MAX(INDIRECT("E" &amp; $O66):INDIRECT("E" &amp; $P66)),"")</f>
        <v>76.3</v>
      </c>
      <c r="T66" s="73">
        <f ca="1">IFERROR(MIN(INDIRECT("F" &amp; $O66):INDIRECT("F" &amp; $P66)),"")</f>
        <v>45.3</v>
      </c>
      <c r="U66" s="18">
        <f t="shared" ref="U66:U67" ca="1" si="113">R66+1</f>
        <v>66.679999999999993</v>
      </c>
      <c r="V66" s="73"/>
      <c r="W66" s="73"/>
      <c r="X66" s="19">
        <f t="shared" si="6"/>
        <v>45373</v>
      </c>
      <c r="Y66" s="18">
        <f ca="1">IFERROR(AVERAGE(INDIRECT("H" &amp; $O66):INDIRECT("H" &amp; $P66)),"")</f>
        <v>15.330000000000002</v>
      </c>
      <c r="Z66" s="73">
        <f ca="1">IFERROR(MAX(INDIRECT("I" &amp; $O66):INDIRECT("I" &amp; $P66)),"")</f>
        <v>33.6</v>
      </c>
      <c r="AA66" s="73">
        <f ca="1">IFERROR(MIN(INDIRECT("J" &amp; $O66):INDIRECT("J" &amp; $P66)),"")</f>
        <v>3.8</v>
      </c>
      <c r="AB66" s="18">
        <f t="shared" ref="AB66:AB67" ca="1" si="114">Y66+0.3</f>
        <v>15.630000000000003</v>
      </c>
    </row>
    <row r="67" spans="1:28" x14ac:dyDescent="0.25">
      <c r="A67" s="10">
        <v>45318</v>
      </c>
      <c r="B67" s="11">
        <v>0.875</v>
      </c>
      <c r="C67" s="22">
        <v>45318.875</v>
      </c>
      <c r="D67" s="12">
        <v>68.7</v>
      </c>
      <c r="E67" s="12">
        <v>76.7</v>
      </c>
      <c r="F67" s="12">
        <v>52.7</v>
      </c>
      <c r="G67" s="12" t="s">
        <v>6</v>
      </c>
      <c r="H67" s="12">
        <v>21.2</v>
      </c>
      <c r="I67" s="12">
        <v>26</v>
      </c>
      <c r="J67" s="12">
        <v>9</v>
      </c>
      <c r="K67" s="13" t="s">
        <v>6</v>
      </c>
      <c r="L67" s="24">
        <v>73</v>
      </c>
      <c r="N67" s="35" t="s">
        <v>78</v>
      </c>
      <c r="O67" s="73">
        <f t="shared" ca="1" si="111"/>
        <v>438</v>
      </c>
      <c r="P67" s="73">
        <f t="shared" ca="1" si="112"/>
        <v>440</v>
      </c>
      <c r="Q67" s="19">
        <f t="shared" si="5"/>
        <v>45374</v>
      </c>
      <c r="R67" s="18">
        <f ca="1">IFERROR(AVERAGE(INDIRECT("D" &amp; $O67):INDIRECT("D" &amp; $P67)),"")</f>
        <v>72.666666666666671</v>
      </c>
      <c r="S67" s="73">
        <f ca="1">IFERROR(MAX(INDIRECT("E" &amp; $O67):INDIRECT("E" &amp; $P67)),"")</f>
        <v>81.3</v>
      </c>
      <c r="T67" s="73">
        <f ca="1">IFERROR(MIN(INDIRECT("F" &amp; $O67):INDIRECT("F" &amp; $P67)),"")</f>
        <v>54</v>
      </c>
      <c r="U67" s="18">
        <f t="shared" ca="1" si="113"/>
        <v>73.666666666666671</v>
      </c>
      <c r="V67" s="73"/>
      <c r="W67" s="73"/>
      <c r="X67" s="19">
        <f t="shared" si="6"/>
        <v>45374</v>
      </c>
      <c r="Y67" s="18">
        <f ca="1">IFERROR(AVERAGE(INDIRECT("H" &amp; $O67):INDIRECT("H" &amp; $P67)),"")</f>
        <v>19.166666666666668</v>
      </c>
      <c r="Z67" s="73">
        <f ca="1">IFERROR(MAX(INDIRECT("I" &amp; $O67):INDIRECT("I" &amp; $P67)),"")</f>
        <v>33.299999999999997</v>
      </c>
      <c r="AA67" s="73">
        <f ca="1">IFERROR(MIN(INDIRECT("J" &amp; $O67):INDIRECT("J" &amp; $P67)),"")</f>
        <v>6.4</v>
      </c>
      <c r="AB67" s="18">
        <f t="shared" ca="1" si="114"/>
        <v>19.466666666666669</v>
      </c>
    </row>
    <row r="68" spans="1:28" x14ac:dyDescent="0.25">
      <c r="A68" s="10">
        <v>45318</v>
      </c>
      <c r="B68" s="11">
        <v>0.91666666666666663</v>
      </c>
      <c r="C68" s="22">
        <v>45318.916666666664</v>
      </c>
      <c r="D68" s="12">
        <v>64.8</v>
      </c>
      <c r="E68" s="12">
        <v>71.5</v>
      </c>
      <c r="F68" s="12">
        <v>54.2</v>
      </c>
      <c r="G68" s="12" t="s">
        <v>6</v>
      </c>
      <c r="H68" s="12">
        <v>16.899999999999999</v>
      </c>
      <c r="I68" s="12">
        <v>21.3</v>
      </c>
      <c r="J68" s="12">
        <v>11.8</v>
      </c>
      <c r="K68" s="13" t="s">
        <v>6</v>
      </c>
      <c r="L68" s="24">
        <v>221</v>
      </c>
      <c r="N68" s="35" t="s">
        <v>79</v>
      </c>
      <c r="O68" s="74">
        <f t="shared" ref="O68" ca="1" si="115">MIN(ROW(INDIRECT(N68)))</f>
        <v>441</v>
      </c>
      <c r="P68" s="74">
        <f t="shared" ref="P68" ca="1" si="116">MIN(ROW(INDIRECT(N68))) + ROWS(INDIRECT(N68)) -1</f>
        <v>446</v>
      </c>
      <c r="Q68" s="19">
        <f t="shared" si="5"/>
        <v>45375</v>
      </c>
      <c r="R68" s="18">
        <f ca="1">IFERROR(AVERAGE(INDIRECT("D" &amp; $O68):INDIRECT("D" &amp; $P68)),"")</f>
        <v>67.38333333333334</v>
      </c>
      <c r="S68" s="74">
        <f ca="1">IFERROR(MAX(INDIRECT("E" &amp; $O68):INDIRECT("E" &amp; $P68)),"")</f>
        <v>79.7</v>
      </c>
      <c r="T68" s="74">
        <f ca="1">IFERROR(MIN(INDIRECT("F" &amp; $O68):INDIRECT("F" &amp; $P68)),"")</f>
        <v>53.3</v>
      </c>
      <c r="U68" s="18">
        <f t="shared" ref="U68" ca="1" si="117">R68+1</f>
        <v>68.38333333333334</v>
      </c>
      <c r="V68" s="74"/>
      <c r="W68" s="74"/>
      <c r="X68" s="19">
        <f t="shared" si="6"/>
        <v>45375</v>
      </c>
      <c r="Y68" s="18">
        <f ca="1">IFERROR(AVERAGE(INDIRECT("H" &amp; $O68):INDIRECT("H" &amp; $P68)),"")</f>
        <v>22.116666666666664</v>
      </c>
      <c r="Z68" s="74">
        <f ca="1">IFERROR(MAX(INDIRECT("I" &amp; $O68):INDIRECT("I" &amp; $P68)),"")</f>
        <v>63.1</v>
      </c>
      <c r="AA68" s="74">
        <f ca="1">IFERROR(MIN(INDIRECT("J" &amp; $O68):INDIRECT("J" &amp; $P68)),"")</f>
        <v>8.4</v>
      </c>
      <c r="AB68" s="18">
        <f t="shared" ref="AB68" ca="1" si="118">Y68+0.3</f>
        <v>22.416666666666664</v>
      </c>
    </row>
    <row r="69" spans="1:28" x14ac:dyDescent="0.25">
      <c r="A69" s="10">
        <v>45318</v>
      </c>
      <c r="B69" s="11">
        <v>0.95833333333333337</v>
      </c>
      <c r="C69" s="22">
        <v>45318.958333333336</v>
      </c>
      <c r="D69" s="12">
        <v>62.1</v>
      </c>
      <c r="E69" s="12">
        <v>73.599999999999994</v>
      </c>
      <c r="F69" s="12">
        <v>49.4</v>
      </c>
      <c r="G69" s="12" t="s">
        <v>6</v>
      </c>
      <c r="H69" s="12">
        <v>18.600000000000001</v>
      </c>
      <c r="I69" s="12">
        <v>28.4</v>
      </c>
      <c r="J69" s="12">
        <v>8.9</v>
      </c>
      <c r="K69" s="13" t="s">
        <v>6</v>
      </c>
      <c r="L69" s="24">
        <v>193</v>
      </c>
      <c r="O69" s="75"/>
      <c r="P69" s="75"/>
      <c r="Q69" s="19">
        <f t="shared" si="5"/>
        <v>45376</v>
      </c>
      <c r="R69" s="18"/>
      <c r="S69" s="75"/>
      <c r="T69" s="75"/>
      <c r="U69" s="18"/>
      <c r="V69" s="75"/>
      <c r="W69" s="75"/>
      <c r="X69" s="19">
        <f t="shared" si="6"/>
        <v>45376</v>
      </c>
      <c r="Y69" s="18"/>
      <c r="Z69" s="75"/>
      <c r="AA69" s="75"/>
      <c r="AB69" s="18"/>
    </row>
    <row r="70" spans="1:28" x14ac:dyDescent="0.25">
      <c r="A70" s="10">
        <v>45319</v>
      </c>
      <c r="B70" s="11">
        <v>0</v>
      </c>
      <c r="C70" s="22">
        <v>45319</v>
      </c>
      <c r="D70" s="12">
        <v>63.4</v>
      </c>
      <c r="E70" s="12">
        <v>68</v>
      </c>
      <c r="F70" s="12">
        <v>54.2</v>
      </c>
      <c r="G70" s="12" t="s">
        <v>6</v>
      </c>
      <c r="H70" s="12">
        <v>17.5</v>
      </c>
      <c r="I70" s="12">
        <v>29.8</v>
      </c>
      <c r="J70" s="12">
        <v>11.8</v>
      </c>
      <c r="K70" s="13" t="s">
        <v>6</v>
      </c>
      <c r="L70" s="24">
        <v>202</v>
      </c>
      <c r="N70" s="76" t="s">
        <v>80</v>
      </c>
      <c r="O70" s="76">
        <f t="shared" ref="O70" ca="1" si="119">MIN(ROW(INDIRECT(N70)))</f>
        <v>447</v>
      </c>
      <c r="P70" s="76">
        <f t="shared" ref="P70" ca="1" si="120">MIN(ROW(INDIRECT(N70))) + ROWS(INDIRECT(N70)) -1</f>
        <v>450</v>
      </c>
      <c r="Q70" s="19">
        <f t="shared" si="5"/>
        <v>45377</v>
      </c>
      <c r="R70" s="18">
        <f ca="1">IFERROR(AVERAGE(INDIRECT("D" &amp; $O70):INDIRECT("D" &amp; $P70)),"")</f>
        <v>69.25</v>
      </c>
      <c r="S70" s="76">
        <f ca="1">IFERROR(MAX(INDIRECT("E" &amp; $O70):INDIRECT("E" &amp; $P70)),"")</f>
        <v>79.099999999999994</v>
      </c>
      <c r="T70" s="76">
        <f ca="1">IFERROR(MIN(INDIRECT("F" &amp; $O70):INDIRECT("F" &amp; $P70)),"")</f>
        <v>53.3</v>
      </c>
      <c r="U70" s="18">
        <f t="shared" ref="U70" ca="1" si="121">R70+1</f>
        <v>70.25</v>
      </c>
      <c r="V70" s="76"/>
      <c r="W70" s="76"/>
      <c r="X70" s="19">
        <f t="shared" si="6"/>
        <v>45377</v>
      </c>
      <c r="Y70" s="18">
        <f ca="1">IFERROR(AVERAGE(INDIRECT("H" &amp; $O70):INDIRECT("H" &amp; $P70)),"")</f>
        <v>14.524999999999999</v>
      </c>
      <c r="Z70" s="76">
        <f ca="1">IFERROR(MAX(INDIRECT("I" &amp; $O70):INDIRECT("I" &amp; $P70)),"")</f>
        <v>26.3</v>
      </c>
      <c r="AA70" s="76">
        <f ca="1">IFERROR(MIN(INDIRECT("J" &amp; $O70):INDIRECT("J" &amp; $P70)),"")</f>
        <v>5.6</v>
      </c>
      <c r="AB70" s="18">
        <f t="shared" ref="AB70" ca="1" si="122">Y70+0.3</f>
        <v>14.824999999999999</v>
      </c>
    </row>
    <row r="71" spans="1:28" x14ac:dyDescent="0.25">
      <c r="A71" s="10">
        <v>45319</v>
      </c>
      <c r="B71" s="11">
        <v>0.125</v>
      </c>
      <c r="C71" s="22">
        <v>45319.125</v>
      </c>
      <c r="D71" s="12">
        <v>68.2</v>
      </c>
      <c r="E71" s="12">
        <v>69.599999999999994</v>
      </c>
      <c r="F71" s="12">
        <v>66.099999999999994</v>
      </c>
      <c r="G71" s="12" t="s">
        <v>6</v>
      </c>
      <c r="H71" s="12">
        <v>21.7</v>
      </c>
      <c r="I71" s="12">
        <v>22.4</v>
      </c>
      <c r="J71" s="12">
        <v>20.9</v>
      </c>
      <c r="K71" s="13" t="s">
        <v>6</v>
      </c>
      <c r="L71" s="24">
        <v>7</v>
      </c>
      <c r="N71" s="35" t="s">
        <v>81</v>
      </c>
      <c r="O71" s="77">
        <f t="shared" ref="O71" ca="1" si="123">MIN(ROW(INDIRECT(N71)))</f>
        <v>451</v>
      </c>
      <c r="P71" s="77">
        <f t="shared" ref="P71" ca="1" si="124">MIN(ROW(INDIRECT(N71))) + ROWS(INDIRECT(N71)) -1</f>
        <v>452</v>
      </c>
      <c r="Q71" s="19">
        <f t="shared" si="5"/>
        <v>45378</v>
      </c>
      <c r="R71" s="18">
        <f ca="1">IFERROR(AVERAGE(INDIRECT("D" &amp; $O71):INDIRECT("D" &amp; $P71)),"")</f>
        <v>69.400000000000006</v>
      </c>
      <c r="S71" s="77">
        <f ca="1">IFERROR(MAX(INDIRECT("E" &amp; $O71):INDIRECT("E" &amp; $P71)),"")</f>
        <v>84.4</v>
      </c>
      <c r="T71" s="77">
        <f ca="1">IFERROR(MIN(INDIRECT("F" &amp; $O71):INDIRECT("F" &amp; $P71)),"")</f>
        <v>50.1</v>
      </c>
      <c r="U71" s="18">
        <f t="shared" ref="U71" ca="1" si="125">R71+1</f>
        <v>70.400000000000006</v>
      </c>
      <c r="V71" s="77"/>
      <c r="W71" s="77"/>
      <c r="X71" s="19">
        <f t="shared" si="6"/>
        <v>45378</v>
      </c>
      <c r="Y71" s="18">
        <f ca="1">IFERROR(AVERAGE(INDIRECT("H" &amp; $O71):INDIRECT("H" &amp; $P71)),"")</f>
        <v>18.899999999999999</v>
      </c>
      <c r="Z71" s="77">
        <f ca="1">IFERROR(MAX(INDIRECT("I" &amp; $O71):INDIRECT("I" &amp; $P71)),"")</f>
        <v>27.7</v>
      </c>
      <c r="AA71" s="77">
        <f ca="1">IFERROR(MIN(INDIRECT("J" &amp; $O71):INDIRECT("J" &amp; $P71)),"")</f>
        <v>9.6999999999999993</v>
      </c>
      <c r="AB71" s="18">
        <f t="shared" ref="AB71" ca="1" si="126">Y71+0.3</f>
        <v>19.2</v>
      </c>
    </row>
    <row r="72" spans="1:28" x14ac:dyDescent="0.25">
      <c r="A72" s="10">
        <v>45319</v>
      </c>
      <c r="B72" s="11">
        <v>0.16666666666666666</v>
      </c>
      <c r="C72" s="22">
        <v>45319.166666666664</v>
      </c>
      <c r="D72" s="12">
        <v>64.3</v>
      </c>
      <c r="E72" s="12">
        <v>72.400000000000006</v>
      </c>
      <c r="F72" s="12">
        <v>52.9</v>
      </c>
      <c r="G72" s="12" t="s">
        <v>6</v>
      </c>
      <c r="H72" s="12">
        <v>18.3</v>
      </c>
      <c r="I72" s="12">
        <v>28.6</v>
      </c>
      <c r="J72" s="12">
        <v>12.7</v>
      </c>
      <c r="K72" s="13" t="s">
        <v>6</v>
      </c>
      <c r="L72" s="24">
        <v>202</v>
      </c>
      <c r="N72" s="35" t="s">
        <v>82</v>
      </c>
      <c r="O72" s="78">
        <f t="shared" ref="O72" ca="1" si="127">MIN(ROW(INDIRECT(N72)))</f>
        <v>453</v>
      </c>
      <c r="P72" s="78">
        <f t="shared" ref="P72" ca="1" si="128">MIN(ROW(INDIRECT(N72))) + ROWS(INDIRECT(N72)) -1</f>
        <v>464</v>
      </c>
      <c r="Q72" s="19">
        <f t="shared" si="5"/>
        <v>45379</v>
      </c>
      <c r="R72" s="18">
        <f ca="1">IFERROR(AVERAGE(INDIRECT("D" &amp; $O72):INDIRECT("D" &amp; $P72)),"")</f>
        <v>71.88333333333334</v>
      </c>
      <c r="S72" s="78">
        <f ca="1">IFERROR(MAX(INDIRECT("E" &amp; $O72):INDIRECT("E" &amp; $P72)),"")</f>
        <v>85</v>
      </c>
      <c r="T72" s="78">
        <f ca="1">IFERROR(MIN(INDIRECT("F" &amp; $O72):INDIRECT("F" &amp; $P72)),"")</f>
        <v>55.3</v>
      </c>
      <c r="U72" s="18">
        <f t="shared" ref="U72" ca="1" si="129">R72+1</f>
        <v>72.88333333333334</v>
      </c>
      <c r="V72" s="78"/>
      <c r="W72" s="78"/>
      <c r="X72" s="19">
        <f t="shared" si="6"/>
        <v>45379</v>
      </c>
      <c r="Y72" s="18">
        <f ca="1">IFERROR(AVERAGE(INDIRECT("H" &amp; $O72):INDIRECT("H" &amp; $P72)),"")</f>
        <v>13.533333333333333</v>
      </c>
      <c r="Z72" s="78">
        <f ca="1">IFERROR(MAX(INDIRECT("I" &amp; $O72):INDIRECT("I" &amp; $P72)),"")</f>
        <v>28.6</v>
      </c>
      <c r="AA72" s="78">
        <f ca="1">IFERROR(MIN(INDIRECT("J" &amp; $O72):INDIRECT("J" &amp; $P72)),"")</f>
        <v>3.3</v>
      </c>
      <c r="AB72" s="18">
        <f t="shared" ref="AB72" ca="1" si="130">Y72+0.3</f>
        <v>13.833333333333334</v>
      </c>
    </row>
    <row r="73" spans="1:28" x14ac:dyDescent="0.25">
      <c r="A73" s="10">
        <v>45319</v>
      </c>
      <c r="B73" s="11">
        <v>0.20833333333333334</v>
      </c>
      <c r="C73" s="22">
        <v>45319.208333333336</v>
      </c>
      <c r="D73" s="12">
        <v>59.7</v>
      </c>
      <c r="E73" s="12">
        <v>67.900000000000006</v>
      </c>
      <c r="F73" s="12">
        <v>52.3</v>
      </c>
      <c r="G73" s="12" t="s">
        <v>6</v>
      </c>
      <c r="H73" s="12">
        <v>17.399999999999999</v>
      </c>
      <c r="I73" s="12">
        <v>25.2</v>
      </c>
      <c r="J73" s="12">
        <v>10.7</v>
      </c>
      <c r="K73" s="13" t="s">
        <v>6</v>
      </c>
      <c r="L73" s="24">
        <v>207</v>
      </c>
      <c r="N73" s="35" t="s">
        <v>83</v>
      </c>
      <c r="O73" s="82">
        <f t="shared" ref="O73:O75" ca="1" si="131">MIN(ROW(INDIRECT(N73)))</f>
        <v>465</v>
      </c>
      <c r="P73" s="82">
        <f t="shared" ref="P73:P75" ca="1" si="132">MIN(ROW(INDIRECT(N73))) + ROWS(INDIRECT(N73)) -1</f>
        <v>468</v>
      </c>
      <c r="Q73" s="19">
        <f t="shared" si="5"/>
        <v>45380</v>
      </c>
      <c r="R73" s="18">
        <f ca="1">IFERROR(AVERAGE(INDIRECT("D" &amp; $O73):INDIRECT("D" &amp; $P73)),"")</f>
        <v>47.375</v>
      </c>
      <c r="S73" s="82">
        <f ca="1">IFERROR(MAX(INDIRECT("E" &amp; $O73):INDIRECT("E" &amp; $P73)),"")</f>
        <v>68.7</v>
      </c>
      <c r="T73" s="82">
        <f ca="1">IFERROR(MIN(INDIRECT("F" &amp; $O73):INDIRECT("F" &amp; $P73)),"")</f>
        <v>40.1</v>
      </c>
      <c r="U73" s="18">
        <f t="shared" ref="U73:U75" ca="1" si="133">R73+1</f>
        <v>48.375</v>
      </c>
      <c r="V73" s="82"/>
      <c r="W73" s="82"/>
      <c r="X73" s="19">
        <f t="shared" si="6"/>
        <v>45380</v>
      </c>
      <c r="Y73" s="18">
        <f ca="1">IFERROR(AVERAGE(INDIRECT("H" &amp; $O73):INDIRECT("H" &amp; $P73)),"")</f>
        <v>19.625</v>
      </c>
      <c r="Z73" s="82">
        <f ca="1">IFERROR(MAX(INDIRECT("I" &amp; $O73):INDIRECT("I" &amp; $P73)),"")</f>
        <v>33.6</v>
      </c>
      <c r="AA73" s="82">
        <f ca="1">IFERROR(MIN(INDIRECT("J" &amp; $O73):INDIRECT("J" &amp; $P73)),"")</f>
        <v>8.3000000000000007</v>
      </c>
      <c r="AB73" s="18">
        <f t="shared" ref="AB73:AB75" ca="1" si="134">Y73+0.3</f>
        <v>19.925000000000001</v>
      </c>
    </row>
    <row r="74" spans="1:28" x14ac:dyDescent="0.25">
      <c r="A74" s="14">
        <v>45319</v>
      </c>
      <c r="B74" s="15">
        <v>0.25</v>
      </c>
      <c r="C74" s="20">
        <v>45319.25</v>
      </c>
      <c r="D74" s="16">
        <v>61.5</v>
      </c>
      <c r="E74" s="16">
        <v>68.3</v>
      </c>
      <c r="F74" s="16">
        <v>53.4</v>
      </c>
      <c r="G74" s="16" t="s">
        <v>6</v>
      </c>
      <c r="H74" s="16">
        <v>16.600000000000001</v>
      </c>
      <c r="I74" s="16">
        <v>25.9</v>
      </c>
      <c r="J74" s="16">
        <v>9.3000000000000007</v>
      </c>
      <c r="K74" s="17" t="s">
        <v>6</v>
      </c>
      <c r="L74" s="24">
        <v>113</v>
      </c>
      <c r="N74" s="35" t="s">
        <v>84</v>
      </c>
      <c r="O74" s="82">
        <f t="shared" ca="1" si="131"/>
        <v>469</v>
      </c>
      <c r="P74" s="82">
        <f t="shared" ca="1" si="132"/>
        <v>476</v>
      </c>
      <c r="Q74" s="19">
        <f t="shared" ref="Q74:Q140" si="135">Q73+1</f>
        <v>45381</v>
      </c>
      <c r="R74" s="18">
        <f ca="1">IFERROR(AVERAGE(INDIRECT("D" &amp; $O74):INDIRECT("D" &amp; $P74)),"")</f>
        <v>68.075000000000003</v>
      </c>
      <c r="S74" s="82">
        <f ca="1">IFERROR(MAX(INDIRECT("E" &amp; $O74):INDIRECT("E" &amp; $P74)),"")</f>
        <v>78.5</v>
      </c>
      <c r="T74" s="82">
        <f ca="1">IFERROR(MIN(INDIRECT("F" &amp; $O74):INDIRECT("F" &amp; $P74)),"")</f>
        <v>52.8</v>
      </c>
      <c r="U74" s="18">
        <f t="shared" ca="1" si="133"/>
        <v>69.075000000000003</v>
      </c>
      <c r="V74" s="82"/>
      <c r="W74" s="82"/>
      <c r="X74" s="19">
        <f t="shared" ref="X74:X140" si="136">X73+1</f>
        <v>45381</v>
      </c>
      <c r="Y74" s="18">
        <f ca="1">IFERROR(AVERAGE(INDIRECT("H" &amp; $O74):INDIRECT("H" &amp; $P74)),"")</f>
        <v>15.225000000000001</v>
      </c>
      <c r="Z74" s="82">
        <f ca="1">IFERROR(MAX(INDIRECT("I" &amp; $O74):INDIRECT("I" &amp; $P74)),"")</f>
        <v>30.1</v>
      </c>
      <c r="AA74" s="82">
        <f ca="1">IFERROR(MIN(INDIRECT("J" &amp; $O74):INDIRECT("J" &amp; $P74)),"")</f>
        <v>3.1</v>
      </c>
      <c r="AB74" s="18">
        <f t="shared" ca="1" si="134"/>
        <v>15.525000000000002</v>
      </c>
    </row>
    <row r="75" spans="1:28" x14ac:dyDescent="0.25">
      <c r="A75" s="6">
        <v>45319</v>
      </c>
      <c r="B75" s="7">
        <v>0.66666666666666663</v>
      </c>
      <c r="C75" s="21">
        <v>45319.666666666664</v>
      </c>
      <c r="D75" s="8">
        <v>69.5</v>
      </c>
      <c r="E75" s="8">
        <v>69.5</v>
      </c>
      <c r="F75" s="8">
        <v>69.5</v>
      </c>
      <c r="G75" s="8" t="s">
        <v>6</v>
      </c>
      <c r="H75" s="8">
        <v>4.7</v>
      </c>
      <c r="I75" s="8">
        <v>4.7</v>
      </c>
      <c r="J75" s="8">
        <v>4.7</v>
      </c>
      <c r="K75" s="9" t="s">
        <v>6</v>
      </c>
      <c r="L75" s="24">
        <v>1</v>
      </c>
      <c r="N75" s="35" t="s">
        <v>85</v>
      </c>
      <c r="O75" s="82">
        <f t="shared" ca="1" si="131"/>
        <v>477</v>
      </c>
      <c r="P75" s="82">
        <f t="shared" ca="1" si="132"/>
        <v>482</v>
      </c>
      <c r="Q75" s="19">
        <f t="shared" si="135"/>
        <v>45382</v>
      </c>
      <c r="R75" s="18">
        <f ca="1">IFERROR(AVERAGE(INDIRECT("D" &amp; $O75):INDIRECT("D" &amp; $P75)),"")</f>
        <v>67.716666666666669</v>
      </c>
      <c r="S75" s="82">
        <f ca="1">IFERROR(MAX(INDIRECT("E" &amp; $O75):INDIRECT("E" &amp; $P75)),"")</f>
        <v>81.7</v>
      </c>
      <c r="T75" s="82">
        <f ca="1">IFERROR(MIN(INDIRECT("F" &amp; $O75):INDIRECT("F" &amp; $P75)),"")</f>
        <v>47.8</v>
      </c>
      <c r="U75" s="18">
        <f t="shared" ca="1" si="133"/>
        <v>68.716666666666669</v>
      </c>
      <c r="V75" s="82"/>
      <c r="W75" s="82"/>
      <c r="X75" s="19">
        <f t="shared" si="136"/>
        <v>45382</v>
      </c>
      <c r="Y75" s="18">
        <f ca="1">IFERROR(AVERAGE(INDIRECT("H" &amp; $O75):INDIRECT("H" &amp; $P75)),"")</f>
        <v>13.566666666666668</v>
      </c>
      <c r="Z75" s="82">
        <f ca="1">IFERROR(MAX(INDIRECT("I" &amp; $O75):INDIRECT("I" &amp; $P75)),"")</f>
        <v>36.9</v>
      </c>
      <c r="AA75" s="82">
        <f ca="1">IFERROR(MIN(INDIRECT("J" &amp; $O75):INDIRECT("J" &amp; $P75)),"")</f>
        <v>4.5999999999999996</v>
      </c>
      <c r="AB75" s="18">
        <f t="shared" ca="1" si="134"/>
        <v>13.866666666666669</v>
      </c>
    </row>
    <row r="76" spans="1:28" x14ac:dyDescent="0.25">
      <c r="A76" s="10">
        <v>45319</v>
      </c>
      <c r="B76" s="11">
        <v>0.83333333333333337</v>
      </c>
      <c r="C76" s="22">
        <v>45319.833333333336</v>
      </c>
      <c r="D76" s="12">
        <v>77.7</v>
      </c>
      <c r="E76" s="12">
        <v>85</v>
      </c>
      <c r="F76" s="12">
        <v>69.3</v>
      </c>
      <c r="G76" s="12" t="s">
        <v>6</v>
      </c>
      <c r="H76" s="12">
        <v>21.6</v>
      </c>
      <c r="I76" s="12">
        <v>25.8</v>
      </c>
      <c r="J76" s="12">
        <v>7.7</v>
      </c>
      <c r="K76" s="13" t="s">
        <v>6</v>
      </c>
      <c r="L76" s="24">
        <v>36</v>
      </c>
      <c r="N76" s="35" t="s">
        <v>86</v>
      </c>
      <c r="O76" s="83">
        <f t="shared" ref="O76" ca="1" si="137">MIN(ROW(INDIRECT(N76)))</f>
        <v>483</v>
      </c>
      <c r="P76" s="83">
        <f t="shared" ref="P76" ca="1" si="138">MIN(ROW(INDIRECT(N76))) + ROWS(INDIRECT(N76)) -1</f>
        <v>484</v>
      </c>
      <c r="Q76" s="19">
        <f t="shared" si="135"/>
        <v>45383</v>
      </c>
      <c r="R76" s="18">
        <f ca="1">IFERROR(AVERAGE(INDIRECT("D" &amp; $O76):INDIRECT("D" &amp; $P76)),"")</f>
        <v>62.6</v>
      </c>
      <c r="S76" s="83">
        <f ca="1">IFERROR(MAX(INDIRECT("E" &amp; $O76):INDIRECT("E" &amp; $P76)),"")</f>
        <v>65.5</v>
      </c>
      <c r="T76" s="83">
        <f ca="1">IFERROR(MIN(INDIRECT("F" &amp; $O76):INDIRECT("F" &amp; $P76)),"")</f>
        <v>60.2</v>
      </c>
      <c r="U76" s="18">
        <f t="shared" ref="U76" ca="1" si="139">R76+1</f>
        <v>63.6</v>
      </c>
      <c r="V76" s="83"/>
      <c r="W76" s="83"/>
      <c r="X76" s="19">
        <f t="shared" si="136"/>
        <v>45383</v>
      </c>
      <c r="Y76" s="18">
        <f ca="1">IFERROR(AVERAGE(INDIRECT("H" &amp; $O76):INDIRECT("H" &amp; $P76)),"")</f>
        <v>9.5</v>
      </c>
      <c r="Z76" s="83">
        <f ca="1">IFERROR(MAX(INDIRECT("I" &amp; $O76):INDIRECT("I" &amp; $P76)),"")</f>
        <v>14.1</v>
      </c>
      <c r="AA76" s="83">
        <f ca="1">IFERROR(MIN(INDIRECT("J" &amp; $O76):INDIRECT("J" &amp; $P76)),"")</f>
        <v>4.0999999999999996</v>
      </c>
      <c r="AB76" s="18">
        <f t="shared" ref="AB76" ca="1" si="140">Y76+0.3</f>
        <v>9.8000000000000007</v>
      </c>
    </row>
    <row r="77" spans="1:28" x14ac:dyDescent="0.25">
      <c r="A77" s="10">
        <v>45319</v>
      </c>
      <c r="B77" s="11">
        <v>0.875</v>
      </c>
      <c r="C77" s="22">
        <v>45319.875</v>
      </c>
      <c r="D77" s="12">
        <v>64.099999999999994</v>
      </c>
      <c r="E77" s="12">
        <v>72.400000000000006</v>
      </c>
      <c r="F77" s="12">
        <v>51</v>
      </c>
      <c r="G77" s="12" t="s">
        <v>6</v>
      </c>
      <c r="H77" s="12">
        <v>18.600000000000001</v>
      </c>
      <c r="I77" s="12">
        <v>25.7</v>
      </c>
      <c r="J77" s="12">
        <v>12.6</v>
      </c>
      <c r="K77" s="13" t="s">
        <v>6</v>
      </c>
      <c r="L77" s="24">
        <v>215</v>
      </c>
      <c r="N77" s="35" t="s">
        <v>87</v>
      </c>
      <c r="O77" s="85">
        <f t="shared" ref="O77" ca="1" si="141">MIN(ROW(INDIRECT(N77)))</f>
        <v>485</v>
      </c>
      <c r="P77" s="85">
        <f t="shared" ref="P77" ca="1" si="142">MIN(ROW(INDIRECT(N77))) + ROWS(INDIRECT(N77)) -1</f>
        <v>491</v>
      </c>
      <c r="Q77" s="19">
        <f t="shared" si="135"/>
        <v>45384</v>
      </c>
      <c r="R77" s="18">
        <f ca="1">IFERROR(AVERAGE(INDIRECT("D" &amp; $O77):INDIRECT("D" &amp; $P77)),"")</f>
        <v>72.05714285714285</v>
      </c>
      <c r="S77" s="85">
        <f ca="1">IFERROR(MAX(INDIRECT("E" &amp; $O77):INDIRECT("E" &amp; $P77)),"")</f>
        <v>84.2</v>
      </c>
      <c r="T77" s="85">
        <f ca="1">IFERROR(MIN(INDIRECT("F" &amp; $O77):INDIRECT("F" &amp; $P77)),"")</f>
        <v>51.9</v>
      </c>
      <c r="U77" s="18">
        <f t="shared" ref="U77" ca="1" si="143">R77+1</f>
        <v>73.05714285714285</v>
      </c>
      <c r="V77" s="85"/>
      <c r="W77" s="85"/>
      <c r="X77" s="19">
        <f t="shared" si="136"/>
        <v>45384</v>
      </c>
      <c r="Y77" s="18">
        <f ca="1">IFERROR(AVERAGE(INDIRECT("H" &amp; $O77):INDIRECT("H" &amp; $P77)),"")</f>
        <v>17.271428571428572</v>
      </c>
      <c r="Z77" s="85">
        <f ca="1">IFERROR(MAX(INDIRECT("I" &amp; $O77):INDIRECT("I" &amp; $P77)),"")</f>
        <v>28.6</v>
      </c>
      <c r="AA77" s="85">
        <f ca="1">IFERROR(MIN(INDIRECT("J" &amp; $O77):INDIRECT("J" &amp; $P77)),"")</f>
        <v>6.2</v>
      </c>
      <c r="AB77" s="18">
        <f t="shared" ref="AB77" ca="1" si="144">Y77+0.3</f>
        <v>17.571428571428573</v>
      </c>
    </row>
    <row r="78" spans="1:28" x14ac:dyDescent="0.25">
      <c r="A78" s="10">
        <v>45319</v>
      </c>
      <c r="B78" s="11">
        <v>0.91666666666666663</v>
      </c>
      <c r="C78" s="22">
        <v>45319.916666666664</v>
      </c>
      <c r="D78" s="12">
        <v>66.2</v>
      </c>
      <c r="E78" s="12">
        <v>73.599999999999994</v>
      </c>
      <c r="F78" s="12">
        <v>56.5</v>
      </c>
      <c r="G78" s="12" t="s">
        <v>6</v>
      </c>
      <c r="H78" s="12">
        <v>16.7</v>
      </c>
      <c r="I78" s="12">
        <v>24.2</v>
      </c>
      <c r="J78" s="12">
        <v>11.1</v>
      </c>
      <c r="K78" s="13" t="s">
        <v>6</v>
      </c>
      <c r="L78" s="24">
        <v>223</v>
      </c>
      <c r="N78" s="35" t="s">
        <v>88</v>
      </c>
      <c r="O78" s="86">
        <f t="shared" ref="O78" ca="1" si="145">MIN(ROW(INDIRECT(N78)))</f>
        <v>492</v>
      </c>
      <c r="P78" s="86">
        <f t="shared" ref="P78" ca="1" si="146">MIN(ROW(INDIRECT(N78))) + ROWS(INDIRECT(N78)) -1</f>
        <v>500</v>
      </c>
      <c r="Q78" s="19">
        <f t="shared" si="135"/>
        <v>45385</v>
      </c>
      <c r="R78" s="18">
        <f ca="1">IFERROR(AVERAGE(INDIRECT("D" &amp; $O78):INDIRECT("D" &amp; $P78)),"")</f>
        <v>69</v>
      </c>
      <c r="S78" s="86">
        <f ca="1">IFERROR(MAX(INDIRECT("E" &amp; $O78):INDIRECT("E" &amp; $P78)),"")</f>
        <v>79.7</v>
      </c>
      <c r="T78" s="86">
        <f ca="1">IFERROR(MIN(INDIRECT("F" &amp; $O78):INDIRECT("F" &amp; $P78)),"")</f>
        <v>49.6</v>
      </c>
      <c r="U78" s="18">
        <f t="shared" ref="U78" ca="1" si="147">R78+1</f>
        <v>70</v>
      </c>
      <c r="V78" s="86"/>
      <c r="W78" s="86"/>
      <c r="X78" s="19">
        <f t="shared" si="136"/>
        <v>45385</v>
      </c>
      <c r="Y78" s="18">
        <f ca="1">IFERROR(AVERAGE(INDIRECT("H" &amp; $O78):INDIRECT("H" &amp; $P78)),"")</f>
        <v>15.677777777777777</v>
      </c>
      <c r="Z78" s="86">
        <f ca="1">IFERROR(MAX(INDIRECT("I" &amp; $O78):INDIRECT("I" &amp; $P78)),"")</f>
        <v>32.4</v>
      </c>
      <c r="AA78" s="86">
        <f ca="1">IFERROR(MIN(INDIRECT("J" &amp; $O78):INDIRECT("J" &amp; $P78)),"")</f>
        <v>7</v>
      </c>
      <c r="AB78" s="18">
        <f t="shared" ref="AB78" ca="1" si="148">Y78+0.3</f>
        <v>15.977777777777778</v>
      </c>
    </row>
    <row r="79" spans="1:28" x14ac:dyDescent="0.25">
      <c r="A79" s="10">
        <v>45319</v>
      </c>
      <c r="B79" s="11">
        <v>0.95833333333333337</v>
      </c>
      <c r="C79" s="22">
        <v>45319.958333333336</v>
      </c>
      <c r="D79" s="12">
        <v>65.5</v>
      </c>
      <c r="E79" s="12">
        <v>71.5</v>
      </c>
      <c r="F79" s="12">
        <v>57.1</v>
      </c>
      <c r="G79" s="12" t="s">
        <v>6</v>
      </c>
      <c r="H79" s="12">
        <v>17.100000000000001</v>
      </c>
      <c r="I79" s="12">
        <v>28.2</v>
      </c>
      <c r="J79" s="12">
        <v>10</v>
      </c>
      <c r="K79" s="13" t="s">
        <v>6</v>
      </c>
      <c r="L79" s="24">
        <v>181</v>
      </c>
      <c r="N79" s="35" t="s">
        <v>89</v>
      </c>
      <c r="O79" s="87">
        <f t="shared" ref="O79" ca="1" si="149">MIN(ROW(INDIRECT(N79)))</f>
        <v>501</v>
      </c>
      <c r="P79" s="87">
        <f t="shared" ref="P79" ca="1" si="150">MIN(ROW(INDIRECT(N79))) + ROWS(INDIRECT(N79)) -1</f>
        <v>508</v>
      </c>
      <c r="Q79" s="19">
        <f t="shared" si="135"/>
        <v>45386</v>
      </c>
      <c r="R79" s="18">
        <f ca="1">IFERROR(AVERAGE(INDIRECT("D" &amp; $O79):INDIRECT("D" &amp; $P79)),"")</f>
        <v>71.575000000000003</v>
      </c>
      <c r="S79" s="87">
        <f ca="1">IFERROR(MAX(INDIRECT("E" &amp; $O79):INDIRECT("E" &amp; $P79)),"")</f>
        <v>81.5</v>
      </c>
      <c r="T79" s="87">
        <f ca="1">IFERROR(MIN(INDIRECT("F" &amp; $O79):INDIRECT("F" &amp; $P79)),"")</f>
        <v>53.1</v>
      </c>
      <c r="U79" s="18">
        <f t="shared" ref="U79" ca="1" si="151">R79+1</f>
        <v>72.575000000000003</v>
      </c>
      <c r="V79" s="87"/>
      <c r="W79" s="87"/>
      <c r="X79" s="19">
        <f t="shared" si="136"/>
        <v>45386</v>
      </c>
      <c r="Y79" s="18">
        <f ca="1">IFERROR(AVERAGE(INDIRECT("H" &amp; $O79):INDIRECT("H" &amp; $P79)),"")</f>
        <v>16.675000000000001</v>
      </c>
      <c r="Z79" s="87">
        <f ca="1">IFERROR(MAX(INDIRECT("I" &amp; $O79):INDIRECT("I" &amp; $P79)),"")</f>
        <v>35.200000000000003</v>
      </c>
      <c r="AA79" s="87">
        <f ca="1">IFERROR(MIN(INDIRECT("J" &amp; $O79):INDIRECT("J" &amp; $P79)),"")</f>
        <v>3.7</v>
      </c>
      <c r="AB79" s="18">
        <f t="shared" ref="AB79" ca="1" si="152">Y79+0.3</f>
        <v>16.975000000000001</v>
      </c>
    </row>
    <row r="80" spans="1:28" x14ac:dyDescent="0.25">
      <c r="A80" s="10">
        <v>45320</v>
      </c>
      <c r="B80" s="11">
        <v>8.3333333333333329E-2</v>
      </c>
      <c r="C80" s="22">
        <v>45320.083333333336</v>
      </c>
      <c r="D80" s="12">
        <v>66</v>
      </c>
      <c r="E80" s="12">
        <v>72.099999999999994</v>
      </c>
      <c r="F80" s="12">
        <v>58.2</v>
      </c>
      <c r="G80" s="12" t="s">
        <v>6</v>
      </c>
      <c r="H80" s="12">
        <v>17.899999999999999</v>
      </c>
      <c r="I80" s="12">
        <v>25.2</v>
      </c>
      <c r="J80" s="12">
        <v>10.9</v>
      </c>
      <c r="K80" s="13" t="s">
        <v>6</v>
      </c>
      <c r="L80" s="24">
        <v>78</v>
      </c>
      <c r="N80" s="35" t="s">
        <v>90</v>
      </c>
      <c r="O80" s="88">
        <f t="shared" ref="O80:O82" ca="1" si="153">MIN(ROW(INDIRECT(N80)))</f>
        <v>509</v>
      </c>
      <c r="P80" s="88">
        <f t="shared" ref="P80:P82" ca="1" si="154">MIN(ROW(INDIRECT(N80))) + ROWS(INDIRECT(N80)) -1</f>
        <v>518</v>
      </c>
      <c r="Q80" s="19">
        <f t="shared" si="135"/>
        <v>45387</v>
      </c>
      <c r="R80" s="18">
        <f ca="1">IFERROR(AVERAGE(INDIRECT("D" &amp; $O80):INDIRECT("D" &amp; $P80)),"")</f>
        <v>71.16</v>
      </c>
      <c r="S80" s="88">
        <f ca="1">IFERROR(MAX(INDIRECT("E" &amp; $O80):INDIRECT("E" &amp; $P80)),"")</f>
        <v>84.5</v>
      </c>
      <c r="T80" s="88">
        <f ca="1">IFERROR(MIN(INDIRECT("F" &amp; $O80):INDIRECT("F" &amp; $P80)),"")</f>
        <v>51.3</v>
      </c>
      <c r="U80" s="18">
        <f t="shared" ref="U80:U82" ca="1" si="155">R80+1</f>
        <v>72.16</v>
      </c>
      <c r="V80" s="88"/>
      <c r="W80" s="88"/>
      <c r="X80" s="19">
        <f t="shared" si="136"/>
        <v>45387</v>
      </c>
      <c r="Y80" s="18">
        <f ca="1">IFERROR(AVERAGE(INDIRECT("H" &amp; $O80):INDIRECT("H" &amp; $P80)),"")</f>
        <v>14.76</v>
      </c>
      <c r="Z80" s="88">
        <f ca="1">IFERROR(MAX(INDIRECT("I" &amp; $O80):INDIRECT("I" &amp; $P80)),"")</f>
        <v>29.7</v>
      </c>
      <c r="AA80" s="88">
        <f ca="1">IFERROR(MIN(INDIRECT("J" &amp; $O80):INDIRECT("J" &amp; $P80)),"")</f>
        <v>3.6</v>
      </c>
      <c r="AB80" s="18">
        <f t="shared" ref="AB80:AB82" ca="1" si="156">Y80+0.3</f>
        <v>15.06</v>
      </c>
    </row>
    <row r="81" spans="1:28" x14ac:dyDescent="0.25">
      <c r="A81" s="10">
        <v>45320</v>
      </c>
      <c r="B81" s="11">
        <v>0.125</v>
      </c>
      <c r="C81" s="22">
        <v>45320.125</v>
      </c>
      <c r="D81" s="12">
        <v>60.6</v>
      </c>
      <c r="E81" s="12">
        <v>69.5</v>
      </c>
      <c r="F81" s="12">
        <v>54.4</v>
      </c>
      <c r="G81" s="12" t="s">
        <v>6</v>
      </c>
      <c r="H81" s="12">
        <v>18.600000000000001</v>
      </c>
      <c r="I81" s="12">
        <v>30</v>
      </c>
      <c r="J81" s="12">
        <v>10.9</v>
      </c>
      <c r="K81" s="13" t="s">
        <v>6</v>
      </c>
      <c r="L81" s="24">
        <v>204</v>
      </c>
      <c r="N81" s="35" t="s">
        <v>91</v>
      </c>
      <c r="O81" s="88">
        <f t="shared" ca="1" si="153"/>
        <v>519</v>
      </c>
      <c r="P81" s="88">
        <f t="shared" ca="1" si="154"/>
        <v>521</v>
      </c>
      <c r="Q81" s="19">
        <f t="shared" si="135"/>
        <v>45388</v>
      </c>
      <c r="R81" s="18">
        <f ca="1">IFERROR(AVERAGE(INDIRECT("D" &amp; $O81):INDIRECT("D" &amp; $P81)),"")</f>
        <v>62.366666666666667</v>
      </c>
      <c r="S81" s="88">
        <f ca="1">IFERROR(MAX(INDIRECT("E" &amp; $O81):INDIRECT("E" &amp; $P81)),"")</f>
        <v>73.8</v>
      </c>
      <c r="T81" s="88">
        <f ca="1">IFERROR(MIN(INDIRECT("F" &amp; $O81):INDIRECT("F" &amp; $P81)),"")</f>
        <v>49.7</v>
      </c>
      <c r="U81" s="18">
        <f t="shared" ca="1" si="155"/>
        <v>63.366666666666667</v>
      </c>
      <c r="V81" s="88"/>
      <c r="W81" s="88"/>
      <c r="X81" s="19">
        <f t="shared" si="136"/>
        <v>45388</v>
      </c>
      <c r="Y81" s="18">
        <f ca="1">IFERROR(AVERAGE(INDIRECT("H" &amp; $O81):INDIRECT("H" &amp; $P81)),"")</f>
        <v>12.066666666666668</v>
      </c>
      <c r="Z81" s="88">
        <f ca="1">IFERROR(MAX(INDIRECT("I" &amp; $O81):INDIRECT("I" &amp; $P81)),"")</f>
        <v>18.899999999999999</v>
      </c>
      <c r="AA81" s="88">
        <f ca="1">IFERROR(MIN(INDIRECT("J" &amp; $O81):INDIRECT("J" &amp; $P81)),"")</f>
        <v>4.5</v>
      </c>
      <c r="AB81" s="18">
        <f t="shared" ca="1" si="156"/>
        <v>12.366666666666669</v>
      </c>
    </row>
    <row r="82" spans="1:28" x14ac:dyDescent="0.25">
      <c r="A82" s="10">
        <v>45320</v>
      </c>
      <c r="B82" s="11">
        <v>0.16666666666666666</v>
      </c>
      <c r="C82" s="22">
        <v>45320.166666666664</v>
      </c>
      <c r="D82" s="12">
        <v>59.2</v>
      </c>
      <c r="E82" s="12">
        <v>69</v>
      </c>
      <c r="F82" s="12">
        <v>44.7</v>
      </c>
      <c r="G82" s="12" t="s">
        <v>6</v>
      </c>
      <c r="H82" s="12">
        <v>16.899999999999999</v>
      </c>
      <c r="I82" s="12">
        <v>29.5</v>
      </c>
      <c r="J82" s="12">
        <v>9.1</v>
      </c>
      <c r="K82" s="13" t="s">
        <v>6</v>
      </c>
      <c r="L82" s="24">
        <v>164</v>
      </c>
      <c r="N82" s="35" t="s">
        <v>92</v>
      </c>
      <c r="O82" s="88">
        <f t="shared" ca="1" si="153"/>
        <v>522</v>
      </c>
      <c r="P82" s="88">
        <f t="shared" ca="1" si="154"/>
        <v>524</v>
      </c>
      <c r="Q82" s="19">
        <f t="shared" si="135"/>
        <v>45389</v>
      </c>
      <c r="R82" s="18">
        <f ca="1">IFERROR(AVERAGE(INDIRECT("D" &amp; $O82):INDIRECT("D" &amp; $P82)),"")</f>
        <v>62.166666666666664</v>
      </c>
      <c r="S82" s="88">
        <f ca="1">IFERROR(MAX(INDIRECT("E" &amp; $O82):INDIRECT("E" &amp; $P82)),"")</f>
        <v>75.599999999999994</v>
      </c>
      <c r="T82" s="88">
        <f ca="1">IFERROR(MIN(INDIRECT("F" &amp; $O82):INDIRECT("F" &amp; $P82)),"")</f>
        <v>50.2</v>
      </c>
      <c r="U82" s="18">
        <f t="shared" ca="1" si="155"/>
        <v>63.166666666666664</v>
      </c>
      <c r="V82" s="88"/>
      <c r="W82" s="88"/>
      <c r="X82" s="19">
        <f t="shared" si="136"/>
        <v>45389</v>
      </c>
      <c r="Y82" s="18">
        <f ca="1">IFERROR(AVERAGE(INDIRECT("H" &amp; $O82):INDIRECT("H" &amp; $P82)),"")</f>
        <v>13.866666666666667</v>
      </c>
      <c r="Z82" s="88">
        <f ca="1">IFERROR(MAX(INDIRECT("I" &amp; $O82):INDIRECT("I" &amp; $P82)),"")</f>
        <v>27.1</v>
      </c>
      <c r="AA82" s="88">
        <f ca="1">IFERROR(MIN(INDIRECT("J" &amp; $O82):INDIRECT("J" &amp; $P82)),"")</f>
        <v>8.1</v>
      </c>
      <c r="AB82" s="18">
        <f t="shared" ca="1" si="156"/>
        <v>14.166666666666668</v>
      </c>
    </row>
    <row r="83" spans="1:28" x14ac:dyDescent="0.25">
      <c r="A83" s="6">
        <v>45320</v>
      </c>
      <c r="B83" s="7">
        <v>0.83333333333333337</v>
      </c>
      <c r="C83" s="21">
        <v>45320.833333333336</v>
      </c>
      <c r="D83" s="8">
        <v>57.5</v>
      </c>
      <c r="E83" s="8">
        <v>69.7</v>
      </c>
      <c r="F83" s="8">
        <v>47.3</v>
      </c>
      <c r="G83" s="8" t="s">
        <v>6</v>
      </c>
      <c r="H83" s="8">
        <v>19.399999999999999</v>
      </c>
      <c r="I83" s="8">
        <v>30.9</v>
      </c>
      <c r="J83" s="8">
        <v>10.3</v>
      </c>
      <c r="K83" s="8" t="s">
        <v>6</v>
      </c>
      <c r="L83" s="9">
        <v>200</v>
      </c>
      <c r="M83" s="12"/>
      <c r="N83" s="12" t="s">
        <v>93</v>
      </c>
      <c r="O83" s="89">
        <f t="shared" ref="O83" ca="1" si="157">MIN(ROW(INDIRECT(N83)))</f>
        <v>525</v>
      </c>
      <c r="P83" s="89">
        <f t="shared" ref="P83" ca="1" si="158">MIN(ROW(INDIRECT(N83))) + ROWS(INDIRECT(N83)) -1</f>
        <v>527</v>
      </c>
      <c r="Q83" s="19">
        <f t="shared" si="135"/>
        <v>45390</v>
      </c>
      <c r="R83" s="18">
        <f ca="1">IFERROR(AVERAGE(INDIRECT("D" &amp; $O83):INDIRECT("D" &amp; $P83)),"")</f>
        <v>71.36666666666666</v>
      </c>
      <c r="S83" s="89">
        <f ca="1">IFERROR(MAX(INDIRECT("E" &amp; $O83):INDIRECT("E" &amp; $P83)),"")</f>
        <v>85.3</v>
      </c>
      <c r="T83" s="89">
        <f ca="1">IFERROR(MIN(INDIRECT("F" &amp; $O83):INDIRECT("F" &amp; $P83)),"")</f>
        <v>53.2</v>
      </c>
      <c r="U83" s="18">
        <f t="shared" ref="U83" ca="1" si="159">R83+1</f>
        <v>72.36666666666666</v>
      </c>
      <c r="V83" s="89"/>
      <c r="W83" s="89"/>
      <c r="X83" s="19">
        <f t="shared" si="136"/>
        <v>45390</v>
      </c>
      <c r="Y83" s="18">
        <f ca="1">IFERROR(AVERAGE(INDIRECT("H" &amp; $O83):INDIRECT("H" &amp; $P83)),"")</f>
        <v>13.566666666666668</v>
      </c>
      <c r="Z83" s="89">
        <f ca="1">IFERROR(MAX(INDIRECT("I" &amp; $O83):INDIRECT("I" &amp; $P83)),"")</f>
        <v>26.8</v>
      </c>
      <c r="AA83" s="89">
        <f ca="1">IFERROR(MIN(INDIRECT("J" &amp; $O83):INDIRECT("J" &amp; $P83)),"")</f>
        <v>7</v>
      </c>
      <c r="AB83" s="18">
        <f t="shared" ref="AB83" ca="1" si="160">Y83+0.3</f>
        <v>13.866666666666669</v>
      </c>
    </row>
    <row r="84" spans="1:28" x14ac:dyDescent="0.25">
      <c r="A84" s="10">
        <v>45320</v>
      </c>
      <c r="B84" s="11">
        <v>0.875</v>
      </c>
      <c r="C84" s="22">
        <v>45320.875</v>
      </c>
      <c r="D84" s="12">
        <v>57</v>
      </c>
      <c r="E84" s="12">
        <v>65.5</v>
      </c>
      <c r="F84" s="12">
        <v>49.4</v>
      </c>
      <c r="G84" s="12" t="s">
        <v>6</v>
      </c>
      <c r="H84" s="12">
        <v>17.2</v>
      </c>
      <c r="I84" s="12">
        <v>21.6</v>
      </c>
      <c r="J84" s="12">
        <v>12</v>
      </c>
      <c r="K84" s="12" t="s">
        <v>6</v>
      </c>
      <c r="L84" s="13">
        <v>188</v>
      </c>
      <c r="M84" s="12"/>
      <c r="N84" s="12" t="s">
        <v>94</v>
      </c>
      <c r="O84" s="90">
        <f t="shared" ref="O84:O85" ca="1" si="161">MIN(ROW(INDIRECT(N84)))</f>
        <v>528</v>
      </c>
      <c r="P84" s="90">
        <f t="shared" ref="P84:P85" ca="1" si="162">MIN(ROW(INDIRECT(N84))) + ROWS(INDIRECT(N84)) -1</f>
        <v>531</v>
      </c>
      <c r="Q84" s="19">
        <f t="shared" si="135"/>
        <v>45391</v>
      </c>
      <c r="R84" s="18">
        <f ca="1">IFERROR(AVERAGE(INDIRECT("D" &amp; $O84):INDIRECT("D" &amp; $P84)),"")</f>
        <v>68.699999999999989</v>
      </c>
      <c r="S84" s="90">
        <f ca="1">IFERROR(MAX(INDIRECT("E" &amp; $O84):INDIRECT("E" &amp; $P84)),"")</f>
        <v>84.9</v>
      </c>
      <c r="T84" s="90">
        <f ca="1">IFERROR(MIN(INDIRECT("F" &amp; $O84):INDIRECT("F" &amp; $P84)),"")</f>
        <v>57.2</v>
      </c>
      <c r="U84" s="18">
        <f t="shared" ref="U84:U85" ca="1" si="163">R84+1</f>
        <v>69.699999999999989</v>
      </c>
      <c r="V84" s="90"/>
      <c r="W84" s="90"/>
      <c r="X84" s="19">
        <f t="shared" si="136"/>
        <v>45391</v>
      </c>
      <c r="Y84" s="18">
        <f ca="1">IFERROR(AVERAGE(INDIRECT("H" &amp; $O84):INDIRECT("H" &amp; $P84)),"")</f>
        <v>13.024999999999999</v>
      </c>
      <c r="Z84" s="90">
        <f ca="1">IFERROR(MAX(INDIRECT("I" &amp; $O84):INDIRECT("I" &amp; $P84)),"")</f>
        <v>34.299999999999997</v>
      </c>
      <c r="AA84" s="90">
        <f ca="1">IFERROR(MIN(INDIRECT("J" &amp; $O84):INDIRECT("J" &amp; $P84)),"")</f>
        <v>5.7</v>
      </c>
      <c r="AB84" s="18">
        <f t="shared" ref="AB84:AB85" ca="1" si="164">Y84+0.3</f>
        <v>13.324999999999999</v>
      </c>
    </row>
    <row r="85" spans="1:28" x14ac:dyDescent="0.25">
      <c r="A85" s="10">
        <v>45320</v>
      </c>
      <c r="B85" s="11">
        <v>0.95833333333333337</v>
      </c>
      <c r="C85" s="22">
        <v>45320.958333333336</v>
      </c>
      <c r="D85" s="12">
        <v>56.1</v>
      </c>
      <c r="E85" s="12">
        <v>62.4</v>
      </c>
      <c r="F85" s="12">
        <v>52.6</v>
      </c>
      <c r="G85" s="12" t="s">
        <v>6</v>
      </c>
      <c r="H85" s="12">
        <v>19.399999999999999</v>
      </c>
      <c r="I85" s="12">
        <v>23.6</v>
      </c>
      <c r="J85" s="12">
        <v>15.3</v>
      </c>
      <c r="K85" s="12" t="s">
        <v>6</v>
      </c>
      <c r="L85" s="13">
        <v>26</v>
      </c>
      <c r="M85" s="12"/>
      <c r="N85" s="12" t="s">
        <v>95</v>
      </c>
      <c r="O85" s="90">
        <f t="shared" ca="1" si="161"/>
        <v>532</v>
      </c>
      <c r="P85" s="90">
        <f t="shared" ca="1" si="162"/>
        <v>536</v>
      </c>
      <c r="Q85" s="19">
        <f t="shared" si="135"/>
        <v>45392</v>
      </c>
      <c r="R85" s="18">
        <f ca="1">IFERROR(AVERAGE(INDIRECT("D" &amp; $O85):INDIRECT("D" &amp; $P85)),"")</f>
        <v>70.460000000000008</v>
      </c>
      <c r="S85" s="90">
        <f ca="1">IFERROR(MAX(INDIRECT("E" &amp; $O85):INDIRECT("E" &amp; $P85)),"")</f>
        <v>84.2</v>
      </c>
      <c r="T85" s="90">
        <f ca="1">IFERROR(MIN(INDIRECT("F" &amp; $O85):INDIRECT("F" &amp; $P85)),"")</f>
        <v>55.1</v>
      </c>
      <c r="U85" s="18">
        <f t="shared" ca="1" si="163"/>
        <v>71.460000000000008</v>
      </c>
      <c r="V85" s="90"/>
      <c r="W85" s="90"/>
      <c r="X85" s="19">
        <f t="shared" si="136"/>
        <v>45392</v>
      </c>
      <c r="Y85" s="18">
        <f ca="1">IFERROR(AVERAGE(INDIRECT("H" &amp; $O85):INDIRECT("H" &amp; $P85)),"")</f>
        <v>18.18</v>
      </c>
      <c r="Z85" s="90">
        <f ca="1">IFERROR(MAX(INDIRECT("I" &amp; $O85):INDIRECT("I" &amp; $P85)),"")</f>
        <v>27.3</v>
      </c>
      <c r="AA85" s="90">
        <f ca="1">IFERROR(MIN(INDIRECT("J" &amp; $O85):INDIRECT("J" &amp; $P85)),"")</f>
        <v>13.2</v>
      </c>
      <c r="AB85" s="18">
        <f t="shared" ca="1" si="164"/>
        <v>18.48</v>
      </c>
    </row>
    <row r="86" spans="1:28" x14ac:dyDescent="0.25">
      <c r="A86" s="10">
        <v>45321</v>
      </c>
      <c r="B86" s="11">
        <v>0</v>
      </c>
      <c r="C86" s="22">
        <v>45321</v>
      </c>
      <c r="D86" s="12">
        <v>64</v>
      </c>
      <c r="E86" s="12">
        <v>69.900000000000006</v>
      </c>
      <c r="F86" s="12">
        <v>59.8</v>
      </c>
      <c r="G86" s="12" t="s">
        <v>6</v>
      </c>
      <c r="H86" s="12">
        <v>18.7</v>
      </c>
      <c r="I86" s="12">
        <v>36.1</v>
      </c>
      <c r="J86" s="12">
        <v>11.1</v>
      </c>
      <c r="K86" s="12" t="s">
        <v>6</v>
      </c>
      <c r="L86" s="13">
        <v>207</v>
      </c>
      <c r="M86" s="12"/>
      <c r="N86" s="12" t="s">
        <v>96</v>
      </c>
      <c r="O86" s="92">
        <f t="shared" ref="O86" ca="1" si="165">MIN(ROW(INDIRECT(N86)))</f>
        <v>537</v>
      </c>
      <c r="P86" s="92">
        <f t="shared" ref="P86" ca="1" si="166">MIN(ROW(INDIRECT(N86))) + ROWS(INDIRECT(N86)) -1</f>
        <v>539</v>
      </c>
      <c r="Q86" s="19">
        <f t="shared" si="135"/>
        <v>45393</v>
      </c>
      <c r="R86" s="18">
        <f ca="1">IFERROR(AVERAGE(INDIRECT("D" &amp; $O86):INDIRECT("D" &amp; $P86)),"")</f>
        <v>59.933333333333337</v>
      </c>
      <c r="S86" s="92">
        <f ca="1">IFERROR(MAX(INDIRECT("E" &amp; $O86):INDIRECT("E" &amp; $P86)),"")</f>
        <v>74.900000000000006</v>
      </c>
      <c r="T86" s="92">
        <f ca="1">IFERROR(MIN(INDIRECT("F" &amp; $O86):INDIRECT("F" &amp; $P86)),"")</f>
        <v>55.1</v>
      </c>
      <c r="U86" s="18">
        <f t="shared" ref="U86" ca="1" si="167">R86+1</f>
        <v>60.933333333333337</v>
      </c>
      <c r="V86" s="92"/>
      <c r="W86" s="92"/>
      <c r="X86" s="19">
        <f t="shared" si="136"/>
        <v>45393</v>
      </c>
      <c r="Y86" s="18">
        <f ca="1">IFERROR(AVERAGE(INDIRECT("H" &amp; $O86):INDIRECT("H" &amp; $P86)),"")</f>
        <v>20.666666666666668</v>
      </c>
      <c r="Z86" s="92">
        <f ca="1">IFERROR(MAX(INDIRECT("I" &amp; $O86):INDIRECT("I" &amp; $P86)),"")</f>
        <v>28.4</v>
      </c>
      <c r="AA86" s="92">
        <f ca="1">IFERROR(MIN(INDIRECT("J" &amp; $O86):INDIRECT("J" &amp; $P86)),"")</f>
        <v>13.4</v>
      </c>
      <c r="AB86" s="18">
        <f t="shared" ref="AB86" ca="1" si="168">Y86+0.3</f>
        <v>20.966666666666669</v>
      </c>
    </row>
    <row r="87" spans="1:28" x14ac:dyDescent="0.25">
      <c r="A87" s="10">
        <v>45321</v>
      </c>
      <c r="B87" s="11">
        <v>4.1666666666666664E-2</v>
      </c>
      <c r="C87" s="22">
        <v>45321.041666666664</v>
      </c>
      <c r="D87" s="12">
        <v>64.900000000000006</v>
      </c>
      <c r="E87" s="12">
        <v>68.599999999999994</v>
      </c>
      <c r="F87" s="12">
        <v>61.6</v>
      </c>
      <c r="G87" s="12" t="s">
        <v>6</v>
      </c>
      <c r="H87" s="12">
        <v>16.399999999999999</v>
      </c>
      <c r="I87" s="12">
        <v>22.9</v>
      </c>
      <c r="J87" s="12">
        <v>8.9</v>
      </c>
      <c r="K87" s="12" t="s">
        <v>6</v>
      </c>
      <c r="L87" s="13">
        <v>195</v>
      </c>
      <c r="M87" s="12"/>
      <c r="N87" s="12" t="s">
        <v>97</v>
      </c>
      <c r="O87" s="105">
        <f t="shared" ref="O87:O89" ca="1" si="169">MIN(ROW(INDIRECT(N87)))</f>
        <v>540</v>
      </c>
      <c r="P87" s="105">
        <f t="shared" ref="P87:P89" ca="1" si="170">MIN(ROW(INDIRECT(N87))) + ROWS(INDIRECT(N87)) -1</f>
        <v>556</v>
      </c>
      <c r="Q87" s="19">
        <f t="shared" si="135"/>
        <v>45394</v>
      </c>
      <c r="R87" s="18">
        <f ca="1">IFERROR(AVERAGE(INDIRECT("D" &amp; $O87):INDIRECT("D" &amp; $P87)),"")</f>
        <v>71.770588235294127</v>
      </c>
      <c r="S87" s="105">
        <f ca="1">IFERROR(MAX(INDIRECT("E" &amp; $O87):INDIRECT("E" &amp; $P87)),"")</f>
        <v>86.3</v>
      </c>
      <c r="T87" s="105">
        <f ca="1">IFERROR(MIN(INDIRECT("F" &amp; $O87):INDIRECT("F" &amp; $P87)),"")</f>
        <v>52.9</v>
      </c>
      <c r="U87" s="18">
        <f t="shared" ref="U87:U89" ca="1" si="171">R87+1</f>
        <v>72.770588235294127</v>
      </c>
      <c r="V87" s="105"/>
      <c r="W87" s="105"/>
      <c r="X87" s="19">
        <f t="shared" si="136"/>
        <v>45394</v>
      </c>
      <c r="Y87" s="18">
        <f ca="1">IFERROR(AVERAGE(INDIRECT("H" &amp; $O87):INDIRECT("H" &amp; $P87)),"")</f>
        <v>18.982352941176469</v>
      </c>
      <c r="Z87" s="105">
        <f ca="1">IFERROR(MAX(INDIRECT("I" &amp; $O87):INDIRECT("I" &amp; $P87)),"")</f>
        <v>29.4</v>
      </c>
      <c r="AA87" s="105">
        <f ca="1">IFERROR(MIN(INDIRECT("J" &amp; $O87):INDIRECT("J" &amp; $P87)),"")</f>
        <v>12.4</v>
      </c>
      <c r="AB87" s="18">
        <f t="shared" ref="AB87:AB89" ca="1" si="172">Y87+0.3</f>
        <v>19.28235294117647</v>
      </c>
    </row>
    <row r="88" spans="1:28" x14ac:dyDescent="0.25">
      <c r="A88" s="10">
        <v>45321</v>
      </c>
      <c r="B88" s="11">
        <v>8.3333333333333329E-2</v>
      </c>
      <c r="C88" s="22">
        <v>45321.083333333336</v>
      </c>
      <c r="D88" s="12">
        <v>65</v>
      </c>
      <c r="E88" s="12">
        <v>66.599999999999994</v>
      </c>
      <c r="F88" s="12">
        <v>64.3</v>
      </c>
      <c r="G88" s="12" t="s">
        <v>6</v>
      </c>
      <c r="H88" s="12">
        <v>14.6</v>
      </c>
      <c r="I88" s="12">
        <v>18.2</v>
      </c>
      <c r="J88" s="12">
        <v>12.3</v>
      </c>
      <c r="K88" s="12" t="s">
        <v>6</v>
      </c>
      <c r="L88" s="13">
        <v>11</v>
      </c>
      <c r="M88" s="12"/>
      <c r="N88" s="12" t="s">
        <v>98</v>
      </c>
      <c r="O88" s="105">
        <f t="shared" ca="1" si="169"/>
        <v>557</v>
      </c>
      <c r="P88" s="105">
        <f t="shared" ca="1" si="170"/>
        <v>564</v>
      </c>
      <c r="Q88" s="19">
        <f t="shared" si="135"/>
        <v>45395</v>
      </c>
      <c r="R88" s="18">
        <f ca="1">IFERROR(AVERAGE(INDIRECT("D" &amp; $O88):INDIRECT("D" &amp; $P88)),"")</f>
        <v>67.712500000000006</v>
      </c>
      <c r="S88" s="105">
        <f ca="1">IFERROR(MAX(INDIRECT("E" &amp; $O88):INDIRECT("E" &amp; $P88)),"")</f>
        <v>78.7</v>
      </c>
      <c r="T88" s="105">
        <f ca="1">IFERROR(MIN(INDIRECT("F" &amp; $O88):INDIRECT("F" &amp; $P88)),"")</f>
        <v>51.8</v>
      </c>
      <c r="U88" s="18">
        <f t="shared" ca="1" si="171"/>
        <v>68.712500000000006</v>
      </c>
      <c r="V88" s="105"/>
      <c r="W88" s="105"/>
      <c r="X88" s="19">
        <f t="shared" si="136"/>
        <v>45395</v>
      </c>
      <c r="Y88" s="18">
        <f ca="1">IFERROR(AVERAGE(INDIRECT("H" &amp; $O88):INDIRECT("H" &amp; $P88)),"")</f>
        <v>19.912500000000001</v>
      </c>
      <c r="Z88" s="105">
        <f ca="1">IFERROR(MAX(INDIRECT("I" &amp; $O88):INDIRECT("I" &amp; $P88)),"")</f>
        <v>31</v>
      </c>
      <c r="AA88" s="105">
        <f ca="1">IFERROR(MIN(INDIRECT("J" &amp; $O88):INDIRECT("J" &amp; $P88)),"")</f>
        <v>12.2</v>
      </c>
      <c r="AB88" s="18">
        <f t="shared" ca="1" si="172"/>
        <v>20.212500000000002</v>
      </c>
    </row>
    <row r="89" spans="1:28" x14ac:dyDescent="0.25">
      <c r="A89" s="10">
        <v>45321</v>
      </c>
      <c r="B89" s="11">
        <v>0.20833333333333334</v>
      </c>
      <c r="C89" s="22">
        <v>45321.208333333336</v>
      </c>
      <c r="D89" s="12">
        <v>60.9</v>
      </c>
      <c r="E89" s="12">
        <v>70.5</v>
      </c>
      <c r="F89" s="12">
        <v>52.5</v>
      </c>
      <c r="G89" s="12" t="s">
        <v>6</v>
      </c>
      <c r="H89" s="12">
        <v>20.7</v>
      </c>
      <c r="I89" s="12">
        <v>34.4</v>
      </c>
      <c r="J89" s="12">
        <v>12.9</v>
      </c>
      <c r="K89" s="12" t="s">
        <v>6</v>
      </c>
      <c r="L89" s="13">
        <v>132</v>
      </c>
      <c r="M89" s="12"/>
      <c r="N89" s="12" t="s">
        <v>99</v>
      </c>
      <c r="O89" s="105">
        <f t="shared" ca="1" si="169"/>
        <v>565</v>
      </c>
      <c r="P89" s="105">
        <f t="shared" ca="1" si="170"/>
        <v>577</v>
      </c>
      <c r="Q89" s="19">
        <f t="shared" si="135"/>
        <v>45396</v>
      </c>
      <c r="R89" s="18">
        <f ca="1">IFERROR(AVERAGE(INDIRECT("D" &amp; $O89):INDIRECT("D" &amp; $P89)),"")</f>
        <v>66.492307692307705</v>
      </c>
      <c r="S89" s="105">
        <f ca="1">IFERROR(MAX(INDIRECT("E" &amp; $O89):INDIRECT("E" &amp; $P89)),"")</f>
        <v>79.5</v>
      </c>
      <c r="T89" s="105">
        <f ca="1">IFERROR(MIN(INDIRECT("F" &amp; $O89):INDIRECT("F" &amp; $P89)),"")</f>
        <v>53.3</v>
      </c>
      <c r="U89" s="18">
        <f t="shared" ca="1" si="171"/>
        <v>67.492307692307705</v>
      </c>
      <c r="V89" s="105"/>
      <c r="W89" s="105"/>
      <c r="X89" s="19">
        <f t="shared" si="136"/>
        <v>45396</v>
      </c>
      <c r="Y89" s="18">
        <f ca="1">IFERROR(AVERAGE(INDIRECT("H" &amp; $O89):INDIRECT("H" &amp; $P89)),"")</f>
        <v>17.738461538461539</v>
      </c>
      <c r="Z89" s="105">
        <f ca="1">IFERROR(MAX(INDIRECT("I" &amp; $O89):INDIRECT("I" &amp; $P89)),"")</f>
        <v>25.8</v>
      </c>
      <c r="AA89" s="105">
        <f ca="1">IFERROR(MIN(INDIRECT("J" &amp; $O89):INDIRECT("J" &amp; $P89)),"")</f>
        <v>11.7</v>
      </c>
      <c r="AB89" s="18">
        <f t="shared" ca="1" si="172"/>
        <v>18.03846153846154</v>
      </c>
    </row>
    <row r="90" spans="1:28" x14ac:dyDescent="0.25">
      <c r="A90" s="10">
        <v>45321</v>
      </c>
      <c r="B90" s="11">
        <v>0.25</v>
      </c>
      <c r="C90" s="22">
        <v>45321.25</v>
      </c>
      <c r="D90" s="12">
        <v>56.5</v>
      </c>
      <c r="E90" s="12">
        <v>64.5</v>
      </c>
      <c r="F90" s="12">
        <v>49</v>
      </c>
      <c r="G90" s="12" t="s">
        <v>6</v>
      </c>
      <c r="H90" s="12">
        <v>18.8</v>
      </c>
      <c r="I90" s="12">
        <v>33.799999999999997</v>
      </c>
      <c r="J90" s="12">
        <v>12.1</v>
      </c>
      <c r="K90" s="12" t="s">
        <v>6</v>
      </c>
      <c r="L90" s="13">
        <v>224</v>
      </c>
      <c r="M90" s="12"/>
      <c r="N90" s="12" t="s">
        <v>100</v>
      </c>
      <c r="O90" s="107">
        <f t="shared" ref="O90" ca="1" si="173">MIN(ROW(INDIRECT(N90)))</f>
        <v>578</v>
      </c>
      <c r="P90" s="107">
        <f t="shared" ref="P90" ca="1" si="174">MIN(ROW(INDIRECT(N90))) + ROWS(INDIRECT(N90)) -1</f>
        <v>589</v>
      </c>
      <c r="Q90" s="19">
        <f t="shared" si="135"/>
        <v>45397</v>
      </c>
      <c r="R90" s="18">
        <f ca="1">IFERROR(AVERAGE(INDIRECT("D" &amp; $O90):INDIRECT("D" &amp; $P90)),"")</f>
        <v>66.933333333333337</v>
      </c>
      <c r="S90" s="107">
        <f ca="1">IFERROR(MAX(INDIRECT("E" &amp; $O90):INDIRECT("E" &amp; $P90)),"")</f>
        <v>80</v>
      </c>
      <c r="T90" s="107">
        <f ca="1">IFERROR(MIN(INDIRECT("F" &amp; $O90):INDIRECT("F" &amp; $P90)),"")</f>
        <v>48.9</v>
      </c>
      <c r="U90" s="18">
        <f t="shared" ref="U90" ca="1" si="175">R90+1</f>
        <v>67.933333333333337</v>
      </c>
      <c r="V90" s="107">
        <v>1</v>
      </c>
      <c r="W90" s="107"/>
      <c r="X90" s="19">
        <f t="shared" si="136"/>
        <v>45397</v>
      </c>
      <c r="Y90" s="18">
        <f ca="1">IFERROR(AVERAGE(INDIRECT("H" &amp; $O90):INDIRECT("H" &amp; $P90)),"")</f>
        <v>18.858333333333331</v>
      </c>
      <c r="Z90" s="107">
        <f ca="1">IFERROR(MAX(INDIRECT("I" &amp; $O90):INDIRECT("I" &amp; $P90)),"")</f>
        <v>27</v>
      </c>
      <c r="AA90" s="107">
        <f ca="1">IFERROR(MIN(INDIRECT("J" &amp; $O90):INDIRECT("J" &amp; $P90)),"")</f>
        <v>12.5</v>
      </c>
      <c r="AB90" s="18">
        <f t="shared" ref="AB90" ca="1" si="176">Y90+0.3</f>
        <v>19.158333333333331</v>
      </c>
    </row>
    <row r="91" spans="1:28" x14ac:dyDescent="0.25">
      <c r="A91" s="10">
        <v>45321</v>
      </c>
      <c r="B91" s="11">
        <v>0.29166666666666669</v>
      </c>
      <c r="C91" s="22">
        <v>45321.291666666664</v>
      </c>
      <c r="D91" s="12">
        <v>55.2</v>
      </c>
      <c r="E91" s="12">
        <v>56.3</v>
      </c>
      <c r="F91" s="12">
        <v>54.3</v>
      </c>
      <c r="G91" s="12" t="s">
        <v>6</v>
      </c>
      <c r="H91" s="12">
        <v>14.3</v>
      </c>
      <c r="I91" s="12">
        <v>17.2</v>
      </c>
      <c r="J91" s="12">
        <v>11.7</v>
      </c>
      <c r="K91" s="12" t="s">
        <v>6</v>
      </c>
      <c r="L91" s="13">
        <v>5</v>
      </c>
      <c r="M91" s="12"/>
      <c r="N91" s="12" t="s">
        <v>101</v>
      </c>
      <c r="O91" s="108">
        <f t="shared" ref="O91:O92" ca="1" si="177">MIN(ROW(INDIRECT(N91)))</f>
        <v>590</v>
      </c>
      <c r="P91" s="108">
        <f t="shared" ref="P91:P92" ca="1" si="178">MIN(ROW(INDIRECT(N91))) + ROWS(INDIRECT(N91)) -1</f>
        <v>603</v>
      </c>
      <c r="Q91" s="19">
        <f t="shared" si="135"/>
        <v>45398</v>
      </c>
      <c r="R91" s="18">
        <f ca="1">IFERROR(AVERAGE(INDIRECT("D" &amp; $O91):INDIRECT("D" &amp; $P91)),"")</f>
        <v>66.321428571428569</v>
      </c>
      <c r="S91" s="108">
        <f ca="1">IFERROR(MAX(INDIRECT("E" &amp; $O91):INDIRECT("E" &amp; $P91)),"")</f>
        <v>75</v>
      </c>
      <c r="T91" s="108">
        <f ca="1">IFERROR(MIN(INDIRECT("F" &amp; $O91):INDIRECT("F" &amp; $P91)),"")</f>
        <v>51.8</v>
      </c>
      <c r="U91" s="18">
        <f t="shared" ref="U91:U92" ca="1" si="179">R91+1</f>
        <v>67.321428571428569</v>
      </c>
      <c r="V91" s="108"/>
      <c r="W91" s="108"/>
      <c r="X91" s="19">
        <f t="shared" si="136"/>
        <v>45398</v>
      </c>
      <c r="Y91" s="18">
        <f ca="1">IFERROR(AVERAGE(INDIRECT("H" &amp; $O91):INDIRECT("H" &amp; $P91)),"")</f>
        <v>18.435714285714287</v>
      </c>
      <c r="Z91" s="108">
        <f ca="1">IFERROR(MAX(INDIRECT("I" &amp; $O91):INDIRECT("I" &amp; $P91)),"")</f>
        <v>25.2</v>
      </c>
      <c r="AA91" s="108">
        <f ca="1">IFERROR(MIN(INDIRECT("J" &amp; $O91):INDIRECT("J" &amp; $P91)),"")</f>
        <v>12.9</v>
      </c>
      <c r="AB91" s="18">
        <f t="shared" ref="AB91:AB92" ca="1" si="180">Y91+0.3</f>
        <v>18.735714285714288</v>
      </c>
    </row>
    <row r="92" spans="1:28" x14ac:dyDescent="0.25">
      <c r="A92" s="14">
        <v>45321</v>
      </c>
      <c r="B92" s="15">
        <v>0.33333333333333331</v>
      </c>
      <c r="C92" s="20">
        <v>45321.333333333336</v>
      </c>
      <c r="D92" s="16">
        <v>60</v>
      </c>
      <c r="E92" s="16">
        <v>60</v>
      </c>
      <c r="F92" s="16">
        <v>60</v>
      </c>
      <c r="G92" s="16" t="s">
        <v>6</v>
      </c>
      <c r="H92" s="16">
        <v>3.3</v>
      </c>
      <c r="I92" s="16">
        <v>3.3</v>
      </c>
      <c r="J92" s="16">
        <v>3.3</v>
      </c>
      <c r="K92" s="16" t="s">
        <v>6</v>
      </c>
      <c r="L92" s="17">
        <v>1</v>
      </c>
      <c r="M92" s="12"/>
      <c r="N92" s="12" t="s">
        <v>102</v>
      </c>
      <c r="O92" s="108">
        <f t="shared" ca="1" si="177"/>
        <v>604</v>
      </c>
      <c r="P92" s="108">
        <f t="shared" ca="1" si="178"/>
        <v>612</v>
      </c>
      <c r="Q92" s="19">
        <f t="shared" si="135"/>
        <v>45399</v>
      </c>
      <c r="R92" s="18">
        <f ca="1">IFERROR(AVERAGE(INDIRECT("D" &amp; $O92):INDIRECT("D" &amp; $P92)),"")</f>
        <v>65.466666666666669</v>
      </c>
      <c r="S92" s="108">
        <f ca="1">IFERROR(MAX(INDIRECT("E" &amp; $O92):INDIRECT("E" &amp; $P92)),"")</f>
        <v>76.099999999999994</v>
      </c>
      <c r="T92" s="108">
        <f ca="1">IFERROR(MIN(INDIRECT("F" &amp; $O92):INDIRECT("F" &amp; $P92)),"")</f>
        <v>47</v>
      </c>
      <c r="U92" s="18">
        <f t="shared" ca="1" si="179"/>
        <v>66.466666666666669</v>
      </c>
      <c r="V92" s="108"/>
      <c r="W92" s="108"/>
      <c r="X92" s="19">
        <f t="shared" si="136"/>
        <v>45399</v>
      </c>
      <c r="Y92" s="18">
        <f ca="1">IFERROR(AVERAGE(INDIRECT("H" &amp; $O92):INDIRECT("H" &amp; $P92)),"")</f>
        <v>18.344444444444445</v>
      </c>
      <c r="Z92" s="108">
        <f ca="1">IFERROR(MAX(INDIRECT("I" &amp; $O92):INDIRECT("I" &amp; $P92)),"")</f>
        <v>31.4</v>
      </c>
      <c r="AA92" s="108">
        <f ca="1">IFERROR(MIN(INDIRECT("J" &amp; $O92):INDIRECT("J" &amp; $P92)),"")</f>
        <v>10.5</v>
      </c>
      <c r="AB92" s="18">
        <f t="shared" ca="1" si="180"/>
        <v>18.644444444444446</v>
      </c>
    </row>
    <row r="93" spans="1:28" x14ac:dyDescent="0.25">
      <c r="A93" s="6">
        <v>45321</v>
      </c>
      <c r="B93" s="7">
        <v>0.83333333333333337</v>
      </c>
      <c r="C93" s="21">
        <v>45321.833333333336</v>
      </c>
      <c r="D93" s="8">
        <v>65.099999999999994</v>
      </c>
      <c r="E93" s="8">
        <v>71.400000000000006</v>
      </c>
      <c r="F93" s="8">
        <v>48.2</v>
      </c>
      <c r="G93" s="8" t="s">
        <v>6</v>
      </c>
      <c r="H93" s="8">
        <v>21.2</v>
      </c>
      <c r="I93" s="8">
        <v>34.1</v>
      </c>
      <c r="J93" s="9">
        <v>10.4</v>
      </c>
      <c r="K93" s="26" t="s">
        <v>6</v>
      </c>
      <c r="L93" s="26">
        <v>163</v>
      </c>
      <c r="N93" s="35" t="s">
        <v>103</v>
      </c>
      <c r="O93" s="110">
        <f t="shared" ref="O93:O94" ca="1" si="181">MIN(ROW(INDIRECT(N93)))</f>
        <v>613</v>
      </c>
      <c r="P93" s="110">
        <f t="shared" ref="P93:P94" ca="1" si="182">MIN(ROW(INDIRECT(N93))) + ROWS(INDIRECT(N93)) -1</f>
        <v>629</v>
      </c>
      <c r="Q93" s="19">
        <f t="shared" si="135"/>
        <v>45400</v>
      </c>
      <c r="R93" s="18">
        <f ca="1">IFERROR(AVERAGE(INDIRECT("D" &amp; $O93):INDIRECT("D" &amp; $P93)),"")</f>
        <v>65.976470588235287</v>
      </c>
      <c r="S93" s="110">
        <f ca="1">IFERROR(MAX(INDIRECT("E" &amp; $O93):INDIRECT("E" &amp; $P93)),"")</f>
        <v>77.400000000000006</v>
      </c>
      <c r="T93" s="110">
        <f ca="1">IFERROR(MIN(INDIRECT("F" &amp; $O93):INDIRECT("F" &amp; $P93)),"")</f>
        <v>45.2</v>
      </c>
      <c r="U93" s="18">
        <f t="shared" ref="U93:U94" ca="1" si="183">R93+1</f>
        <v>66.976470588235287</v>
      </c>
      <c r="V93" s="110"/>
      <c r="W93" s="110"/>
      <c r="X93" s="19">
        <f t="shared" si="136"/>
        <v>45400</v>
      </c>
      <c r="Y93" s="18">
        <f ca="1">IFERROR(AVERAGE(INDIRECT("H" &amp; $O93):INDIRECT("H" &amp; $P93)),"")</f>
        <v>18.694117647058821</v>
      </c>
      <c r="Z93" s="110">
        <f ca="1">IFERROR(MAX(INDIRECT("I" &amp; $O93):INDIRECT("I" &amp; $P93)),"")</f>
        <v>31</v>
      </c>
      <c r="AA93" s="110">
        <f ca="1">IFERROR(MIN(INDIRECT("J" &amp; $O93):INDIRECT("J" &amp; $P93)),"")</f>
        <v>7.8</v>
      </c>
      <c r="AB93" s="18">
        <f t="shared" ref="AB93:AB94" ca="1" si="184">Y93+0.3</f>
        <v>18.994117647058822</v>
      </c>
    </row>
    <row r="94" spans="1:28" x14ac:dyDescent="0.25">
      <c r="A94" s="10">
        <v>45321</v>
      </c>
      <c r="B94" s="11">
        <v>0.875</v>
      </c>
      <c r="C94" s="22">
        <v>45321.875</v>
      </c>
      <c r="D94" s="12">
        <v>65.099999999999994</v>
      </c>
      <c r="E94" s="12">
        <v>73.7</v>
      </c>
      <c r="F94" s="12">
        <v>48.8</v>
      </c>
      <c r="G94" s="12" t="s">
        <v>6</v>
      </c>
      <c r="H94" s="12">
        <v>17.3</v>
      </c>
      <c r="I94" s="12">
        <v>24.2</v>
      </c>
      <c r="J94" s="13">
        <v>12.1</v>
      </c>
      <c r="K94" s="26" t="s">
        <v>6</v>
      </c>
      <c r="L94" s="26">
        <v>218</v>
      </c>
      <c r="N94" s="35" t="s">
        <v>104</v>
      </c>
      <c r="O94" s="110">
        <f t="shared" ca="1" si="181"/>
        <v>630</v>
      </c>
      <c r="P94" s="110">
        <f t="shared" ca="1" si="182"/>
        <v>644</v>
      </c>
      <c r="Q94" s="19">
        <f t="shared" si="135"/>
        <v>45401</v>
      </c>
      <c r="R94" s="18">
        <f ca="1">IFERROR(AVERAGE(INDIRECT("D" &amp; $O94):INDIRECT("D" &amp; $P94)),"")</f>
        <v>72.02000000000001</v>
      </c>
      <c r="S94" s="110">
        <f ca="1">IFERROR(MAX(INDIRECT("E" &amp; $O94):INDIRECT("E" &amp; $P94)),"")</f>
        <v>89.8</v>
      </c>
      <c r="T94" s="110">
        <f ca="1">IFERROR(MIN(INDIRECT("F" &amp; $O94):INDIRECT("F" &amp; $P94)),"")</f>
        <v>48.7</v>
      </c>
      <c r="U94" s="18">
        <f t="shared" ca="1" si="183"/>
        <v>73.02000000000001</v>
      </c>
      <c r="V94" s="110"/>
      <c r="W94" s="110"/>
      <c r="X94" s="19">
        <f t="shared" si="136"/>
        <v>45401</v>
      </c>
      <c r="Y94" s="18">
        <f ca="1">IFERROR(AVERAGE(INDIRECT("H" &amp; $O94):INDIRECT("H" &amp; $P94)),"")</f>
        <v>20.053333333333338</v>
      </c>
      <c r="Z94" s="110">
        <f ca="1">IFERROR(MAX(INDIRECT("I" &amp; $O94):INDIRECT("I" &amp; $P94)),"")</f>
        <v>27.9</v>
      </c>
      <c r="AA94" s="110">
        <f ca="1">IFERROR(MIN(INDIRECT("J" &amp; $O94):INDIRECT("J" &amp; $P94)),"")</f>
        <v>13.2</v>
      </c>
      <c r="AB94" s="18">
        <f t="shared" ca="1" si="184"/>
        <v>20.353333333333339</v>
      </c>
    </row>
    <row r="95" spans="1:28" x14ac:dyDescent="0.25">
      <c r="A95" s="10">
        <v>45321</v>
      </c>
      <c r="B95" s="11">
        <v>0.91666666666666663</v>
      </c>
      <c r="C95" s="22">
        <v>45321.916666666664</v>
      </c>
      <c r="D95" s="12">
        <v>61.9</v>
      </c>
      <c r="E95" s="12">
        <v>65.900000000000006</v>
      </c>
      <c r="F95" s="12">
        <v>55.1</v>
      </c>
      <c r="G95" s="12" t="s">
        <v>6</v>
      </c>
      <c r="H95" s="12">
        <v>17</v>
      </c>
      <c r="I95" s="12">
        <v>28.5</v>
      </c>
      <c r="J95" s="13">
        <v>10</v>
      </c>
      <c r="K95" s="26" t="s">
        <v>6</v>
      </c>
      <c r="L95" s="26">
        <v>209</v>
      </c>
      <c r="N95" s="35" t="s">
        <v>105</v>
      </c>
      <c r="O95" s="111">
        <f t="shared" ref="O95" ca="1" si="185">MIN(ROW(INDIRECT(N95)))</f>
        <v>645</v>
      </c>
      <c r="P95" s="111">
        <f t="shared" ref="P95" ca="1" si="186">MIN(ROW(INDIRECT(N95))) + ROWS(INDIRECT(N95)) -1</f>
        <v>655</v>
      </c>
      <c r="Q95" s="19">
        <f t="shared" si="135"/>
        <v>45402</v>
      </c>
      <c r="R95" s="18">
        <f ca="1">IFERROR(AVERAGE(INDIRECT("D" &amp; $O95):INDIRECT("D" &amp; $P95)),"")</f>
        <v>66.545454545454547</v>
      </c>
      <c r="S95" s="111">
        <f ca="1">IFERROR(MAX(INDIRECT("E" &amp; $O95):INDIRECT("E" &amp; $P95)),"")</f>
        <v>80</v>
      </c>
      <c r="T95" s="111">
        <f ca="1">IFERROR(MIN(INDIRECT("F" &amp; $O95):INDIRECT("F" &amp; $P95)),"")</f>
        <v>53.2</v>
      </c>
      <c r="U95" s="18">
        <f t="shared" ref="U95" ca="1" si="187">R95+1</f>
        <v>67.545454545454547</v>
      </c>
      <c r="V95" s="111"/>
      <c r="W95" s="111"/>
      <c r="X95" s="19">
        <f t="shared" si="136"/>
        <v>45402</v>
      </c>
      <c r="Y95" s="18">
        <f ca="1">IFERROR(AVERAGE(INDIRECT("H" &amp; $O95):INDIRECT("H" &amp; $P95)),"")</f>
        <v>17.799999999999997</v>
      </c>
      <c r="Z95" s="111">
        <f ca="1">IFERROR(MAX(INDIRECT("I" &amp; $O95):INDIRECT("I" &amp; $P95)),"")</f>
        <v>24.6</v>
      </c>
      <c r="AA95" s="111">
        <f ca="1">IFERROR(MIN(INDIRECT("J" &amp; $O95):INDIRECT("J" &amp; $P95)),"")</f>
        <v>8.5</v>
      </c>
      <c r="AB95" s="18">
        <f t="shared" ref="AB95" ca="1" si="188">Y95+0.3</f>
        <v>18.099999999999998</v>
      </c>
    </row>
    <row r="96" spans="1:28" x14ac:dyDescent="0.25">
      <c r="A96" s="10">
        <v>45321</v>
      </c>
      <c r="B96" s="11">
        <v>0.95833333333333337</v>
      </c>
      <c r="C96" s="22">
        <v>45321.958333333336</v>
      </c>
      <c r="D96" s="12">
        <v>66.7</v>
      </c>
      <c r="E96" s="12">
        <v>76.5</v>
      </c>
      <c r="F96" s="12">
        <v>57.7</v>
      </c>
      <c r="G96" s="12" t="s">
        <v>6</v>
      </c>
      <c r="H96" s="12">
        <v>18.100000000000001</v>
      </c>
      <c r="I96" s="12">
        <v>32.700000000000003</v>
      </c>
      <c r="J96" s="13">
        <v>11.8</v>
      </c>
      <c r="K96" s="26" t="s">
        <v>6</v>
      </c>
      <c r="L96" s="26">
        <v>215</v>
      </c>
      <c r="N96" s="35" t="s">
        <v>106</v>
      </c>
      <c r="O96" s="112">
        <f t="shared" ref="O96" ca="1" si="189">MIN(ROW(INDIRECT(N96)))</f>
        <v>656</v>
      </c>
      <c r="P96" s="112">
        <f t="shared" ref="P96" ca="1" si="190">MIN(ROW(INDIRECT(N96))) + ROWS(INDIRECT(N96)) -1</f>
        <v>659</v>
      </c>
      <c r="Q96" s="19">
        <f t="shared" si="135"/>
        <v>45403</v>
      </c>
      <c r="R96" s="18">
        <f ca="1">IFERROR(AVERAGE(INDIRECT("D" &amp; $O96):INDIRECT("D" &amp; $P96)),"")</f>
        <v>66.099999999999994</v>
      </c>
      <c r="S96" s="112">
        <f ca="1">IFERROR(MAX(INDIRECT("E" &amp; $O96):INDIRECT("E" &amp; $P96)),"")</f>
        <v>74.8</v>
      </c>
      <c r="T96" s="112">
        <f ca="1">IFERROR(MIN(INDIRECT("F" &amp; $O96):INDIRECT("F" &amp; $P96)),"")</f>
        <v>50.1</v>
      </c>
      <c r="U96" s="18">
        <f t="shared" ref="U96" ca="1" si="191">R96+1</f>
        <v>67.099999999999994</v>
      </c>
      <c r="V96" s="112"/>
      <c r="W96" s="112"/>
      <c r="X96" s="19">
        <f t="shared" si="136"/>
        <v>45403</v>
      </c>
      <c r="Y96" s="18">
        <f ca="1">IFERROR(AVERAGE(INDIRECT("H" &amp; $O96):INDIRECT("H" &amp; $P96)),"")</f>
        <v>18</v>
      </c>
      <c r="Z96" s="112">
        <f ca="1">IFERROR(MAX(INDIRECT("I" &amp; $O96):INDIRECT("I" &amp; $P96)),"")</f>
        <v>27</v>
      </c>
      <c r="AA96" s="112">
        <f ca="1">IFERROR(MIN(INDIRECT("J" &amp; $O96):INDIRECT("J" &amp; $P96)),"")</f>
        <v>8.6</v>
      </c>
      <c r="AB96" s="18">
        <f t="shared" ref="AB96" ca="1" si="192">Y96+0.3</f>
        <v>18.3</v>
      </c>
    </row>
    <row r="97" spans="1:28" x14ac:dyDescent="0.25">
      <c r="A97" s="10">
        <v>45322</v>
      </c>
      <c r="B97" s="11">
        <v>0</v>
      </c>
      <c r="C97" s="22">
        <v>45322</v>
      </c>
      <c r="D97" s="12">
        <v>63.3</v>
      </c>
      <c r="E97" s="12">
        <v>72.3</v>
      </c>
      <c r="F97" s="12">
        <v>53.4</v>
      </c>
      <c r="G97" s="12" t="s">
        <v>6</v>
      </c>
      <c r="H97" s="12">
        <v>17.2</v>
      </c>
      <c r="I97" s="12">
        <v>27.2</v>
      </c>
      <c r="J97" s="13">
        <v>8.6</v>
      </c>
      <c r="K97" s="26" t="s">
        <v>6</v>
      </c>
      <c r="L97" s="26">
        <v>219</v>
      </c>
      <c r="N97" s="35" t="s">
        <v>107</v>
      </c>
      <c r="O97" s="113">
        <f t="shared" ref="O97:O98" ca="1" si="193">MIN(ROW(INDIRECT(N97)))</f>
        <v>660</v>
      </c>
      <c r="P97" s="113">
        <f t="shared" ref="P97:P98" ca="1" si="194">MIN(ROW(INDIRECT(N97))) + ROWS(INDIRECT(N97)) -1</f>
        <v>663</v>
      </c>
      <c r="Q97" s="19">
        <f t="shared" si="135"/>
        <v>45404</v>
      </c>
      <c r="R97" s="18">
        <f ca="1">IFERROR(AVERAGE(INDIRECT("D" &amp; $O97):INDIRECT("D" &amp; $P97)),"")</f>
        <v>66.25</v>
      </c>
      <c r="S97" s="113">
        <f ca="1">IFERROR(MAX(INDIRECT("E" &amp; $O97):INDIRECT("E" &amp; $P97)),"")</f>
        <v>74.5</v>
      </c>
      <c r="T97" s="113">
        <f ca="1">IFERROR(MIN(INDIRECT("F" &amp; $O97):INDIRECT("F" &amp; $P97)),"")</f>
        <v>57.4</v>
      </c>
      <c r="U97" s="18">
        <f t="shared" ref="U97:U98" ca="1" si="195">R97+1</f>
        <v>67.25</v>
      </c>
      <c r="V97" s="113"/>
      <c r="W97" s="113"/>
      <c r="X97" s="19">
        <f t="shared" si="136"/>
        <v>45404</v>
      </c>
      <c r="Y97" s="18">
        <f ca="1">IFERROR(AVERAGE(INDIRECT("H" &amp; $O97):INDIRECT("H" &amp; $P97)),"")</f>
        <v>16.600000000000001</v>
      </c>
      <c r="Z97" s="113">
        <f ca="1">IFERROR(MAX(INDIRECT("I" &amp; $O97):INDIRECT("I" &amp; $P97)),"")</f>
        <v>26.6</v>
      </c>
      <c r="AA97" s="113">
        <f ca="1">IFERROR(MIN(INDIRECT("J" &amp; $O97):INDIRECT("J" &amp; $P97)),"")</f>
        <v>13.5</v>
      </c>
      <c r="AB97" s="18">
        <f t="shared" ref="AB97:AB98" ca="1" si="196">Y97+0.3</f>
        <v>16.900000000000002</v>
      </c>
    </row>
    <row r="98" spans="1:28" x14ac:dyDescent="0.25">
      <c r="A98" s="10">
        <v>45322</v>
      </c>
      <c r="B98" s="11">
        <v>4.1666666666666664E-2</v>
      </c>
      <c r="C98" s="22">
        <v>45322.041666666664</v>
      </c>
      <c r="D98" s="12">
        <v>63.2</v>
      </c>
      <c r="E98" s="12">
        <v>75.099999999999994</v>
      </c>
      <c r="F98" s="12">
        <v>56.5</v>
      </c>
      <c r="G98" s="12" t="s">
        <v>6</v>
      </c>
      <c r="H98" s="12">
        <v>18.399999999999999</v>
      </c>
      <c r="I98" s="12">
        <v>24</v>
      </c>
      <c r="J98" s="13">
        <v>10.6</v>
      </c>
      <c r="K98" s="26" t="s">
        <v>6</v>
      </c>
      <c r="L98" s="26">
        <v>173</v>
      </c>
      <c r="N98" s="35" t="s">
        <v>108</v>
      </c>
      <c r="O98" s="113">
        <f t="shared" ca="1" si="193"/>
        <v>664</v>
      </c>
      <c r="P98" s="113">
        <f t="shared" ca="1" si="194"/>
        <v>666</v>
      </c>
      <c r="Q98" s="19">
        <f t="shared" si="135"/>
        <v>45405</v>
      </c>
      <c r="R98" s="18">
        <f ca="1">IFERROR(AVERAGE(INDIRECT("D" &amp; $O98):INDIRECT("D" &amp; $P98)),"")</f>
        <v>64.666666666666671</v>
      </c>
      <c r="S98" s="113">
        <f ca="1">IFERROR(MAX(INDIRECT("E" &amp; $O98):INDIRECT("E" &amp; $P98)),"")</f>
        <v>73.2</v>
      </c>
      <c r="T98" s="113">
        <f ca="1">IFERROR(MIN(INDIRECT("F" &amp; $O98):INDIRECT("F" &amp; $P98)),"")</f>
        <v>59.8</v>
      </c>
      <c r="U98" s="18">
        <f t="shared" ca="1" si="195"/>
        <v>65.666666666666671</v>
      </c>
      <c r="V98" s="113"/>
      <c r="W98" s="113"/>
      <c r="X98" s="19">
        <f t="shared" si="136"/>
        <v>45405</v>
      </c>
      <c r="Y98" s="18">
        <f ca="1">IFERROR(AVERAGE(INDIRECT("H" &amp; $O98):INDIRECT("H" &amp; $P98)),"")</f>
        <v>14.1</v>
      </c>
      <c r="Z98" s="113">
        <f ca="1">IFERROR(MAX(INDIRECT("I" &amp; $O98):INDIRECT("I" &amp; $P98)),"")</f>
        <v>16.899999999999999</v>
      </c>
      <c r="AA98" s="113">
        <f ca="1">IFERROR(MIN(INDIRECT("J" &amp; $O98):INDIRECT("J" &amp; $P98)),"")</f>
        <v>11.2</v>
      </c>
      <c r="AB98" s="18">
        <f t="shared" ca="1" si="196"/>
        <v>14.4</v>
      </c>
    </row>
    <row r="99" spans="1:28" x14ac:dyDescent="0.25">
      <c r="A99" s="10">
        <v>45322</v>
      </c>
      <c r="B99" s="11">
        <v>0.125</v>
      </c>
      <c r="C99" s="22">
        <v>45322.125</v>
      </c>
      <c r="D99" s="12">
        <v>61.4</v>
      </c>
      <c r="E99" s="12">
        <v>64.7</v>
      </c>
      <c r="F99" s="12">
        <v>53.4</v>
      </c>
      <c r="G99" s="12" t="s">
        <v>6</v>
      </c>
      <c r="H99" s="12">
        <v>22.3</v>
      </c>
      <c r="I99" s="12">
        <v>27.6</v>
      </c>
      <c r="J99" s="13">
        <v>11.7</v>
      </c>
      <c r="K99" s="26" t="s">
        <v>6</v>
      </c>
      <c r="L99" s="26">
        <v>44</v>
      </c>
      <c r="N99" s="35" t="s">
        <v>109</v>
      </c>
      <c r="O99" s="115">
        <f t="shared" ref="O99" ca="1" si="197">MIN(ROW(INDIRECT(N99)))</f>
        <v>667</v>
      </c>
      <c r="P99" s="115">
        <f t="shared" ref="P99" ca="1" si="198">MIN(ROW(INDIRECT(N99))) + ROWS(INDIRECT(N99)) -1</f>
        <v>681</v>
      </c>
      <c r="Q99" s="19">
        <f t="shared" si="135"/>
        <v>45406</v>
      </c>
      <c r="R99" s="18">
        <f ca="1">IFERROR(AVERAGE(INDIRECT("D" &amp; $O99):INDIRECT("D" &amp; $P99)),"")</f>
        <v>65.893333333333345</v>
      </c>
      <c r="S99" s="115">
        <f ca="1">IFERROR(MAX(INDIRECT("E" &amp; $O99):INDIRECT("E" &amp; $P99)),"")</f>
        <v>75.7</v>
      </c>
      <c r="T99" s="115">
        <f ca="1">IFERROR(MIN(INDIRECT("F" &amp; $O99):INDIRECT("F" &amp; $P99)),"")</f>
        <v>49.9</v>
      </c>
      <c r="U99" s="18">
        <f t="shared" ref="U99" ca="1" si="199">R99+1</f>
        <v>66.893333333333345</v>
      </c>
      <c r="V99" s="115"/>
      <c r="W99" s="115"/>
      <c r="X99" s="19">
        <f t="shared" si="136"/>
        <v>45406</v>
      </c>
      <c r="Y99" s="18">
        <f ca="1">IFERROR(AVERAGE(INDIRECT("H" &amp; $O99):INDIRECT("H" &amp; $P99)),"")</f>
        <v>16.473333333333333</v>
      </c>
      <c r="Z99" s="115">
        <f ca="1">IFERROR(MAX(INDIRECT("I" &amp; $O99):INDIRECT("I" &amp; $P99)),"")</f>
        <v>36.1</v>
      </c>
      <c r="AA99" s="115">
        <f ca="1">IFERROR(MIN(INDIRECT("J" &amp; $O99):INDIRECT("J" &amp; $P99)),"")</f>
        <v>8.1999999999999993</v>
      </c>
      <c r="AB99" s="18">
        <f t="shared" ref="AB99" ca="1" si="200">Y99+0.3</f>
        <v>16.773333333333333</v>
      </c>
    </row>
    <row r="100" spans="1:28" x14ac:dyDescent="0.25">
      <c r="A100" s="10">
        <v>45322</v>
      </c>
      <c r="B100" s="11">
        <v>0.16666666666666666</v>
      </c>
      <c r="C100" s="22">
        <v>45322.166666666664</v>
      </c>
      <c r="D100" s="12">
        <v>65.900000000000006</v>
      </c>
      <c r="E100" s="12">
        <v>71.7</v>
      </c>
      <c r="F100" s="12">
        <v>53.2</v>
      </c>
      <c r="G100" s="12" t="s">
        <v>6</v>
      </c>
      <c r="H100" s="12">
        <v>22.6</v>
      </c>
      <c r="I100" s="12">
        <v>29.6</v>
      </c>
      <c r="J100" s="13">
        <v>15.2</v>
      </c>
      <c r="K100" s="26" t="s">
        <v>6</v>
      </c>
      <c r="L100" s="26">
        <v>106</v>
      </c>
      <c r="N100" s="35" t="s">
        <v>110</v>
      </c>
      <c r="O100" s="116">
        <f t="shared" ref="O100" ca="1" si="201">MIN(ROW(INDIRECT(N100)))</f>
        <v>682</v>
      </c>
      <c r="P100" s="116">
        <f t="shared" ref="P100" ca="1" si="202">MIN(ROW(INDIRECT(N100))) + ROWS(INDIRECT(N100)) -1</f>
        <v>689</v>
      </c>
      <c r="Q100" s="19">
        <f t="shared" si="135"/>
        <v>45407</v>
      </c>
      <c r="R100" s="18">
        <f ca="1">IFERROR(AVERAGE(INDIRECT("D" &amp; $O100):INDIRECT("D" &amp; $P100)),"")</f>
        <v>64.037499999999994</v>
      </c>
      <c r="S100" s="116">
        <f ca="1">IFERROR(MAX(INDIRECT("E" &amp; $O100):INDIRECT("E" &amp; $P100)),"")</f>
        <v>72.7</v>
      </c>
      <c r="T100" s="116">
        <f ca="1">IFERROR(MIN(INDIRECT("F" &amp; $O100):INDIRECT("F" &amp; $P100)),"")</f>
        <v>50</v>
      </c>
      <c r="U100" s="18">
        <f t="shared" ref="U100" ca="1" si="203">R100+1</f>
        <v>65.037499999999994</v>
      </c>
      <c r="V100" s="116"/>
      <c r="W100" s="116"/>
      <c r="X100" s="19">
        <f t="shared" si="136"/>
        <v>45407</v>
      </c>
      <c r="Y100" s="18">
        <f ca="1">IFERROR(AVERAGE(INDIRECT("H" &amp; $O100):INDIRECT("H" &amp; $P100)),"")</f>
        <v>17.862500000000001</v>
      </c>
      <c r="Z100" s="116">
        <f ca="1">IFERROR(MAX(INDIRECT("I" &amp; $O100):INDIRECT("I" &amp; $P100)),"")</f>
        <v>28.9</v>
      </c>
      <c r="AA100" s="116">
        <f ca="1">IFERROR(MIN(INDIRECT("J" &amp; $O100):INDIRECT("J" &amp; $P100)),"")</f>
        <v>9.9</v>
      </c>
      <c r="AB100" s="18">
        <f t="shared" ref="AB100" ca="1" si="204">Y100+0.3</f>
        <v>18.162500000000001</v>
      </c>
    </row>
    <row r="101" spans="1:28" x14ac:dyDescent="0.25">
      <c r="A101" s="6">
        <v>45322</v>
      </c>
      <c r="B101" s="7">
        <v>0.45833333333333331</v>
      </c>
      <c r="C101" s="21">
        <v>45322.458333333336</v>
      </c>
      <c r="D101" s="8">
        <v>57.1</v>
      </c>
      <c r="E101" s="8">
        <v>65.900000000000006</v>
      </c>
      <c r="F101" s="8">
        <v>51.2</v>
      </c>
      <c r="G101" s="8" t="s">
        <v>6</v>
      </c>
      <c r="H101" s="8">
        <v>20.9</v>
      </c>
      <c r="I101" s="8">
        <v>28.9</v>
      </c>
      <c r="J101" s="8">
        <v>14</v>
      </c>
      <c r="K101" s="8" t="s">
        <v>6</v>
      </c>
      <c r="L101" s="9">
        <v>75</v>
      </c>
      <c r="M101" s="12"/>
      <c r="N101" s="12" t="s">
        <v>111</v>
      </c>
      <c r="O101" s="117">
        <f t="shared" ref="O101" ca="1" si="205">MIN(ROW(INDIRECT(N101)))</f>
        <v>690</v>
      </c>
      <c r="P101" s="117">
        <f t="shared" ref="P101" ca="1" si="206">MIN(ROW(INDIRECT(N101))) + ROWS(INDIRECT(N101)) -1</f>
        <v>692</v>
      </c>
      <c r="Q101" s="19">
        <f t="shared" si="135"/>
        <v>45408</v>
      </c>
      <c r="R101" s="18">
        <f ca="1">IFERROR(AVERAGE(INDIRECT("D" &amp; $O101):INDIRECT("D" &amp; $P101)),"")</f>
        <v>56.199999999999996</v>
      </c>
      <c r="S101" s="117">
        <f ca="1">IFERROR(MAX(INDIRECT("E" &amp; $O101):INDIRECT("E" &amp; $P101)),"")</f>
        <v>66.2</v>
      </c>
      <c r="T101" s="117">
        <f ca="1">IFERROR(MIN(INDIRECT("F" &amp; $O101):INDIRECT("F" &amp; $P101)),"")</f>
        <v>49.1</v>
      </c>
      <c r="U101" s="18">
        <f t="shared" ref="U101" ca="1" si="207">R101+1</f>
        <v>57.199999999999996</v>
      </c>
      <c r="V101" s="117"/>
      <c r="W101" s="117"/>
      <c r="X101" s="19">
        <f t="shared" si="136"/>
        <v>45408</v>
      </c>
      <c r="Y101" s="18">
        <f ca="1">IFERROR(AVERAGE(INDIRECT("H" &amp; $O101):INDIRECT("H" &amp; $P101)),"")</f>
        <v>19.8</v>
      </c>
      <c r="Z101" s="117">
        <f ca="1">IFERROR(MAX(INDIRECT("I" &amp; $O101):INDIRECT("I" &amp; $P101)),"")</f>
        <v>22.5</v>
      </c>
      <c r="AA101" s="117">
        <f ca="1">IFERROR(MIN(INDIRECT("J" &amp; $O101):INDIRECT("J" &amp; $P101)),"")</f>
        <v>13.3</v>
      </c>
      <c r="AB101" s="18">
        <f t="shared" ref="AB101" ca="1" si="208">Y101+0.3</f>
        <v>20.100000000000001</v>
      </c>
    </row>
    <row r="102" spans="1:28" x14ac:dyDescent="0.25">
      <c r="A102" s="10">
        <v>45322</v>
      </c>
      <c r="B102" s="11">
        <v>0.5</v>
      </c>
      <c r="C102" s="22">
        <v>45322.5</v>
      </c>
      <c r="D102" s="12">
        <v>61.3</v>
      </c>
      <c r="E102" s="12">
        <v>65.400000000000006</v>
      </c>
      <c r="F102" s="12">
        <v>59.6</v>
      </c>
      <c r="G102" s="12" t="s">
        <v>6</v>
      </c>
      <c r="H102" s="12">
        <v>21.3</v>
      </c>
      <c r="I102" s="12">
        <v>28.7</v>
      </c>
      <c r="J102" s="12">
        <v>12.5</v>
      </c>
      <c r="K102" s="12" t="s">
        <v>6</v>
      </c>
      <c r="L102" s="13">
        <v>34</v>
      </c>
      <c r="M102" s="12"/>
      <c r="N102" s="12"/>
      <c r="O102" s="117"/>
      <c r="P102" s="117"/>
      <c r="Q102" s="19">
        <f t="shared" si="135"/>
        <v>45409</v>
      </c>
      <c r="R102" s="18" t="str">
        <f ca="1">IFERROR(AVERAGE(INDIRECT("D" &amp; $O102):INDIRECT("D" &amp; $P102)),"")</f>
        <v/>
      </c>
      <c r="S102" s="117" t="str">
        <f ca="1">IFERROR(MAX(INDIRECT("E" &amp; $O102):INDIRECT("E" &amp; $P102)),"")</f>
        <v/>
      </c>
      <c r="T102" s="117" t="str">
        <f ca="1">IFERROR(MIN(INDIRECT("F" &amp; $O102):INDIRECT("F" &amp; $P102)),"")</f>
        <v/>
      </c>
      <c r="U102" s="18"/>
      <c r="V102" s="117"/>
      <c r="W102" s="117"/>
      <c r="X102" s="19">
        <f t="shared" si="136"/>
        <v>45409</v>
      </c>
      <c r="Y102" s="18" t="str">
        <f ca="1">IFERROR(AVERAGE(INDIRECT("H" &amp; $O102):INDIRECT("H" &amp; $P102)),"")</f>
        <v/>
      </c>
      <c r="Z102" s="117" t="str">
        <f ca="1">IFERROR(MAX(INDIRECT("I" &amp; $O102):INDIRECT("I" &amp; $P102)),"")</f>
        <v/>
      </c>
      <c r="AA102" s="117" t="str">
        <f ca="1">IFERROR(MIN(INDIRECT("J" &amp; $O102):INDIRECT("J" &amp; $P102)),"")</f>
        <v/>
      </c>
      <c r="AB102" s="18"/>
    </row>
    <row r="103" spans="1:28" x14ac:dyDescent="0.25">
      <c r="A103" s="10">
        <v>45322</v>
      </c>
      <c r="B103" s="11">
        <v>0.83333333333333337</v>
      </c>
      <c r="C103" s="22">
        <v>45322.833333333336</v>
      </c>
      <c r="D103" s="12">
        <v>65.099999999999994</v>
      </c>
      <c r="E103" s="12">
        <v>74.3</v>
      </c>
      <c r="F103" s="12">
        <v>55.7</v>
      </c>
      <c r="G103" s="12" t="s">
        <v>6</v>
      </c>
      <c r="H103" s="12">
        <v>20.2</v>
      </c>
      <c r="I103" s="12">
        <v>29.1</v>
      </c>
      <c r="J103" s="12">
        <v>9</v>
      </c>
      <c r="K103" s="12" t="s">
        <v>6</v>
      </c>
      <c r="L103" s="13">
        <v>157</v>
      </c>
      <c r="M103" s="12"/>
      <c r="N103" s="12" t="s">
        <v>112</v>
      </c>
      <c r="O103" s="117">
        <f t="shared" ref="O103" ca="1" si="209">MIN(ROW(INDIRECT(N103)))</f>
        <v>693</v>
      </c>
      <c r="P103" s="117">
        <f t="shared" ref="P103" ca="1" si="210">MIN(ROW(INDIRECT(N103))) + ROWS(INDIRECT(N103)) -1</f>
        <v>698</v>
      </c>
      <c r="Q103" s="19">
        <f t="shared" si="135"/>
        <v>45410</v>
      </c>
      <c r="R103" s="18">
        <f ca="1">IFERROR(AVERAGE(INDIRECT("D" &amp; $O103):INDIRECT("D" &amp; $P103)),"")</f>
        <v>64.816666666666649</v>
      </c>
      <c r="S103" s="117">
        <f ca="1">IFERROR(MAX(INDIRECT("E" &amp; $O103):INDIRECT("E" &amp; $P103)),"")</f>
        <v>75.599999999999994</v>
      </c>
      <c r="T103" s="117">
        <f ca="1">IFERROR(MIN(INDIRECT("F" &amp; $O103):INDIRECT("F" &amp; $P103)),"")</f>
        <v>48.4</v>
      </c>
      <c r="U103" s="18">
        <f t="shared" ref="U103" ca="1" si="211">R103+1</f>
        <v>65.816666666666649</v>
      </c>
      <c r="V103" s="117"/>
      <c r="W103" s="117"/>
      <c r="X103" s="19">
        <f t="shared" si="136"/>
        <v>45410</v>
      </c>
      <c r="Y103" s="18">
        <f ca="1">IFERROR(AVERAGE(INDIRECT("H" &amp; $O103):INDIRECT("H" &amp; $P103)),"")</f>
        <v>17.783333333333335</v>
      </c>
      <c r="Z103" s="117">
        <f ca="1">IFERROR(MAX(INDIRECT("I" &amp; $O103):INDIRECT("I" &amp; $P103)),"")</f>
        <v>26.5</v>
      </c>
      <c r="AA103" s="117">
        <f ca="1">IFERROR(MIN(INDIRECT("J" &amp; $O103):INDIRECT("J" &amp; $P103)),"")</f>
        <v>9.1</v>
      </c>
      <c r="AB103" s="18">
        <f t="shared" ref="AB103" ca="1" si="212">Y103+0.3</f>
        <v>18.083333333333336</v>
      </c>
    </row>
    <row r="104" spans="1:28" x14ac:dyDescent="0.25">
      <c r="A104" s="10">
        <v>45322</v>
      </c>
      <c r="B104" s="11">
        <v>0.875</v>
      </c>
      <c r="C104" s="22">
        <v>45322.875</v>
      </c>
      <c r="D104" s="12">
        <v>62.7</v>
      </c>
      <c r="E104" s="12">
        <v>70.599999999999994</v>
      </c>
      <c r="F104" s="12">
        <v>54.5</v>
      </c>
      <c r="G104" s="12" t="s">
        <v>6</v>
      </c>
      <c r="H104" s="12">
        <v>19.100000000000001</v>
      </c>
      <c r="I104" s="12">
        <v>25.4</v>
      </c>
      <c r="J104" s="12">
        <v>12.6</v>
      </c>
      <c r="K104" s="12" t="s">
        <v>6</v>
      </c>
      <c r="L104" s="13">
        <v>217</v>
      </c>
      <c r="M104" s="12"/>
      <c r="N104" s="12" t="s">
        <v>113</v>
      </c>
      <c r="O104" s="119">
        <f t="shared" ref="O104" ca="1" si="213">MIN(ROW(INDIRECT(N104)))</f>
        <v>699</v>
      </c>
      <c r="P104" s="119">
        <f t="shared" ref="P104" ca="1" si="214">MIN(ROW(INDIRECT(N104))) + ROWS(INDIRECT(N104)) -1</f>
        <v>699</v>
      </c>
      <c r="Q104" s="19">
        <f t="shared" si="135"/>
        <v>45411</v>
      </c>
      <c r="R104" s="18">
        <f ca="1">IFERROR(AVERAGE(INDIRECT("D" &amp; $O104):INDIRECT("D" &amp; $P104)),"")</f>
        <v>68.3</v>
      </c>
      <c r="S104" s="119">
        <f ca="1">IFERROR(MAX(INDIRECT("E" &amp; $O104):INDIRECT("E" &amp; $P104)),"")</f>
        <v>71.7</v>
      </c>
      <c r="T104" s="119">
        <f ca="1">IFERROR(MIN(INDIRECT("F" &amp; $O104):INDIRECT("F" &amp; $P104)),"")</f>
        <v>64.900000000000006</v>
      </c>
      <c r="U104" s="18">
        <f t="shared" ref="U104" ca="1" si="215">R104+1</f>
        <v>69.3</v>
      </c>
      <c r="V104" s="119"/>
      <c r="W104" s="119"/>
      <c r="X104" s="19">
        <f t="shared" si="136"/>
        <v>45411</v>
      </c>
      <c r="Y104" s="18">
        <f ca="1">IFERROR(AVERAGE(INDIRECT("H" &amp; $O104):INDIRECT("H" &amp; $P104)),"")</f>
        <v>8.5</v>
      </c>
      <c r="Z104" s="119">
        <f ca="1">IFERROR(MAX(INDIRECT("I" &amp; $O104):INDIRECT("I" &amp; $P104)),"")</f>
        <v>9.1999999999999993</v>
      </c>
      <c r="AA104" s="119">
        <f ca="1">IFERROR(MIN(INDIRECT("J" &amp; $O104):INDIRECT("J" &amp; $P104)),"")</f>
        <v>7.8</v>
      </c>
      <c r="AB104" s="18">
        <f t="shared" ref="AB104" ca="1" si="216">Y104+0.3</f>
        <v>8.8000000000000007</v>
      </c>
    </row>
    <row r="105" spans="1:28" x14ac:dyDescent="0.25">
      <c r="A105" s="10">
        <v>45322</v>
      </c>
      <c r="B105" s="11">
        <v>0.91666666666666663</v>
      </c>
      <c r="C105" s="22">
        <v>45322.916666666664</v>
      </c>
      <c r="D105" s="12">
        <v>65.3</v>
      </c>
      <c r="E105" s="12">
        <v>74.3</v>
      </c>
      <c r="F105" s="12">
        <v>56.8</v>
      </c>
      <c r="G105" s="12" t="s">
        <v>6</v>
      </c>
      <c r="H105" s="12">
        <v>16.5</v>
      </c>
      <c r="I105" s="12">
        <v>27.6</v>
      </c>
      <c r="J105" s="12">
        <v>9.6999999999999993</v>
      </c>
      <c r="K105" s="12" t="s">
        <v>6</v>
      </c>
      <c r="L105" s="13">
        <v>217</v>
      </c>
      <c r="M105" s="12"/>
      <c r="N105" s="12" t="s">
        <v>114</v>
      </c>
      <c r="O105" s="120">
        <f t="shared" ref="O105" ca="1" si="217">MIN(ROW(INDIRECT(N105)))</f>
        <v>700</v>
      </c>
      <c r="P105" s="120">
        <f t="shared" ref="P105" ca="1" si="218">MIN(ROW(INDIRECT(N105))) + ROWS(INDIRECT(N105)) -1</f>
        <v>701</v>
      </c>
      <c r="Q105" s="19">
        <f t="shared" si="135"/>
        <v>45412</v>
      </c>
      <c r="R105" s="18">
        <f ca="1">IFERROR(AVERAGE(INDIRECT("D" &amp; $O105):INDIRECT("D" &amp; $P105)),"")</f>
        <v>69.8</v>
      </c>
      <c r="S105" s="120">
        <f ca="1">IFERROR(MAX(INDIRECT("E" &amp; $O105):INDIRECT("E" &amp; $P105)),"")</f>
        <v>75.3</v>
      </c>
      <c r="T105" s="120">
        <f ca="1">IFERROR(MIN(INDIRECT("F" &amp; $O105):INDIRECT("F" &amp; $P105)),"")</f>
        <v>58.1</v>
      </c>
      <c r="U105" s="18">
        <f t="shared" ref="U105" ca="1" si="219">R105+1</f>
        <v>70.8</v>
      </c>
      <c r="V105" s="120"/>
      <c r="W105" s="120"/>
      <c r="X105" s="19">
        <f t="shared" si="136"/>
        <v>45412</v>
      </c>
      <c r="Y105" s="18">
        <f ca="1">IFERROR(AVERAGE(INDIRECT("H" &amp; $O105):INDIRECT("H" &amp; $P105)),"")</f>
        <v>14.95</v>
      </c>
      <c r="Z105" s="120">
        <f ca="1">IFERROR(MAX(INDIRECT("I" &amp; $O105):INDIRECT("I" &amp; $P105)),"")</f>
        <v>23.4</v>
      </c>
      <c r="AA105" s="120">
        <f ca="1">IFERROR(MIN(INDIRECT("J" &amp; $O105):INDIRECT("J" &amp; $P105)),"")</f>
        <v>9.9</v>
      </c>
      <c r="AB105" s="18">
        <f t="shared" ref="AB105" ca="1" si="220">Y105+0.3</f>
        <v>15.25</v>
      </c>
    </row>
    <row r="106" spans="1:28" x14ac:dyDescent="0.25">
      <c r="A106" s="10">
        <v>45322</v>
      </c>
      <c r="B106" s="11">
        <v>0.95833333333333337</v>
      </c>
      <c r="C106" s="22">
        <v>45322.958333333336</v>
      </c>
      <c r="D106" s="12">
        <v>64.7</v>
      </c>
      <c r="E106" s="12">
        <v>71.099999999999994</v>
      </c>
      <c r="F106" s="12">
        <v>58</v>
      </c>
      <c r="G106" s="12" t="s">
        <v>6</v>
      </c>
      <c r="H106" s="12">
        <v>18.5</v>
      </c>
      <c r="I106" s="12">
        <v>29.2</v>
      </c>
      <c r="J106" s="12">
        <v>10.199999999999999</v>
      </c>
      <c r="K106" s="12" t="s">
        <v>6</v>
      </c>
      <c r="L106" s="13">
        <v>155</v>
      </c>
      <c r="M106" s="12"/>
      <c r="N106" s="12" t="s">
        <v>115</v>
      </c>
      <c r="O106" s="121">
        <f t="shared" ref="O106" ca="1" si="221">MIN(ROW(INDIRECT(N106)))</f>
        <v>702</v>
      </c>
      <c r="P106" s="121">
        <f t="shared" ref="P106" ca="1" si="222">MIN(ROW(INDIRECT(N106))) + ROWS(INDIRECT(N106)) -1</f>
        <v>703</v>
      </c>
      <c r="Q106" s="19">
        <f t="shared" si="135"/>
        <v>45413</v>
      </c>
      <c r="R106" s="18">
        <f ca="1">IFERROR(AVERAGE(INDIRECT("D" &amp; $O106):INDIRECT("D" &amp; $P106)),"")</f>
        <v>68.599999999999994</v>
      </c>
      <c r="S106" s="121">
        <f ca="1">IFERROR(MAX(INDIRECT("E" &amp; $O106):INDIRECT("E" &amp; $P106)),"")</f>
        <v>73.099999999999994</v>
      </c>
      <c r="T106" s="121">
        <f ca="1">IFERROR(MIN(INDIRECT("F" &amp; $O106):INDIRECT("F" &amp; $P106)),"")</f>
        <v>64.099999999999994</v>
      </c>
      <c r="U106" s="18">
        <f t="shared" ref="U106" ca="1" si="223">R106+1</f>
        <v>69.599999999999994</v>
      </c>
      <c r="V106" s="121"/>
      <c r="W106" s="121"/>
      <c r="X106" s="19">
        <f t="shared" si="136"/>
        <v>45413</v>
      </c>
      <c r="Y106" s="18">
        <f ca="1">IFERROR(AVERAGE(INDIRECT("H" &amp; $O106):INDIRECT("H" &amp; $P106)),"")</f>
        <v>12.35</v>
      </c>
      <c r="Z106" s="121">
        <f ca="1">IFERROR(MAX(INDIRECT("I" &amp; $O106):INDIRECT("I" &amp; $P106)),"")</f>
        <v>13.2</v>
      </c>
      <c r="AA106" s="121">
        <f ca="1">IFERROR(MIN(INDIRECT("J" &amp; $O106):INDIRECT("J" &amp; $P106)),"")</f>
        <v>11.5</v>
      </c>
      <c r="AB106" s="18">
        <f t="shared" ref="AB106" ca="1" si="224">Y106+0.3</f>
        <v>12.65</v>
      </c>
    </row>
    <row r="107" spans="1:28" x14ac:dyDescent="0.25">
      <c r="A107" s="10">
        <v>45323</v>
      </c>
      <c r="B107" s="11">
        <v>4.1666666666666664E-2</v>
      </c>
      <c r="C107" s="22">
        <v>45323.041666666664</v>
      </c>
      <c r="D107" s="12">
        <v>62.6</v>
      </c>
      <c r="E107" s="12">
        <v>70.3</v>
      </c>
      <c r="F107" s="12">
        <v>57.5</v>
      </c>
      <c r="G107" s="12" t="s">
        <v>6</v>
      </c>
      <c r="H107" s="12">
        <v>18.899999999999999</v>
      </c>
      <c r="I107" s="12">
        <v>26.8</v>
      </c>
      <c r="J107" s="12">
        <v>12</v>
      </c>
      <c r="K107" s="12" t="s">
        <v>6</v>
      </c>
      <c r="L107" s="13">
        <v>81</v>
      </c>
      <c r="M107" s="12"/>
      <c r="N107" s="12" t="s">
        <v>116</v>
      </c>
      <c r="O107" s="122">
        <f t="shared" ref="O107" ca="1" si="225">MIN(ROW(INDIRECT(N107)))</f>
        <v>704</v>
      </c>
      <c r="P107" s="122">
        <f t="shared" ref="P107" ca="1" si="226">MIN(ROW(INDIRECT(N107))) + ROWS(INDIRECT(N107)) -1</f>
        <v>704</v>
      </c>
      <c r="Q107" s="19">
        <f t="shared" si="135"/>
        <v>45414</v>
      </c>
      <c r="R107" s="18">
        <f ca="1">IFERROR(AVERAGE(INDIRECT("D" &amp; $O107):INDIRECT("D" &amp; $P107)),"")</f>
        <v>66.8</v>
      </c>
      <c r="S107" s="122">
        <f ca="1">IFERROR(MAX(INDIRECT("E" &amp; $O107):INDIRECT("E" &amp; $P107)),"")</f>
        <v>66.8</v>
      </c>
      <c r="T107" s="122">
        <f ca="1">IFERROR(MIN(INDIRECT("F" &amp; $O107):INDIRECT("F" &amp; $P107)),"")</f>
        <v>66.8</v>
      </c>
      <c r="U107" s="18">
        <f t="shared" ref="U107" ca="1" si="227">R107+1</f>
        <v>67.8</v>
      </c>
      <c r="V107" s="122"/>
      <c r="W107" s="122"/>
      <c r="X107" s="19">
        <f t="shared" si="136"/>
        <v>45414</v>
      </c>
      <c r="Y107" s="18">
        <f ca="1">IFERROR(AVERAGE(INDIRECT("H" &amp; $O107):INDIRECT("H" &amp; $P107)),"")</f>
        <v>9.9</v>
      </c>
      <c r="Z107" s="122">
        <f ca="1">IFERROR(MAX(INDIRECT("I" &amp; $O107):INDIRECT("I" &amp; $P107)),"")</f>
        <v>9.9</v>
      </c>
      <c r="AA107" s="122">
        <f ca="1">IFERROR(MIN(INDIRECT("J" &amp; $O107):INDIRECT("J" &amp; $P107)),"")</f>
        <v>9.9</v>
      </c>
      <c r="AB107" s="18">
        <f t="shared" ref="AB107" ca="1" si="228">Y107+0.3</f>
        <v>10.200000000000001</v>
      </c>
    </row>
    <row r="108" spans="1:28" x14ac:dyDescent="0.25">
      <c r="A108" s="10">
        <v>45323</v>
      </c>
      <c r="B108" s="11">
        <v>8.3333333333333329E-2</v>
      </c>
      <c r="C108" s="22">
        <v>45323.083333333336</v>
      </c>
      <c r="D108" s="12">
        <v>62</v>
      </c>
      <c r="E108" s="12">
        <v>70.400000000000006</v>
      </c>
      <c r="F108" s="12">
        <v>56.4</v>
      </c>
      <c r="G108" s="12" t="s">
        <v>6</v>
      </c>
      <c r="H108" s="12">
        <v>16.2</v>
      </c>
      <c r="I108" s="12">
        <v>25.7</v>
      </c>
      <c r="J108" s="12">
        <v>9.4</v>
      </c>
      <c r="K108" s="12" t="s">
        <v>6</v>
      </c>
      <c r="L108" s="13">
        <v>218</v>
      </c>
      <c r="M108" s="12"/>
      <c r="N108" s="12" t="s">
        <v>117</v>
      </c>
      <c r="O108" s="123">
        <f t="shared" ref="O108:O109" ca="1" si="229">MIN(ROW(INDIRECT(N108)))</f>
        <v>705</v>
      </c>
      <c r="P108" s="123">
        <f t="shared" ref="P108:P109" ca="1" si="230">MIN(ROW(INDIRECT(N108))) + ROWS(INDIRECT(N108)) -1</f>
        <v>707</v>
      </c>
      <c r="Q108" s="19">
        <f t="shared" si="135"/>
        <v>45415</v>
      </c>
      <c r="R108" s="18">
        <f ca="1">IFERROR(AVERAGE(INDIRECT("D" &amp; $O108):INDIRECT("D" &amp; $P108)),"")</f>
        <v>69.3</v>
      </c>
      <c r="S108" s="123">
        <f ca="1">IFERROR(MAX(INDIRECT("E" &amp; $O108):INDIRECT("E" &amp; $P108)),"")</f>
        <v>75.400000000000006</v>
      </c>
      <c r="T108" s="123">
        <f ca="1">IFERROR(MIN(INDIRECT("F" &amp; $O108):INDIRECT("F" &amp; $P108)),"")</f>
        <v>61.7</v>
      </c>
      <c r="U108" s="18">
        <f t="shared" ref="U108:U109" ca="1" si="231">R108+1</f>
        <v>70.3</v>
      </c>
      <c r="V108" s="123"/>
      <c r="W108" s="123"/>
      <c r="X108" s="19">
        <f t="shared" si="136"/>
        <v>45415</v>
      </c>
      <c r="Y108" s="18">
        <f ca="1">IFERROR(AVERAGE(INDIRECT("H" &amp; $O108):INDIRECT("H" &amp; $P108)),"")</f>
        <v>10.5</v>
      </c>
      <c r="Z108" s="123">
        <f ca="1">IFERROR(MAX(INDIRECT("I" &amp; $O108):INDIRECT("I" &amp; $P108)),"")</f>
        <v>12.1</v>
      </c>
      <c r="AA108" s="123">
        <f ca="1">IFERROR(MIN(INDIRECT("J" &amp; $O108):INDIRECT("J" &amp; $P108)),"")</f>
        <v>8.8000000000000007</v>
      </c>
      <c r="AB108" s="18">
        <f t="shared" ref="AB108:AB109" ca="1" si="232">Y108+0.3</f>
        <v>10.8</v>
      </c>
    </row>
    <row r="109" spans="1:28" x14ac:dyDescent="0.25">
      <c r="A109" s="10">
        <v>45323</v>
      </c>
      <c r="B109" s="11">
        <v>0.125</v>
      </c>
      <c r="C109" s="22">
        <v>45323.125</v>
      </c>
      <c r="D109" s="12">
        <v>62.3</v>
      </c>
      <c r="E109" s="12">
        <v>67.3</v>
      </c>
      <c r="F109" s="12">
        <v>55</v>
      </c>
      <c r="G109" s="12" t="s">
        <v>6</v>
      </c>
      <c r="H109" s="12">
        <v>18.5</v>
      </c>
      <c r="I109" s="12">
        <v>31.2</v>
      </c>
      <c r="J109" s="12">
        <v>10.4</v>
      </c>
      <c r="K109" s="12" t="s">
        <v>6</v>
      </c>
      <c r="L109" s="13">
        <v>208</v>
      </c>
      <c r="M109" s="12"/>
      <c r="N109" s="12" t="s">
        <v>118</v>
      </c>
      <c r="O109" s="123">
        <f t="shared" ca="1" si="229"/>
        <v>708</v>
      </c>
      <c r="P109" s="123">
        <f t="shared" ca="1" si="230"/>
        <v>718</v>
      </c>
      <c r="Q109" s="19">
        <f t="shared" si="135"/>
        <v>45416</v>
      </c>
      <c r="R109" s="18">
        <f ca="1">IFERROR(AVERAGE(INDIRECT("D" &amp; $O109):INDIRECT("D" &amp; $P109)),"")</f>
        <v>62.900000000000006</v>
      </c>
      <c r="S109" s="123">
        <f ca="1">IFERROR(MAX(INDIRECT("E" &amp; $O109):INDIRECT("E" &amp; $P109)),"")</f>
        <v>74.3</v>
      </c>
      <c r="T109" s="123">
        <f ca="1">IFERROR(MIN(INDIRECT("F" &amp; $O109):INDIRECT("F" &amp; $P109)),"")</f>
        <v>49.2</v>
      </c>
      <c r="U109" s="18">
        <f t="shared" ca="1" si="231"/>
        <v>63.900000000000006</v>
      </c>
      <c r="V109" s="123"/>
      <c r="W109" s="123"/>
      <c r="X109" s="19">
        <f t="shared" si="136"/>
        <v>45416</v>
      </c>
      <c r="Y109" s="18">
        <f ca="1">IFERROR(AVERAGE(INDIRECT("H" &amp; $O109):INDIRECT("H" &amp; $P109)),"")</f>
        <v>18.118181818181817</v>
      </c>
      <c r="Z109" s="123">
        <f ca="1">IFERROR(MAX(INDIRECT("I" &amp; $O109):INDIRECT("I" &amp; $P109)),"")</f>
        <v>32.700000000000003</v>
      </c>
      <c r="AA109" s="123">
        <f ca="1">IFERROR(MIN(INDIRECT("J" &amp; $O109):INDIRECT("J" &amp; $P109)),"")</f>
        <v>8.4</v>
      </c>
      <c r="AB109" s="18">
        <f t="shared" ca="1" si="232"/>
        <v>18.418181818181818</v>
      </c>
    </row>
    <row r="110" spans="1:28" x14ac:dyDescent="0.25">
      <c r="A110" s="10">
        <v>45323</v>
      </c>
      <c r="B110" s="11">
        <v>0.16666666666666666</v>
      </c>
      <c r="C110" s="22">
        <v>45323.166666666664</v>
      </c>
      <c r="D110" s="12">
        <v>61.5</v>
      </c>
      <c r="E110" s="12">
        <v>66</v>
      </c>
      <c r="F110" s="12">
        <v>55.3</v>
      </c>
      <c r="G110" s="12" t="s">
        <v>6</v>
      </c>
      <c r="H110" s="12">
        <v>16.600000000000001</v>
      </c>
      <c r="I110" s="12">
        <v>36.4</v>
      </c>
      <c r="J110" s="12">
        <v>10</v>
      </c>
      <c r="K110" s="12" t="s">
        <v>6</v>
      </c>
      <c r="L110" s="13">
        <v>213</v>
      </c>
      <c r="M110" s="12"/>
      <c r="N110" s="12" t="s">
        <v>119</v>
      </c>
      <c r="O110" s="124">
        <f t="shared" ref="O110" ca="1" si="233">MIN(ROW(INDIRECT(N110)))</f>
        <v>719</v>
      </c>
      <c r="P110" s="124">
        <f t="shared" ref="P110" ca="1" si="234">MIN(ROW(INDIRECT(N110))) + ROWS(INDIRECT(N110)) -1</f>
        <v>721</v>
      </c>
      <c r="Q110" s="19">
        <f t="shared" si="135"/>
        <v>45417</v>
      </c>
      <c r="R110" s="18">
        <f ca="1">IFERROR(AVERAGE(INDIRECT("D" &amp; $O110):INDIRECT("D" &amp; $P110)),"")</f>
        <v>68.533333333333346</v>
      </c>
      <c r="S110" s="124">
        <f ca="1">IFERROR(MAX(INDIRECT("E" &amp; $O110):INDIRECT("E" &amp; $P110)),"")</f>
        <v>71</v>
      </c>
      <c r="T110" s="124">
        <f ca="1">IFERROR(MIN(INDIRECT("F" &amp; $O110):INDIRECT("F" &amp; $P110)),"")</f>
        <v>64.099999999999994</v>
      </c>
      <c r="U110" s="18">
        <f t="shared" ref="U110" ca="1" si="235">R110+1</f>
        <v>69.533333333333346</v>
      </c>
      <c r="V110" s="124"/>
      <c r="W110" s="124"/>
      <c r="X110" s="19">
        <f t="shared" si="136"/>
        <v>45417</v>
      </c>
      <c r="Y110" s="18">
        <f ca="1">IFERROR(AVERAGE(INDIRECT("H" &amp; $O110):INDIRECT("H" &amp; $P110)),"")</f>
        <v>9.5</v>
      </c>
      <c r="Z110" s="124">
        <f ca="1">IFERROR(MAX(INDIRECT("I" &amp; $O110):INDIRECT("I" &amp; $P110)),"")</f>
        <v>12</v>
      </c>
      <c r="AA110" s="124">
        <f ca="1">IFERROR(MIN(INDIRECT("J" &amp; $O110):INDIRECT("J" &amp; $P110)),"")</f>
        <v>7.7</v>
      </c>
      <c r="AB110" s="18">
        <f t="shared" ref="AB110" ca="1" si="236">Y110+0.3</f>
        <v>9.8000000000000007</v>
      </c>
    </row>
    <row r="111" spans="1:28" x14ac:dyDescent="0.25">
      <c r="A111" s="14">
        <v>45323</v>
      </c>
      <c r="B111" s="15">
        <v>0.20833333333333334</v>
      </c>
      <c r="C111" s="20">
        <v>45323.208333333336</v>
      </c>
      <c r="D111" s="16">
        <v>63.5</v>
      </c>
      <c r="E111" s="16">
        <v>66.7</v>
      </c>
      <c r="F111" s="16">
        <v>60.3</v>
      </c>
      <c r="G111" s="16" t="s">
        <v>6</v>
      </c>
      <c r="H111" s="16">
        <v>14.8</v>
      </c>
      <c r="I111" s="16">
        <v>18.100000000000001</v>
      </c>
      <c r="J111" s="16">
        <v>10.8</v>
      </c>
      <c r="K111" s="16" t="s">
        <v>6</v>
      </c>
      <c r="L111" s="17">
        <v>29</v>
      </c>
      <c r="M111" s="12"/>
      <c r="N111" s="12" t="s">
        <v>120</v>
      </c>
      <c r="O111" s="125">
        <f t="shared" ref="O111" ca="1" si="237">MIN(ROW(INDIRECT(N111)))</f>
        <v>722</v>
      </c>
      <c r="P111" s="125">
        <f t="shared" ref="P111" ca="1" si="238">MIN(ROW(INDIRECT(N111))) + ROWS(INDIRECT(N111)) -1</f>
        <v>725</v>
      </c>
      <c r="Q111" s="19">
        <f t="shared" si="135"/>
        <v>45418</v>
      </c>
      <c r="R111" s="18">
        <f ca="1">IFERROR(AVERAGE(INDIRECT("D" &amp; $O111):INDIRECT("D" &amp; $P111)),"")</f>
        <v>71.05</v>
      </c>
      <c r="S111" s="125">
        <f ca="1">IFERROR(MAX(INDIRECT("E" &amp; $O111):INDIRECT("E" &amp; $P111)),"")</f>
        <v>74.099999999999994</v>
      </c>
      <c r="T111" s="125">
        <f ca="1">IFERROR(MIN(INDIRECT("F" &amp; $O111):INDIRECT("F" &amp; $P111)),"")</f>
        <v>69.599999999999994</v>
      </c>
      <c r="U111" s="18">
        <f t="shared" ref="U111" ca="1" si="239">R111+1</f>
        <v>72.05</v>
      </c>
      <c r="V111" s="125"/>
      <c r="W111" s="125"/>
      <c r="X111" s="19">
        <f t="shared" si="136"/>
        <v>45418</v>
      </c>
      <c r="Y111" s="18">
        <f ca="1">IFERROR(AVERAGE(INDIRECT("H" &amp; $O111):INDIRECT("H" &amp; $P111)),"")</f>
        <v>11.175000000000001</v>
      </c>
      <c r="Z111" s="125">
        <f ca="1">IFERROR(MAX(INDIRECT("I" &amp; $O111):INDIRECT("I" &amp; $P111)),"")</f>
        <v>19.899999999999999</v>
      </c>
      <c r="AA111" s="125">
        <f ca="1">IFERROR(MIN(INDIRECT("J" &amp; $O111):INDIRECT("J" &amp; $P111)),"")</f>
        <v>7.8</v>
      </c>
      <c r="AB111" s="18">
        <f t="shared" ref="AB111" ca="1" si="240">Y111+0.3</f>
        <v>11.475000000000001</v>
      </c>
    </row>
    <row r="112" spans="1:28" x14ac:dyDescent="0.25">
      <c r="A112" s="6">
        <v>45323</v>
      </c>
      <c r="B112" s="7">
        <v>0.70833333333333337</v>
      </c>
      <c r="C112" s="21">
        <v>45323.708333333336</v>
      </c>
      <c r="D112" s="8">
        <v>59.4</v>
      </c>
      <c r="E112" s="8">
        <v>64.3</v>
      </c>
      <c r="F112" s="8">
        <v>50.1</v>
      </c>
      <c r="G112" s="8" t="s">
        <v>6</v>
      </c>
      <c r="H112" s="8">
        <v>19.2</v>
      </c>
      <c r="I112" s="8">
        <v>27.3</v>
      </c>
      <c r="J112" s="8">
        <v>9.1</v>
      </c>
      <c r="K112" s="8" t="s">
        <v>6</v>
      </c>
      <c r="L112" s="9">
        <v>61</v>
      </c>
      <c r="M112" s="12"/>
      <c r="N112" s="12" t="s">
        <v>121</v>
      </c>
      <c r="O112" s="126">
        <f t="shared" ref="O112" ca="1" si="241">MIN(ROW(INDIRECT(N112)))</f>
        <v>726</v>
      </c>
      <c r="P112" s="126">
        <f t="shared" ref="P112" ca="1" si="242">MIN(ROW(INDIRECT(N112))) + ROWS(INDIRECT(N112)) -1</f>
        <v>726</v>
      </c>
      <c r="Q112" s="19">
        <f t="shared" si="135"/>
        <v>45419</v>
      </c>
      <c r="R112" s="18">
        <f ca="1">IFERROR(AVERAGE(INDIRECT("D" &amp; $O112):INDIRECT("D" &amp; $P112)),"")</f>
        <v>74.099999999999994</v>
      </c>
      <c r="S112" s="126">
        <f ca="1">IFERROR(MAX(INDIRECT("E" &amp; $O112):INDIRECT("E" &amp; $P112)),"")</f>
        <v>74.7</v>
      </c>
      <c r="T112" s="126">
        <f ca="1">IFERROR(MIN(INDIRECT("F" &amp; $O112):INDIRECT("F" &amp; $P112)),"")</f>
        <v>73.400000000000006</v>
      </c>
      <c r="U112" s="18">
        <f t="shared" ref="U112" ca="1" si="243">R112+1</f>
        <v>75.099999999999994</v>
      </c>
      <c r="V112" s="126"/>
      <c r="W112" s="126"/>
      <c r="X112" s="19">
        <f t="shared" si="136"/>
        <v>45419</v>
      </c>
      <c r="Y112" s="18">
        <f ca="1">IFERROR(AVERAGE(INDIRECT("H" &amp; $O112):INDIRECT("H" &amp; $P112)),"")</f>
        <v>7.9</v>
      </c>
      <c r="Z112" s="126">
        <f ca="1">IFERROR(MAX(INDIRECT("I" &amp; $O112):INDIRECT("I" &amp; $P112)),"")</f>
        <v>8.1999999999999993</v>
      </c>
      <c r="AA112" s="126">
        <f ca="1">IFERROR(MIN(INDIRECT("J" &amp; $O112):INDIRECT("J" &amp; $P112)),"")</f>
        <v>7.7</v>
      </c>
      <c r="AB112" s="18">
        <f t="shared" ref="AB112" ca="1" si="244">Y112+0.3</f>
        <v>8.2000000000000011</v>
      </c>
    </row>
    <row r="113" spans="1:28" x14ac:dyDescent="0.25">
      <c r="A113" s="10">
        <v>45323</v>
      </c>
      <c r="B113" s="11">
        <v>0.75</v>
      </c>
      <c r="C113" s="22">
        <v>45323.75</v>
      </c>
      <c r="D113" s="12">
        <v>59.3</v>
      </c>
      <c r="E113" s="12">
        <v>69.8</v>
      </c>
      <c r="F113" s="12">
        <v>49.1</v>
      </c>
      <c r="G113" s="12" t="s">
        <v>6</v>
      </c>
      <c r="H113" s="12">
        <v>23</v>
      </c>
      <c r="I113" s="12">
        <v>31.4</v>
      </c>
      <c r="J113" s="12">
        <v>13.9</v>
      </c>
      <c r="K113" s="12" t="s">
        <v>6</v>
      </c>
      <c r="L113" s="13">
        <v>93</v>
      </c>
      <c r="M113" s="12"/>
      <c r="N113" s="12" t="s">
        <v>122</v>
      </c>
      <c r="O113" s="127">
        <f t="shared" ref="O113" ca="1" si="245">MIN(ROW(INDIRECT(N113)))</f>
        <v>727</v>
      </c>
      <c r="P113" s="127">
        <f t="shared" ref="P113" ca="1" si="246">MIN(ROW(INDIRECT(N113))) + ROWS(INDIRECT(N113)) -1</f>
        <v>730</v>
      </c>
      <c r="Q113" s="19">
        <f t="shared" si="135"/>
        <v>45420</v>
      </c>
      <c r="R113" s="18">
        <f ca="1">IFERROR(AVERAGE(INDIRECT("D" &amp; $O113):INDIRECT("D" &amp; $P113)),"")</f>
        <v>66.875</v>
      </c>
      <c r="S113" s="127">
        <f ca="1">IFERROR(MAX(INDIRECT("E" &amp; $O113):INDIRECT("E" &amp; $P113)),"")</f>
        <v>72</v>
      </c>
      <c r="T113" s="127">
        <f ca="1">IFERROR(MIN(INDIRECT("F" &amp; $O113):INDIRECT("F" &amp; $P113)),"")</f>
        <v>62.9</v>
      </c>
      <c r="U113" s="18">
        <f t="shared" ref="U113" ca="1" si="247">R113+1</f>
        <v>67.875</v>
      </c>
      <c r="V113" s="127"/>
      <c r="W113" s="127"/>
      <c r="X113" s="19">
        <f t="shared" si="136"/>
        <v>45420</v>
      </c>
      <c r="Y113" s="18">
        <f ca="1">IFERROR(AVERAGE(INDIRECT("H" &amp; $O113):INDIRECT("H" &amp; $P113)),"")</f>
        <v>15.45</v>
      </c>
      <c r="Z113" s="127">
        <f ca="1">IFERROR(MAX(INDIRECT("I" &amp; $O113):INDIRECT("I" &amp; $P113)),"")</f>
        <v>20.2</v>
      </c>
      <c r="AA113" s="127">
        <f ca="1">IFERROR(MIN(INDIRECT("J" &amp; $O113):INDIRECT("J" &amp; $P113)),"")</f>
        <v>13.2</v>
      </c>
      <c r="AB113" s="18">
        <f t="shared" ref="AB113" ca="1" si="248">Y113+0.3</f>
        <v>15.75</v>
      </c>
    </row>
    <row r="114" spans="1:28" x14ac:dyDescent="0.25">
      <c r="A114" s="10">
        <v>45323</v>
      </c>
      <c r="B114" s="11">
        <v>0.83333333333333337</v>
      </c>
      <c r="C114" s="22">
        <v>45323.833333333336</v>
      </c>
      <c r="D114" s="12">
        <v>72.5</v>
      </c>
      <c r="E114" s="12">
        <v>76.3</v>
      </c>
      <c r="F114" s="12">
        <v>65.599999999999994</v>
      </c>
      <c r="G114" s="12" t="s">
        <v>6</v>
      </c>
      <c r="H114" s="12">
        <v>21.7</v>
      </c>
      <c r="I114" s="12">
        <v>30.4</v>
      </c>
      <c r="J114" s="12">
        <v>6.5</v>
      </c>
      <c r="K114" s="12" t="s">
        <v>6</v>
      </c>
      <c r="L114" s="13">
        <v>42</v>
      </c>
      <c r="M114" s="12"/>
      <c r="N114" s="12" t="s">
        <v>123</v>
      </c>
      <c r="O114" s="128">
        <f t="shared" ref="O114" ca="1" si="249">MIN(ROW(INDIRECT(N114)))</f>
        <v>731</v>
      </c>
      <c r="P114" s="128">
        <f t="shared" ref="P114" ca="1" si="250">MIN(ROW(INDIRECT(N114))) + ROWS(INDIRECT(N114)) -1</f>
        <v>732</v>
      </c>
      <c r="Q114" s="19">
        <f t="shared" si="135"/>
        <v>45421</v>
      </c>
      <c r="R114" s="18">
        <f ca="1">IFERROR(AVERAGE(INDIRECT("D" &amp; $O114):INDIRECT("D" &amp; $P114)),"")</f>
        <v>72.050000000000011</v>
      </c>
      <c r="S114" s="128">
        <f ca="1">IFERROR(MAX(INDIRECT("E" &amp; $O114):INDIRECT("E" &amp; $P114)),"")</f>
        <v>75</v>
      </c>
      <c r="T114" s="128">
        <f ca="1">IFERROR(MIN(INDIRECT("F" &amp; $O114):INDIRECT("F" &amp; $P114)),"")</f>
        <v>67</v>
      </c>
      <c r="U114" s="18">
        <f t="shared" ref="U114" ca="1" si="251">R114+1</f>
        <v>73.050000000000011</v>
      </c>
      <c r="V114" s="128"/>
      <c r="W114" s="128"/>
      <c r="X114" s="19">
        <f t="shared" si="136"/>
        <v>45421</v>
      </c>
      <c r="Y114" s="18">
        <f ca="1">IFERROR(AVERAGE(INDIRECT("H" &amp; $O114):INDIRECT("H" &amp; $P114)),"")</f>
        <v>20.45</v>
      </c>
      <c r="Z114" s="128">
        <f ca="1">IFERROR(MAX(INDIRECT("I" &amp; $O114):INDIRECT("I" &amp; $P114)),"")</f>
        <v>28.2</v>
      </c>
      <c r="AA114" s="128">
        <f ca="1">IFERROR(MIN(INDIRECT("J" &amp; $O114):INDIRECT("J" &amp; $P114)),"")</f>
        <v>12.1</v>
      </c>
      <c r="AB114" s="18">
        <f t="shared" ref="AB114" ca="1" si="252">Y114+0.3</f>
        <v>20.75</v>
      </c>
    </row>
    <row r="115" spans="1:28" x14ac:dyDescent="0.25">
      <c r="A115" s="10">
        <v>45323</v>
      </c>
      <c r="B115" s="11">
        <v>0.875</v>
      </c>
      <c r="C115" s="22">
        <v>45323.875</v>
      </c>
      <c r="D115" s="12">
        <v>66.400000000000006</v>
      </c>
      <c r="E115" s="12">
        <v>76.900000000000006</v>
      </c>
      <c r="F115" s="12">
        <v>51.4</v>
      </c>
      <c r="G115" s="12" t="s">
        <v>6</v>
      </c>
      <c r="H115" s="12">
        <v>20.100000000000001</v>
      </c>
      <c r="I115" s="12">
        <v>29.3</v>
      </c>
      <c r="J115" s="12">
        <v>13.9</v>
      </c>
      <c r="K115" s="12" t="s">
        <v>6</v>
      </c>
      <c r="L115" s="13">
        <v>214</v>
      </c>
      <c r="M115" s="12"/>
      <c r="N115" s="12"/>
      <c r="O115" s="129"/>
      <c r="P115" s="129"/>
      <c r="Q115" s="19">
        <f t="shared" si="135"/>
        <v>45422</v>
      </c>
      <c r="R115" s="18" t="str">
        <f ca="1">IFERROR(AVERAGE(INDIRECT("D" &amp; $O115):INDIRECT("D" &amp; $P115)),"")</f>
        <v/>
      </c>
      <c r="S115" s="129" t="str">
        <f ca="1">IFERROR(MAX(INDIRECT("E" &amp; $O115):INDIRECT("E" &amp; $P115)),"")</f>
        <v/>
      </c>
      <c r="T115" s="129" t="str">
        <f ca="1">IFERROR(MIN(INDIRECT("F" &amp; $O115):INDIRECT("F" &amp; $P115)),"")</f>
        <v/>
      </c>
      <c r="U115" s="18"/>
      <c r="V115" s="129"/>
      <c r="W115" s="129"/>
      <c r="X115" s="19">
        <f t="shared" si="136"/>
        <v>45422</v>
      </c>
      <c r="Y115" s="18" t="str">
        <f ca="1">IFERROR(AVERAGE(INDIRECT("H" &amp; $O115):INDIRECT("H" &amp; $P115)),"")</f>
        <v/>
      </c>
      <c r="Z115" s="129" t="str">
        <f ca="1">IFERROR(MAX(INDIRECT("I" &amp; $O115):INDIRECT("I" &amp; $P115)),"")</f>
        <v/>
      </c>
      <c r="AA115" s="129" t="str">
        <f ca="1">IFERROR(MIN(INDIRECT("J" &amp; $O115):INDIRECT("J" &amp; $P115)),"")</f>
        <v/>
      </c>
      <c r="AB115" s="18"/>
    </row>
    <row r="116" spans="1:28" x14ac:dyDescent="0.25">
      <c r="A116" s="10">
        <v>45323</v>
      </c>
      <c r="B116" s="11">
        <v>0.91666666666666663</v>
      </c>
      <c r="C116" s="22">
        <v>45323.916666666664</v>
      </c>
      <c r="D116" s="12">
        <v>69.2</v>
      </c>
      <c r="E116" s="12">
        <v>76</v>
      </c>
      <c r="F116" s="12">
        <v>58.9</v>
      </c>
      <c r="G116" s="12" t="s">
        <v>6</v>
      </c>
      <c r="H116" s="12">
        <v>17</v>
      </c>
      <c r="I116" s="12">
        <v>21.8</v>
      </c>
      <c r="J116" s="12">
        <v>11.8</v>
      </c>
      <c r="K116" s="12" t="s">
        <v>6</v>
      </c>
      <c r="L116" s="13">
        <v>220</v>
      </c>
      <c r="M116" s="12"/>
      <c r="N116" s="12"/>
      <c r="O116" s="129"/>
      <c r="P116" s="129"/>
      <c r="Q116" s="19">
        <f t="shared" si="135"/>
        <v>45423</v>
      </c>
      <c r="R116" s="18" t="str">
        <f ca="1">IFERROR(AVERAGE(INDIRECT("D" &amp; $O116):INDIRECT("D" &amp; $P116)),"")</f>
        <v/>
      </c>
      <c r="S116" s="129" t="str">
        <f ca="1">IFERROR(MAX(INDIRECT("E" &amp; $O116):INDIRECT("E" &amp; $P116)),"")</f>
        <v/>
      </c>
      <c r="T116" s="129" t="str">
        <f ca="1">IFERROR(MIN(INDIRECT("F" &amp; $O116):INDIRECT("F" &amp; $P116)),"")</f>
        <v/>
      </c>
      <c r="U116" s="18"/>
      <c r="V116" s="129"/>
      <c r="W116" s="129"/>
      <c r="X116" s="19">
        <f t="shared" si="136"/>
        <v>45423</v>
      </c>
      <c r="Y116" s="18" t="str">
        <f ca="1">IFERROR(AVERAGE(INDIRECT("H" &amp; $O116):INDIRECT("H" &amp; $P116)),"")</f>
        <v/>
      </c>
      <c r="Z116" s="129" t="str">
        <f ca="1">IFERROR(MAX(INDIRECT("I" &amp; $O116):INDIRECT("I" &amp; $P116)),"")</f>
        <v/>
      </c>
      <c r="AA116" s="129" t="str">
        <f ca="1">IFERROR(MIN(INDIRECT("J" &amp; $O116):INDIRECT("J" &amp; $P116)),"")</f>
        <v/>
      </c>
      <c r="AB116" s="18"/>
    </row>
    <row r="117" spans="1:28" x14ac:dyDescent="0.25">
      <c r="A117" s="10">
        <v>45323</v>
      </c>
      <c r="B117" s="11">
        <v>0.95833333333333337</v>
      </c>
      <c r="C117" s="22">
        <v>45323.958333333336</v>
      </c>
      <c r="D117" s="12">
        <v>66.2</v>
      </c>
      <c r="E117" s="12">
        <v>73.2</v>
      </c>
      <c r="F117" s="12">
        <v>58.8</v>
      </c>
      <c r="G117" s="12" t="s">
        <v>6</v>
      </c>
      <c r="H117" s="12">
        <v>16.2</v>
      </c>
      <c r="I117" s="12">
        <v>24.5</v>
      </c>
      <c r="J117" s="12">
        <v>8.4</v>
      </c>
      <c r="K117" s="12" t="s">
        <v>6</v>
      </c>
      <c r="L117" s="13">
        <v>223</v>
      </c>
      <c r="M117" s="12"/>
      <c r="N117" s="12"/>
      <c r="O117" s="129"/>
      <c r="P117" s="129"/>
      <c r="Q117" s="19">
        <f t="shared" si="135"/>
        <v>45424</v>
      </c>
      <c r="R117" s="18" t="str">
        <f ca="1">IFERROR(AVERAGE(INDIRECT("D" &amp; $O117):INDIRECT("D" &amp; $P117)),"")</f>
        <v/>
      </c>
      <c r="S117" s="129" t="str">
        <f ca="1">IFERROR(MAX(INDIRECT("E" &amp; $O117):INDIRECT("E" &amp; $P117)),"")</f>
        <v/>
      </c>
      <c r="T117" s="129" t="str">
        <f ca="1">IFERROR(MIN(INDIRECT("F" &amp; $O117):INDIRECT("F" &amp; $P117)),"")</f>
        <v/>
      </c>
      <c r="U117" s="18"/>
      <c r="V117" s="129"/>
      <c r="W117" s="129"/>
      <c r="X117" s="19">
        <f t="shared" si="136"/>
        <v>45424</v>
      </c>
      <c r="Y117" s="18" t="str">
        <f ca="1">IFERROR(AVERAGE(INDIRECT("H" &amp; $O117):INDIRECT("H" &amp; $P117)),"")</f>
        <v/>
      </c>
      <c r="Z117" s="129" t="str">
        <f ca="1">IFERROR(MAX(INDIRECT("I" &amp; $O117):INDIRECT("I" &amp; $P117)),"")</f>
        <v/>
      </c>
      <c r="AA117" s="129" t="str">
        <f ca="1">IFERROR(MIN(INDIRECT("J" &amp; $O117):INDIRECT("J" &amp; $P117)),"")</f>
        <v/>
      </c>
      <c r="AB117" s="18"/>
    </row>
    <row r="118" spans="1:28" x14ac:dyDescent="0.25">
      <c r="A118" s="10">
        <v>45324</v>
      </c>
      <c r="B118" s="11">
        <v>0</v>
      </c>
      <c r="C118" s="22">
        <v>45324</v>
      </c>
      <c r="D118" s="12">
        <v>70.2</v>
      </c>
      <c r="E118" s="12">
        <v>76</v>
      </c>
      <c r="F118" s="12">
        <v>60.7</v>
      </c>
      <c r="G118" s="12" t="s">
        <v>6</v>
      </c>
      <c r="H118" s="12">
        <v>18.600000000000001</v>
      </c>
      <c r="I118" s="12">
        <v>28.3</v>
      </c>
      <c r="J118" s="12">
        <v>11.8</v>
      </c>
      <c r="K118" s="12" t="s">
        <v>6</v>
      </c>
      <c r="L118" s="13">
        <v>203</v>
      </c>
      <c r="M118" s="12"/>
      <c r="N118" s="12" t="s">
        <v>124</v>
      </c>
      <c r="O118" s="129">
        <f t="shared" ref="O118" ca="1" si="253">MIN(ROW(INDIRECT(N118)))</f>
        <v>733</v>
      </c>
      <c r="P118" s="129">
        <f t="shared" ref="P118" ca="1" si="254">MIN(ROW(INDIRECT(N118))) + ROWS(INDIRECT(N118)) -1</f>
        <v>733</v>
      </c>
      <c r="Q118" s="19">
        <f t="shared" si="135"/>
        <v>45425</v>
      </c>
      <c r="R118" s="18">
        <f ca="1">IFERROR(AVERAGE(INDIRECT("D" &amp; $O118):INDIRECT("D" &amp; $P118)),"")</f>
        <v>59.5</v>
      </c>
      <c r="S118" s="129">
        <f ca="1">IFERROR(MAX(INDIRECT("E" &amp; $O118):INDIRECT("E" &amp; $P118)),"")</f>
        <v>60.2</v>
      </c>
      <c r="T118" s="129">
        <f ca="1">IFERROR(MIN(INDIRECT("F" &amp; $O118):INDIRECT("F" &amp; $P118)),"")</f>
        <v>58.9</v>
      </c>
      <c r="U118" s="18">
        <f t="shared" ref="U118" ca="1" si="255">R118+1</f>
        <v>60.5</v>
      </c>
      <c r="V118" s="129"/>
      <c r="W118" s="129"/>
      <c r="X118" s="19">
        <f t="shared" si="136"/>
        <v>45425</v>
      </c>
      <c r="Y118" s="18">
        <f ca="1">IFERROR(AVERAGE(INDIRECT("H" &amp; $O118):INDIRECT("H" &amp; $P118)),"")</f>
        <v>8.8000000000000007</v>
      </c>
      <c r="Z118" s="129">
        <f ca="1">IFERROR(MAX(INDIRECT("I" &amp; $O118):INDIRECT("I" &amp; $P118)),"")</f>
        <v>8.8000000000000007</v>
      </c>
      <c r="AA118" s="129">
        <f ca="1">IFERROR(MIN(INDIRECT("J" &amp; $O118):INDIRECT("J" &amp; $P118)),"")</f>
        <v>8.8000000000000007</v>
      </c>
      <c r="AB118" s="18">
        <f t="shared" ref="AB118" ca="1" si="256">Y118+0.3</f>
        <v>9.1000000000000014</v>
      </c>
    </row>
    <row r="119" spans="1:28" x14ac:dyDescent="0.25">
      <c r="A119" s="10">
        <v>45324</v>
      </c>
      <c r="B119" s="11">
        <v>4.1666666666666664E-2</v>
      </c>
      <c r="C119" s="22">
        <v>45324.041666666664</v>
      </c>
      <c r="D119" s="12">
        <v>68.400000000000006</v>
      </c>
      <c r="E119" s="12">
        <v>77.2</v>
      </c>
      <c r="F119" s="12">
        <v>56.5</v>
      </c>
      <c r="G119" s="12" t="s">
        <v>6</v>
      </c>
      <c r="H119" s="12">
        <v>16.8</v>
      </c>
      <c r="I119" s="12">
        <v>22.9</v>
      </c>
      <c r="J119" s="12">
        <v>7.9</v>
      </c>
      <c r="K119" s="12" t="s">
        <v>6</v>
      </c>
      <c r="L119" s="13">
        <v>205</v>
      </c>
      <c r="M119" s="12"/>
      <c r="N119" s="12"/>
      <c r="O119" s="130"/>
      <c r="P119" s="130"/>
      <c r="Q119" s="19">
        <f t="shared" si="135"/>
        <v>45426</v>
      </c>
      <c r="R119" s="18"/>
      <c r="S119" s="130"/>
      <c r="T119" s="130"/>
      <c r="U119" s="18"/>
      <c r="V119" s="130"/>
      <c r="W119" s="130"/>
      <c r="X119" s="19">
        <f t="shared" si="136"/>
        <v>45426</v>
      </c>
      <c r="Y119" s="18"/>
      <c r="Z119" s="130"/>
      <c r="AA119" s="130"/>
      <c r="AB119" s="18"/>
    </row>
    <row r="120" spans="1:28" x14ac:dyDescent="0.25">
      <c r="A120" s="10">
        <v>45324</v>
      </c>
      <c r="B120" s="11">
        <v>8.3333333333333329E-2</v>
      </c>
      <c r="C120" s="22">
        <v>45324.083333333336</v>
      </c>
      <c r="D120" s="12">
        <v>66.3</v>
      </c>
      <c r="E120" s="12">
        <v>70.099999999999994</v>
      </c>
      <c r="F120" s="12">
        <v>61.5</v>
      </c>
      <c r="G120" s="12" t="s">
        <v>6</v>
      </c>
      <c r="H120" s="12">
        <v>17.399999999999999</v>
      </c>
      <c r="I120" s="12">
        <v>24.3</v>
      </c>
      <c r="J120" s="12">
        <v>11.6</v>
      </c>
      <c r="K120" s="12" t="s">
        <v>6</v>
      </c>
      <c r="L120" s="13">
        <v>59</v>
      </c>
      <c r="M120" s="12"/>
      <c r="N120" s="12"/>
      <c r="O120" s="130"/>
      <c r="P120" s="130"/>
      <c r="Q120" s="19">
        <f t="shared" si="135"/>
        <v>45427</v>
      </c>
      <c r="R120" s="18"/>
      <c r="S120" s="130"/>
      <c r="T120" s="130"/>
      <c r="U120" s="18"/>
      <c r="V120" s="130"/>
      <c r="W120" s="130"/>
      <c r="X120" s="19">
        <f t="shared" si="136"/>
        <v>45427</v>
      </c>
      <c r="Y120" s="18"/>
      <c r="Z120" s="130"/>
      <c r="AA120" s="130"/>
      <c r="AB120" s="18"/>
    </row>
    <row r="121" spans="1:28" x14ac:dyDescent="0.25">
      <c r="A121" s="10">
        <v>45324</v>
      </c>
      <c r="B121" s="11">
        <v>0.16666666666666666</v>
      </c>
      <c r="C121" s="22">
        <v>45324.166666666664</v>
      </c>
      <c r="D121" s="12">
        <v>66.5</v>
      </c>
      <c r="E121" s="12">
        <v>75.400000000000006</v>
      </c>
      <c r="F121" s="12">
        <v>61.2</v>
      </c>
      <c r="G121" s="12" t="s">
        <v>6</v>
      </c>
      <c r="H121" s="12">
        <v>18</v>
      </c>
      <c r="I121" s="12">
        <v>25.4</v>
      </c>
      <c r="J121" s="12">
        <v>13.3</v>
      </c>
      <c r="K121" s="12" t="s">
        <v>6</v>
      </c>
      <c r="L121" s="13">
        <v>88</v>
      </c>
      <c r="M121" s="12"/>
      <c r="N121" s="12"/>
      <c r="O121" s="130"/>
      <c r="P121" s="130"/>
      <c r="Q121" s="19">
        <f t="shared" si="135"/>
        <v>45428</v>
      </c>
      <c r="R121" s="18"/>
      <c r="S121" s="130"/>
      <c r="T121" s="130"/>
      <c r="U121" s="18"/>
      <c r="V121" s="130"/>
      <c r="W121" s="130"/>
      <c r="X121" s="19">
        <f t="shared" si="136"/>
        <v>45428</v>
      </c>
      <c r="Y121" s="18"/>
      <c r="Z121" s="130"/>
      <c r="AA121" s="130"/>
      <c r="AB121" s="18"/>
    </row>
    <row r="122" spans="1:28" x14ac:dyDescent="0.25">
      <c r="A122" s="10">
        <v>45324</v>
      </c>
      <c r="B122" s="11">
        <v>0.20833333333333334</v>
      </c>
      <c r="C122" s="22">
        <v>45324.208333333336</v>
      </c>
      <c r="D122" s="12">
        <v>66.2</v>
      </c>
      <c r="E122" s="12">
        <v>76.5</v>
      </c>
      <c r="F122" s="12">
        <v>57.8</v>
      </c>
      <c r="G122" s="12" t="s">
        <v>6</v>
      </c>
      <c r="H122" s="12">
        <v>16.7</v>
      </c>
      <c r="I122" s="12">
        <v>20.7</v>
      </c>
      <c r="J122" s="12">
        <v>12.1</v>
      </c>
      <c r="K122" s="12" t="s">
        <v>6</v>
      </c>
      <c r="L122" s="13">
        <v>221</v>
      </c>
      <c r="M122" s="12"/>
      <c r="N122" s="12"/>
      <c r="O122" s="130"/>
      <c r="P122" s="130"/>
      <c r="Q122" s="19">
        <f t="shared" si="135"/>
        <v>45429</v>
      </c>
      <c r="R122" s="18"/>
      <c r="S122" s="130"/>
      <c r="T122" s="130"/>
      <c r="U122" s="18"/>
      <c r="V122" s="130"/>
      <c r="W122" s="130"/>
      <c r="X122" s="19">
        <f t="shared" si="136"/>
        <v>45429</v>
      </c>
      <c r="Y122" s="18"/>
      <c r="Z122" s="130"/>
      <c r="AA122" s="130"/>
      <c r="AB122" s="18"/>
    </row>
    <row r="123" spans="1:28" x14ac:dyDescent="0.25">
      <c r="A123" s="10">
        <v>45324</v>
      </c>
      <c r="B123" s="11">
        <v>0.25</v>
      </c>
      <c r="C123" s="22">
        <v>45324.25</v>
      </c>
      <c r="D123" s="12">
        <v>65.900000000000006</v>
      </c>
      <c r="E123" s="12">
        <v>73.3</v>
      </c>
      <c r="F123" s="12">
        <v>60.8</v>
      </c>
      <c r="G123" s="12" t="s">
        <v>6</v>
      </c>
      <c r="H123" s="12">
        <v>16.8</v>
      </c>
      <c r="I123" s="12">
        <v>23</v>
      </c>
      <c r="J123" s="12">
        <v>6.2</v>
      </c>
      <c r="K123" s="12" t="s">
        <v>6</v>
      </c>
      <c r="L123" s="13">
        <v>209</v>
      </c>
      <c r="M123" s="12"/>
      <c r="N123" s="12" t="s">
        <v>125</v>
      </c>
      <c r="O123" s="130">
        <f t="shared" ref="O123" ca="1" si="257">MIN(ROW(INDIRECT(N123)))</f>
        <v>734</v>
      </c>
      <c r="P123" s="130">
        <f t="shared" ref="P123" ca="1" si="258">MIN(ROW(INDIRECT(N123))) + ROWS(INDIRECT(N123)) -1</f>
        <v>734</v>
      </c>
      <c r="Q123" s="19">
        <f t="shared" si="135"/>
        <v>45430</v>
      </c>
      <c r="R123" s="18">
        <f ca="1">IFERROR(AVERAGE(INDIRECT("D" &amp; $O123):INDIRECT("D" &amp; $P123)),"")</f>
        <v>65</v>
      </c>
      <c r="S123" s="130">
        <f ca="1">IFERROR(MAX(INDIRECT("E" &amp; $O123):INDIRECT("E" &amp; $P123)),"")</f>
        <v>65.599999999999994</v>
      </c>
      <c r="T123" s="130">
        <f ca="1">IFERROR(MIN(INDIRECT("F" &amp; $O123):INDIRECT("F" &amp; $P123)),"")</f>
        <v>64.400000000000006</v>
      </c>
      <c r="U123" s="18">
        <f t="shared" ref="U123" ca="1" si="259">R123+1</f>
        <v>66</v>
      </c>
      <c r="V123" s="130"/>
      <c r="W123" s="130"/>
      <c r="X123" s="19">
        <f t="shared" si="136"/>
        <v>45430</v>
      </c>
      <c r="Y123" s="18">
        <f ca="1">IFERROR(AVERAGE(INDIRECT("H" &amp; $O123):INDIRECT("H" &amp; $P123)),"")</f>
        <v>8.3000000000000007</v>
      </c>
      <c r="Z123" s="130">
        <f ca="1">IFERROR(MAX(INDIRECT("I" &amp; $O123):INDIRECT("I" &amp; $P123)),"")</f>
        <v>8.6</v>
      </c>
      <c r="AA123" s="130">
        <f ca="1">IFERROR(MIN(INDIRECT("J" &amp; $O123):INDIRECT("J" &amp; $P123)),"")</f>
        <v>8</v>
      </c>
      <c r="AB123" s="18">
        <f t="shared" ref="AB123" ca="1" si="260">Y123+0.3</f>
        <v>8.6000000000000014</v>
      </c>
    </row>
    <row r="124" spans="1:28" x14ac:dyDescent="0.25">
      <c r="A124" s="14">
        <v>45324</v>
      </c>
      <c r="B124" s="15">
        <v>0.29166666666666669</v>
      </c>
      <c r="C124" s="20">
        <v>45324.291666666664</v>
      </c>
      <c r="D124" s="16">
        <v>66.8</v>
      </c>
      <c r="E124" s="16">
        <v>70.900000000000006</v>
      </c>
      <c r="F124" s="16">
        <v>62.4</v>
      </c>
      <c r="G124" s="16" t="s">
        <v>6</v>
      </c>
      <c r="H124" s="16">
        <v>17.600000000000001</v>
      </c>
      <c r="I124" s="16">
        <v>26.9</v>
      </c>
      <c r="J124" s="16">
        <v>8.4</v>
      </c>
      <c r="K124" s="16" t="s">
        <v>6</v>
      </c>
      <c r="L124" s="17">
        <v>122</v>
      </c>
      <c r="M124" s="12"/>
      <c r="N124" s="12"/>
      <c r="O124" s="131"/>
      <c r="P124" s="131"/>
      <c r="Q124" s="19">
        <f t="shared" si="135"/>
        <v>45431</v>
      </c>
      <c r="R124" s="18"/>
      <c r="S124" s="131"/>
      <c r="T124" s="131"/>
      <c r="U124" s="18"/>
      <c r="V124" s="131"/>
      <c r="W124" s="131"/>
      <c r="X124" s="19">
        <f t="shared" si="136"/>
        <v>45431</v>
      </c>
      <c r="Y124" s="18"/>
      <c r="Z124" s="131"/>
      <c r="AA124" s="131"/>
      <c r="AB124" s="18"/>
    </row>
    <row r="125" spans="1:28" x14ac:dyDescent="0.25">
      <c r="A125" s="6">
        <v>45324</v>
      </c>
      <c r="B125" s="7">
        <v>0.83333333333333337</v>
      </c>
      <c r="C125" s="21">
        <v>45324.833333333336</v>
      </c>
      <c r="D125" s="8">
        <v>66.599999999999994</v>
      </c>
      <c r="E125" s="8">
        <v>74.400000000000006</v>
      </c>
      <c r="F125" s="8">
        <v>56.3</v>
      </c>
      <c r="G125" s="8" t="s">
        <v>6</v>
      </c>
      <c r="H125" s="8">
        <v>20.7</v>
      </c>
      <c r="I125" s="8">
        <v>30.3</v>
      </c>
      <c r="J125" s="9">
        <v>14.9</v>
      </c>
      <c r="K125" s="28" t="s">
        <v>6</v>
      </c>
      <c r="L125" s="28">
        <v>78</v>
      </c>
      <c r="N125" s="12" t="s">
        <v>126</v>
      </c>
      <c r="O125" s="131">
        <f t="shared" ref="O125" ca="1" si="261">MIN(ROW(INDIRECT(N125)))</f>
        <v>735</v>
      </c>
      <c r="P125" s="131">
        <f t="shared" ref="P125" ca="1" si="262">MIN(ROW(INDIRECT(N125))) + ROWS(INDIRECT(N125)) -1</f>
        <v>735</v>
      </c>
      <c r="Q125" s="19">
        <f t="shared" si="135"/>
        <v>45432</v>
      </c>
      <c r="R125" s="18">
        <f ca="1">IFERROR(AVERAGE(INDIRECT("D" &amp; $O125):INDIRECT("D" &amp; $P125)),"")</f>
        <v>55.5</v>
      </c>
      <c r="S125" s="131">
        <f ca="1">IFERROR(MAX(INDIRECT("E" &amp; $O125):INDIRECT("E" &amp; $P125)),"")</f>
        <v>55.5</v>
      </c>
      <c r="T125" s="131">
        <f ca="1">IFERROR(MIN(INDIRECT("F" &amp; $O125):INDIRECT("F" &amp; $P125)),"")</f>
        <v>55.5</v>
      </c>
      <c r="U125" s="18">
        <f t="shared" ref="U125" ca="1" si="263">R125+1</f>
        <v>56.5</v>
      </c>
      <c r="V125" s="131"/>
      <c r="W125" s="131"/>
      <c r="X125" s="19">
        <f t="shared" si="136"/>
        <v>45432</v>
      </c>
      <c r="Y125" s="18">
        <f ca="1">IFERROR(AVERAGE(INDIRECT("H" &amp; $O125):INDIRECT("H" &amp; $P125)),"")</f>
        <v>8.9</v>
      </c>
      <c r="Z125" s="131">
        <f ca="1">IFERROR(MAX(INDIRECT("I" &amp; $O125):INDIRECT("I" &amp; $P125)),"")</f>
        <v>9</v>
      </c>
      <c r="AA125" s="131">
        <f ca="1">IFERROR(MIN(INDIRECT("J" &amp; $O125):INDIRECT("J" &amp; $P125)),"")</f>
        <v>8.9</v>
      </c>
      <c r="AB125" s="18">
        <f t="shared" ref="AB125" ca="1" si="264">Y125+0.3</f>
        <v>9.2000000000000011</v>
      </c>
    </row>
    <row r="126" spans="1:28" x14ac:dyDescent="0.25">
      <c r="A126" s="10">
        <v>45324</v>
      </c>
      <c r="B126" s="11">
        <v>0.875</v>
      </c>
      <c r="C126" s="22">
        <v>45324.875</v>
      </c>
      <c r="D126" s="12">
        <v>63.4</v>
      </c>
      <c r="E126" s="12">
        <v>71.5</v>
      </c>
      <c r="F126" s="12">
        <v>50.9</v>
      </c>
      <c r="G126" s="12" t="s">
        <v>6</v>
      </c>
      <c r="H126" s="12">
        <v>18.7</v>
      </c>
      <c r="I126" s="12">
        <v>29.3</v>
      </c>
      <c r="J126" s="13">
        <v>10.199999999999999</v>
      </c>
      <c r="K126" s="28" t="s">
        <v>6</v>
      </c>
      <c r="L126" s="28">
        <v>222</v>
      </c>
      <c r="O126" s="132"/>
      <c r="P126" s="132"/>
      <c r="Q126" s="19">
        <f t="shared" si="135"/>
        <v>45433</v>
      </c>
      <c r="R126" s="18"/>
      <c r="S126" s="132"/>
      <c r="T126" s="132"/>
      <c r="U126" s="18"/>
      <c r="V126" s="132"/>
      <c r="W126" s="132"/>
      <c r="X126" s="19">
        <f t="shared" si="136"/>
        <v>45433</v>
      </c>
      <c r="Y126" s="18"/>
      <c r="Z126" s="132"/>
      <c r="AA126" s="132"/>
      <c r="AB126" s="18"/>
    </row>
    <row r="127" spans="1:28" x14ac:dyDescent="0.25">
      <c r="A127" s="10">
        <v>45324</v>
      </c>
      <c r="B127" s="11">
        <v>0.91666666666666663</v>
      </c>
      <c r="C127" s="22">
        <v>45324.916666666664</v>
      </c>
      <c r="D127" s="12">
        <v>67.8</v>
      </c>
      <c r="E127" s="12">
        <v>72</v>
      </c>
      <c r="F127" s="12">
        <v>63.4</v>
      </c>
      <c r="G127" s="12" t="s">
        <v>6</v>
      </c>
      <c r="H127" s="12">
        <v>17.399999999999999</v>
      </c>
      <c r="I127" s="12">
        <v>24.7</v>
      </c>
      <c r="J127" s="13">
        <v>8.6</v>
      </c>
      <c r="K127" s="28" t="s">
        <v>6</v>
      </c>
      <c r="L127" s="28">
        <v>213</v>
      </c>
      <c r="N127" s="35" t="s">
        <v>127</v>
      </c>
      <c r="O127" s="132">
        <f t="shared" ref="O127" ca="1" si="265">MIN(ROW(INDIRECT(N127)))</f>
        <v>736</v>
      </c>
      <c r="P127" s="132">
        <f t="shared" ref="P127" ca="1" si="266">MIN(ROW(INDIRECT(N127))) + ROWS(INDIRECT(N127)) -1</f>
        <v>746</v>
      </c>
      <c r="Q127" s="19">
        <f t="shared" si="135"/>
        <v>45434</v>
      </c>
      <c r="R127" s="18">
        <f ca="1">IFERROR(AVERAGE(INDIRECT("D" &amp; $O127):INDIRECT("D" &amp; $P127)),"")</f>
        <v>64.718181818181819</v>
      </c>
      <c r="S127" s="132">
        <f ca="1">IFERROR(MAX(INDIRECT("E" &amp; $O127):INDIRECT("E" &amp; $P127)),"")</f>
        <v>74.599999999999994</v>
      </c>
      <c r="T127" s="132">
        <f ca="1">IFERROR(MIN(INDIRECT("F" &amp; $O127):INDIRECT("F" &amp; $P127)),"")</f>
        <v>47.7</v>
      </c>
      <c r="U127" s="18">
        <f t="shared" ref="U127" ca="1" si="267">R127+1</f>
        <v>65.718181818181819</v>
      </c>
      <c r="V127" s="132"/>
      <c r="W127" s="132"/>
      <c r="X127" s="19">
        <f t="shared" si="136"/>
        <v>45434</v>
      </c>
      <c r="Y127" s="18">
        <f ca="1">IFERROR(AVERAGE(INDIRECT("H" &amp; $O127):INDIRECT("H" &amp; $P127)),"")</f>
        <v>19.281818181818185</v>
      </c>
      <c r="Z127" s="132">
        <f ca="1">IFERROR(MAX(INDIRECT("I" &amp; $O127):INDIRECT("I" &amp; $P127)),"")</f>
        <v>36.700000000000003</v>
      </c>
      <c r="AA127" s="132">
        <f ca="1">IFERROR(MIN(INDIRECT("J" &amp; $O127):INDIRECT("J" &amp; $P127)),"")</f>
        <v>14.9</v>
      </c>
      <c r="AB127" s="18">
        <f t="shared" ref="AB127" ca="1" si="268">Y127+0.3</f>
        <v>19.581818181818186</v>
      </c>
    </row>
    <row r="128" spans="1:28" x14ac:dyDescent="0.25">
      <c r="A128" s="10">
        <v>45324</v>
      </c>
      <c r="B128" s="11">
        <v>0.95833333333333337</v>
      </c>
      <c r="C128" s="22">
        <v>45324.958333333336</v>
      </c>
      <c r="D128" s="12">
        <v>67.2</v>
      </c>
      <c r="E128" s="12">
        <v>73.7</v>
      </c>
      <c r="F128" s="12">
        <v>58.5</v>
      </c>
      <c r="G128" s="12" t="s">
        <v>6</v>
      </c>
      <c r="H128" s="12">
        <v>21.8</v>
      </c>
      <c r="I128" s="12">
        <v>28.8</v>
      </c>
      <c r="J128" s="13">
        <v>11.6</v>
      </c>
      <c r="K128" s="28" t="s">
        <v>6</v>
      </c>
      <c r="L128" s="28">
        <v>72</v>
      </c>
      <c r="N128" s="35" t="s">
        <v>128</v>
      </c>
      <c r="O128" s="133">
        <f t="shared" ref="O128" ca="1" si="269">MIN(ROW(INDIRECT(N128)))</f>
        <v>747</v>
      </c>
      <c r="P128" s="133">
        <f t="shared" ref="P128" ca="1" si="270">MIN(ROW(INDIRECT(N128))) + ROWS(INDIRECT(N128)) -1</f>
        <v>756</v>
      </c>
      <c r="Q128" s="19">
        <f t="shared" si="135"/>
        <v>45435</v>
      </c>
      <c r="R128" s="18">
        <f ca="1">IFERROR(AVERAGE(INDIRECT("D" &amp; $O128):INDIRECT("D" &amp; $P128)),"")</f>
        <v>59.509999999999991</v>
      </c>
      <c r="S128" s="133">
        <f ca="1">IFERROR(MAX(INDIRECT("E" &amp; $O128):INDIRECT("E" &amp; $P128)),"")</f>
        <v>70.8</v>
      </c>
      <c r="T128" s="133">
        <f ca="1">IFERROR(MIN(INDIRECT("F" &amp; $O128):INDIRECT("F" &amp; $P128)),"")</f>
        <v>48</v>
      </c>
      <c r="U128" s="18">
        <f t="shared" ref="U128" ca="1" si="271">R128+1</f>
        <v>60.509999999999991</v>
      </c>
      <c r="V128" s="133"/>
      <c r="W128" s="133"/>
      <c r="X128" s="19">
        <f t="shared" si="136"/>
        <v>45435</v>
      </c>
      <c r="Y128" s="18">
        <f ca="1">IFERROR(AVERAGE(INDIRECT("H" &amp; $O128):INDIRECT("H" &amp; $P128)),"")</f>
        <v>18.27</v>
      </c>
      <c r="Z128" s="133">
        <f ca="1">IFERROR(MAX(INDIRECT("I" &amp; $O128):INDIRECT("I" &amp; $P128)),"")</f>
        <v>36.200000000000003</v>
      </c>
      <c r="AA128" s="133">
        <f ca="1">IFERROR(MIN(INDIRECT("J" &amp; $O128):INDIRECT("J" &amp; $P128)),"")</f>
        <v>14.1</v>
      </c>
      <c r="AB128" s="18">
        <f t="shared" ref="AB128" ca="1" si="272">Y128+0.3</f>
        <v>18.57</v>
      </c>
    </row>
    <row r="129" spans="1:28" x14ac:dyDescent="0.25">
      <c r="A129" s="10">
        <v>45325</v>
      </c>
      <c r="B129" s="11">
        <v>4.1666666666666664E-2</v>
      </c>
      <c r="C129" s="22">
        <v>45325.041666666664</v>
      </c>
      <c r="D129" s="12">
        <v>67.2</v>
      </c>
      <c r="E129" s="12">
        <v>74.7</v>
      </c>
      <c r="F129" s="12">
        <v>58.8</v>
      </c>
      <c r="G129" s="12" t="s">
        <v>6</v>
      </c>
      <c r="H129" s="12">
        <v>15.9</v>
      </c>
      <c r="I129" s="12">
        <v>25.1</v>
      </c>
      <c r="J129" s="13">
        <v>8.1</v>
      </c>
      <c r="K129" s="28" t="s">
        <v>6</v>
      </c>
      <c r="L129" s="28">
        <v>176</v>
      </c>
      <c r="N129" s="35" t="s">
        <v>129</v>
      </c>
      <c r="O129" s="134">
        <f t="shared" ref="O129:O131" ca="1" si="273">MIN(ROW(INDIRECT(N129)))</f>
        <v>757</v>
      </c>
      <c r="P129" s="134">
        <f t="shared" ref="P129:P131" ca="1" si="274">MIN(ROW(INDIRECT(N129))) + ROWS(INDIRECT(N129)) -1</f>
        <v>760</v>
      </c>
      <c r="Q129" s="19">
        <f t="shared" si="135"/>
        <v>45436</v>
      </c>
      <c r="R129" s="18">
        <f ca="1">IFERROR(AVERAGE(INDIRECT("D" &amp; $O129):INDIRECT("D" &amp; $P129)),"")</f>
        <v>63.424999999999997</v>
      </c>
      <c r="S129" s="134">
        <f ca="1">IFERROR(MAX(INDIRECT("E" &amp; $O129):INDIRECT("E" &amp; $P129)),"")</f>
        <v>70.7</v>
      </c>
      <c r="T129" s="134">
        <f ca="1">IFERROR(MIN(INDIRECT("F" &amp; $O129):INDIRECT("F" &amp; $P129)),"")</f>
        <v>53.4</v>
      </c>
      <c r="U129" s="18">
        <f t="shared" ref="U129:U131" ca="1" si="275">R129+1</f>
        <v>64.424999999999997</v>
      </c>
      <c r="V129" s="134"/>
      <c r="W129" s="134"/>
      <c r="X129" s="19">
        <f t="shared" si="136"/>
        <v>45436</v>
      </c>
      <c r="Y129" s="18">
        <f ca="1">IFERROR(AVERAGE(INDIRECT("H" &amp; $O129):INDIRECT("H" &amp; $P129)),"")</f>
        <v>20.075000000000003</v>
      </c>
      <c r="Z129" s="134">
        <f ca="1">IFERROR(MAX(INDIRECT("I" &amp; $O129):INDIRECT("I" &amp; $P129)),"")</f>
        <v>27.9</v>
      </c>
      <c r="AA129" s="134">
        <f ca="1">IFERROR(MIN(INDIRECT("J" &amp; $O129):INDIRECT("J" &amp; $P129)),"")</f>
        <v>16</v>
      </c>
      <c r="AB129" s="18">
        <f t="shared" ref="AB129:AB131" ca="1" si="276">Y129+0.3</f>
        <v>20.375000000000004</v>
      </c>
    </row>
    <row r="130" spans="1:28" x14ac:dyDescent="0.25">
      <c r="A130" s="10">
        <v>45325</v>
      </c>
      <c r="B130" s="11">
        <v>8.3333333333333329E-2</v>
      </c>
      <c r="C130" s="22">
        <v>45325.083333333336</v>
      </c>
      <c r="D130" s="12">
        <v>65.400000000000006</v>
      </c>
      <c r="E130" s="12">
        <v>69</v>
      </c>
      <c r="F130" s="12">
        <v>61</v>
      </c>
      <c r="G130" s="12" t="s">
        <v>6</v>
      </c>
      <c r="H130" s="12">
        <v>17.2</v>
      </c>
      <c r="I130" s="12">
        <v>30.8</v>
      </c>
      <c r="J130" s="13">
        <v>8</v>
      </c>
      <c r="K130" s="28" t="s">
        <v>6</v>
      </c>
      <c r="L130" s="28">
        <v>62</v>
      </c>
      <c r="N130" s="35" t="s">
        <v>130</v>
      </c>
      <c r="O130" s="134">
        <f t="shared" ca="1" si="273"/>
        <v>761</v>
      </c>
      <c r="P130" s="134">
        <f t="shared" ca="1" si="274"/>
        <v>772</v>
      </c>
      <c r="Q130" s="19">
        <f t="shared" si="135"/>
        <v>45437</v>
      </c>
      <c r="R130" s="18">
        <f ca="1">IFERROR(AVERAGE(INDIRECT("D" &amp; $O130):INDIRECT("D" &amp; $P130)),"")</f>
        <v>61.975000000000001</v>
      </c>
      <c r="S130" s="134">
        <f ca="1">IFERROR(MAX(INDIRECT("E" &amp; $O130):INDIRECT("E" &amp; $P130)),"")</f>
        <v>71</v>
      </c>
      <c r="T130" s="134">
        <f ca="1">IFERROR(MIN(INDIRECT("F" &amp; $O130):INDIRECT("F" &amp; $P130)),"")</f>
        <v>48.9</v>
      </c>
      <c r="U130" s="18">
        <f t="shared" ca="1" si="275"/>
        <v>62.975000000000001</v>
      </c>
      <c r="V130" s="134"/>
      <c r="W130" s="134"/>
      <c r="X130" s="19">
        <f t="shared" si="136"/>
        <v>45437</v>
      </c>
      <c r="Y130" s="18">
        <f ca="1">IFERROR(AVERAGE(INDIRECT("H" &amp; $O130):INDIRECT("H" &amp; $P130)),"")</f>
        <v>17.850000000000001</v>
      </c>
      <c r="Z130" s="134">
        <f ca="1">IFERROR(MAX(INDIRECT("I" &amp; $O130):INDIRECT("I" &amp; $P130)),"")</f>
        <v>31.9</v>
      </c>
      <c r="AA130" s="134">
        <f ca="1">IFERROR(MIN(INDIRECT("J" &amp; $O130):INDIRECT("J" &amp; $P130)),"")</f>
        <v>8</v>
      </c>
      <c r="AB130" s="18">
        <f t="shared" ca="1" si="276"/>
        <v>18.150000000000002</v>
      </c>
    </row>
    <row r="131" spans="1:28" x14ac:dyDescent="0.25">
      <c r="A131" s="10">
        <v>45325</v>
      </c>
      <c r="B131" s="11">
        <v>0.125</v>
      </c>
      <c r="C131" s="22">
        <v>45325.125</v>
      </c>
      <c r="D131" s="12">
        <v>66.599999999999994</v>
      </c>
      <c r="E131" s="12">
        <v>68.900000000000006</v>
      </c>
      <c r="F131" s="12">
        <v>65.099999999999994</v>
      </c>
      <c r="G131" s="12" t="s">
        <v>6</v>
      </c>
      <c r="H131" s="12">
        <v>22.8</v>
      </c>
      <c r="I131" s="12">
        <v>25.5</v>
      </c>
      <c r="J131" s="13">
        <v>20.399999999999999</v>
      </c>
      <c r="K131" s="28" t="s">
        <v>6</v>
      </c>
      <c r="L131" s="28">
        <v>13</v>
      </c>
      <c r="N131" s="35" t="s">
        <v>131</v>
      </c>
      <c r="O131" s="134">
        <f t="shared" ca="1" si="273"/>
        <v>773</v>
      </c>
      <c r="P131" s="134">
        <f t="shared" ca="1" si="274"/>
        <v>784</v>
      </c>
      <c r="Q131" s="19">
        <f t="shared" si="135"/>
        <v>45438</v>
      </c>
      <c r="R131" s="18">
        <f ca="1">IFERROR(AVERAGE(INDIRECT("D" &amp; $O131):INDIRECT("D" &amp; $P131)),"")</f>
        <v>62.375000000000007</v>
      </c>
      <c r="S131" s="134">
        <f ca="1">IFERROR(MAX(INDIRECT("E" &amp; $O131):INDIRECT("E" &amp; $P131)),"")</f>
        <v>70.3</v>
      </c>
      <c r="T131" s="134">
        <f ca="1">IFERROR(MIN(INDIRECT("F" &amp; $O131):INDIRECT("F" &amp; $P131)),"")</f>
        <v>47.6</v>
      </c>
      <c r="U131" s="18">
        <f t="shared" ca="1" si="275"/>
        <v>63.375000000000007</v>
      </c>
      <c r="V131" s="134"/>
      <c r="W131" s="134"/>
      <c r="X131" s="19">
        <f t="shared" si="136"/>
        <v>45438</v>
      </c>
      <c r="Y131" s="18">
        <f ca="1">IFERROR(AVERAGE(INDIRECT("H" &amp; $O131):INDIRECT("H" &amp; $P131)),"")</f>
        <v>19.425000000000001</v>
      </c>
      <c r="Z131" s="134">
        <f ca="1">IFERROR(MAX(INDIRECT("I" &amp; $O131):INDIRECT("I" &amp; $P131)),"")</f>
        <v>33.1</v>
      </c>
      <c r="AA131" s="134">
        <f ca="1">IFERROR(MIN(INDIRECT("J" &amp; $O131):INDIRECT("J" &amp; $P131)),"")</f>
        <v>13.7</v>
      </c>
      <c r="AB131" s="18">
        <f t="shared" ca="1" si="276"/>
        <v>19.725000000000001</v>
      </c>
    </row>
    <row r="132" spans="1:28" x14ac:dyDescent="0.25">
      <c r="A132" s="10">
        <v>45325</v>
      </c>
      <c r="B132" s="11">
        <v>0.16666666666666666</v>
      </c>
      <c r="C132" s="22">
        <v>45325.166666666664</v>
      </c>
      <c r="D132" s="12">
        <v>66.099999999999994</v>
      </c>
      <c r="E132" s="12">
        <v>74.8</v>
      </c>
      <c r="F132" s="12">
        <v>55.6</v>
      </c>
      <c r="G132" s="12" t="s">
        <v>6</v>
      </c>
      <c r="H132" s="12">
        <v>17.2</v>
      </c>
      <c r="I132" s="12">
        <v>24.7</v>
      </c>
      <c r="J132" s="13">
        <v>11</v>
      </c>
      <c r="K132" s="28" t="s">
        <v>6</v>
      </c>
      <c r="L132" s="28">
        <v>226</v>
      </c>
      <c r="N132" s="35" t="s">
        <v>132</v>
      </c>
      <c r="O132" s="135">
        <f t="shared" ref="O132" ca="1" si="277">MIN(ROW(INDIRECT(N132)))</f>
        <v>785</v>
      </c>
      <c r="P132" s="135">
        <f t="shared" ref="P132" ca="1" si="278">MIN(ROW(INDIRECT(N132))) + ROWS(INDIRECT(N132)) -1</f>
        <v>794</v>
      </c>
      <c r="Q132" s="19">
        <f t="shared" si="135"/>
        <v>45439</v>
      </c>
      <c r="R132" s="18">
        <f ca="1">IFERROR(AVERAGE(INDIRECT("D" &amp; $O132):INDIRECT("D" &amp; $P132)),"")</f>
        <v>62.58</v>
      </c>
      <c r="S132" s="135">
        <f ca="1">IFERROR(MAX(INDIRECT("E" &amp; $O132):INDIRECT("E" &amp; $P132)),"")</f>
        <v>74.2</v>
      </c>
      <c r="T132" s="135">
        <f ca="1">IFERROR(MIN(INDIRECT("F" &amp; $O132):INDIRECT("F" &amp; $P132)),"")</f>
        <v>53.3</v>
      </c>
      <c r="U132" s="18">
        <f t="shared" ref="U132" ca="1" si="279">R132+1</f>
        <v>63.58</v>
      </c>
      <c r="V132" s="135"/>
      <c r="W132" s="135"/>
      <c r="X132" s="19">
        <f t="shared" si="136"/>
        <v>45439</v>
      </c>
      <c r="Y132" s="18">
        <f ca="1">IFERROR(AVERAGE(INDIRECT("H" &amp; $O132):INDIRECT("H" &amp; $P132)),"")</f>
        <v>18.7</v>
      </c>
      <c r="Z132" s="135">
        <f ca="1">IFERROR(MAX(INDIRECT("I" &amp; $O132):INDIRECT("I" &amp; $P132)),"")</f>
        <v>31.3</v>
      </c>
      <c r="AA132" s="135">
        <f ca="1">IFERROR(MIN(INDIRECT("J" &amp; $O132):INDIRECT("J" &amp; $P132)),"")</f>
        <v>13.8</v>
      </c>
      <c r="AB132" s="18">
        <f t="shared" ref="AB132" ca="1" si="280">Y132+0.3</f>
        <v>19</v>
      </c>
    </row>
    <row r="133" spans="1:28" x14ac:dyDescent="0.25">
      <c r="A133" s="10">
        <v>45325</v>
      </c>
      <c r="B133" s="11">
        <v>0.20833333333333334</v>
      </c>
      <c r="C133" s="22">
        <v>45325.208333333336</v>
      </c>
      <c r="D133" s="12">
        <v>65.400000000000006</v>
      </c>
      <c r="E133" s="12">
        <v>74.2</v>
      </c>
      <c r="F133" s="12">
        <v>60.1</v>
      </c>
      <c r="G133" s="12" t="s">
        <v>6</v>
      </c>
      <c r="H133" s="12">
        <v>15.1</v>
      </c>
      <c r="I133" s="12">
        <v>23.9</v>
      </c>
      <c r="J133" s="13">
        <v>8.9</v>
      </c>
      <c r="K133" s="28" t="s">
        <v>6</v>
      </c>
      <c r="L133" s="28">
        <v>181</v>
      </c>
      <c r="N133" s="35" t="s">
        <v>133</v>
      </c>
      <c r="O133" s="136">
        <f t="shared" ref="O133" ca="1" si="281">MIN(ROW(INDIRECT(N133)))</f>
        <v>795</v>
      </c>
      <c r="P133" s="136">
        <f t="shared" ref="P133" ca="1" si="282">MIN(ROW(INDIRECT(N133))) + ROWS(INDIRECT(N133)) -1</f>
        <v>804</v>
      </c>
      <c r="Q133" s="19">
        <f t="shared" si="135"/>
        <v>45440</v>
      </c>
      <c r="R133" s="18">
        <f ca="1">IFERROR(AVERAGE(INDIRECT("D" &amp; $O133):INDIRECT("D" &amp; $P133)),"")</f>
        <v>63.780000000000008</v>
      </c>
      <c r="S133" s="136">
        <f ca="1">IFERROR(MAX(INDIRECT("E" &amp; $O133):INDIRECT("E" &amp; $P133)),"")</f>
        <v>77.900000000000006</v>
      </c>
      <c r="T133" s="136">
        <f ca="1">IFERROR(MIN(INDIRECT("F" &amp; $O133):INDIRECT("F" &amp; $P133)),"")</f>
        <v>49.8</v>
      </c>
      <c r="U133" s="18">
        <f t="shared" ref="U133" ca="1" si="283">R133+1</f>
        <v>64.78</v>
      </c>
      <c r="V133" s="136"/>
      <c r="W133" s="136"/>
      <c r="X133" s="19">
        <f t="shared" si="136"/>
        <v>45440</v>
      </c>
      <c r="Y133" s="18">
        <f ca="1">IFERROR(AVERAGE(INDIRECT("H" &amp; $O133):INDIRECT("H" &amp; $P133)),"")</f>
        <v>18.149999999999999</v>
      </c>
      <c r="Z133" s="136">
        <f ca="1">IFERROR(MAX(INDIRECT("I" &amp; $O133):INDIRECT("I" &amp; $P133)),"")</f>
        <v>30</v>
      </c>
      <c r="AA133" s="136">
        <f ca="1">IFERROR(MIN(INDIRECT("J" &amp; $O133):INDIRECT("J" &amp; $P133)),"")</f>
        <v>13.2</v>
      </c>
      <c r="AB133" s="18">
        <f t="shared" ref="AB133" ca="1" si="284">Y133+0.3</f>
        <v>18.45</v>
      </c>
    </row>
    <row r="134" spans="1:28" x14ac:dyDescent="0.25">
      <c r="A134" s="6">
        <v>45325</v>
      </c>
      <c r="B134" s="7">
        <v>0.83333333333333337</v>
      </c>
      <c r="C134" s="21">
        <v>45325.833333333336</v>
      </c>
      <c r="D134" s="8">
        <v>72.599999999999994</v>
      </c>
      <c r="E134" s="8">
        <v>84.8</v>
      </c>
      <c r="F134" s="8">
        <v>60.1</v>
      </c>
      <c r="G134" s="8" t="s">
        <v>6</v>
      </c>
      <c r="H134" s="8">
        <v>19.7</v>
      </c>
      <c r="I134" s="8">
        <v>25.1</v>
      </c>
      <c r="J134" s="8">
        <v>4.7</v>
      </c>
      <c r="K134" s="8" t="s">
        <v>6</v>
      </c>
      <c r="L134" s="9">
        <v>111</v>
      </c>
      <c r="M134" s="12"/>
      <c r="N134" s="12" t="s">
        <v>134</v>
      </c>
      <c r="O134" s="137">
        <f t="shared" ref="O134" ca="1" si="285">MIN(ROW(INDIRECT(N134)))</f>
        <v>805</v>
      </c>
      <c r="P134" s="137">
        <f t="shared" ref="P134" ca="1" si="286">MIN(ROW(INDIRECT(N134))) + ROWS(INDIRECT(N134)) -1</f>
        <v>811</v>
      </c>
      <c r="Q134" s="19">
        <f t="shared" si="135"/>
        <v>45441</v>
      </c>
      <c r="R134" s="18">
        <f ca="1">IFERROR(AVERAGE(INDIRECT("D" &amp; $O134):INDIRECT("D" &amp; $P134)),"")</f>
        <v>66.785714285714292</v>
      </c>
      <c r="S134" s="137">
        <f ca="1">IFERROR(MAX(INDIRECT("E" &amp; $O134):INDIRECT("E" &amp; $P134)),"")</f>
        <v>75.599999999999994</v>
      </c>
      <c r="T134" s="137">
        <f ca="1">IFERROR(MIN(INDIRECT("F" &amp; $O134):INDIRECT("F" &amp; $P134)),"")</f>
        <v>57.5</v>
      </c>
      <c r="U134" s="18">
        <f t="shared" ref="U134" ca="1" si="287">R134+1</f>
        <v>67.785714285714292</v>
      </c>
      <c r="V134" s="137"/>
      <c r="W134" s="137"/>
      <c r="X134" s="19">
        <f t="shared" si="136"/>
        <v>45441</v>
      </c>
      <c r="Y134" s="18">
        <f ca="1">IFERROR(AVERAGE(INDIRECT("H" &amp; $O134):INDIRECT("H" &amp; $P134)),"")</f>
        <v>19.957142857142856</v>
      </c>
      <c r="Z134" s="137">
        <f ca="1">IFERROR(MAX(INDIRECT("I" &amp; $O134):INDIRECT("I" &amp; $P134)),"")</f>
        <v>24</v>
      </c>
      <c r="AA134" s="137">
        <f ca="1">IFERROR(MIN(INDIRECT("J" &amp; $O134):INDIRECT("J" &amp; $P134)),"")</f>
        <v>14.1</v>
      </c>
      <c r="AB134" s="18">
        <f t="shared" ref="AB134" ca="1" si="288">Y134+0.3</f>
        <v>20.257142857142856</v>
      </c>
    </row>
    <row r="135" spans="1:28" x14ac:dyDescent="0.25">
      <c r="A135" s="10">
        <v>45325</v>
      </c>
      <c r="B135" s="11">
        <v>0.875</v>
      </c>
      <c r="C135" s="22">
        <v>45325.875</v>
      </c>
      <c r="D135" s="12">
        <v>72</v>
      </c>
      <c r="E135" s="12">
        <v>84.3</v>
      </c>
      <c r="F135" s="12">
        <v>59</v>
      </c>
      <c r="G135" s="12" t="s">
        <v>6</v>
      </c>
      <c r="H135" s="12">
        <v>18.600000000000001</v>
      </c>
      <c r="I135" s="12">
        <v>28.2</v>
      </c>
      <c r="J135" s="12">
        <v>11</v>
      </c>
      <c r="K135" s="12" t="s">
        <v>6</v>
      </c>
      <c r="L135" s="13">
        <v>199</v>
      </c>
      <c r="M135" s="12"/>
      <c r="N135" s="12" t="s">
        <v>135</v>
      </c>
      <c r="O135" s="138">
        <f t="shared" ref="O135" ca="1" si="289">MIN(ROW(INDIRECT(N135)))</f>
        <v>812</v>
      </c>
      <c r="P135" s="138">
        <f t="shared" ref="P135" ca="1" si="290">MIN(ROW(INDIRECT(N135))) + ROWS(INDIRECT(N135)) -1</f>
        <v>822</v>
      </c>
      <c r="Q135" s="19">
        <f t="shared" si="135"/>
        <v>45442</v>
      </c>
      <c r="R135" s="18">
        <f ca="1">IFERROR(AVERAGE(INDIRECT("D" &amp; $O135):INDIRECT("D" &amp; $P135)),"")</f>
        <v>62.499999999999993</v>
      </c>
      <c r="S135" s="138">
        <f ca="1">IFERROR(MAX(INDIRECT("E" &amp; $O135):INDIRECT("E" &amp; $P135)),"")</f>
        <v>70.8</v>
      </c>
      <c r="T135" s="138">
        <f ca="1">IFERROR(MIN(INDIRECT("F" &amp; $O135):INDIRECT("F" &amp; $P135)),"")</f>
        <v>53.8</v>
      </c>
      <c r="U135" s="18">
        <f t="shared" ref="U135" ca="1" si="291">R135+1</f>
        <v>63.499999999999993</v>
      </c>
      <c r="V135" s="138"/>
      <c r="W135" s="138"/>
      <c r="X135" s="19">
        <f t="shared" si="136"/>
        <v>45442</v>
      </c>
      <c r="Y135" s="18">
        <f ca="1">IFERROR(AVERAGE(INDIRECT("H" &amp; $O135):INDIRECT("H" &amp; $P135)),"")</f>
        <v>18.072727272727274</v>
      </c>
      <c r="Z135" s="138">
        <f ca="1">IFERROR(MAX(INDIRECT("I" &amp; $O135):INDIRECT("I" &amp; $P135)),"")</f>
        <v>24.7</v>
      </c>
      <c r="AA135" s="138">
        <f ca="1">IFERROR(MIN(INDIRECT("J" &amp; $O135):INDIRECT("J" &amp; $P135)),"")</f>
        <v>12.5</v>
      </c>
      <c r="AB135" s="18">
        <f t="shared" ref="AB135" ca="1" si="292">Y135+0.3</f>
        <v>18.372727272727275</v>
      </c>
    </row>
    <row r="136" spans="1:28" x14ac:dyDescent="0.25">
      <c r="A136" s="10">
        <v>45325</v>
      </c>
      <c r="B136" s="11">
        <v>0.91666666666666663</v>
      </c>
      <c r="C136" s="22">
        <v>45325.916666666664</v>
      </c>
      <c r="D136" s="12">
        <v>75.3</v>
      </c>
      <c r="E136" s="12">
        <v>81.2</v>
      </c>
      <c r="F136" s="12">
        <v>63.6</v>
      </c>
      <c r="G136" s="12" t="s">
        <v>6</v>
      </c>
      <c r="H136" s="12">
        <v>17.5</v>
      </c>
      <c r="I136" s="12">
        <v>23.5</v>
      </c>
      <c r="J136" s="12">
        <v>12.1</v>
      </c>
      <c r="K136" s="12" t="s">
        <v>6</v>
      </c>
      <c r="L136" s="13">
        <v>221</v>
      </c>
      <c r="M136" s="12"/>
      <c r="N136" s="12" t="s">
        <v>137</v>
      </c>
      <c r="O136" s="139">
        <f t="shared" ref="O136:O138" ca="1" si="293">MIN(ROW(INDIRECT(N136)))</f>
        <v>823</v>
      </c>
      <c r="P136" s="139">
        <f t="shared" ref="P136:P138" ca="1" si="294">MIN(ROW(INDIRECT(N136))) + ROWS(INDIRECT(N136)) -1</f>
        <v>833</v>
      </c>
      <c r="Q136" s="19">
        <f t="shared" si="135"/>
        <v>45443</v>
      </c>
      <c r="R136" s="18">
        <f ca="1">IFERROR(AVERAGE(INDIRECT("D" &amp; $O136):INDIRECT("D" &amp; $P136)),"")</f>
        <v>61.518181818181823</v>
      </c>
      <c r="S136" s="139">
        <f ca="1">IFERROR(MAX(INDIRECT("E" &amp; $O136):INDIRECT("E" &amp; $P136)),"")</f>
        <v>74.5</v>
      </c>
      <c r="T136" s="139">
        <f ca="1">IFERROR(MIN(INDIRECT("F" &amp; $O136):INDIRECT("F" &amp; $P136)),"")</f>
        <v>53.6</v>
      </c>
      <c r="U136" s="18">
        <f t="shared" ref="U136:U138" ca="1" si="295">R136+1</f>
        <v>62.518181818181823</v>
      </c>
      <c r="V136" s="139"/>
      <c r="W136" s="139"/>
      <c r="X136" s="19">
        <f t="shared" si="136"/>
        <v>45443</v>
      </c>
      <c r="Y136" s="18">
        <f ca="1">IFERROR(AVERAGE(INDIRECT("H" &amp; $O136):INDIRECT("H" &amp; $P136)),"")</f>
        <v>18.127272727272729</v>
      </c>
      <c r="Z136" s="139">
        <f ca="1">IFERROR(MAX(INDIRECT("I" &amp; $O136):INDIRECT("I" &amp; $P136)),"")</f>
        <v>31.4</v>
      </c>
      <c r="AA136" s="139">
        <f ca="1">IFERROR(MIN(INDIRECT("J" &amp; $O136):INDIRECT("J" &amp; $P136)),"")</f>
        <v>14.1</v>
      </c>
      <c r="AB136" s="18">
        <f t="shared" ref="AB136:AB138" ca="1" si="296">Y136+0.3</f>
        <v>18.427272727272729</v>
      </c>
    </row>
    <row r="137" spans="1:28" x14ac:dyDescent="0.25">
      <c r="A137" s="10">
        <v>45325</v>
      </c>
      <c r="B137" s="11">
        <v>0.95833333333333337</v>
      </c>
      <c r="C137" s="22">
        <v>45325.958333333336</v>
      </c>
      <c r="D137" s="12">
        <v>71.8</v>
      </c>
      <c r="E137" s="12">
        <v>78.099999999999994</v>
      </c>
      <c r="F137" s="12">
        <v>56.5</v>
      </c>
      <c r="G137" s="12" t="s">
        <v>6</v>
      </c>
      <c r="H137" s="12">
        <v>16.8</v>
      </c>
      <c r="I137" s="12">
        <v>29.1</v>
      </c>
      <c r="J137" s="12">
        <v>10.1</v>
      </c>
      <c r="K137" s="12" t="s">
        <v>6</v>
      </c>
      <c r="L137" s="13">
        <v>210</v>
      </c>
      <c r="M137" s="12"/>
      <c r="N137" s="12" t="s">
        <v>136</v>
      </c>
      <c r="O137" s="139">
        <f t="shared" ca="1" si="293"/>
        <v>834</v>
      </c>
      <c r="P137" s="139">
        <f t="shared" ca="1" si="294"/>
        <v>844</v>
      </c>
      <c r="Q137" s="19">
        <f t="shared" si="135"/>
        <v>45444</v>
      </c>
      <c r="R137" s="18">
        <f ca="1">IFERROR(AVERAGE(INDIRECT("D" &amp; $O137):INDIRECT("D" &amp; $P137)),"")</f>
        <v>64.745454545454535</v>
      </c>
      <c r="S137" s="139">
        <f ca="1">IFERROR(MAX(INDIRECT("E" &amp; $O137):INDIRECT("E" &amp; $P137)),"")</f>
        <v>74.2</v>
      </c>
      <c r="T137" s="139">
        <f ca="1">IFERROR(MIN(INDIRECT("F" &amp; $O137):INDIRECT("F" &amp; $P137)),"")</f>
        <v>49.5</v>
      </c>
      <c r="U137" s="18">
        <f t="shared" ca="1" si="295"/>
        <v>65.745454545454535</v>
      </c>
      <c r="V137" s="139"/>
      <c r="W137" s="139"/>
      <c r="X137" s="19">
        <f t="shared" si="136"/>
        <v>45444</v>
      </c>
      <c r="Y137" s="18">
        <f ca="1">IFERROR(AVERAGE(INDIRECT("H" &amp; $O137):INDIRECT("H" &amp; $P137)),"")</f>
        <v>18.363636363636363</v>
      </c>
      <c r="Z137" s="139">
        <f ca="1">IFERROR(MAX(INDIRECT("I" &amp; $O137):INDIRECT("I" &amp; $P137)),"")</f>
        <v>27.4</v>
      </c>
      <c r="AA137" s="139">
        <f ca="1">IFERROR(MIN(INDIRECT("J" &amp; $O137):INDIRECT("J" &amp; $P137)),"")</f>
        <v>14</v>
      </c>
      <c r="AB137" s="18">
        <f t="shared" ca="1" si="296"/>
        <v>18.663636363636364</v>
      </c>
    </row>
    <row r="138" spans="1:28" x14ac:dyDescent="0.25">
      <c r="A138" s="10">
        <v>45326</v>
      </c>
      <c r="B138" s="11">
        <v>0</v>
      </c>
      <c r="C138" s="22">
        <v>45326</v>
      </c>
      <c r="D138" s="12">
        <v>71.8</v>
      </c>
      <c r="E138" s="12">
        <v>79.900000000000006</v>
      </c>
      <c r="F138" s="12">
        <v>57.5</v>
      </c>
      <c r="G138" s="12" t="s">
        <v>6</v>
      </c>
      <c r="H138" s="12">
        <v>18</v>
      </c>
      <c r="I138" s="12">
        <v>26.5</v>
      </c>
      <c r="J138" s="12">
        <v>8.3000000000000007</v>
      </c>
      <c r="K138" s="12" t="s">
        <v>6</v>
      </c>
      <c r="L138" s="13">
        <v>220</v>
      </c>
      <c r="M138" s="12"/>
      <c r="N138" s="12" t="s">
        <v>138</v>
      </c>
      <c r="O138" s="140">
        <f t="shared" ca="1" si="293"/>
        <v>845</v>
      </c>
      <c r="P138" s="140">
        <f t="shared" ca="1" si="294"/>
        <v>847</v>
      </c>
      <c r="Q138" s="19">
        <f t="shared" si="135"/>
        <v>45445</v>
      </c>
      <c r="R138" s="18">
        <f ca="1">IFERROR(AVERAGE(INDIRECT("D" &amp; $O138):INDIRECT("D" &amp; $P138)),"")</f>
        <v>64.7</v>
      </c>
      <c r="S138" s="140">
        <f ca="1">IFERROR(MAX(INDIRECT("E" &amp; $O138):INDIRECT("E" &amp; $P138)),"")</f>
        <v>71.599999999999994</v>
      </c>
      <c r="T138" s="140">
        <f ca="1">IFERROR(MIN(INDIRECT("F" &amp; $O138):INDIRECT("F" &amp; $P138)),"")</f>
        <v>54</v>
      </c>
      <c r="U138" s="18">
        <f t="shared" ca="1" si="295"/>
        <v>65.7</v>
      </c>
      <c r="V138" s="140"/>
      <c r="W138" s="140"/>
      <c r="X138" s="19">
        <f t="shared" si="136"/>
        <v>45445</v>
      </c>
      <c r="Y138" s="18">
        <f ca="1">IFERROR(AVERAGE(INDIRECT("H" &amp; $O138):INDIRECT("H" &amp; $P138)),"")</f>
        <v>19.033333333333335</v>
      </c>
      <c r="Z138" s="140">
        <f ca="1">IFERROR(MAX(INDIRECT("I" &amp; $O138):INDIRECT("I" &amp; $P138)),"")</f>
        <v>27.7</v>
      </c>
      <c r="AA138" s="140">
        <f ca="1">IFERROR(MIN(INDIRECT("J" &amp; $O138):INDIRECT("J" &amp; $P138)),"")</f>
        <v>15.3</v>
      </c>
      <c r="AB138" s="18">
        <f t="shared" ca="1" si="296"/>
        <v>19.333333333333336</v>
      </c>
    </row>
    <row r="139" spans="1:28" x14ac:dyDescent="0.25">
      <c r="A139" s="10">
        <v>45326</v>
      </c>
      <c r="B139" s="11">
        <v>4.1666666666666664E-2</v>
      </c>
      <c r="C139" s="22">
        <v>45326.041666666664</v>
      </c>
      <c r="D139" s="12">
        <v>70</v>
      </c>
      <c r="E139" s="12">
        <v>75</v>
      </c>
      <c r="F139" s="12">
        <v>64.400000000000006</v>
      </c>
      <c r="G139" s="12" t="s">
        <v>6</v>
      </c>
      <c r="H139" s="12">
        <v>21.1</v>
      </c>
      <c r="I139" s="12">
        <v>27.2</v>
      </c>
      <c r="J139" s="12">
        <v>12.6</v>
      </c>
      <c r="K139" s="12" t="s">
        <v>6</v>
      </c>
      <c r="L139" s="13">
        <v>14</v>
      </c>
      <c r="M139" s="12"/>
      <c r="N139" s="12" t="s">
        <v>139</v>
      </c>
      <c r="O139" s="141">
        <f t="shared" ref="O139" ca="1" si="297">MIN(ROW(INDIRECT(N139)))</f>
        <v>848</v>
      </c>
      <c r="P139" s="141">
        <f t="shared" ref="P139" ca="1" si="298">MIN(ROW(INDIRECT(N139))) + ROWS(INDIRECT(N139)) -1</f>
        <v>851</v>
      </c>
      <c r="Q139" s="19">
        <f t="shared" si="135"/>
        <v>45446</v>
      </c>
      <c r="R139" s="18">
        <f ca="1">IFERROR(AVERAGE(INDIRECT("D" &amp; $O139):INDIRECT("D" &amp; $P139)),"")</f>
        <v>64.224999999999994</v>
      </c>
      <c r="S139" s="141">
        <f ca="1">IFERROR(MAX(INDIRECT("E" &amp; $O139):INDIRECT("E" &amp; $P139)),"")</f>
        <v>72.5</v>
      </c>
      <c r="T139" s="141">
        <f ca="1">IFERROR(MIN(INDIRECT("F" &amp; $O139):INDIRECT("F" &amp; $P139)),"")</f>
        <v>52.9</v>
      </c>
      <c r="U139" s="18">
        <f t="shared" ref="U139" ca="1" si="299">R139+1</f>
        <v>65.224999999999994</v>
      </c>
      <c r="V139" s="141"/>
      <c r="W139" s="141"/>
      <c r="X139" s="19">
        <f t="shared" si="136"/>
        <v>45446</v>
      </c>
      <c r="Y139" s="18">
        <f ca="1">IFERROR(AVERAGE(INDIRECT("H" &amp; $O139):INDIRECT("H" &amp; $P139)),"")</f>
        <v>17.725000000000001</v>
      </c>
      <c r="Z139" s="141">
        <f ca="1">IFERROR(MAX(INDIRECT("I" &amp; $O139):INDIRECT("I" &amp; $P139)),"")</f>
        <v>24.4</v>
      </c>
      <c r="AA139" s="141">
        <f ca="1">IFERROR(MIN(INDIRECT("J" &amp; $O139):INDIRECT("J" &amp; $P139)),"")</f>
        <v>13.7</v>
      </c>
      <c r="AB139" s="18">
        <f t="shared" ref="AB139" ca="1" si="300">Y139+0.3</f>
        <v>18.025000000000002</v>
      </c>
    </row>
    <row r="140" spans="1:28" x14ac:dyDescent="0.25">
      <c r="A140" s="10">
        <v>45326</v>
      </c>
      <c r="B140" s="11">
        <v>0.125</v>
      </c>
      <c r="C140" s="22">
        <v>45326.125</v>
      </c>
      <c r="D140" s="12">
        <v>72.599999999999994</v>
      </c>
      <c r="E140" s="12">
        <v>81.8</v>
      </c>
      <c r="F140" s="12">
        <v>59.5</v>
      </c>
      <c r="G140" s="12" t="s">
        <v>6</v>
      </c>
      <c r="H140" s="12">
        <v>18.7</v>
      </c>
      <c r="I140" s="12">
        <v>25.4</v>
      </c>
      <c r="J140" s="12">
        <v>9.5</v>
      </c>
      <c r="K140" s="12" t="s">
        <v>6</v>
      </c>
      <c r="L140" s="13">
        <v>100</v>
      </c>
      <c r="M140" s="12"/>
      <c r="N140" s="12" t="s">
        <v>140</v>
      </c>
      <c r="O140" s="142">
        <f t="shared" ref="O140:O141" ca="1" si="301">MIN(ROW(INDIRECT(N140)))</f>
        <v>852</v>
      </c>
      <c r="P140" s="142">
        <f t="shared" ref="P140:P141" ca="1" si="302">MIN(ROW(INDIRECT(N140))) + ROWS(INDIRECT(N140)) -1</f>
        <v>856</v>
      </c>
      <c r="Q140" s="19">
        <f t="shared" si="135"/>
        <v>45447</v>
      </c>
      <c r="R140" s="18">
        <f ca="1">IFERROR(AVERAGE(INDIRECT("D" &amp; $O140):INDIRECT("D" &amp; $P140)),"")</f>
        <v>70.97999999999999</v>
      </c>
      <c r="S140" s="142">
        <f ca="1">IFERROR(MAX(INDIRECT("E" &amp; $O140):INDIRECT("E" &amp; $P140)),"")</f>
        <v>79.8</v>
      </c>
      <c r="T140" s="142">
        <f ca="1">IFERROR(MIN(INDIRECT("F" &amp; $O140):INDIRECT("F" &amp; $P140)),"")</f>
        <v>62.3</v>
      </c>
      <c r="U140" s="18">
        <f t="shared" ref="U140:U141" ca="1" si="303">R140+1</f>
        <v>71.97999999999999</v>
      </c>
      <c r="V140" s="142"/>
      <c r="W140" s="142"/>
      <c r="X140" s="19">
        <f t="shared" si="136"/>
        <v>45447</v>
      </c>
      <c r="Y140" s="18">
        <f ca="1">IFERROR(AVERAGE(INDIRECT("H" &amp; $O140):INDIRECT("H" &amp; $P140)),"")</f>
        <v>15.86</v>
      </c>
      <c r="Z140" s="142">
        <f ca="1">IFERROR(MAX(INDIRECT("I" &amp; $O140):INDIRECT("I" &amp; $P140)),"")</f>
        <v>22.8</v>
      </c>
      <c r="AA140" s="142">
        <f ca="1">IFERROR(MIN(INDIRECT("J" &amp; $O140):INDIRECT("J" &amp; $P140)),"")</f>
        <v>10.7</v>
      </c>
      <c r="AB140" s="18">
        <f t="shared" ref="AB140:AB141" ca="1" si="304">Y140+0.3</f>
        <v>16.16</v>
      </c>
    </row>
    <row r="141" spans="1:28" x14ac:dyDescent="0.25">
      <c r="A141" s="10">
        <v>45326</v>
      </c>
      <c r="B141" s="11">
        <v>0.16666666666666666</v>
      </c>
      <c r="C141" s="22">
        <v>45326.166666666664</v>
      </c>
      <c r="D141" s="12">
        <v>71.599999999999994</v>
      </c>
      <c r="E141" s="12">
        <v>79.400000000000006</v>
      </c>
      <c r="F141" s="12">
        <v>62.1</v>
      </c>
      <c r="G141" s="12" t="s">
        <v>6</v>
      </c>
      <c r="H141" s="12">
        <v>16.100000000000001</v>
      </c>
      <c r="I141" s="12">
        <v>20.399999999999999</v>
      </c>
      <c r="J141" s="12">
        <v>8.6999999999999993</v>
      </c>
      <c r="K141" s="12" t="s">
        <v>6</v>
      </c>
      <c r="L141" s="13">
        <v>219</v>
      </c>
      <c r="M141" s="12"/>
      <c r="N141" s="12" t="s">
        <v>141</v>
      </c>
      <c r="O141" s="142">
        <f t="shared" ca="1" si="301"/>
        <v>857</v>
      </c>
      <c r="P141" s="142">
        <f t="shared" ca="1" si="302"/>
        <v>872</v>
      </c>
      <c r="Q141" s="19">
        <f t="shared" ref="Q141:Q167" si="305">Q140+1</f>
        <v>45448</v>
      </c>
      <c r="R141" s="18">
        <f ca="1">IFERROR(AVERAGE(INDIRECT("D" &amp; $O141):INDIRECT("D" &amp; $P141)),"")</f>
        <v>67.056250000000006</v>
      </c>
      <c r="S141" s="142">
        <f ca="1">IFERROR(MAX(INDIRECT("E" &amp; $O141):INDIRECT("E" &amp; $P141)),"")</f>
        <v>79.7</v>
      </c>
      <c r="T141" s="142">
        <f ca="1">IFERROR(MIN(INDIRECT("F" &amp; $O141):INDIRECT("F" &amp; $P141)),"")</f>
        <v>50.2</v>
      </c>
      <c r="U141" s="18">
        <f t="shared" ca="1" si="303"/>
        <v>68.056250000000006</v>
      </c>
      <c r="V141" s="142"/>
      <c r="W141" s="142"/>
      <c r="X141" s="19">
        <f t="shared" ref="X141:X167" si="306">X140+1</f>
        <v>45448</v>
      </c>
      <c r="Y141" s="18">
        <f ca="1">IFERROR(AVERAGE(INDIRECT("H" &amp; $O141):INDIRECT("H" &amp; $P141)),"")</f>
        <v>16.59375</v>
      </c>
      <c r="Z141" s="142">
        <f ca="1">IFERROR(MAX(INDIRECT("I" &amp; $O141):INDIRECT("I" &amp; $P141)),"")</f>
        <v>25.2</v>
      </c>
      <c r="AA141" s="142">
        <f ca="1">IFERROR(MIN(INDIRECT("J" &amp; $O141):INDIRECT("J" &amp; $P141)),"")</f>
        <v>8.4</v>
      </c>
      <c r="AB141" s="18">
        <f t="shared" ca="1" si="304"/>
        <v>16.893750000000001</v>
      </c>
    </row>
    <row r="142" spans="1:28" x14ac:dyDescent="0.25">
      <c r="A142" s="10">
        <v>45326</v>
      </c>
      <c r="B142" s="11">
        <v>0.20833333333333334</v>
      </c>
      <c r="C142" s="22">
        <v>45326.208333333336</v>
      </c>
      <c r="D142" s="12">
        <v>67.900000000000006</v>
      </c>
      <c r="E142" s="12">
        <v>79.400000000000006</v>
      </c>
      <c r="F142" s="12">
        <v>60.8</v>
      </c>
      <c r="G142" s="12" t="s">
        <v>6</v>
      </c>
      <c r="H142" s="12">
        <v>14.9</v>
      </c>
      <c r="I142" s="12">
        <v>22.1</v>
      </c>
      <c r="J142" s="12">
        <v>7.7</v>
      </c>
      <c r="K142" s="12" t="s">
        <v>6</v>
      </c>
      <c r="L142" s="13">
        <v>209</v>
      </c>
      <c r="M142" s="12"/>
      <c r="N142" s="12" t="s">
        <v>142</v>
      </c>
      <c r="O142" s="143">
        <f t="shared" ref="O142" ca="1" si="307">MIN(ROW(INDIRECT(N142)))</f>
        <v>873</v>
      </c>
      <c r="P142" s="143">
        <f t="shared" ref="P142" ca="1" si="308">MIN(ROW(INDIRECT(N142))) + ROWS(INDIRECT(N142)) -1</f>
        <v>886</v>
      </c>
      <c r="Q142" s="19">
        <f t="shared" si="305"/>
        <v>45449</v>
      </c>
      <c r="R142" s="18">
        <f ca="1">IFERROR(AVERAGE(INDIRECT("D" &amp; $O142):INDIRECT("D" &amp; $P142)),"")</f>
        <v>61.957142857142863</v>
      </c>
      <c r="S142" s="143">
        <f ca="1">IFERROR(MAX(INDIRECT("E" &amp; $O142):INDIRECT("E" &amp; $P142)),"")</f>
        <v>74.7</v>
      </c>
      <c r="T142" s="143">
        <f ca="1">IFERROR(MIN(INDIRECT("F" &amp; $O142):INDIRECT("F" &amp; $P142)),"")</f>
        <v>50.3</v>
      </c>
      <c r="U142" s="18">
        <f t="shared" ref="U142" ca="1" si="309">R142+1</f>
        <v>62.957142857142863</v>
      </c>
      <c r="V142" s="143"/>
      <c r="W142" s="143"/>
      <c r="X142" s="19">
        <f t="shared" si="306"/>
        <v>45449</v>
      </c>
      <c r="Y142" s="18">
        <f ca="1">IFERROR(AVERAGE(INDIRECT("H" &amp; $O142):INDIRECT("H" &amp; $P142)),"")</f>
        <v>17.578571428571426</v>
      </c>
      <c r="Z142" s="143">
        <f ca="1">IFERROR(MAX(INDIRECT("I" &amp; $O142):INDIRECT("I" &amp; $P142)),"")</f>
        <v>33.700000000000003</v>
      </c>
      <c r="AA142" s="143">
        <f ca="1">IFERROR(MIN(INDIRECT("J" &amp; $O142):INDIRECT("J" &amp; $P142)),"")</f>
        <v>8.4</v>
      </c>
      <c r="AB142" s="18">
        <f t="shared" ref="AB142" ca="1" si="310">Y142+0.3</f>
        <v>17.878571428571426</v>
      </c>
    </row>
    <row r="143" spans="1:28" x14ac:dyDescent="0.25">
      <c r="A143" s="10">
        <v>45326</v>
      </c>
      <c r="B143" s="11">
        <v>0.25</v>
      </c>
      <c r="C143" s="22">
        <v>45326.25</v>
      </c>
      <c r="D143" s="12">
        <v>71.900000000000006</v>
      </c>
      <c r="E143" s="12">
        <v>79.7</v>
      </c>
      <c r="F143" s="12">
        <v>64.8</v>
      </c>
      <c r="G143" s="12" t="s">
        <v>6</v>
      </c>
      <c r="H143" s="12">
        <v>15.5</v>
      </c>
      <c r="I143" s="12">
        <v>22.6</v>
      </c>
      <c r="J143" s="12">
        <v>9.8000000000000007</v>
      </c>
      <c r="K143" s="12" t="s">
        <v>6</v>
      </c>
      <c r="L143" s="13">
        <v>192</v>
      </c>
      <c r="M143" s="12"/>
      <c r="N143" s="12" t="s">
        <v>143</v>
      </c>
      <c r="O143" s="145">
        <f t="shared" ref="O143:O145" ca="1" si="311">MIN(ROW(INDIRECT(N143)))</f>
        <v>887</v>
      </c>
      <c r="P143" s="145">
        <f t="shared" ref="P143:P145" ca="1" si="312">MIN(ROW(INDIRECT(N143))) + ROWS(INDIRECT(N143)) -1</f>
        <v>894</v>
      </c>
      <c r="Q143" s="19">
        <f t="shared" si="305"/>
        <v>45450</v>
      </c>
      <c r="R143" s="18">
        <f ca="1">IFERROR(AVERAGE(INDIRECT("D" &amp; $O143):INDIRECT("D" &amp; $P143)),"")</f>
        <v>63.174999999999997</v>
      </c>
      <c r="S143" s="145">
        <f ca="1">IFERROR(MAX(INDIRECT("E" &amp; $O143):INDIRECT("E" &amp; $P143)),"")</f>
        <v>71.5</v>
      </c>
      <c r="T143" s="145">
        <f ca="1">IFERROR(MIN(INDIRECT("F" &amp; $O143):INDIRECT("F" &amp; $P143)),"")</f>
        <v>49.8</v>
      </c>
      <c r="U143" s="18">
        <f t="shared" ref="U143:U145" ca="1" si="313">R143+1</f>
        <v>64.174999999999997</v>
      </c>
      <c r="V143" s="145"/>
      <c r="W143" s="145"/>
      <c r="X143" s="19">
        <f t="shared" si="306"/>
        <v>45450</v>
      </c>
      <c r="Y143" s="18">
        <f ca="1">IFERROR(AVERAGE(INDIRECT("H" &amp; $O143):INDIRECT("H" &amp; $P143)),"")</f>
        <v>18.574999999999999</v>
      </c>
      <c r="Z143" s="145">
        <f ca="1">IFERROR(MAX(INDIRECT("I" &amp; $O143):INDIRECT("I" &amp; $P143)),"")</f>
        <v>28.9</v>
      </c>
      <c r="AA143" s="145">
        <f ca="1">IFERROR(MIN(INDIRECT("J" &amp; $O143):INDIRECT("J" &amp; $P143)),"")</f>
        <v>15.4</v>
      </c>
      <c r="AB143" s="18">
        <f t="shared" ref="AB143:AB145" ca="1" si="314">Y143+0.3</f>
        <v>18.875</v>
      </c>
    </row>
    <row r="144" spans="1:28" x14ac:dyDescent="0.25">
      <c r="A144" s="10">
        <v>45326</v>
      </c>
      <c r="B144" s="11">
        <v>0.29166666666666669</v>
      </c>
      <c r="C144" s="22">
        <v>45326.291666666664</v>
      </c>
      <c r="D144" s="12">
        <v>70.900000000000006</v>
      </c>
      <c r="E144" s="12">
        <v>79</v>
      </c>
      <c r="F144" s="12">
        <v>63.1</v>
      </c>
      <c r="G144" s="12" t="s">
        <v>6</v>
      </c>
      <c r="H144" s="12">
        <v>16.600000000000001</v>
      </c>
      <c r="I144" s="12">
        <v>22.6</v>
      </c>
      <c r="J144" s="12">
        <v>11.5</v>
      </c>
      <c r="K144" s="12" t="s">
        <v>6</v>
      </c>
      <c r="L144" s="13">
        <v>208</v>
      </c>
      <c r="M144" s="12"/>
      <c r="N144" s="12" t="s">
        <v>144</v>
      </c>
      <c r="O144" s="145">
        <f t="shared" ca="1" si="311"/>
        <v>895</v>
      </c>
      <c r="P144" s="145">
        <f t="shared" ca="1" si="312"/>
        <v>897</v>
      </c>
      <c r="Q144" s="19">
        <f t="shared" si="305"/>
        <v>45451</v>
      </c>
      <c r="R144" s="18">
        <f ca="1">IFERROR(AVERAGE(INDIRECT("D" &amp; $O144):INDIRECT("D" &amp; $P144)),"")</f>
        <v>73.366666666666674</v>
      </c>
      <c r="S144" s="145">
        <f ca="1">IFERROR(MAX(INDIRECT("E" &amp; $O144):INDIRECT("E" &amp; $P144)),"")</f>
        <v>87.3</v>
      </c>
      <c r="T144" s="145">
        <f ca="1">IFERROR(MIN(INDIRECT("F" &amp; $O144):INDIRECT("F" &amp; $P144)),"")</f>
        <v>51.6</v>
      </c>
      <c r="U144" s="18">
        <f t="shared" ca="1" si="313"/>
        <v>74.366666666666674</v>
      </c>
      <c r="V144" s="145"/>
      <c r="W144" s="145"/>
      <c r="X144" s="19">
        <f t="shared" si="306"/>
        <v>45451</v>
      </c>
      <c r="Y144" s="18">
        <f ca="1">IFERROR(AVERAGE(INDIRECT("H" &amp; $O144):INDIRECT("H" &amp; $P144)),"")</f>
        <v>20.099999999999998</v>
      </c>
      <c r="Z144" s="145">
        <f ca="1">IFERROR(MAX(INDIRECT("I" &amp; $O144):INDIRECT("I" &amp; $P144)),"")</f>
        <v>27.8</v>
      </c>
      <c r="AA144" s="145">
        <f ca="1">IFERROR(MIN(INDIRECT("J" &amp; $O144):INDIRECT("J" &amp; $P144)),"")</f>
        <v>14.5</v>
      </c>
      <c r="AB144" s="18">
        <f t="shared" ca="1" si="314"/>
        <v>20.399999999999999</v>
      </c>
    </row>
    <row r="145" spans="1:28" x14ac:dyDescent="0.25">
      <c r="A145" s="14">
        <v>45326</v>
      </c>
      <c r="B145" s="15">
        <v>0.33333333333333331</v>
      </c>
      <c r="C145" s="20">
        <v>45326.333333333336</v>
      </c>
      <c r="D145" s="16">
        <v>74.5</v>
      </c>
      <c r="E145" s="16">
        <v>79</v>
      </c>
      <c r="F145" s="16">
        <v>69.599999999999994</v>
      </c>
      <c r="G145" s="16" t="s">
        <v>6</v>
      </c>
      <c r="H145" s="16">
        <v>14.1</v>
      </c>
      <c r="I145" s="16">
        <v>20.8</v>
      </c>
      <c r="J145" s="16">
        <v>8.9</v>
      </c>
      <c r="K145" s="16" t="s">
        <v>6</v>
      </c>
      <c r="L145" s="17">
        <v>29</v>
      </c>
      <c r="M145" s="12"/>
      <c r="N145" s="12" t="s">
        <v>145</v>
      </c>
      <c r="O145" s="145">
        <f t="shared" ca="1" si="311"/>
        <v>898</v>
      </c>
      <c r="P145" s="145">
        <f t="shared" ca="1" si="312"/>
        <v>904</v>
      </c>
      <c r="Q145" s="19">
        <f t="shared" si="305"/>
        <v>45452</v>
      </c>
      <c r="R145" s="18">
        <f ca="1">IFERROR(AVERAGE(INDIRECT("D" &amp; $O145):INDIRECT("D" &amp; $P145)),"")</f>
        <v>62.828571428571429</v>
      </c>
      <c r="S145" s="145">
        <f ca="1">IFERROR(MAX(INDIRECT("E" &amp; $O145):INDIRECT("E" &amp; $P145)),"")</f>
        <v>72</v>
      </c>
      <c r="T145" s="145">
        <f ca="1">IFERROR(MIN(INDIRECT("F" &amp; $O145):INDIRECT("F" &amp; $P145)),"")</f>
        <v>47</v>
      </c>
      <c r="U145" s="18">
        <f t="shared" ca="1" si="313"/>
        <v>63.828571428571429</v>
      </c>
      <c r="V145" s="145"/>
      <c r="W145" s="145"/>
      <c r="X145" s="19">
        <f t="shared" si="306"/>
        <v>45452</v>
      </c>
      <c r="Y145" s="18">
        <f ca="1">IFERROR(AVERAGE(INDIRECT("H" &amp; $O145):INDIRECT("H" &amp; $P145)),"")</f>
        <v>19.271428571428569</v>
      </c>
      <c r="Z145" s="145">
        <f ca="1">IFERROR(MAX(INDIRECT("I" &amp; $O145):INDIRECT("I" &amp; $P145)),"")</f>
        <v>25.1</v>
      </c>
      <c r="AA145" s="145">
        <f ca="1">IFERROR(MIN(INDIRECT("J" &amp; $O145):INDIRECT("J" &amp; $P145)),"")</f>
        <v>15.5</v>
      </c>
      <c r="AB145" s="18">
        <f t="shared" ca="1" si="314"/>
        <v>19.571428571428569</v>
      </c>
    </row>
    <row r="146" spans="1:28" x14ac:dyDescent="0.25">
      <c r="A146" s="6">
        <v>45326</v>
      </c>
      <c r="B146" s="7">
        <v>0.79166666666666663</v>
      </c>
      <c r="C146" s="21">
        <v>45326.791666666664</v>
      </c>
      <c r="D146" s="8">
        <v>66.2</v>
      </c>
      <c r="E146" s="8">
        <v>70.400000000000006</v>
      </c>
      <c r="F146" s="8">
        <v>64.599999999999994</v>
      </c>
      <c r="G146" s="8" t="s">
        <v>6</v>
      </c>
      <c r="H146" s="8">
        <v>16.7</v>
      </c>
      <c r="I146" s="8">
        <v>23.4</v>
      </c>
      <c r="J146" s="8">
        <v>5.9</v>
      </c>
      <c r="K146" s="8" t="s">
        <v>6</v>
      </c>
      <c r="L146" s="9">
        <v>22</v>
      </c>
      <c r="M146" s="12"/>
      <c r="N146" s="12" t="s">
        <v>146</v>
      </c>
      <c r="O146" s="146">
        <f t="shared" ref="O146" ca="1" si="315">MIN(ROW(INDIRECT(N146)))</f>
        <v>905</v>
      </c>
      <c r="P146" s="146">
        <f t="shared" ref="P146" ca="1" si="316">MIN(ROW(INDIRECT(N146))) + ROWS(INDIRECT(N146)) -1</f>
        <v>915</v>
      </c>
      <c r="Q146" s="19">
        <f t="shared" si="305"/>
        <v>45453</v>
      </c>
      <c r="R146" s="18">
        <f ca="1">IFERROR(AVERAGE(INDIRECT("D" &amp; $O146):INDIRECT("D" &amp; $P146)),"")</f>
        <v>62.572727272727271</v>
      </c>
      <c r="S146" s="146">
        <f ca="1">IFERROR(MAX(INDIRECT("E" &amp; $O146):INDIRECT("E" &amp; $P146)),"")</f>
        <v>73.099999999999994</v>
      </c>
      <c r="T146" s="146">
        <f ca="1">IFERROR(MIN(INDIRECT("F" &amp; $O146):INDIRECT("F" &amp; $P146)),"")</f>
        <v>47.1</v>
      </c>
      <c r="U146" s="18">
        <f t="shared" ref="U146" ca="1" si="317">R146+1</f>
        <v>63.572727272727271</v>
      </c>
      <c r="V146" s="146"/>
      <c r="W146" s="146"/>
      <c r="X146" s="19">
        <f t="shared" si="306"/>
        <v>45453</v>
      </c>
      <c r="Y146" s="18">
        <f ca="1">IFERROR(AVERAGE(INDIRECT("H" &amp; $O146):INDIRECT("H" &amp; $P146)),"")</f>
        <v>18.436363636363634</v>
      </c>
      <c r="Z146" s="146">
        <f ca="1">IFERROR(MAX(INDIRECT("I" &amp; $O146):INDIRECT("I" &amp; $P146)),"")</f>
        <v>24.2</v>
      </c>
      <c r="AA146" s="146">
        <f ca="1">IFERROR(MIN(INDIRECT("J" &amp; $O146):INDIRECT("J" &amp; $P146)),"")</f>
        <v>14.5</v>
      </c>
      <c r="AB146" s="18">
        <f t="shared" ref="AB146" ca="1" si="318">Y146+0.3</f>
        <v>18.736363636363635</v>
      </c>
    </row>
    <row r="147" spans="1:28" x14ac:dyDescent="0.25">
      <c r="A147" s="10">
        <v>45326</v>
      </c>
      <c r="B147" s="11">
        <v>0.83333333333333337</v>
      </c>
      <c r="C147" s="22">
        <v>45326.833333333336</v>
      </c>
      <c r="D147" s="12">
        <v>68.599999999999994</v>
      </c>
      <c r="E147" s="12">
        <v>80.599999999999994</v>
      </c>
      <c r="F147" s="12">
        <v>52.4</v>
      </c>
      <c r="G147" s="12" t="s">
        <v>6</v>
      </c>
      <c r="H147" s="12">
        <v>19.600000000000001</v>
      </c>
      <c r="I147" s="12">
        <v>26.9</v>
      </c>
      <c r="J147" s="12">
        <v>10</v>
      </c>
      <c r="K147" s="12" t="s">
        <v>6</v>
      </c>
      <c r="L147" s="13">
        <v>166</v>
      </c>
      <c r="M147" s="12"/>
      <c r="N147" s="12" t="s">
        <v>147</v>
      </c>
      <c r="O147" s="147">
        <f t="shared" ref="O147" ca="1" si="319">MIN(ROW(INDIRECT(N147)))</f>
        <v>916</v>
      </c>
      <c r="P147" s="147">
        <f t="shared" ref="P147" ca="1" si="320">MIN(ROW(INDIRECT(N147))) + ROWS(INDIRECT(N147)) -1</f>
        <v>925</v>
      </c>
      <c r="Q147" s="19">
        <f t="shared" si="305"/>
        <v>45454</v>
      </c>
      <c r="R147" s="18">
        <f ca="1">IFERROR(AVERAGE(INDIRECT("D" &amp; $O147):INDIRECT("D" &amp; $P147)),"")</f>
        <v>63.149999999999991</v>
      </c>
      <c r="S147" s="147">
        <f ca="1">IFERROR(MAX(INDIRECT("E" &amp; $O147):INDIRECT("E" &amp; $P147)),"")</f>
        <v>71.599999999999994</v>
      </c>
      <c r="T147" s="147">
        <f ca="1">IFERROR(MIN(INDIRECT("F" &amp; $O147):INDIRECT("F" &amp; $P147)),"")</f>
        <v>52.6</v>
      </c>
      <c r="U147" s="18">
        <f t="shared" ref="U147" ca="1" si="321">R147+1</f>
        <v>64.149999999999991</v>
      </c>
      <c r="V147" s="147"/>
      <c r="W147" s="147"/>
      <c r="X147" s="19">
        <f t="shared" si="306"/>
        <v>45454</v>
      </c>
      <c r="Y147" s="18">
        <f ca="1">IFERROR(AVERAGE(INDIRECT("H" &amp; $O147):INDIRECT("H" &amp; $P147)),"")</f>
        <v>18.529999999999998</v>
      </c>
      <c r="Z147" s="147">
        <f ca="1">IFERROR(MAX(INDIRECT("I" &amp; $O147):INDIRECT("I" &amp; $P147)),"")</f>
        <v>26.8</v>
      </c>
      <c r="AA147" s="147">
        <f ca="1">IFERROR(MIN(INDIRECT("J" &amp; $O147):INDIRECT("J" &amp; $P147)),"")</f>
        <v>14.2</v>
      </c>
      <c r="AB147" s="18">
        <f t="shared" ref="AB147" ca="1" si="322">Y147+0.3</f>
        <v>18.829999999999998</v>
      </c>
    </row>
    <row r="148" spans="1:28" x14ac:dyDescent="0.25">
      <c r="A148" s="10">
        <v>45326</v>
      </c>
      <c r="B148" s="11">
        <v>0.875</v>
      </c>
      <c r="C148" s="22">
        <v>45326.875</v>
      </c>
      <c r="D148" s="12">
        <v>68.8</v>
      </c>
      <c r="E148" s="12">
        <v>78.400000000000006</v>
      </c>
      <c r="F148" s="12">
        <v>54.6</v>
      </c>
      <c r="G148" s="12" t="s">
        <v>6</v>
      </c>
      <c r="H148" s="12">
        <v>17.399999999999999</v>
      </c>
      <c r="I148" s="12">
        <v>46.2</v>
      </c>
      <c r="J148" s="12">
        <v>9.5</v>
      </c>
      <c r="K148" s="12" t="s">
        <v>6</v>
      </c>
      <c r="L148" s="13">
        <v>194</v>
      </c>
      <c r="M148" s="12"/>
      <c r="N148" s="12" t="s">
        <v>148</v>
      </c>
      <c r="O148" s="148">
        <f t="shared" ref="O148:O149" ca="1" si="323">MIN(ROW(INDIRECT(N148)))</f>
        <v>926</v>
      </c>
      <c r="P148" s="148">
        <f t="shared" ref="P148:P149" ca="1" si="324">MIN(ROW(INDIRECT(N148))) + ROWS(INDIRECT(N148)) -1</f>
        <v>935</v>
      </c>
      <c r="Q148" s="19">
        <f t="shared" si="305"/>
        <v>45455</v>
      </c>
      <c r="R148" s="18">
        <f ca="1">IFERROR(AVERAGE(INDIRECT("D" &amp; $O148):INDIRECT("D" &amp; $P148)),"")</f>
        <v>64.109999999999985</v>
      </c>
      <c r="S148" s="148">
        <f ca="1">IFERROR(MAX(INDIRECT("E" &amp; $O148):INDIRECT("E" &amp; $P148)),"")</f>
        <v>72.900000000000006</v>
      </c>
      <c r="T148" s="148">
        <f ca="1">IFERROR(MIN(INDIRECT("F" &amp; $O148):INDIRECT("F" &amp; $P148)),"")</f>
        <v>49.1</v>
      </c>
      <c r="U148" s="18">
        <f t="shared" ref="U148:U149" ca="1" si="325">R148+1</f>
        <v>65.109999999999985</v>
      </c>
      <c r="V148" s="148"/>
      <c r="W148" s="148"/>
      <c r="X148" s="19">
        <f t="shared" si="306"/>
        <v>45455</v>
      </c>
      <c r="Y148" s="18">
        <f ca="1">IFERROR(AVERAGE(INDIRECT("H" &amp; $O148):INDIRECT("H" &amp; $P148)),"")</f>
        <v>18.389999999999997</v>
      </c>
      <c r="Z148" s="148">
        <f ca="1">IFERROR(MAX(INDIRECT("I" &amp; $O148):INDIRECT("I" &amp; $P148)),"")</f>
        <v>35.4</v>
      </c>
      <c r="AA148" s="148">
        <f ca="1">IFERROR(MIN(INDIRECT("J" &amp; $O148):INDIRECT("J" &amp; $P148)),"")</f>
        <v>14.8</v>
      </c>
      <c r="AB148" s="18">
        <f t="shared" ref="AB148:AB149" ca="1" si="326">Y148+0.3</f>
        <v>18.689999999999998</v>
      </c>
    </row>
    <row r="149" spans="1:28" x14ac:dyDescent="0.25">
      <c r="A149" s="10">
        <v>45326</v>
      </c>
      <c r="B149" s="11">
        <v>0.91666666666666663</v>
      </c>
      <c r="C149" s="22">
        <v>45326.916666666664</v>
      </c>
      <c r="D149" s="12">
        <v>65</v>
      </c>
      <c r="E149" s="12">
        <v>67.900000000000006</v>
      </c>
      <c r="F149" s="12">
        <v>62.1</v>
      </c>
      <c r="G149" s="12" t="s">
        <v>6</v>
      </c>
      <c r="H149" s="12">
        <v>15.2</v>
      </c>
      <c r="I149" s="12">
        <v>20.8</v>
      </c>
      <c r="J149" s="12">
        <v>9.6999999999999993</v>
      </c>
      <c r="K149" s="12" t="s">
        <v>6</v>
      </c>
      <c r="L149" s="13">
        <v>36</v>
      </c>
      <c r="M149" s="12"/>
      <c r="N149" s="12" t="s">
        <v>149</v>
      </c>
      <c r="O149" s="148">
        <f t="shared" ca="1" si="323"/>
        <v>936</v>
      </c>
      <c r="P149" s="148">
        <f t="shared" ca="1" si="324"/>
        <v>946</v>
      </c>
      <c r="Q149" s="19">
        <f t="shared" si="305"/>
        <v>45456</v>
      </c>
      <c r="R149" s="18">
        <f ca="1">IFERROR(AVERAGE(INDIRECT("D" &amp; $O149):INDIRECT("D" &amp; $P149)),"")</f>
        <v>65.72727272727272</v>
      </c>
      <c r="S149" s="148">
        <f ca="1">IFERROR(MAX(INDIRECT("E" &amp; $O149):INDIRECT("E" &amp; $P149)),"")</f>
        <v>75.5</v>
      </c>
      <c r="T149" s="148">
        <f ca="1">IFERROR(MIN(INDIRECT("F" &amp; $O149):INDIRECT("F" &amp; $P149)),"")</f>
        <v>56</v>
      </c>
      <c r="U149" s="18">
        <f t="shared" ca="1" si="325"/>
        <v>66.72727272727272</v>
      </c>
      <c r="V149" s="148"/>
      <c r="W149" s="148"/>
      <c r="X149" s="19">
        <f t="shared" si="306"/>
        <v>45456</v>
      </c>
      <c r="Y149" s="18">
        <f ca="1">IFERROR(AVERAGE(INDIRECT("H" &amp; $O149):INDIRECT("H" &amp; $P149)),"")</f>
        <v>16.899999999999999</v>
      </c>
      <c r="Z149" s="148">
        <f ca="1">IFERROR(MAX(INDIRECT("I" &amp; $O149):INDIRECT("I" &amp; $P149)),"")</f>
        <v>34.200000000000003</v>
      </c>
      <c r="AA149" s="148">
        <f ca="1">IFERROR(MIN(INDIRECT("J" &amp; $O149):INDIRECT("J" &amp; $P149)),"")</f>
        <v>7.8</v>
      </c>
      <c r="AB149" s="18">
        <f t="shared" ca="1" si="326"/>
        <v>17.2</v>
      </c>
    </row>
    <row r="150" spans="1:28" x14ac:dyDescent="0.25">
      <c r="A150" s="10">
        <v>45327</v>
      </c>
      <c r="B150" s="11">
        <v>0</v>
      </c>
      <c r="C150" s="22">
        <v>45327</v>
      </c>
      <c r="D150" s="12">
        <v>64.7</v>
      </c>
      <c r="E150" s="12">
        <v>71.900000000000006</v>
      </c>
      <c r="F150" s="12">
        <v>53.9</v>
      </c>
      <c r="G150" s="12" t="s">
        <v>6</v>
      </c>
      <c r="H150" s="12">
        <v>18.7</v>
      </c>
      <c r="I150" s="12">
        <v>39.700000000000003</v>
      </c>
      <c r="J150" s="12">
        <v>6.1</v>
      </c>
      <c r="K150" s="12" t="s">
        <v>6</v>
      </c>
      <c r="L150" s="13">
        <v>181</v>
      </c>
      <c r="M150" s="12"/>
      <c r="N150" s="12" t="s">
        <v>150</v>
      </c>
      <c r="O150" s="150">
        <f t="shared" ref="O150:O152" ca="1" si="327">MIN(ROW(INDIRECT(N150)))</f>
        <v>947</v>
      </c>
      <c r="P150" s="150">
        <f t="shared" ref="P150:P152" ca="1" si="328">MIN(ROW(INDIRECT(N150))) + ROWS(INDIRECT(N150)) -1</f>
        <v>954</v>
      </c>
      <c r="Q150" s="19">
        <f t="shared" si="305"/>
        <v>45457</v>
      </c>
      <c r="R150" s="18">
        <f ca="1">IFERROR(AVERAGE(INDIRECT("D" &amp; $O150):INDIRECT("D" &amp; $P150)),"")</f>
        <v>63.0625</v>
      </c>
      <c r="S150" s="150">
        <f ca="1">IFERROR(MAX(INDIRECT("E" &amp; $O150):INDIRECT("E" &amp; $P150)),"")</f>
        <v>72.2</v>
      </c>
      <c r="T150" s="150">
        <f ca="1">IFERROR(MIN(INDIRECT("F" &amp; $O150):INDIRECT("F" &amp; $P150)),"")</f>
        <v>50.2</v>
      </c>
      <c r="U150" s="18">
        <f t="shared" ref="U150:U152" ca="1" si="329">R150+1</f>
        <v>64.0625</v>
      </c>
      <c r="V150" s="150"/>
      <c r="W150" s="150"/>
      <c r="X150" s="19">
        <f t="shared" si="306"/>
        <v>45457</v>
      </c>
      <c r="Y150" s="18">
        <f ca="1">IFERROR(AVERAGE(INDIRECT("H" &amp; $O150):INDIRECT("H" &amp; $P150)),"")</f>
        <v>16.925000000000001</v>
      </c>
      <c r="Z150" s="150">
        <f ca="1">IFERROR(MAX(INDIRECT("I" &amp; $O150):INDIRECT("I" &amp; $P150)),"")</f>
        <v>30.8</v>
      </c>
      <c r="AA150" s="150">
        <f ca="1">IFERROR(MIN(INDIRECT("J" &amp; $O150):INDIRECT("J" &amp; $P150)),"")</f>
        <v>13.3</v>
      </c>
      <c r="AB150" s="18">
        <f t="shared" ref="AB150:AB152" ca="1" si="330">Y150+0.3</f>
        <v>17.225000000000001</v>
      </c>
    </row>
    <row r="151" spans="1:28" x14ac:dyDescent="0.25">
      <c r="A151" s="10">
        <v>45327</v>
      </c>
      <c r="B151" s="11">
        <v>4.1666666666666664E-2</v>
      </c>
      <c r="C151" s="22">
        <v>45327.041666666664</v>
      </c>
      <c r="D151" s="12">
        <v>68.8</v>
      </c>
      <c r="E151" s="12">
        <v>76.900000000000006</v>
      </c>
      <c r="F151" s="12">
        <v>56.8</v>
      </c>
      <c r="G151" s="12" t="s">
        <v>6</v>
      </c>
      <c r="H151" s="12">
        <v>16.100000000000001</v>
      </c>
      <c r="I151" s="12">
        <v>24.3</v>
      </c>
      <c r="J151" s="12">
        <v>9.6999999999999993</v>
      </c>
      <c r="K151" s="12" t="s">
        <v>6</v>
      </c>
      <c r="L151" s="13">
        <v>213</v>
      </c>
      <c r="M151" s="12"/>
      <c r="N151" s="12" t="s">
        <v>151</v>
      </c>
      <c r="O151" s="150">
        <f t="shared" ca="1" si="327"/>
        <v>955</v>
      </c>
      <c r="P151" s="150">
        <f t="shared" ca="1" si="328"/>
        <v>963</v>
      </c>
      <c r="Q151" s="19">
        <f t="shared" si="305"/>
        <v>45458</v>
      </c>
      <c r="R151" s="18">
        <f ca="1">IFERROR(AVERAGE(INDIRECT("D" &amp; $O151):INDIRECT("D" &amp; $P151)),"")</f>
        <v>59.588888888888881</v>
      </c>
      <c r="S151" s="150">
        <f ca="1">IFERROR(MAX(INDIRECT("E" &amp; $O151):INDIRECT("E" &amp; $P151)),"")</f>
        <v>65.900000000000006</v>
      </c>
      <c r="T151" s="150">
        <f ca="1">IFERROR(MIN(INDIRECT("F" &amp; $O151):INDIRECT("F" &amp; $P151)),"")</f>
        <v>51.1</v>
      </c>
      <c r="U151" s="18">
        <f t="shared" ca="1" si="329"/>
        <v>60.588888888888881</v>
      </c>
      <c r="V151" s="150"/>
      <c r="W151" s="150"/>
      <c r="X151" s="19">
        <f t="shared" si="306"/>
        <v>45458</v>
      </c>
      <c r="Y151" s="18">
        <f ca="1">IFERROR(AVERAGE(INDIRECT("H" &amp; $O151):INDIRECT("H" &amp; $P151)),"")</f>
        <v>17.222222222222218</v>
      </c>
      <c r="Z151" s="150">
        <f ca="1">IFERROR(MAX(INDIRECT("I" &amp; $O151):INDIRECT("I" &amp; $P151)),"")</f>
        <v>33.4</v>
      </c>
      <c r="AA151" s="150">
        <f ca="1">IFERROR(MIN(INDIRECT("J" &amp; $O151):INDIRECT("J" &amp; $P151)),"")</f>
        <v>13.9</v>
      </c>
      <c r="AB151" s="18">
        <f t="shared" ca="1" si="330"/>
        <v>17.522222222222219</v>
      </c>
    </row>
    <row r="152" spans="1:28" x14ac:dyDescent="0.25">
      <c r="A152" s="10">
        <v>45327</v>
      </c>
      <c r="B152" s="11">
        <v>8.3333333333333329E-2</v>
      </c>
      <c r="C152" s="22">
        <v>45327.083333333336</v>
      </c>
      <c r="D152" s="12">
        <v>75.900000000000006</v>
      </c>
      <c r="E152" s="12">
        <v>83</v>
      </c>
      <c r="F152" s="12">
        <v>68.7</v>
      </c>
      <c r="G152" s="12" t="s">
        <v>6</v>
      </c>
      <c r="H152" s="12">
        <v>16</v>
      </c>
      <c r="I152" s="12">
        <v>20</v>
      </c>
      <c r="J152" s="12">
        <v>8.6999999999999993</v>
      </c>
      <c r="K152" s="12" t="s">
        <v>6</v>
      </c>
      <c r="L152" s="13">
        <v>213</v>
      </c>
      <c r="M152" s="12"/>
      <c r="N152" s="12" t="s">
        <v>152</v>
      </c>
      <c r="O152" s="150">
        <f t="shared" ca="1" si="327"/>
        <v>964</v>
      </c>
      <c r="P152" s="150">
        <f t="shared" ca="1" si="328"/>
        <v>967</v>
      </c>
      <c r="Q152" s="19">
        <f t="shared" si="305"/>
        <v>45459</v>
      </c>
      <c r="R152" s="18">
        <f ca="1">IFERROR(AVERAGE(INDIRECT("D" &amp; $O152):INDIRECT("D" &amp; $P152)),"")</f>
        <v>62.074999999999996</v>
      </c>
      <c r="S152" s="150">
        <f ca="1">IFERROR(MAX(INDIRECT("E" &amp; $O152):INDIRECT("E" &amp; $P152)),"")</f>
        <v>74.7</v>
      </c>
      <c r="T152" s="150">
        <f ca="1">IFERROR(MIN(INDIRECT("F" &amp; $O152):INDIRECT("F" &amp; $P152)),"")</f>
        <v>52.8</v>
      </c>
      <c r="U152" s="18">
        <f t="shared" ca="1" si="329"/>
        <v>63.074999999999996</v>
      </c>
      <c r="V152" s="150"/>
      <c r="W152" s="150"/>
      <c r="X152" s="19">
        <f t="shared" si="306"/>
        <v>45459</v>
      </c>
      <c r="Y152" s="18">
        <f ca="1">IFERROR(AVERAGE(INDIRECT("H" &amp; $O152):INDIRECT("H" &amp; $P152)),"")</f>
        <v>19.299999999999997</v>
      </c>
      <c r="Z152" s="150">
        <f ca="1">IFERROR(MAX(INDIRECT("I" &amp; $O152):INDIRECT("I" &amp; $P152)),"")</f>
        <v>39.1</v>
      </c>
      <c r="AA152" s="150">
        <f ca="1">IFERROR(MIN(INDIRECT("J" &amp; $O152):INDIRECT("J" &amp; $P152)),"")</f>
        <v>14.3</v>
      </c>
      <c r="AB152" s="18">
        <f t="shared" ca="1" si="330"/>
        <v>19.599999999999998</v>
      </c>
    </row>
    <row r="153" spans="1:28" x14ac:dyDescent="0.25">
      <c r="A153" s="14">
        <v>45327</v>
      </c>
      <c r="B153" s="15">
        <v>0.125</v>
      </c>
      <c r="C153" s="20">
        <v>45327.125</v>
      </c>
      <c r="D153" s="16">
        <v>74.3</v>
      </c>
      <c r="E153" s="16">
        <v>77.599999999999994</v>
      </c>
      <c r="F153" s="16">
        <v>72.099999999999994</v>
      </c>
      <c r="G153" s="16" t="s">
        <v>6</v>
      </c>
      <c r="H153" s="16">
        <v>16.100000000000001</v>
      </c>
      <c r="I153" s="16">
        <v>19</v>
      </c>
      <c r="J153" s="16">
        <v>12.9</v>
      </c>
      <c r="K153" s="16" t="s">
        <v>6</v>
      </c>
      <c r="L153" s="17">
        <v>44</v>
      </c>
      <c r="M153" s="12"/>
      <c r="N153" s="12"/>
      <c r="O153" s="152"/>
      <c r="P153" s="152"/>
      <c r="Q153" s="19">
        <f t="shared" si="305"/>
        <v>45460</v>
      </c>
      <c r="R153" s="18"/>
      <c r="S153" s="152"/>
      <c r="T153" s="152"/>
      <c r="U153" s="18"/>
      <c r="V153" s="152"/>
      <c r="W153" s="152"/>
      <c r="X153" s="19">
        <f t="shared" si="306"/>
        <v>45460</v>
      </c>
      <c r="Y153" s="18"/>
      <c r="Z153" s="152"/>
      <c r="AA153" s="152"/>
      <c r="AB153" s="18"/>
    </row>
    <row r="154" spans="1:28" x14ac:dyDescent="0.25">
      <c r="A154" s="6">
        <v>45327</v>
      </c>
      <c r="B154" s="7">
        <v>0.83333333333333337</v>
      </c>
      <c r="C154" s="21">
        <v>45327.833333333336</v>
      </c>
      <c r="D154" s="8">
        <v>65.900000000000006</v>
      </c>
      <c r="E154" s="8">
        <v>67.099999999999994</v>
      </c>
      <c r="F154" s="8">
        <v>65.3</v>
      </c>
      <c r="G154" s="8" t="s">
        <v>6</v>
      </c>
      <c r="H154" s="8">
        <v>8.3000000000000007</v>
      </c>
      <c r="I154" s="8">
        <v>9</v>
      </c>
      <c r="J154" s="8">
        <v>7.6</v>
      </c>
      <c r="K154" s="8" t="s">
        <v>6</v>
      </c>
      <c r="L154" s="9">
        <v>3</v>
      </c>
      <c r="M154" s="12"/>
      <c r="N154" s="12" t="s">
        <v>153</v>
      </c>
      <c r="O154" s="152">
        <f t="shared" ref="O154" ca="1" si="331">MIN(ROW(INDIRECT(N154)))</f>
        <v>968</v>
      </c>
      <c r="P154" s="152">
        <f t="shared" ref="P154" ca="1" si="332">MIN(ROW(INDIRECT(N154))) + ROWS(INDIRECT(N154)) -1</f>
        <v>976</v>
      </c>
      <c r="Q154" s="19">
        <f t="shared" si="305"/>
        <v>45461</v>
      </c>
      <c r="R154" s="18">
        <f ca="1">IFERROR(AVERAGE(INDIRECT("D" &amp; $O154):INDIRECT("D" &amp; $P154)),"")</f>
        <v>62.988888888888887</v>
      </c>
      <c r="S154" s="152">
        <f ca="1">IFERROR(MAX(INDIRECT("E" &amp; $O154):INDIRECT("E" &amp; $P154)),"")</f>
        <v>70.7</v>
      </c>
      <c r="T154" s="152">
        <f ca="1">IFERROR(MIN(INDIRECT("F" &amp; $O154):INDIRECT("F" &amp; $P154)),"")</f>
        <v>56.1</v>
      </c>
      <c r="U154" s="18">
        <f t="shared" ref="U154" ca="1" si="333">R154+1</f>
        <v>63.988888888888887</v>
      </c>
      <c r="V154" s="152"/>
      <c r="W154" s="152"/>
      <c r="X154" s="19">
        <f t="shared" si="306"/>
        <v>45461</v>
      </c>
      <c r="Y154" s="18">
        <f ca="1">IFERROR(AVERAGE(INDIRECT("H" &amp; $O154):INDIRECT("H" &amp; $P154)),"")</f>
        <v>17.744444444444444</v>
      </c>
      <c r="Z154" s="152">
        <f ca="1">IFERROR(MAX(INDIRECT("I" &amp; $O154):INDIRECT("I" &amp; $P154)),"")</f>
        <v>30.5</v>
      </c>
      <c r="AA154" s="152">
        <f ca="1">IFERROR(MIN(INDIRECT("J" &amp; $O154):INDIRECT("J" &amp; $P154)),"")</f>
        <v>12.4</v>
      </c>
      <c r="AB154" s="18">
        <f t="shared" ref="AB154" ca="1" si="334">Y154+0.3</f>
        <v>18.044444444444444</v>
      </c>
    </row>
    <row r="155" spans="1:28" x14ac:dyDescent="0.25">
      <c r="A155" s="10">
        <v>45327</v>
      </c>
      <c r="B155" s="11">
        <v>0.875</v>
      </c>
      <c r="C155" s="22">
        <v>45327.875</v>
      </c>
      <c r="D155" s="12">
        <v>67.400000000000006</v>
      </c>
      <c r="E155" s="12">
        <v>76.900000000000006</v>
      </c>
      <c r="F155" s="12">
        <v>50.2</v>
      </c>
      <c r="G155" s="12" t="s">
        <v>6</v>
      </c>
      <c r="H155" s="12">
        <v>19.100000000000001</v>
      </c>
      <c r="I155" s="12">
        <v>35.799999999999997</v>
      </c>
      <c r="J155" s="12">
        <v>9</v>
      </c>
      <c r="K155" s="12" t="s">
        <v>6</v>
      </c>
      <c r="L155" s="13">
        <v>198</v>
      </c>
      <c r="M155" s="12"/>
      <c r="N155" s="12" t="s">
        <v>154</v>
      </c>
      <c r="O155" s="152">
        <f t="shared" ref="O155" ca="1" si="335">MIN(ROW(INDIRECT(N155)))</f>
        <v>977</v>
      </c>
      <c r="P155" s="152">
        <f t="shared" ref="P155" ca="1" si="336">MIN(ROW(INDIRECT(N155))) + ROWS(INDIRECT(N155)) -1</f>
        <v>982</v>
      </c>
      <c r="Q155" s="19">
        <f t="shared" si="305"/>
        <v>45462</v>
      </c>
      <c r="R155" s="18">
        <f ca="1">IFERROR(AVERAGE(INDIRECT("D" &amp; $O155):INDIRECT("D" &amp; $P155)),"")</f>
        <v>62.966666666666669</v>
      </c>
      <c r="S155" s="152">
        <f ca="1">IFERROR(MAX(INDIRECT("E" &amp; $O155):INDIRECT("E" &amp; $P155)),"")</f>
        <v>75</v>
      </c>
      <c r="T155" s="152">
        <f ca="1">IFERROR(MIN(INDIRECT("F" &amp; $O155):INDIRECT("F" &amp; $P155)),"")</f>
        <v>55.4</v>
      </c>
      <c r="U155" s="18">
        <f t="shared" ref="U155" ca="1" si="337">R155+1</f>
        <v>63.966666666666669</v>
      </c>
      <c r="V155" s="152"/>
      <c r="W155" s="152"/>
      <c r="X155" s="19">
        <f t="shared" si="306"/>
        <v>45462</v>
      </c>
      <c r="Y155" s="18">
        <f ca="1">IFERROR(AVERAGE(INDIRECT("H" &amp; $O155):INDIRECT("H" &amp; $P155)),"")</f>
        <v>18.916666666666668</v>
      </c>
      <c r="Z155" s="152">
        <f ca="1">IFERROR(MAX(INDIRECT("I" &amp; $O155):INDIRECT("I" &amp; $P155)),"")</f>
        <v>23.9</v>
      </c>
      <c r="AA155" s="152">
        <f ca="1">IFERROR(MIN(INDIRECT("J" &amp; $O155):INDIRECT("J" &amp; $P155)),"")</f>
        <v>14.4</v>
      </c>
      <c r="AB155" s="18">
        <f t="shared" ref="AB155" ca="1" si="338">Y155+0.3</f>
        <v>19.216666666666669</v>
      </c>
    </row>
    <row r="156" spans="1:28" x14ac:dyDescent="0.25">
      <c r="A156" s="10">
        <v>45327</v>
      </c>
      <c r="B156" s="11">
        <v>0.91666666666666663</v>
      </c>
      <c r="C156" s="22">
        <v>45327.916666666664</v>
      </c>
      <c r="D156" s="12">
        <v>68.5</v>
      </c>
      <c r="E156" s="12">
        <v>82.3</v>
      </c>
      <c r="F156" s="12">
        <v>49.6</v>
      </c>
      <c r="G156" s="12" t="s">
        <v>6</v>
      </c>
      <c r="H156" s="12">
        <v>17.600000000000001</v>
      </c>
      <c r="I156" s="12">
        <v>24.8</v>
      </c>
      <c r="J156" s="12">
        <v>8.6</v>
      </c>
      <c r="K156" s="12" t="s">
        <v>6</v>
      </c>
      <c r="L156" s="13">
        <v>219</v>
      </c>
      <c r="M156" s="12"/>
      <c r="N156" s="12"/>
      <c r="O156" s="153"/>
      <c r="P156" s="153"/>
      <c r="Q156" s="19">
        <f t="shared" si="305"/>
        <v>45463</v>
      </c>
      <c r="R156" s="18"/>
      <c r="S156" s="153"/>
      <c r="T156" s="153"/>
      <c r="U156" s="18"/>
      <c r="V156" s="153"/>
      <c r="W156" s="153"/>
      <c r="X156" s="19">
        <f t="shared" si="306"/>
        <v>45463</v>
      </c>
      <c r="Y156" s="18"/>
      <c r="Z156" s="153"/>
      <c r="AA156" s="153"/>
      <c r="AB156" s="18"/>
    </row>
    <row r="157" spans="1:28" x14ac:dyDescent="0.25">
      <c r="A157" s="10">
        <v>45327</v>
      </c>
      <c r="B157" s="11">
        <v>0.95833333333333337</v>
      </c>
      <c r="C157" s="22">
        <v>45327.958333333336</v>
      </c>
      <c r="D157" s="12">
        <v>75.599999999999994</v>
      </c>
      <c r="E157" s="12">
        <v>80.8</v>
      </c>
      <c r="F157" s="12">
        <v>70.099999999999994</v>
      </c>
      <c r="G157" s="12" t="s">
        <v>6</v>
      </c>
      <c r="H157" s="12">
        <v>15.8</v>
      </c>
      <c r="I157" s="12">
        <v>23</v>
      </c>
      <c r="J157" s="12">
        <v>8.1</v>
      </c>
      <c r="K157" s="12" t="s">
        <v>6</v>
      </c>
      <c r="L157" s="13">
        <v>201</v>
      </c>
      <c r="M157" s="12"/>
      <c r="N157" s="12" t="s">
        <v>156</v>
      </c>
      <c r="O157" s="153">
        <f t="shared" ref="O157" ca="1" si="339">MIN(ROW(INDIRECT(N157)))</f>
        <v>983</v>
      </c>
      <c r="P157" s="153">
        <f t="shared" ref="P157" ca="1" si="340">MIN(ROW(INDIRECT(N157))) + ROWS(INDIRECT(N157)) -1</f>
        <v>995</v>
      </c>
      <c r="Q157" s="19">
        <f t="shared" si="305"/>
        <v>45464</v>
      </c>
      <c r="R157" s="18">
        <f ca="1">IFERROR(AVERAGE(INDIRECT("D" &amp; $O157):INDIRECT("D" &amp; $P157)),"")</f>
        <v>67.699999999999989</v>
      </c>
      <c r="S157" s="153">
        <f ca="1">IFERROR(MAX(INDIRECT("E" &amp; $O157):INDIRECT("E" &amp; $P157)),"")</f>
        <v>80.8</v>
      </c>
      <c r="T157" s="153">
        <f ca="1">IFERROR(MIN(INDIRECT("F" &amp; $O157):INDIRECT("F" &amp; $P157)),"")</f>
        <v>51.2</v>
      </c>
      <c r="U157" s="18">
        <f t="shared" ref="U157" ca="1" si="341">R157+1</f>
        <v>68.699999999999989</v>
      </c>
      <c r="V157" s="153"/>
      <c r="W157" s="153"/>
      <c r="X157" s="19">
        <f t="shared" si="306"/>
        <v>45464</v>
      </c>
      <c r="Y157" s="18">
        <f ca="1">IFERROR(AVERAGE(INDIRECT("H" &amp; $O157):INDIRECT("H" &amp; $P157)),"")</f>
        <v>19.323076923076922</v>
      </c>
      <c r="Z157" s="153">
        <f ca="1">IFERROR(MAX(INDIRECT("I" &amp; $O157):INDIRECT("I" &amp; $P157)),"")</f>
        <v>28.3</v>
      </c>
      <c r="AA157" s="153">
        <f ca="1">IFERROR(MIN(INDIRECT("J" &amp; $O157):INDIRECT("J" &amp; $P157)),"")</f>
        <v>11</v>
      </c>
      <c r="AB157" s="18">
        <f t="shared" ref="AB157" ca="1" si="342">Y157+0.3</f>
        <v>19.623076923076923</v>
      </c>
    </row>
    <row r="158" spans="1:28" x14ac:dyDescent="0.25">
      <c r="A158" s="10">
        <v>45328</v>
      </c>
      <c r="B158" s="11">
        <v>0</v>
      </c>
      <c r="C158" s="22">
        <v>45328</v>
      </c>
      <c r="D158" s="12">
        <v>74.099999999999994</v>
      </c>
      <c r="E158" s="12">
        <v>83.9</v>
      </c>
      <c r="F158" s="12">
        <v>62.7</v>
      </c>
      <c r="G158" s="12" t="s">
        <v>6</v>
      </c>
      <c r="H158" s="12">
        <v>16.7</v>
      </c>
      <c r="I158" s="12">
        <v>25.9</v>
      </c>
      <c r="J158" s="12">
        <v>8.1999999999999993</v>
      </c>
      <c r="K158" s="12" t="s">
        <v>6</v>
      </c>
      <c r="L158" s="13">
        <v>200</v>
      </c>
      <c r="M158" s="12"/>
      <c r="N158" s="12"/>
      <c r="O158" s="153"/>
      <c r="P158" s="153"/>
      <c r="Q158" s="19">
        <f t="shared" si="305"/>
        <v>45465</v>
      </c>
      <c r="R158" s="18" t="str">
        <f ca="1">IFERROR(AVERAGE(INDIRECT("D" &amp; $O158):INDIRECT("D" &amp; $P158)),"")</f>
        <v/>
      </c>
      <c r="S158" s="153"/>
      <c r="T158" s="153"/>
      <c r="U158" s="18"/>
      <c r="V158" s="153"/>
      <c r="W158" s="153"/>
      <c r="X158" s="19">
        <f t="shared" si="306"/>
        <v>45465</v>
      </c>
      <c r="Y158" s="18"/>
      <c r="Z158" s="153"/>
      <c r="AA158" s="153"/>
      <c r="AB158" s="18"/>
    </row>
    <row r="159" spans="1:28" x14ac:dyDescent="0.25">
      <c r="A159" s="10">
        <v>45328</v>
      </c>
      <c r="B159" s="11">
        <v>4.1666666666666664E-2</v>
      </c>
      <c r="C159" s="22">
        <v>45328.041666666664</v>
      </c>
      <c r="D159" s="12">
        <v>72.599999999999994</v>
      </c>
      <c r="E159" s="12">
        <v>79.2</v>
      </c>
      <c r="F159" s="12">
        <v>61.3</v>
      </c>
      <c r="G159" s="12" t="s">
        <v>6</v>
      </c>
      <c r="H159" s="12">
        <v>16.399999999999999</v>
      </c>
      <c r="I159" s="12">
        <v>26</v>
      </c>
      <c r="J159" s="12">
        <v>9.9</v>
      </c>
      <c r="K159" s="12" t="s">
        <v>6</v>
      </c>
      <c r="L159" s="13">
        <v>211</v>
      </c>
      <c r="M159" s="12"/>
      <c r="N159" s="12"/>
      <c r="O159" s="153"/>
      <c r="P159" s="153"/>
      <c r="Q159" s="19">
        <f t="shared" si="305"/>
        <v>45466</v>
      </c>
      <c r="R159" s="18"/>
      <c r="S159" s="153"/>
      <c r="T159" s="153"/>
      <c r="U159" s="18"/>
      <c r="V159" s="153"/>
      <c r="W159" s="153"/>
      <c r="X159" s="19">
        <f t="shared" si="306"/>
        <v>45466</v>
      </c>
      <c r="Y159" s="18"/>
      <c r="Z159" s="153"/>
      <c r="AA159" s="153"/>
      <c r="AB159" s="18"/>
    </row>
    <row r="160" spans="1:28" x14ac:dyDescent="0.25">
      <c r="A160" s="10">
        <v>45328</v>
      </c>
      <c r="B160" s="11">
        <v>8.3333333333333329E-2</v>
      </c>
      <c r="C160" s="22">
        <v>45328.083333333336</v>
      </c>
      <c r="D160" s="12">
        <v>71.099999999999994</v>
      </c>
      <c r="E160" s="12">
        <v>80.599999999999994</v>
      </c>
      <c r="F160" s="12">
        <v>52.7</v>
      </c>
      <c r="G160" s="12" t="s">
        <v>6</v>
      </c>
      <c r="H160" s="12">
        <v>18.3</v>
      </c>
      <c r="I160" s="12">
        <v>28</v>
      </c>
      <c r="J160" s="12">
        <v>8.3000000000000007</v>
      </c>
      <c r="K160" s="12" t="s">
        <v>6</v>
      </c>
      <c r="L160" s="13">
        <v>169</v>
      </c>
      <c r="M160" s="12"/>
      <c r="N160" s="12" t="s">
        <v>155</v>
      </c>
      <c r="O160" s="153">
        <f t="shared" ref="O160" ca="1" si="343">MIN(ROW(INDIRECT(N160)))</f>
        <v>996</v>
      </c>
      <c r="P160" s="153">
        <f t="shared" ref="P160" ca="1" si="344">MIN(ROW(INDIRECT(N160))) + ROWS(INDIRECT(N160)) -1</f>
        <v>996</v>
      </c>
      <c r="Q160" s="19">
        <f t="shared" si="305"/>
        <v>45467</v>
      </c>
      <c r="R160" s="18">
        <f ca="1">IFERROR(AVERAGE(INDIRECT("D" &amp; $O160):INDIRECT("D" &amp; $P160)),"")</f>
        <v>70.3</v>
      </c>
      <c r="S160" s="153">
        <f ca="1">IFERROR(MAX(INDIRECT("E" &amp; $O160):INDIRECT("E" &amp; $P160)),"")</f>
        <v>71.3</v>
      </c>
      <c r="T160" s="153">
        <f ca="1">IFERROR(MIN(INDIRECT("F" &amp; $O160):INDIRECT("F" &amp; $P160)),"")</f>
        <v>69.599999999999994</v>
      </c>
      <c r="U160" s="18">
        <f t="shared" ref="U160" ca="1" si="345">R160+1</f>
        <v>71.3</v>
      </c>
      <c r="V160" s="153"/>
      <c r="W160" s="153"/>
      <c r="X160" s="19">
        <f t="shared" si="306"/>
        <v>45467</v>
      </c>
      <c r="Y160" s="18">
        <f ca="1">IFERROR(AVERAGE(INDIRECT("H" &amp; $O160):INDIRECT("H" &amp; $P160)),"")</f>
        <v>12</v>
      </c>
      <c r="Z160" s="153">
        <f ca="1">IFERROR(MAX(INDIRECT("I" &amp; $O160):INDIRECT("I" &amp; $P160)),"")</f>
        <v>13.9</v>
      </c>
      <c r="AA160" s="153">
        <f ca="1">IFERROR(MIN(INDIRECT("J" &amp; $O160):INDIRECT("J" &amp; $P160)),"")</f>
        <v>8.1999999999999993</v>
      </c>
      <c r="AB160" s="18">
        <f t="shared" ref="AB160" ca="1" si="346">Y160+0.3</f>
        <v>12.3</v>
      </c>
    </row>
    <row r="161" spans="1:28" x14ac:dyDescent="0.25">
      <c r="A161" s="10">
        <v>45328</v>
      </c>
      <c r="B161" s="11">
        <v>0.125</v>
      </c>
      <c r="C161" s="22">
        <v>45328.125</v>
      </c>
      <c r="D161" s="12">
        <v>72.7</v>
      </c>
      <c r="E161" s="12">
        <v>81.599999999999994</v>
      </c>
      <c r="F161" s="12">
        <v>65.7</v>
      </c>
      <c r="G161" s="12" t="s">
        <v>6</v>
      </c>
      <c r="H161" s="12">
        <v>16.2</v>
      </c>
      <c r="I161" s="12">
        <v>22.9</v>
      </c>
      <c r="J161" s="12">
        <v>7.7</v>
      </c>
      <c r="K161" s="12" t="s">
        <v>6</v>
      </c>
      <c r="L161" s="13">
        <v>195</v>
      </c>
      <c r="M161" s="12"/>
      <c r="N161" s="12" t="s">
        <v>157</v>
      </c>
      <c r="O161" s="154">
        <f t="shared" ref="O161" ca="1" si="347">MIN(ROW(INDIRECT(N161)))</f>
        <v>997</v>
      </c>
      <c r="P161" s="154">
        <f t="shared" ref="P161" ca="1" si="348">MIN(ROW(INDIRECT(N161))) + ROWS(INDIRECT(N161)) -1</f>
        <v>997</v>
      </c>
      <c r="Q161" s="19">
        <f t="shared" si="305"/>
        <v>45468</v>
      </c>
      <c r="R161" s="18">
        <f ca="1">IFERROR(AVERAGE(INDIRECT("D" &amp; $O161):INDIRECT("D" &amp; $P161)),"")</f>
        <v>65.7</v>
      </c>
      <c r="S161" s="154">
        <f ca="1">IFERROR(MAX(INDIRECT("E" &amp; $O161):INDIRECT("E" &amp; $P161)),"")</f>
        <v>66.3</v>
      </c>
      <c r="T161" s="154">
        <f ca="1">IFERROR(MIN(INDIRECT("F" &amp; $O161):INDIRECT("F" &amp; $P161)),"")</f>
        <v>65.099999999999994</v>
      </c>
      <c r="U161" s="18">
        <f t="shared" ref="U161" ca="1" si="349">R161+1</f>
        <v>66.7</v>
      </c>
      <c r="V161" s="154"/>
      <c r="W161" s="154"/>
      <c r="X161" s="19">
        <f t="shared" si="306"/>
        <v>45468</v>
      </c>
      <c r="Y161" s="18">
        <f ca="1">IFERROR(AVERAGE(INDIRECT("H" &amp; $O161):INDIRECT("H" &amp; $P161)),"")</f>
        <v>26.4</v>
      </c>
      <c r="Z161" s="154">
        <f ca="1">IFERROR(MAX(INDIRECT("I" &amp; $O161):INDIRECT("I" &amp; $P161)),"")</f>
        <v>26.6</v>
      </c>
      <c r="AA161" s="154">
        <f ca="1">IFERROR(MIN(INDIRECT("J" &amp; $O161):INDIRECT("J" &amp; $P161)),"")</f>
        <v>26.1</v>
      </c>
      <c r="AB161" s="18">
        <f t="shared" ref="AB161" ca="1" si="350">Y161+0.3</f>
        <v>26.7</v>
      </c>
    </row>
    <row r="162" spans="1:28" x14ac:dyDescent="0.25">
      <c r="A162" s="14">
        <v>45328</v>
      </c>
      <c r="B162" s="15">
        <v>0.16666666666666666</v>
      </c>
      <c r="C162" s="20">
        <v>45328.166666666664</v>
      </c>
      <c r="D162" s="16">
        <v>69.3</v>
      </c>
      <c r="E162" s="16">
        <v>78.7</v>
      </c>
      <c r="F162" s="16">
        <v>56</v>
      </c>
      <c r="G162" s="16" t="s">
        <v>6</v>
      </c>
      <c r="H162" s="16">
        <v>17.100000000000001</v>
      </c>
      <c r="I162" s="16">
        <v>23.3</v>
      </c>
      <c r="J162" s="16">
        <v>13.4</v>
      </c>
      <c r="K162" s="16" t="s">
        <v>6</v>
      </c>
      <c r="L162" s="17">
        <v>120</v>
      </c>
      <c r="M162" s="12"/>
      <c r="N162" s="12"/>
      <c r="O162" s="155"/>
      <c r="P162" s="155"/>
      <c r="Q162" s="19">
        <f t="shared" si="305"/>
        <v>45469</v>
      </c>
      <c r="R162" s="18"/>
      <c r="S162" s="155"/>
      <c r="T162" s="155"/>
      <c r="U162" s="18"/>
      <c r="V162" s="155"/>
      <c r="W162" s="155"/>
      <c r="X162" s="19">
        <f t="shared" si="306"/>
        <v>45469</v>
      </c>
      <c r="Y162" s="18"/>
      <c r="Z162" s="155"/>
      <c r="AA162" s="155"/>
      <c r="AB162" s="18"/>
    </row>
    <row r="163" spans="1:28" x14ac:dyDescent="0.25">
      <c r="A163" s="6">
        <v>45328</v>
      </c>
      <c r="B163" s="7">
        <v>0.625</v>
      </c>
      <c r="C163" s="21">
        <v>45328.625</v>
      </c>
      <c r="D163" s="8">
        <v>72.3</v>
      </c>
      <c r="E163" s="8">
        <v>83.7</v>
      </c>
      <c r="F163" s="8">
        <v>52.3</v>
      </c>
      <c r="G163" s="8" t="s">
        <v>6</v>
      </c>
      <c r="H163" s="8">
        <v>20.7</v>
      </c>
      <c r="I163" s="8">
        <v>29.1</v>
      </c>
      <c r="J163" s="8">
        <v>7</v>
      </c>
      <c r="K163" s="8" t="s">
        <v>6</v>
      </c>
      <c r="L163" s="9">
        <v>150</v>
      </c>
      <c r="M163" s="12"/>
      <c r="N163" s="12"/>
      <c r="O163" s="155"/>
      <c r="P163" s="155"/>
      <c r="Q163" s="19">
        <f t="shared" si="305"/>
        <v>45470</v>
      </c>
      <c r="R163" s="18"/>
      <c r="S163" s="155"/>
      <c r="T163" s="155"/>
      <c r="U163" s="18"/>
      <c r="V163" s="155"/>
      <c r="W163" s="155"/>
      <c r="X163" s="19">
        <f t="shared" si="306"/>
        <v>45470</v>
      </c>
      <c r="Y163" s="18"/>
      <c r="Z163" s="155"/>
      <c r="AA163" s="155"/>
      <c r="AB163" s="18"/>
    </row>
    <row r="164" spans="1:28" x14ac:dyDescent="0.25">
      <c r="A164" s="10">
        <v>45328</v>
      </c>
      <c r="B164" s="11">
        <v>0.66666666666666663</v>
      </c>
      <c r="C164" s="22">
        <v>45328.666666666664</v>
      </c>
      <c r="D164" s="12">
        <v>68</v>
      </c>
      <c r="E164" s="12">
        <v>75.7</v>
      </c>
      <c r="F164" s="12">
        <v>60.2</v>
      </c>
      <c r="G164" s="12" t="s">
        <v>6</v>
      </c>
      <c r="H164" s="12">
        <v>17.5</v>
      </c>
      <c r="I164" s="12">
        <v>25</v>
      </c>
      <c r="J164" s="12">
        <v>11.3</v>
      </c>
      <c r="K164" s="12" t="s">
        <v>6</v>
      </c>
      <c r="L164" s="13">
        <v>221</v>
      </c>
      <c r="M164" s="12"/>
      <c r="N164" s="12"/>
      <c r="O164" s="155"/>
      <c r="P164" s="155"/>
      <c r="Q164" s="19">
        <f t="shared" si="305"/>
        <v>45471</v>
      </c>
      <c r="R164" s="18"/>
      <c r="S164" s="155"/>
      <c r="T164" s="155"/>
      <c r="U164" s="18"/>
      <c r="V164" s="155"/>
      <c r="W164" s="155"/>
      <c r="X164" s="19">
        <f t="shared" si="306"/>
        <v>45471</v>
      </c>
      <c r="Y164" s="18"/>
      <c r="Z164" s="155"/>
      <c r="AA164" s="155"/>
      <c r="AB164" s="18"/>
    </row>
    <row r="165" spans="1:28" x14ac:dyDescent="0.25">
      <c r="A165" s="10">
        <v>45328</v>
      </c>
      <c r="B165" s="11">
        <v>0.70833333333333337</v>
      </c>
      <c r="C165" s="22">
        <v>45328.708333333336</v>
      </c>
      <c r="D165" s="12">
        <v>69</v>
      </c>
      <c r="E165" s="12">
        <v>75</v>
      </c>
      <c r="F165" s="12">
        <v>60</v>
      </c>
      <c r="G165" s="12" t="s">
        <v>6</v>
      </c>
      <c r="H165" s="12">
        <v>17.7</v>
      </c>
      <c r="I165" s="12">
        <v>26</v>
      </c>
      <c r="J165" s="12">
        <v>9.5</v>
      </c>
      <c r="K165" s="12" t="s">
        <v>6</v>
      </c>
      <c r="L165" s="13">
        <v>146</v>
      </c>
      <c r="M165" s="12"/>
      <c r="N165" s="12"/>
      <c r="O165" s="155"/>
      <c r="P165" s="155"/>
      <c r="Q165" s="19">
        <f t="shared" si="305"/>
        <v>45472</v>
      </c>
      <c r="R165" s="18"/>
      <c r="S165" s="155"/>
      <c r="T165" s="155"/>
      <c r="U165" s="18"/>
      <c r="V165" s="155"/>
      <c r="W165" s="155"/>
      <c r="X165" s="19">
        <f t="shared" si="306"/>
        <v>45472</v>
      </c>
      <c r="Y165" s="18"/>
      <c r="Z165" s="155"/>
      <c r="AA165" s="155"/>
      <c r="AB165" s="18"/>
    </row>
    <row r="166" spans="1:28" x14ac:dyDescent="0.25">
      <c r="A166" s="10">
        <v>45328</v>
      </c>
      <c r="B166" s="11">
        <v>0.83333333333333337</v>
      </c>
      <c r="C166" s="22">
        <v>45328.833333333336</v>
      </c>
      <c r="D166" s="12">
        <v>68.5</v>
      </c>
      <c r="E166" s="12">
        <v>68.5</v>
      </c>
      <c r="F166" s="12">
        <v>68.5</v>
      </c>
      <c r="G166" s="12" t="s">
        <v>6</v>
      </c>
      <c r="H166" s="12">
        <v>11.4</v>
      </c>
      <c r="I166" s="12">
        <v>11.4</v>
      </c>
      <c r="J166" s="12">
        <v>11.4</v>
      </c>
      <c r="K166" s="12" t="s">
        <v>6</v>
      </c>
      <c r="L166" s="13">
        <v>1</v>
      </c>
      <c r="M166" s="12"/>
      <c r="N166" s="12" t="s">
        <v>158</v>
      </c>
      <c r="O166" s="155">
        <f t="shared" ref="O166" ca="1" si="351">MIN(ROW(INDIRECT(N166)))</f>
        <v>998</v>
      </c>
      <c r="P166" s="155">
        <f t="shared" ref="P166" ca="1" si="352">MIN(ROW(INDIRECT(N166))) + ROWS(INDIRECT(N166)) -1</f>
        <v>1000</v>
      </c>
      <c r="Q166" s="19">
        <f t="shared" si="305"/>
        <v>45473</v>
      </c>
      <c r="R166" s="18">
        <f ca="1">IFERROR(AVERAGE(INDIRECT("D" &amp; $O166):INDIRECT("D" &amp; $P166)),"")</f>
        <v>50.333333333333336</v>
      </c>
      <c r="S166" s="155">
        <f ca="1">IFERROR(MAX(INDIRECT("E" &amp; $O166):INDIRECT("E" &amp; $P166)),"")</f>
        <v>53.5</v>
      </c>
      <c r="T166" s="155">
        <f ca="1">IFERROR(MIN(INDIRECT("F" &amp; $O166):INDIRECT("F" &amp; $P166)),"")</f>
        <v>47.5</v>
      </c>
      <c r="U166" s="18">
        <f t="shared" ref="U166" ca="1" si="353">R166+1</f>
        <v>51.333333333333336</v>
      </c>
      <c r="V166" s="155"/>
      <c r="W166" s="155"/>
      <c r="X166" s="19">
        <f t="shared" si="306"/>
        <v>45473</v>
      </c>
      <c r="Y166" s="18">
        <f ca="1">IFERROR(AVERAGE(INDIRECT("H" &amp; $O166):INDIRECT("H" &amp; $P166)),"")</f>
        <v>14.866666666666667</v>
      </c>
      <c r="Z166" s="155">
        <f ca="1">IFERROR(MAX(INDIRECT("I" &amp; $O166):INDIRECT("I" &amp; $P166)),"")</f>
        <v>18.2</v>
      </c>
      <c r="AA166" s="155">
        <f ca="1">IFERROR(MIN(INDIRECT("J" &amp; $O166):INDIRECT("J" &amp; $P166)),"")</f>
        <v>11.8</v>
      </c>
      <c r="AB166" s="18">
        <f t="shared" ref="AB166" ca="1" si="354">Y166+0.3</f>
        <v>15.166666666666668</v>
      </c>
    </row>
    <row r="167" spans="1:28" x14ac:dyDescent="0.25">
      <c r="A167" s="10">
        <v>45328</v>
      </c>
      <c r="B167" s="11">
        <v>0.875</v>
      </c>
      <c r="C167" s="22">
        <v>45328.875</v>
      </c>
      <c r="D167" s="12">
        <v>69.3</v>
      </c>
      <c r="E167" s="12">
        <v>85</v>
      </c>
      <c r="F167" s="12">
        <v>53.4</v>
      </c>
      <c r="G167" s="12" t="s">
        <v>6</v>
      </c>
      <c r="H167" s="12">
        <v>20.3</v>
      </c>
      <c r="I167" s="12">
        <v>28.6</v>
      </c>
      <c r="J167" s="12">
        <v>11</v>
      </c>
      <c r="K167" s="12" t="s">
        <v>6</v>
      </c>
      <c r="L167" s="13">
        <v>142</v>
      </c>
      <c r="M167" s="12"/>
      <c r="N167" s="12"/>
      <c r="O167" s="12"/>
      <c r="P167" s="30" t="s">
        <v>6</v>
      </c>
      <c r="Q167" s="19">
        <f t="shared" si="305"/>
        <v>45474</v>
      </c>
      <c r="X167" s="19">
        <f t="shared" si="306"/>
        <v>45474</v>
      </c>
    </row>
    <row r="168" spans="1:28" x14ac:dyDescent="0.25">
      <c r="A168" s="10">
        <v>45328</v>
      </c>
      <c r="B168" s="11">
        <v>0.91666666666666663</v>
      </c>
      <c r="C168" s="22">
        <v>45328.916666666664</v>
      </c>
      <c r="D168" s="12">
        <v>78.400000000000006</v>
      </c>
      <c r="E168" s="12">
        <v>85.2</v>
      </c>
      <c r="F168" s="12">
        <v>69.2</v>
      </c>
      <c r="G168" s="12" t="s">
        <v>6</v>
      </c>
      <c r="H168" s="12">
        <v>16.5</v>
      </c>
      <c r="I168" s="12">
        <v>21.8</v>
      </c>
      <c r="J168" s="12">
        <v>10</v>
      </c>
      <c r="K168" s="12" t="s">
        <v>6</v>
      </c>
      <c r="L168" s="13">
        <v>227</v>
      </c>
      <c r="M168" s="12"/>
      <c r="N168" s="12"/>
      <c r="O168" s="12"/>
      <c r="P168" s="30" t="s">
        <v>6</v>
      </c>
    </row>
    <row r="169" spans="1:28" x14ac:dyDescent="0.25">
      <c r="A169" s="10">
        <v>45328</v>
      </c>
      <c r="B169" s="11">
        <v>0.95833333333333337</v>
      </c>
      <c r="C169" s="22">
        <v>45328.958333333336</v>
      </c>
      <c r="D169" s="12">
        <v>73.400000000000006</v>
      </c>
      <c r="E169" s="12">
        <v>81.3</v>
      </c>
      <c r="F169" s="12">
        <v>64</v>
      </c>
      <c r="G169" s="12" t="s">
        <v>6</v>
      </c>
      <c r="H169" s="12">
        <v>17</v>
      </c>
      <c r="I169" s="12">
        <v>25</v>
      </c>
      <c r="J169" s="12">
        <v>10.3</v>
      </c>
      <c r="K169" s="12" t="s">
        <v>6</v>
      </c>
      <c r="L169" s="13">
        <v>211</v>
      </c>
      <c r="M169" s="12"/>
      <c r="N169" s="12"/>
      <c r="O169" s="12"/>
      <c r="P169" s="30" t="s">
        <v>6</v>
      </c>
    </row>
    <row r="170" spans="1:28" x14ac:dyDescent="0.25">
      <c r="A170" s="10">
        <v>45329</v>
      </c>
      <c r="B170" s="11">
        <v>0</v>
      </c>
      <c r="C170" s="22">
        <v>45329</v>
      </c>
      <c r="D170" s="12">
        <v>76.599999999999994</v>
      </c>
      <c r="E170" s="12">
        <v>82.3</v>
      </c>
      <c r="F170" s="12">
        <v>70</v>
      </c>
      <c r="G170" s="12" t="s">
        <v>6</v>
      </c>
      <c r="H170" s="12">
        <v>15</v>
      </c>
      <c r="I170" s="12">
        <v>22.7</v>
      </c>
      <c r="J170" s="12">
        <v>8.8000000000000007</v>
      </c>
      <c r="K170" s="12" t="s">
        <v>6</v>
      </c>
      <c r="L170" s="13">
        <v>215</v>
      </c>
      <c r="M170" s="12"/>
      <c r="N170" s="12"/>
      <c r="O170" s="12"/>
      <c r="P170" s="30" t="s">
        <v>6</v>
      </c>
    </row>
    <row r="171" spans="1:28" x14ac:dyDescent="0.25">
      <c r="A171" s="10">
        <v>45329</v>
      </c>
      <c r="B171" s="11">
        <v>4.1666666666666664E-2</v>
      </c>
      <c r="C171" s="22">
        <v>45329.041666666664</v>
      </c>
      <c r="D171" s="12">
        <v>76.400000000000006</v>
      </c>
      <c r="E171" s="12">
        <v>81.599999999999994</v>
      </c>
      <c r="F171" s="12">
        <v>65.3</v>
      </c>
      <c r="G171" s="12" t="s">
        <v>6</v>
      </c>
      <c r="H171" s="12">
        <v>17.8</v>
      </c>
      <c r="I171" s="12">
        <v>29</v>
      </c>
      <c r="J171" s="12">
        <v>9.6</v>
      </c>
      <c r="K171" s="12" t="s">
        <v>6</v>
      </c>
      <c r="L171" s="13">
        <v>191</v>
      </c>
      <c r="M171" s="12"/>
      <c r="N171" s="12"/>
      <c r="O171" s="12"/>
      <c r="P171" s="30" t="s">
        <v>6</v>
      </c>
    </row>
    <row r="172" spans="1:28" x14ac:dyDescent="0.25">
      <c r="A172" s="10">
        <v>45329</v>
      </c>
      <c r="B172" s="11">
        <v>8.3333333333333329E-2</v>
      </c>
      <c r="C172" s="22">
        <v>45329.083333333336</v>
      </c>
      <c r="D172" s="12">
        <v>74.599999999999994</v>
      </c>
      <c r="E172" s="12">
        <v>80.2</v>
      </c>
      <c r="F172" s="12">
        <v>67.3</v>
      </c>
      <c r="G172" s="12" t="s">
        <v>6</v>
      </c>
      <c r="H172" s="12">
        <v>15.8</v>
      </c>
      <c r="I172" s="12">
        <v>19.899999999999999</v>
      </c>
      <c r="J172" s="12">
        <v>8.6</v>
      </c>
      <c r="K172" s="12" t="s">
        <v>6</v>
      </c>
      <c r="L172" s="13">
        <v>198</v>
      </c>
      <c r="M172" s="12"/>
      <c r="N172" s="12"/>
      <c r="O172" s="12"/>
      <c r="P172" s="30" t="s">
        <v>6</v>
      </c>
    </row>
    <row r="173" spans="1:28" x14ac:dyDescent="0.25">
      <c r="A173" s="14">
        <v>45329</v>
      </c>
      <c r="B173" s="15">
        <v>0.20833333333333334</v>
      </c>
      <c r="C173" s="20">
        <v>45329.208333333336</v>
      </c>
      <c r="D173" s="16">
        <v>61.3</v>
      </c>
      <c r="E173" s="16">
        <v>75.5</v>
      </c>
      <c r="F173" s="16">
        <v>49.1</v>
      </c>
      <c r="G173" s="16" t="s">
        <v>6</v>
      </c>
      <c r="H173" s="16">
        <v>19.8</v>
      </c>
      <c r="I173" s="16">
        <v>29.4</v>
      </c>
      <c r="J173" s="16">
        <v>5.0999999999999996</v>
      </c>
      <c r="K173" s="16" t="s">
        <v>6</v>
      </c>
      <c r="L173" s="17">
        <v>84</v>
      </c>
      <c r="M173" s="12"/>
      <c r="N173" s="12"/>
      <c r="O173" s="12"/>
      <c r="P173" s="30" t="s">
        <v>6</v>
      </c>
    </row>
    <row r="174" spans="1:28" x14ac:dyDescent="0.25">
      <c r="A174" s="6">
        <v>45330</v>
      </c>
      <c r="B174" s="7">
        <v>4.1666666666666664E-2</v>
      </c>
      <c r="C174" s="21">
        <v>45330.041666666664</v>
      </c>
      <c r="D174" s="8">
        <v>69.400000000000006</v>
      </c>
      <c r="E174" s="8">
        <v>73.599999999999994</v>
      </c>
      <c r="F174" s="8">
        <v>63.5</v>
      </c>
      <c r="G174" s="8" t="s">
        <v>6</v>
      </c>
      <c r="H174" s="8">
        <v>21.9</v>
      </c>
      <c r="I174" s="8">
        <v>29.7</v>
      </c>
      <c r="J174" s="8">
        <v>18.600000000000001</v>
      </c>
      <c r="K174" s="8" t="s">
        <v>6</v>
      </c>
      <c r="L174" s="9">
        <v>25</v>
      </c>
      <c r="M174" s="12"/>
      <c r="N174" s="12"/>
      <c r="O174" s="12"/>
      <c r="P174" s="31" t="s">
        <v>6</v>
      </c>
    </row>
    <row r="175" spans="1:28" x14ac:dyDescent="0.25">
      <c r="A175" s="10">
        <v>45330</v>
      </c>
      <c r="B175" s="11">
        <v>8.3333333333333329E-2</v>
      </c>
      <c r="C175" s="22">
        <v>45330.083333333336</v>
      </c>
      <c r="D175" s="12">
        <v>67.2</v>
      </c>
      <c r="E175" s="12">
        <v>78.5</v>
      </c>
      <c r="F175" s="12">
        <v>55.3</v>
      </c>
      <c r="G175" s="12" t="s">
        <v>6</v>
      </c>
      <c r="H175" s="12">
        <v>18.100000000000001</v>
      </c>
      <c r="I175" s="12">
        <v>33.6</v>
      </c>
      <c r="J175" s="12">
        <v>10.9</v>
      </c>
      <c r="K175" s="12" t="s">
        <v>6</v>
      </c>
      <c r="L175" s="13">
        <v>217</v>
      </c>
      <c r="M175" s="12"/>
      <c r="N175" s="12"/>
      <c r="O175" s="12"/>
      <c r="P175" s="31" t="s">
        <v>6</v>
      </c>
    </row>
    <row r="176" spans="1:28" x14ac:dyDescent="0.25">
      <c r="A176" s="10">
        <v>45330</v>
      </c>
      <c r="B176" s="11">
        <v>0.125</v>
      </c>
      <c r="C176" s="22">
        <v>45330.125</v>
      </c>
      <c r="D176" s="12">
        <v>74.8</v>
      </c>
      <c r="E176" s="12">
        <v>80.900000000000006</v>
      </c>
      <c r="F176" s="12">
        <v>66.5</v>
      </c>
      <c r="G176" s="12" t="s">
        <v>6</v>
      </c>
      <c r="H176" s="12">
        <v>16.5</v>
      </c>
      <c r="I176" s="12">
        <v>23.1</v>
      </c>
      <c r="J176" s="12">
        <v>11.7</v>
      </c>
      <c r="K176" s="12" t="s">
        <v>6</v>
      </c>
      <c r="L176" s="13">
        <v>142</v>
      </c>
      <c r="M176" s="12"/>
      <c r="N176" s="12"/>
      <c r="O176" s="12"/>
      <c r="P176" s="31" t="s">
        <v>6</v>
      </c>
    </row>
    <row r="177" spans="1:16" x14ac:dyDescent="0.25">
      <c r="A177" s="10">
        <v>45330</v>
      </c>
      <c r="B177" s="11">
        <v>0.66666666666666663</v>
      </c>
      <c r="C177" s="22">
        <v>45330.666666666664</v>
      </c>
      <c r="D177" s="12">
        <v>68.400000000000006</v>
      </c>
      <c r="E177" s="12">
        <v>79.5</v>
      </c>
      <c r="F177" s="12">
        <v>54.5</v>
      </c>
      <c r="G177" s="12" t="s">
        <v>6</v>
      </c>
      <c r="H177" s="12">
        <v>18.2</v>
      </c>
      <c r="I177" s="12">
        <v>28.6</v>
      </c>
      <c r="J177" s="12">
        <v>10.6</v>
      </c>
      <c r="K177" s="12" t="s">
        <v>6</v>
      </c>
      <c r="L177" s="13">
        <v>188</v>
      </c>
      <c r="M177" s="12"/>
      <c r="N177" s="12"/>
      <c r="O177" s="12"/>
      <c r="P177" s="32" t="s">
        <v>6</v>
      </c>
    </row>
    <row r="178" spans="1:16" x14ac:dyDescent="0.25">
      <c r="A178" s="10">
        <v>45330</v>
      </c>
      <c r="B178" s="11">
        <v>0.70833333333333337</v>
      </c>
      <c r="C178" s="22">
        <v>45330.708333333336</v>
      </c>
      <c r="D178" s="12">
        <v>72.400000000000006</v>
      </c>
      <c r="E178" s="12">
        <v>83.2</v>
      </c>
      <c r="F178" s="12">
        <v>63.6</v>
      </c>
      <c r="G178" s="12" t="s">
        <v>6</v>
      </c>
      <c r="H178" s="12">
        <v>16.600000000000001</v>
      </c>
      <c r="I178" s="12">
        <v>21.9</v>
      </c>
      <c r="J178" s="12">
        <v>8.4</v>
      </c>
      <c r="K178" s="12" t="s">
        <v>6</v>
      </c>
      <c r="L178" s="13">
        <v>149</v>
      </c>
      <c r="M178" s="12"/>
      <c r="N178" s="12"/>
      <c r="O178" s="12"/>
      <c r="P178" s="32" t="s">
        <v>6</v>
      </c>
    </row>
    <row r="179" spans="1:16" x14ac:dyDescent="0.25">
      <c r="A179" s="10">
        <v>45330</v>
      </c>
      <c r="B179" s="11">
        <v>0.91666666666666663</v>
      </c>
      <c r="C179" s="22">
        <v>45330.916666666664</v>
      </c>
      <c r="D179" s="12">
        <v>69.599999999999994</v>
      </c>
      <c r="E179" s="12">
        <v>78.400000000000006</v>
      </c>
      <c r="F179" s="12">
        <v>54.8</v>
      </c>
      <c r="G179" s="12" t="s">
        <v>6</v>
      </c>
      <c r="H179" s="12">
        <v>20.8</v>
      </c>
      <c r="I179" s="12">
        <v>31.9</v>
      </c>
      <c r="J179" s="12">
        <v>11.1</v>
      </c>
      <c r="K179" s="12" t="s">
        <v>6</v>
      </c>
      <c r="L179" s="13">
        <v>214</v>
      </c>
      <c r="M179" s="12"/>
      <c r="N179" s="12"/>
      <c r="O179" s="12"/>
      <c r="P179" s="32" t="s">
        <v>6</v>
      </c>
    </row>
    <row r="180" spans="1:16" x14ac:dyDescent="0.25">
      <c r="A180" s="10">
        <v>45330</v>
      </c>
      <c r="B180" s="11">
        <v>0.95833333333333337</v>
      </c>
      <c r="C180" s="22">
        <v>45330.958333333336</v>
      </c>
      <c r="D180" s="12">
        <v>73.2</v>
      </c>
      <c r="E180" s="12">
        <v>76.8</v>
      </c>
      <c r="F180" s="12">
        <v>69.900000000000006</v>
      </c>
      <c r="G180" s="12" t="s">
        <v>6</v>
      </c>
      <c r="H180" s="12">
        <v>15.7</v>
      </c>
      <c r="I180" s="12">
        <v>22.2</v>
      </c>
      <c r="J180" s="12">
        <v>10.3</v>
      </c>
      <c r="K180" s="12" t="s">
        <v>6</v>
      </c>
      <c r="L180" s="13">
        <v>82</v>
      </c>
      <c r="M180" s="12"/>
      <c r="N180" s="12"/>
      <c r="O180" s="12"/>
      <c r="P180" s="32" t="s">
        <v>6</v>
      </c>
    </row>
    <row r="181" spans="1:16" x14ac:dyDescent="0.25">
      <c r="A181" s="10">
        <v>45331</v>
      </c>
      <c r="B181" s="11">
        <v>8.3333333333333329E-2</v>
      </c>
      <c r="C181" s="22">
        <v>45331.083333333336</v>
      </c>
      <c r="D181" s="12">
        <v>71.8</v>
      </c>
      <c r="E181" s="12">
        <v>78</v>
      </c>
      <c r="F181" s="12">
        <v>54.7</v>
      </c>
      <c r="G181" s="12" t="s">
        <v>6</v>
      </c>
      <c r="H181" s="12">
        <v>20.100000000000001</v>
      </c>
      <c r="I181" s="12">
        <v>28.9</v>
      </c>
      <c r="J181" s="12">
        <v>4.9000000000000004</v>
      </c>
      <c r="K181" s="12" t="s">
        <v>6</v>
      </c>
      <c r="L181" s="13">
        <v>204</v>
      </c>
      <c r="M181" s="12"/>
      <c r="N181" s="12"/>
      <c r="O181" s="12"/>
      <c r="P181" s="32" t="s">
        <v>6</v>
      </c>
    </row>
    <row r="182" spans="1:16" x14ac:dyDescent="0.25">
      <c r="A182" s="14">
        <v>45331</v>
      </c>
      <c r="B182" s="15">
        <v>0.125</v>
      </c>
      <c r="C182" s="20">
        <v>45331.125</v>
      </c>
      <c r="D182" s="16">
        <v>69.900000000000006</v>
      </c>
      <c r="E182" s="16">
        <v>75.400000000000006</v>
      </c>
      <c r="F182" s="16">
        <v>60.6</v>
      </c>
      <c r="G182" s="16" t="s">
        <v>6</v>
      </c>
      <c r="H182" s="16">
        <v>16</v>
      </c>
      <c r="I182" s="16">
        <v>23.2</v>
      </c>
      <c r="J182" s="16">
        <v>10.5</v>
      </c>
      <c r="K182" s="16" t="s">
        <v>6</v>
      </c>
      <c r="L182" s="17">
        <v>116</v>
      </c>
      <c r="M182" s="12"/>
      <c r="N182" s="12"/>
      <c r="O182" s="12"/>
      <c r="P182" s="32" t="s">
        <v>6</v>
      </c>
    </row>
    <row r="183" spans="1:16" x14ac:dyDescent="0.25">
      <c r="A183" s="6">
        <v>45331</v>
      </c>
      <c r="B183" s="7">
        <v>0.58333333333333337</v>
      </c>
      <c r="C183" s="21">
        <v>45331.583333333336</v>
      </c>
      <c r="D183" s="8">
        <v>66.7</v>
      </c>
      <c r="E183" s="8">
        <v>80.400000000000006</v>
      </c>
      <c r="F183" s="8">
        <v>51</v>
      </c>
      <c r="G183" s="8" t="s">
        <v>6</v>
      </c>
      <c r="H183" s="8">
        <v>18.100000000000001</v>
      </c>
      <c r="I183" s="8">
        <v>29</v>
      </c>
      <c r="J183" s="8">
        <v>8.1999999999999993</v>
      </c>
      <c r="K183" s="8" t="s">
        <v>6</v>
      </c>
      <c r="L183" s="9">
        <v>124</v>
      </c>
      <c r="M183" s="12"/>
      <c r="N183" s="12"/>
      <c r="O183" s="12"/>
      <c r="P183" s="33" t="s">
        <v>6</v>
      </c>
    </row>
    <row r="184" spans="1:16" x14ac:dyDescent="0.25">
      <c r="A184" s="10">
        <v>45331</v>
      </c>
      <c r="B184" s="11">
        <v>0.625</v>
      </c>
      <c r="C184" s="22">
        <v>45331.625</v>
      </c>
      <c r="D184" s="12">
        <v>72.8</v>
      </c>
      <c r="E184" s="12">
        <v>77.7</v>
      </c>
      <c r="F184" s="12">
        <v>65.8</v>
      </c>
      <c r="G184" s="12" t="s">
        <v>6</v>
      </c>
      <c r="H184" s="12">
        <v>14.1</v>
      </c>
      <c r="I184" s="12">
        <v>22.6</v>
      </c>
      <c r="J184" s="12">
        <v>7.6</v>
      </c>
      <c r="K184" s="12" t="s">
        <v>6</v>
      </c>
      <c r="L184" s="13">
        <v>219</v>
      </c>
      <c r="M184" s="12"/>
      <c r="N184" s="12"/>
      <c r="O184" s="12"/>
      <c r="P184" s="33" t="s">
        <v>6</v>
      </c>
    </row>
    <row r="185" spans="1:16" x14ac:dyDescent="0.25">
      <c r="A185" s="10">
        <v>45331</v>
      </c>
      <c r="B185" s="11">
        <v>0.66666666666666663</v>
      </c>
      <c r="C185" s="22">
        <v>45331.666666666664</v>
      </c>
      <c r="D185" s="12">
        <v>71.400000000000006</v>
      </c>
      <c r="E185" s="12">
        <v>72.2</v>
      </c>
      <c r="F185" s="12">
        <v>70.900000000000006</v>
      </c>
      <c r="G185" s="12" t="s">
        <v>6</v>
      </c>
      <c r="H185" s="12">
        <v>13.4</v>
      </c>
      <c r="I185" s="12">
        <v>14.2</v>
      </c>
      <c r="J185" s="12">
        <v>12.8</v>
      </c>
      <c r="K185" s="12" t="s">
        <v>6</v>
      </c>
      <c r="L185" s="13">
        <v>3</v>
      </c>
      <c r="M185" s="12"/>
      <c r="N185" s="12"/>
      <c r="O185" s="12"/>
      <c r="P185" s="33" t="s">
        <v>6</v>
      </c>
    </row>
    <row r="186" spans="1:16" x14ac:dyDescent="0.25">
      <c r="A186" s="10">
        <v>45331</v>
      </c>
      <c r="B186" s="11">
        <v>0.91666666666666663</v>
      </c>
      <c r="C186" s="22">
        <v>45331.916666666664</v>
      </c>
      <c r="D186" s="12">
        <v>70.2</v>
      </c>
      <c r="E186" s="12">
        <v>85.1</v>
      </c>
      <c r="F186" s="12">
        <v>56.3</v>
      </c>
      <c r="G186" s="12" t="s">
        <v>6</v>
      </c>
      <c r="H186" s="12">
        <v>22.2</v>
      </c>
      <c r="I186" s="12">
        <v>28.7</v>
      </c>
      <c r="J186" s="12">
        <v>14.6</v>
      </c>
      <c r="K186" s="12" t="s">
        <v>6</v>
      </c>
      <c r="L186" s="13">
        <v>88</v>
      </c>
      <c r="M186" s="12"/>
      <c r="N186" s="12"/>
      <c r="O186" s="12"/>
      <c r="P186" s="33" t="s">
        <v>6</v>
      </c>
    </row>
    <row r="187" spans="1:16" x14ac:dyDescent="0.25">
      <c r="A187" s="10">
        <v>45331</v>
      </c>
      <c r="B187" s="11">
        <v>0.95833333333333337</v>
      </c>
      <c r="C187" s="22">
        <v>45331.958333333336</v>
      </c>
      <c r="D187" s="12">
        <v>69.400000000000006</v>
      </c>
      <c r="E187" s="12">
        <v>83.1</v>
      </c>
      <c r="F187" s="12">
        <v>57.1</v>
      </c>
      <c r="G187" s="12" t="s">
        <v>6</v>
      </c>
      <c r="H187" s="12">
        <v>19</v>
      </c>
      <c r="I187" s="12">
        <v>25.2</v>
      </c>
      <c r="J187" s="12">
        <v>11.6</v>
      </c>
      <c r="K187" s="12" t="s">
        <v>6</v>
      </c>
      <c r="L187" s="13">
        <v>228</v>
      </c>
      <c r="M187" s="12"/>
      <c r="N187" s="12"/>
      <c r="O187" s="12"/>
      <c r="P187" s="33" t="s">
        <v>6</v>
      </c>
    </row>
    <row r="188" spans="1:16" x14ac:dyDescent="0.25">
      <c r="A188" s="10">
        <v>45332</v>
      </c>
      <c r="B188" s="11">
        <v>0</v>
      </c>
      <c r="C188" s="22">
        <v>45332</v>
      </c>
      <c r="D188" s="12">
        <v>73.3</v>
      </c>
      <c r="E188" s="12">
        <v>78.7</v>
      </c>
      <c r="F188" s="12">
        <v>67.2</v>
      </c>
      <c r="G188" s="12" t="s">
        <v>6</v>
      </c>
      <c r="H188" s="12">
        <v>15.6</v>
      </c>
      <c r="I188" s="12">
        <v>23.1</v>
      </c>
      <c r="J188" s="12">
        <v>9.4</v>
      </c>
      <c r="K188" s="12" t="s">
        <v>6</v>
      </c>
      <c r="L188" s="13">
        <v>222</v>
      </c>
      <c r="M188" s="12"/>
      <c r="N188" s="12"/>
      <c r="O188" s="12"/>
      <c r="P188" s="33" t="s">
        <v>6</v>
      </c>
    </row>
    <row r="189" spans="1:16" x14ac:dyDescent="0.25">
      <c r="A189" s="10">
        <v>45332</v>
      </c>
      <c r="B189" s="11">
        <v>4.1666666666666664E-2</v>
      </c>
      <c r="C189" s="22">
        <v>45332.041666666664</v>
      </c>
      <c r="D189" s="12">
        <v>72.3</v>
      </c>
      <c r="E189" s="12">
        <v>76</v>
      </c>
      <c r="F189" s="12">
        <v>67</v>
      </c>
      <c r="G189" s="12" t="s">
        <v>6</v>
      </c>
      <c r="H189" s="12">
        <v>15.1</v>
      </c>
      <c r="I189" s="12">
        <v>21.2</v>
      </c>
      <c r="J189" s="12">
        <v>8.9</v>
      </c>
      <c r="K189" s="12" t="s">
        <v>6</v>
      </c>
      <c r="L189" s="13">
        <v>93</v>
      </c>
      <c r="M189" s="12"/>
      <c r="N189" s="12"/>
      <c r="O189" s="12"/>
      <c r="P189" s="33" t="s">
        <v>6</v>
      </c>
    </row>
    <row r="190" spans="1:16" x14ac:dyDescent="0.25">
      <c r="A190" s="14">
        <v>45332</v>
      </c>
      <c r="B190" s="15">
        <v>0.125</v>
      </c>
      <c r="C190" s="20">
        <v>45332.125</v>
      </c>
      <c r="D190" s="16">
        <v>70.3</v>
      </c>
      <c r="E190" s="16">
        <v>71.8</v>
      </c>
      <c r="F190" s="16">
        <v>68.400000000000006</v>
      </c>
      <c r="G190" s="16" t="s">
        <v>6</v>
      </c>
      <c r="H190" s="16">
        <v>21.1</v>
      </c>
      <c r="I190" s="16">
        <v>23.7</v>
      </c>
      <c r="J190" s="16">
        <v>17.7</v>
      </c>
      <c r="K190" s="16" t="s">
        <v>6</v>
      </c>
      <c r="L190" s="17">
        <v>21</v>
      </c>
      <c r="M190" s="12"/>
      <c r="N190" s="12"/>
      <c r="O190" s="12"/>
      <c r="P190" s="33" t="s">
        <v>6</v>
      </c>
    </row>
    <row r="191" spans="1:16" x14ac:dyDescent="0.25">
      <c r="A191" s="6">
        <v>45332</v>
      </c>
      <c r="B191" s="7">
        <v>0.66666666666666663</v>
      </c>
      <c r="C191" s="21">
        <v>45332.666666666664</v>
      </c>
      <c r="D191" s="8">
        <v>65.8</v>
      </c>
      <c r="E191" s="8">
        <v>68.2</v>
      </c>
      <c r="F191" s="8">
        <v>63.5</v>
      </c>
      <c r="G191" s="8" t="s">
        <v>6</v>
      </c>
      <c r="H191" s="8">
        <v>7.5</v>
      </c>
      <c r="I191" s="8">
        <v>7.7</v>
      </c>
      <c r="J191" s="8">
        <v>7.2</v>
      </c>
      <c r="K191" s="8" t="s">
        <v>6</v>
      </c>
      <c r="L191" s="9">
        <v>2</v>
      </c>
      <c r="M191" s="12"/>
      <c r="N191" s="12"/>
      <c r="O191" s="12"/>
      <c r="P191" s="33" t="s">
        <v>6</v>
      </c>
    </row>
    <row r="192" spans="1:16" x14ac:dyDescent="0.25">
      <c r="A192" s="10">
        <v>45332</v>
      </c>
      <c r="B192" s="11">
        <v>0.70833333333333337</v>
      </c>
      <c r="C192" s="22">
        <v>45332.708333333336</v>
      </c>
      <c r="D192" s="12">
        <v>64.3</v>
      </c>
      <c r="E192" s="12">
        <v>64.3</v>
      </c>
      <c r="F192" s="12">
        <v>64.3</v>
      </c>
      <c r="G192" s="12" t="s">
        <v>6</v>
      </c>
      <c r="H192" s="12">
        <v>8.8000000000000007</v>
      </c>
      <c r="I192" s="12">
        <v>8.8000000000000007</v>
      </c>
      <c r="J192" s="12">
        <v>8.8000000000000007</v>
      </c>
      <c r="K192" s="12" t="s">
        <v>6</v>
      </c>
      <c r="L192" s="13">
        <v>1</v>
      </c>
      <c r="M192" s="12"/>
      <c r="N192" s="12"/>
      <c r="O192" s="12"/>
      <c r="P192" s="33" t="s">
        <v>6</v>
      </c>
    </row>
    <row r="193" spans="1:16" x14ac:dyDescent="0.25">
      <c r="A193" s="10">
        <v>45332</v>
      </c>
      <c r="B193" s="11">
        <v>0.83333333333333337</v>
      </c>
      <c r="C193" s="22">
        <v>45332.833333333336</v>
      </c>
      <c r="D193" s="12">
        <v>65.599999999999994</v>
      </c>
      <c r="E193" s="12">
        <v>65.599999999999994</v>
      </c>
      <c r="F193" s="12">
        <v>65.599999999999994</v>
      </c>
      <c r="G193" s="12" t="s">
        <v>6</v>
      </c>
      <c r="H193" s="12">
        <v>16</v>
      </c>
      <c r="I193" s="12">
        <v>16</v>
      </c>
      <c r="J193" s="12">
        <v>16</v>
      </c>
      <c r="K193" s="12" t="s">
        <v>6</v>
      </c>
      <c r="L193" s="13">
        <v>1</v>
      </c>
      <c r="M193" s="12"/>
      <c r="N193" s="12"/>
      <c r="O193" s="12"/>
      <c r="P193" s="33" t="s">
        <v>6</v>
      </c>
    </row>
    <row r="194" spans="1:16" x14ac:dyDescent="0.25">
      <c r="A194" s="10">
        <v>45332</v>
      </c>
      <c r="B194" s="11">
        <v>0.875</v>
      </c>
      <c r="C194" s="22">
        <v>45332.875</v>
      </c>
      <c r="D194" s="12">
        <v>76</v>
      </c>
      <c r="E194" s="12">
        <v>84.8</v>
      </c>
      <c r="F194" s="12">
        <v>58.2</v>
      </c>
      <c r="G194" s="12" t="s">
        <v>6</v>
      </c>
      <c r="H194" s="12">
        <v>18.2</v>
      </c>
      <c r="I194" s="12">
        <v>23.5</v>
      </c>
      <c r="J194" s="12">
        <v>11.6</v>
      </c>
      <c r="K194" s="12" t="s">
        <v>6</v>
      </c>
      <c r="L194" s="13">
        <v>131</v>
      </c>
      <c r="M194" s="12"/>
      <c r="N194" s="12"/>
      <c r="O194" s="12"/>
      <c r="P194" s="33" t="s">
        <v>6</v>
      </c>
    </row>
    <row r="195" spans="1:16" x14ac:dyDescent="0.25">
      <c r="A195" s="10">
        <v>45332</v>
      </c>
      <c r="B195" s="11">
        <v>0.91666666666666663</v>
      </c>
      <c r="C195" s="22">
        <v>45332.916666666664</v>
      </c>
      <c r="D195" s="12">
        <v>76.8</v>
      </c>
      <c r="E195" s="12">
        <v>81.3</v>
      </c>
      <c r="F195" s="12">
        <v>68.099999999999994</v>
      </c>
      <c r="G195" s="12" t="s">
        <v>6</v>
      </c>
      <c r="H195" s="12">
        <v>16.600000000000001</v>
      </c>
      <c r="I195" s="12">
        <v>28.7</v>
      </c>
      <c r="J195" s="12">
        <v>9.4</v>
      </c>
      <c r="K195" s="12" t="s">
        <v>6</v>
      </c>
      <c r="L195" s="13">
        <v>133</v>
      </c>
      <c r="M195" s="12"/>
      <c r="N195" s="12"/>
      <c r="O195" s="12"/>
      <c r="P195" s="33" t="s">
        <v>6</v>
      </c>
    </row>
    <row r="196" spans="1:16" x14ac:dyDescent="0.25">
      <c r="A196" s="10">
        <v>45332</v>
      </c>
      <c r="B196" s="11">
        <v>0.95833333333333337</v>
      </c>
      <c r="C196" s="22">
        <v>45332.958333333336</v>
      </c>
      <c r="D196" s="12">
        <v>76.400000000000006</v>
      </c>
      <c r="E196" s="12">
        <v>78.099999999999994</v>
      </c>
      <c r="F196" s="12">
        <v>74.5</v>
      </c>
      <c r="G196" s="12" t="s">
        <v>6</v>
      </c>
      <c r="H196" s="12">
        <v>22</v>
      </c>
      <c r="I196" s="12">
        <v>22.3</v>
      </c>
      <c r="J196" s="12">
        <v>21.8</v>
      </c>
      <c r="K196" s="12" t="s">
        <v>6</v>
      </c>
      <c r="L196" s="13">
        <v>3</v>
      </c>
      <c r="M196" s="12"/>
      <c r="N196" s="12"/>
      <c r="O196" s="12"/>
      <c r="P196" s="33" t="s">
        <v>6</v>
      </c>
    </row>
    <row r="197" spans="1:16" x14ac:dyDescent="0.25">
      <c r="A197" s="10">
        <v>45333</v>
      </c>
      <c r="B197" s="11">
        <v>0</v>
      </c>
      <c r="C197" s="22">
        <v>45333</v>
      </c>
      <c r="D197" s="12">
        <v>71.3</v>
      </c>
      <c r="E197" s="12">
        <v>79.5</v>
      </c>
      <c r="F197" s="12">
        <v>64.5</v>
      </c>
      <c r="G197" s="12" t="s">
        <v>6</v>
      </c>
      <c r="H197" s="12">
        <v>17.5</v>
      </c>
      <c r="I197" s="12">
        <v>25.4</v>
      </c>
      <c r="J197" s="12">
        <v>11</v>
      </c>
      <c r="K197" s="12" t="s">
        <v>6</v>
      </c>
      <c r="L197" s="13">
        <v>216</v>
      </c>
      <c r="M197" s="12"/>
      <c r="N197" s="12"/>
      <c r="O197" s="12"/>
      <c r="P197" s="33" t="s">
        <v>6</v>
      </c>
    </row>
    <row r="198" spans="1:16" x14ac:dyDescent="0.25">
      <c r="A198" s="10">
        <v>45333</v>
      </c>
      <c r="B198" s="11">
        <v>4.1666666666666664E-2</v>
      </c>
      <c r="C198" s="22">
        <v>45333.041666666664</v>
      </c>
      <c r="D198" s="12">
        <v>66.5</v>
      </c>
      <c r="E198" s="12">
        <v>73.599999999999994</v>
      </c>
      <c r="F198" s="12">
        <v>56.8</v>
      </c>
      <c r="G198" s="12" t="s">
        <v>6</v>
      </c>
      <c r="H198" s="12">
        <v>16.399999999999999</v>
      </c>
      <c r="I198" s="12">
        <v>28.2</v>
      </c>
      <c r="J198" s="12">
        <v>8.9</v>
      </c>
      <c r="K198" s="12" t="s">
        <v>6</v>
      </c>
      <c r="L198" s="13">
        <v>216</v>
      </c>
      <c r="M198" s="12"/>
      <c r="N198" s="12"/>
      <c r="O198" s="12"/>
      <c r="P198" s="33" t="s">
        <v>6</v>
      </c>
    </row>
    <row r="199" spans="1:16" x14ac:dyDescent="0.25">
      <c r="A199" s="10">
        <v>45333</v>
      </c>
      <c r="B199" s="11">
        <v>8.3333333333333329E-2</v>
      </c>
      <c r="C199" s="22">
        <v>45333.083333333336</v>
      </c>
      <c r="D199" s="12">
        <v>69.599999999999994</v>
      </c>
      <c r="E199" s="12">
        <v>79.3</v>
      </c>
      <c r="F199" s="12">
        <v>63.4</v>
      </c>
      <c r="G199" s="12" t="s">
        <v>6</v>
      </c>
      <c r="H199" s="12">
        <v>14.6</v>
      </c>
      <c r="I199" s="12">
        <v>23.6</v>
      </c>
      <c r="J199" s="12">
        <v>7.8</v>
      </c>
      <c r="K199" s="12" t="s">
        <v>6</v>
      </c>
      <c r="L199" s="13">
        <v>211</v>
      </c>
      <c r="M199" s="12"/>
      <c r="N199" s="12"/>
      <c r="O199" s="12"/>
      <c r="P199" s="33" t="s">
        <v>6</v>
      </c>
    </row>
    <row r="200" spans="1:16" x14ac:dyDescent="0.25">
      <c r="A200" s="10">
        <v>45333</v>
      </c>
      <c r="B200" s="11">
        <v>0.125</v>
      </c>
      <c r="C200" s="22">
        <v>45333.125</v>
      </c>
      <c r="D200" s="12">
        <v>70.8</v>
      </c>
      <c r="E200" s="12">
        <v>84.8</v>
      </c>
      <c r="F200" s="12">
        <v>56.8</v>
      </c>
      <c r="G200" s="12" t="s">
        <v>6</v>
      </c>
      <c r="H200" s="12">
        <v>18.100000000000001</v>
      </c>
      <c r="I200" s="12">
        <v>25.4</v>
      </c>
      <c r="J200" s="12">
        <v>4.2</v>
      </c>
      <c r="K200" s="12" t="s">
        <v>6</v>
      </c>
      <c r="L200" s="13">
        <v>170</v>
      </c>
      <c r="M200" s="12"/>
      <c r="N200" s="12"/>
      <c r="O200" s="12"/>
      <c r="P200" s="33" t="s">
        <v>6</v>
      </c>
    </row>
    <row r="201" spans="1:16" x14ac:dyDescent="0.25">
      <c r="A201" s="14">
        <v>45333</v>
      </c>
      <c r="B201" s="15">
        <v>0.16666666666666666</v>
      </c>
      <c r="C201" s="20">
        <v>45333.166666666664</v>
      </c>
      <c r="D201" s="16">
        <v>70.099999999999994</v>
      </c>
      <c r="E201" s="16">
        <v>73.3</v>
      </c>
      <c r="F201" s="16">
        <v>65.7</v>
      </c>
      <c r="G201" s="16" t="s">
        <v>6</v>
      </c>
      <c r="H201" s="16">
        <v>18.100000000000001</v>
      </c>
      <c r="I201" s="16">
        <v>22.7</v>
      </c>
      <c r="J201" s="16">
        <v>10.6</v>
      </c>
      <c r="K201" s="16" t="s">
        <v>6</v>
      </c>
      <c r="L201" s="17">
        <v>50</v>
      </c>
      <c r="M201" s="12"/>
      <c r="N201" s="12"/>
      <c r="O201" s="12"/>
      <c r="P201" s="33" t="s">
        <v>6</v>
      </c>
    </row>
    <row r="202" spans="1:16" x14ac:dyDescent="0.25">
      <c r="A202" s="6">
        <v>45333</v>
      </c>
      <c r="B202" s="7">
        <v>0.75</v>
      </c>
      <c r="C202" s="21">
        <v>45333.75</v>
      </c>
      <c r="D202" s="8">
        <v>80.8</v>
      </c>
      <c r="E202" s="8">
        <v>84.9</v>
      </c>
      <c r="F202" s="8">
        <v>73.099999999999994</v>
      </c>
      <c r="G202" s="8" t="s">
        <v>6</v>
      </c>
      <c r="H202" s="8">
        <v>20.399999999999999</v>
      </c>
      <c r="I202" s="8">
        <v>28</v>
      </c>
      <c r="J202" s="8">
        <v>9.1</v>
      </c>
      <c r="K202" s="8" t="s">
        <v>6</v>
      </c>
      <c r="L202" s="9">
        <v>105</v>
      </c>
      <c r="M202" s="12"/>
      <c r="N202" s="12"/>
      <c r="O202" s="12"/>
      <c r="P202" s="33" t="s">
        <v>6</v>
      </c>
    </row>
    <row r="203" spans="1:16" x14ac:dyDescent="0.25">
      <c r="A203" s="10">
        <v>45333</v>
      </c>
      <c r="B203" s="11">
        <v>0.875</v>
      </c>
      <c r="C203" s="22">
        <v>45333.875</v>
      </c>
      <c r="D203" s="12">
        <v>81.400000000000006</v>
      </c>
      <c r="E203" s="12">
        <v>91.6</v>
      </c>
      <c r="F203" s="12">
        <v>59.2</v>
      </c>
      <c r="G203" s="12" t="s">
        <v>6</v>
      </c>
      <c r="H203" s="12">
        <v>18.7</v>
      </c>
      <c r="I203" s="12">
        <v>28.3</v>
      </c>
      <c r="J203" s="12">
        <v>9.9</v>
      </c>
      <c r="K203" s="12" t="s">
        <v>6</v>
      </c>
      <c r="L203" s="13">
        <v>163</v>
      </c>
      <c r="M203" s="12"/>
      <c r="N203" s="12"/>
      <c r="O203" s="12"/>
      <c r="P203" s="33" t="s">
        <v>6</v>
      </c>
    </row>
    <row r="204" spans="1:16" x14ac:dyDescent="0.25">
      <c r="A204" s="10">
        <v>45333</v>
      </c>
      <c r="B204" s="11">
        <v>0.91666666666666663</v>
      </c>
      <c r="C204" s="22">
        <v>45333.916666666664</v>
      </c>
      <c r="D204" s="12">
        <v>74.8</v>
      </c>
      <c r="E204" s="12">
        <v>86.3</v>
      </c>
      <c r="F204" s="12">
        <v>55.2</v>
      </c>
      <c r="G204" s="12" t="s">
        <v>6</v>
      </c>
      <c r="H204" s="12">
        <v>17.899999999999999</v>
      </c>
      <c r="I204" s="12">
        <v>27.9</v>
      </c>
      <c r="J204" s="12">
        <v>9.5</v>
      </c>
      <c r="K204" s="12" t="s">
        <v>6</v>
      </c>
      <c r="L204" s="13">
        <v>204</v>
      </c>
      <c r="M204" s="12"/>
      <c r="N204" s="12"/>
      <c r="O204" s="12"/>
      <c r="P204" s="33" t="s">
        <v>6</v>
      </c>
    </row>
    <row r="205" spans="1:16" x14ac:dyDescent="0.25">
      <c r="A205" s="10">
        <v>45333</v>
      </c>
      <c r="B205" s="11">
        <v>0.95833333333333337</v>
      </c>
      <c r="C205" s="22">
        <v>45333.958333333336</v>
      </c>
      <c r="D205" s="12">
        <v>67.400000000000006</v>
      </c>
      <c r="E205" s="12">
        <v>75</v>
      </c>
      <c r="F205" s="12">
        <v>53.1</v>
      </c>
      <c r="G205" s="12" t="s">
        <v>6</v>
      </c>
      <c r="H205" s="12">
        <v>20.9</v>
      </c>
      <c r="I205" s="12">
        <v>26.5</v>
      </c>
      <c r="J205" s="12">
        <v>11.1</v>
      </c>
      <c r="K205" s="12" t="s">
        <v>6</v>
      </c>
      <c r="L205" s="13">
        <v>107</v>
      </c>
      <c r="M205" s="12"/>
      <c r="N205" s="12"/>
      <c r="O205" s="12"/>
      <c r="P205" s="33" t="s">
        <v>6</v>
      </c>
    </row>
    <row r="206" spans="1:16" x14ac:dyDescent="0.25">
      <c r="A206" s="14">
        <v>45334</v>
      </c>
      <c r="B206" s="15">
        <v>0.625</v>
      </c>
      <c r="C206" s="20">
        <v>45334.625</v>
      </c>
      <c r="D206" s="16">
        <v>63.1</v>
      </c>
      <c r="E206" s="16">
        <v>63.1</v>
      </c>
      <c r="F206" s="16">
        <v>63.1</v>
      </c>
      <c r="G206" s="16" t="s">
        <v>6</v>
      </c>
      <c r="H206" s="16">
        <v>3.5</v>
      </c>
      <c r="I206" s="16">
        <v>3.5</v>
      </c>
      <c r="J206" s="16">
        <v>3.5</v>
      </c>
      <c r="K206" s="16" t="s">
        <v>6</v>
      </c>
      <c r="L206" s="17">
        <v>1</v>
      </c>
      <c r="M206" s="12"/>
      <c r="N206" s="12"/>
      <c r="O206" s="12"/>
      <c r="P206" s="34" t="s">
        <v>6</v>
      </c>
    </row>
    <row r="207" spans="1:16" x14ac:dyDescent="0.25">
      <c r="A207" s="6">
        <v>45335</v>
      </c>
      <c r="B207" s="7">
        <v>0.125</v>
      </c>
      <c r="C207" s="21">
        <v>45335.125</v>
      </c>
      <c r="D207" s="8">
        <v>67.400000000000006</v>
      </c>
      <c r="E207" s="8">
        <v>71.599999999999994</v>
      </c>
      <c r="F207" s="8">
        <v>60.4</v>
      </c>
      <c r="G207" s="8" t="s">
        <v>6</v>
      </c>
      <c r="H207" s="8">
        <v>16.899999999999999</v>
      </c>
      <c r="I207" s="8">
        <v>23.4</v>
      </c>
      <c r="J207" s="8">
        <v>11.9</v>
      </c>
      <c r="K207" s="8" t="s">
        <v>6</v>
      </c>
      <c r="L207" s="9">
        <v>54</v>
      </c>
      <c r="M207" s="12"/>
      <c r="N207" s="12"/>
      <c r="O207" s="12"/>
      <c r="P207" s="34" t="s">
        <v>6</v>
      </c>
    </row>
    <row r="208" spans="1:16" x14ac:dyDescent="0.25">
      <c r="A208" s="10">
        <v>45335</v>
      </c>
      <c r="B208" s="11">
        <v>0.16666666666666666</v>
      </c>
      <c r="C208" s="22">
        <v>45335.166666666664</v>
      </c>
      <c r="D208" s="12">
        <v>68.8</v>
      </c>
      <c r="E208" s="12">
        <v>77.2</v>
      </c>
      <c r="F208" s="12">
        <v>63.1</v>
      </c>
      <c r="G208" s="12" t="s">
        <v>6</v>
      </c>
      <c r="H208" s="12">
        <v>16.600000000000001</v>
      </c>
      <c r="I208" s="12">
        <v>23.5</v>
      </c>
      <c r="J208" s="12">
        <v>10.199999999999999</v>
      </c>
      <c r="K208" s="12" t="s">
        <v>6</v>
      </c>
      <c r="L208" s="13">
        <v>223</v>
      </c>
      <c r="M208" s="12"/>
      <c r="N208" s="12"/>
      <c r="O208" s="12"/>
      <c r="P208" s="34" t="s">
        <v>6</v>
      </c>
    </row>
    <row r="209" spans="1:16" x14ac:dyDescent="0.25">
      <c r="A209" s="10">
        <v>45335</v>
      </c>
      <c r="B209" s="11">
        <v>0.20833333333333334</v>
      </c>
      <c r="C209" s="22">
        <v>45335.208333333336</v>
      </c>
      <c r="D209" s="12">
        <v>66.5</v>
      </c>
      <c r="E209" s="12">
        <v>74</v>
      </c>
      <c r="F209" s="12">
        <v>57.9</v>
      </c>
      <c r="G209" s="12" t="s">
        <v>6</v>
      </c>
      <c r="H209" s="12">
        <v>16.399999999999999</v>
      </c>
      <c r="I209" s="12">
        <v>23.8</v>
      </c>
      <c r="J209" s="12">
        <v>10.3</v>
      </c>
      <c r="K209" s="12" t="s">
        <v>6</v>
      </c>
      <c r="L209" s="13">
        <v>203</v>
      </c>
      <c r="M209" s="12"/>
      <c r="N209" s="12"/>
      <c r="O209" s="12"/>
      <c r="P209" s="34" t="s">
        <v>6</v>
      </c>
    </row>
    <row r="210" spans="1:16" x14ac:dyDescent="0.25">
      <c r="A210" s="10">
        <v>45335</v>
      </c>
      <c r="B210" s="11">
        <v>0.875</v>
      </c>
      <c r="C210" s="22">
        <v>45335.875</v>
      </c>
      <c r="D210" s="12">
        <v>73.599999999999994</v>
      </c>
      <c r="E210" s="12">
        <v>83.6</v>
      </c>
      <c r="F210" s="12">
        <v>51</v>
      </c>
      <c r="G210" s="12" t="s">
        <v>6</v>
      </c>
      <c r="H210" s="12">
        <v>19.100000000000001</v>
      </c>
      <c r="I210" s="12">
        <v>25</v>
      </c>
      <c r="J210" s="12">
        <v>11.2</v>
      </c>
      <c r="K210" s="12" t="s">
        <v>6</v>
      </c>
      <c r="L210" s="13">
        <v>141</v>
      </c>
      <c r="M210" s="12"/>
      <c r="N210" s="12"/>
      <c r="O210" s="12"/>
    </row>
    <row r="211" spans="1:16" x14ac:dyDescent="0.25">
      <c r="A211" s="10">
        <v>45335</v>
      </c>
      <c r="B211" s="11">
        <v>0.91666666666666663</v>
      </c>
      <c r="C211" s="22">
        <v>45335.916666666664</v>
      </c>
      <c r="D211" s="12">
        <v>71.2</v>
      </c>
      <c r="E211" s="12">
        <v>78.400000000000006</v>
      </c>
      <c r="F211" s="12">
        <v>60.9</v>
      </c>
      <c r="G211" s="12" t="s">
        <v>6</v>
      </c>
      <c r="H211" s="12">
        <v>17</v>
      </c>
      <c r="I211" s="12">
        <v>23.2</v>
      </c>
      <c r="J211" s="12">
        <v>10.8</v>
      </c>
      <c r="K211" s="12" t="s">
        <v>6</v>
      </c>
      <c r="L211" s="13">
        <v>219</v>
      </c>
      <c r="M211" s="12"/>
      <c r="N211" s="12"/>
      <c r="O211" s="12"/>
    </row>
    <row r="212" spans="1:16" x14ac:dyDescent="0.25">
      <c r="A212" s="10">
        <v>45335</v>
      </c>
      <c r="B212" s="11">
        <v>0.95833333333333337</v>
      </c>
      <c r="C212" s="22">
        <v>45335.958333333336</v>
      </c>
      <c r="D212" s="12">
        <v>72.2</v>
      </c>
      <c r="E212" s="12">
        <v>79.5</v>
      </c>
      <c r="F212" s="12">
        <v>60.8</v>
      </c>
      <c r="G212" s="12" t="s">
        <v>6</v>
      </c>
      <c r="H212" s="12">
        <v>17.100000000000001</v>
      </c>
      <c r="I212" s="12">
        <v>21.1</v>
      </c>
      <c r="J212" s="12">
        <v>8.6</v>
      </c>
      <c r="K212" s="12" t="s">
        <v>6</v>
      </c>
      <c r="L212" s="13">
        <v>216</v>
      </c>
      <c r="M212" s="12"/>
      <c r="N212" s="12"/>
      <c r="O212" s="12"/>
      <c r="P212" s="35" t="s">
        <v>6</v>
      </c>
    </row>
    <row r="213" spans="1:16" x14ac:dyDescent="0.25">
      <c r="A213" s="10">
        <v>45336</v>
      </c>
      <c r="B213" s="11">
        <v>0</v>
      </c>
      <c r="C213" s="22">
        <v>45336</v>
      </c>
      <c r="D213" s="12">
        <v>73.099999999999994</v>
      </c>
      <c r="E213" s="12">
        <v>84.8</v>
      </c>
      <c r="F213" s="12">
        <v>50.9</v>
      </c>
      <c r="G213" s="12" t="s">
        <v>6</v>
      </c>
      <c r="H213" s="12">
        <v>18.8</v>
      </c>
      <c r="I213" s="12">
        <v>26.7</v>
      </c>
      <c r="J213" s="12">
        <v>10.5</v>
      </c>
      <c r="K213" s="12" t="s">
        <v>6</v>
      </c>
      <c r="L213" s="13">
        <v>71</v>
      </c>
      <c r="M213" s="12"/>
      <c r="N213" s="12"/>
      <c r="O213" s="12"/>
      <c r="P213" s="35" t="s">
        <v>6</v>
      </c>
    </row>
    <row r="214" spans="1:16" x14ac:dyDescent="0.25">
      <c r="A214" s="10">
        <v>45336</v>
      </c>
      <c r="B214" s="11">
        <v>8.3333333333333329E-2</v>
      </c>
      <c r="C214" s="22">
        <v>45336.083333333336</v>
      </c>
      <c r="D214" s="12">
        <v>72.900000000000006</v>
      </c>
      <c r="E214" s="12">
        <v>76.7</v>
      </c>
      <c r="F214" s="12">
        <v>69</v>
      </c>
      <c r="G214" s="12" t="s">
        <v>6</v>
      </c>
      <c r="H214" s="12">
        <v>20.6</v>
      </c>
      <c r="I214" s="12">
        <v>23.3</v>
      </c>
      <c r="J214" s="12">
        <v>13.9</v>
      </c>
      <c r="K214" s="12" t="s">
        <v>6</v>
      </c>
      <c r="L214" s="13">
        <v>43</v>
      </c>
      <c r="M214" s="12"/>
      <c r="N214" s="12"/>
      <c r="O214" s="12"/>
      <c r="P214" s="35" t="s">
        <v>6</v>
      </c>
    </row>
    <row r="215" spans="1:16" x14ac:dyDescent="0.25">
      <c r="A215" s="10">
        <v>45336</v>
      </c>
      <c r="B215" s="11">
        <v>0.125</v>
      </c>
      <c r="C215" s="22">
        <v>45336.125</v>
      </c>
      <c r="D215" s="12">
        <v>64.099999999999994</v>
      </c>
      <c r="E215" s="12">
        <v>73.8</v>
      </c>
      <c r="F215" s="12">
        <v>53.1</v>
      </c>
      <c r="G215" s="12" t="s">
        <v>6</v>
      </c>
      <c r="H215" s="12">
        <v>17.899999999999999</v>
      </c>
      <c r="I215" s="12">
        <v>24.6</v>
      </c>
      <c r="J215" s="12">
        <v>12.3</v>
      </c>
      <c r="K215" s="12" t="s">
        <v>6</v>
      </c>
      <c r="L215" s="13">
        <v>224</v>
      </c>
      <c r="M215" s="12"/>
      <c r="N215" s="12"/>
      <c r="O215" s="12"/>
      <c r="P215" s="35" t="s">
        <v>6</v>
      </c>
    </row>
    <row r="216" spans="1:16" x14ac:dyDescent="0.25">
      <c r="A216" s="10">
        <v>45336</v>
      </c>
      <c r="B216" s="11">
        <v>0.16666666666666666</v>
      </c>
      <c r="C216" s="22">
        <v>45336.166666666664</v>
      </c>
      <c r="D216" s="12">
        <v>67.7</v>
      </c>
      <c r="E216" s="12">
        <v>74.599999999999994</v>
      </c>
      <c r="F216" s="12">
        <v>59</v>
      </c>
      <c r="G216" s="12" t="s">
        <v>6</v>
      </c>
      <c r="H216" s="12">
        <v>16.8</v>
      </c>
      <c r="I216" s="12">
        <v>24.4</v>
      </c>
      <c r="J216" s="12">
        <v>9</v>
      </c>
      <c r="K216" s="12" t="s">
        <v>6</v>
      </c>
      <c r="L216" s="13">
        <v>221</v>
      </c>
      <c r="M216" s="12"/>
      <c r="N216" s="12"/>
      <c r="O216" s="12"/>
      <c r="P216" s="35" t="s">
        <v>6</v>
      </c>
    </row>
    <row r="217" spans="1:16" x14ac:dyDescent="0.25">
      <c r="A217" s="14">
        <v>45336</v>
      </c>
      <c r="B217" s="15">
        <v>0.20833333333333334</v>
      </c>
      <c r="C217" s="20">
        <v>45336.208333333336</v>
      </c>
      <c r="D217" s="16">
        <v>68</v>
      </c>
      <c r="E217" s="16">
        <v>72.599999999999994</v>
      </c>
      <c r="F217" s="16">
        <v>62.8</v>
      </c>
      <c r="G217" s="16" t="s">
        <v>6</v>
      </c>
      <c r="H217" s="16">
        <v>15.2</v>
      </c>
      <c r="I217" s="16">
        <v>24.1</v>
      </c>
      <c r="J217" s="16">
        <v>8.9</v>
      </c>
      <c r="K217" s="16" t="s">
        <v>6</v>
      </c>
      <c r="L217" s="17">
        <v>95</v>
      </c>
      <c r="M217" s="12"/>
      <c r="N217" s="12"/>
      <c r="O217" s="12"/>
      <c r="P217" s="35" t="s">
        <v>6</v>
      </c>
    </row>
    <row r="218" spans="1:16" x14ac:dyDescent="0.25">
      <c r="A218" s="6">
        <v>45336</v>
      </c>
      <c r="B218" s="7">
        <v>0.91666666666666663</v>
      </c>
      <c r="C218" s="21">
        <v>45336.916666666664</v>
      </c>
      <c r="D218" s="8">
        <v>66.900000000000006</v>
      </c>
      <c r="E218" s="8">
        <v>73.400000000000006</v>
      </c>
      <c r="F218" s="8">
        <v>57.9</v>
      </c>
      <c r="G218" s="8" t="s">
        <v>6</v>
      </c>
      <c r="H218" s="8">
        <v>20.399999999999999</v>
      </c>
      <c r="I218" s="8">
        <v>28.2</v>
      </c>
      <c r="J218" s="8">
        <v>12.1</v>
      </c>
      <c r="K218" s="8" t="s">
        <v>6</v>
      </c>
      <c r="L218" s="9">
        <v>88</v>
      </c>
      <c r="M218" s="36" t="s">
        <v>6</v>
      </c>
      <c r="P218" s="35" t="s">
        <v>6</v>
      </c>
    </row>
    <row r="219" spans="1:16" x14ac:dyDescent="0.25">
      <c r="A219" s="10">
        <v>45336</v>
      </c>
      <c r="B219" s="11">
        <v>0.95833333333333337</v>
      </c>
      <c r="C219" s="22">
        <v>45336.958333333336</v>
      </c>
      <c r="D219" s="12">
        <v>61.3</v>
      </c>
      <c r="E219" s="12">
        <v>67.7</v>
      </c>
      <c r="F219" s="12">
        <v>56.7</v>
      </c>
      <c r="G219" s="12" t="s">
        <v>6</v>
      </c>
      <c r="H219" s="12">
        <v>20.3</v>
      </c>
      <c r="I219" s="12">
        <v>25.7</v>
      </c>
      <c r="J219" s="12">
        <v>13.6</v>
      </c>
      <c r="K219" s="12" t="s">
        <v>6</v>
      </c>
      <c r="L219" s="13">
        <v>44</v>
      </c>
      <c r="M219" s="36" t="s">
        <v>6</v>
      </c>
    </row>
    <row r="220" spans="1:16" x14ac:dyDescent="0.25">
      <c r="A220" s="14">
        <v>45337</v>
      </c>
      <c r="B220" s="15">
        <v>0</v>
      </c>
      <c r="C220" s="20">
        <v>45337</v>
      </c>
      <c r="D220" s="16">
        <v>62.4</v>
      </c>
      <c r="E220" s="16">
        <v>69.3</v>
      </c>
      <c r="F220" s="16">
        <v>54.4</v>
      </c>
      <c r="G220" s="16" t="s">
        <v>6</v>
      </c>
      <c r="H220" s="16">
        <v>17.8</v>
      </c>
      <c r="I220" s="16">
        <v>25.4</v>
      </c>
      <c r="J220" s="16">
        <v>9.5</v>
      </c>
      <c r="K220" s="16" t="s">
        <v>6</v>
      </c>
      <c r="L220" s="17">
        <v>185</v>
      </c>
      <c r="M220" s="36" t="s">
        <v>6</v>
      </c>
    </row>
    <row r="221" spans="1:16" x14ac:dyDescent="0.25">
      <c r="A221" s="6">
        <v>45337</v>
      </c>
      <c r="B221" s="7">
        <v>0.83333333333333337</v>
      </c>
      <c r="C221" s="21">
        <v>45337.833333333336</v>
      </c>
      <c r="D221" s="8">
        <v>65.2</v>
      </c>
      <c r="E221" s="8">
        <v>65.8</v>
      </c>
      <c r="F221" s="8">
        <v>64.599999999999994</v>
      </c>
      <c r="G221" s="8" t="s">
        <v>6</v>
      </c>
      <c r="H221" s="8">
        <v>10.4</v>
      </c>
      <c r="I221" s="8">
        <v>11.1</v>
      </c>
      <c r="J221" s="8">
        <v>9.5</v>
      </c>
      <c r="K221" s="8" t="s">
        <v>6</v>
      </c>
      <c r="L221" s="9">
        <v>3</v>
      </c>
      <c r="M221" s="37" t="s">
        <v>6</v>
      </c>
    </row>
    <row r="222" spans="1:16" x14ac:dyDescent="0.25">
      <c r="A222" s="14">
        <v>45338</v>
      </c>
      <c r="B222" s="15">
        <v>0.25</v>
      </c>
      <c r="C222" s="20">
        <v>45338.25</v>
      </c>
      <c r="D222" s="16">
        <v>68.8</v>
      </c>
      <c r="E222" s="16">
        <v>68.8</v>
      </c>
      <c r="F222" s="16">
        <v>68.8</v>
      </c>
      <c r="G222" s="16" t="s">
        <v>6</v>
      </c>
      <c r="H222" s="16">
        <v>2.5</v>
      </c>
      <c r="I222" s="16">
        <v>2.5</v>
      </c>
      <c r="J222" s="16">
        <v>2.5</v>
      </c>
      <c r="K222" s="16" t="s">
        <v>6</v>
      </c>
      <c r="L222" s="17">
        <v>1</v>
      </c>
      <c r="M222" s="37" t="s">
        <v>6</v>
      </c>
    </row>
    <row r="223" spans="1:16" x14ac:dyDescent="0.25">
      <c r="A223" s="6">
        <v>45338</v>
      </c>
      <c r="B223" s="7">
        <v>0.5</v>
      </c>
      <c r="C223" s="21">
        <v>45338.5</v>
      </c>
      <c r="D223" s="8">
        <v>65.599999999999994</v>
      </c>
      <c r="E223" s="8">
        <v>65.599999999999994</v>
      </c>
      <c r="F223" s="8">
        <v>65.599999999999994</v>
      </c>
      <c r="G223" s="8" t="s">
        <v>6</v>
      </c>
      <c r="H223" s="8">
        <v>9.1999999999999993</v>
      </c>
      <c r="I223" s="8">
        <v>9.1999999999999993</v>
      </c>
      <c r="J223" s="8">
        <v>9.1999999999999993</v>
      </c>
      <c r="K223" s="8" t="s">
        <v>6</v>
      </c>
      <c r="L223" s="9">
        <v>1</v>
      </c>
      <c r="M223" s="38" t="s">
        <v>6</v>
      </c>
    </row>
    <row r="224" spans="1:16" x14ac:dyDescent="0.25">
      <c r="A224" s="10">
        <v>45338</v>
      </c>
      <c r="B224" s="11">
        <v>0.83333333333333337</v>
      </c>
      <c r="C224" s="22">
        <v>45338.833333333336</v>
      </c>
      <c r="D224" s="12">
        <v>54.9</v>
      </c>
      <c r="E224" s="12">
        <v>54.9</v>
      </c>
      <c r="F224" s="12">
        <v>54.9</v>
      </c>
      <c r="G224" s="12" t="s">
        <v>6</v>
      </c>
      <c r="H224" s="12">
        <v>9.4</v>
      </c>
      <c r="I224" s="12">
        <v>9.8000000000000007</v>
      </c>
      <c r="J224" s="12">
        <v>8.9</v>
      </c>
      <c r="K224" s="12" t="s">
        <v>6</v>
      </c>
      <c r="L224" s="13">
        <v>2</v>
      </c>
      <c r="M224" s="38" t="s">
        <v>6</v>
      </c>
    </row>
    <row r="225" spans="1:13" x14ac:dyDescent="0.25">
      <c r="A225" s="10">
        <v>45338</v>
      </c>
      <c r="B225" s="11">
        <v>0.875</v>
      </c>
      <c r="C225" s="22">
        <v>45338.875</v>
      </c>
      <c r="D225" s="12">
        <v>63.1</v>
      </c>
      <c r="E225" s="12">
        <v>76.3</v>
      </c>
      <c r="F225" s="12">
        <v>54.9</v>
      </c>
      <c r="G225" s="12" t="s">
        <v>6</v>
      </c>
      <c r="H225" s="12">
        <v>20.3</v>
      </c>
      <c r="I225" s="12">
        <v>24.4</v>
      </c>
      <c r="J225" s="12">
        <v>10.7</v>
      </c>
      <c r="K225" s="12" t="s">
        <v>6</v>
      </c>
      <c r="L225" s="13">
        <v>21</v>
      </c>
      <c r="M225" s="38" t="s">
        <v>6</v>
      </c>
    </row>
    <row r="226" spans="1:13" x14ac:dyDescent="0.25">
      <c r="A226" s="10">
        <v>45338</v>
      </c>
      <c r="B226" s="11">
        <v>0.91666666666666663</v>
      </c>
      <c r="C226" s="22">
        <v>45338.916666666664</v>
      </c>
      <c r="D226" s="12">
        <v>65.3</v>
      </c>
      <c r="E226" s="12">
        <v>76.8</v>
      </c>
      <c r="F226" s="12">
        <v>47.7</v>
      </c>
      <c r="G226" s="12" t="s">
        <v>6</v>
      </c>
      <c r="H226" s="12">
        <v>17.3</v>
      </c>
      <c r="I226" s="12">
        <v>25.8</v>
      </c>
      <c r="J226" s="12">
        <v>9</v>
      </c>
      <c r="K226" s="12" t="s">
        <v>6</v>
      </c>
      <c r="L226" s="13">
        <v>224</v>
      </c>
      <c r="M226" s="38" t="s">
        <v>6</v>
      </c>
    </row>
    <row r="227" spans="1:13" x14ac:dyDescent="0.25">
      <c r="A227" s="10">
        <v>45338</v>
      </c>
      <c r="B227" s="11">
        <v>0.95833333333333337</v>
      </c>
      <c r="C227" s="22">
        <v>45338.958333333336</v>
      </c>
      <c r="D227" s="12">
        <v>72.5</v>
      </c>
      <c r="E227" s="12">
        <v>77.400000000000006</v>
      </c>
      <c r="F227" s="12">
        <v>64.8</v>
      </c>
      <c r="G227" s="12" t="s">
        <v>6</v>
      </c>
      <c r="H227" s="12">
        <v>15.9</v>
      </c>
      <c r="I227" s="12">
        <v>24</v>
      </c>
      <c r="J227" s="12">
        <v>7.6</v>
      </c>
      <c r="K227" s="12" t="s">
        <v>6</v>
      </c>
      <c r="L227" s="13">
        <v>177</v>
      </c>
      <c r="M227" s="38" t="s">
        <v>6</v>
      </c>
    </row>
    <row r="228" spans="1:13" x14ac:dyDescent="0.25">
      <c r="A228" s="10">
        <v>45339</v>
      </c>
      <c r="B228" s="11">
        <v>0</v>
      </c>
      <c r="C228" s="22">
        <v>45339</v>
      </c>
      <c r="D228" s="12">
        <v>64.2</v>
      </c>
      <c r="E228" s="12">
        <v>74</v>
      </c>
      <c r="F228" s="12">
        <v>54.4</v>
      </c>
      <c r="G228" s="12" t="s">
        <v>6</v>
      </c>
      <c r="H228" s="12">
        <v>18.2</v>
      </c>
      <c r="I228" s="12">
        <v>25.9</v>
      </c>
      <c r="J228" s="12">
        <v>10.1</v>
      </c>
      <c r="K228" s="12" t="s">
        <v>6</v>
      </c>
      <c r="L228" s="13">
        <v>15</v>
      </c>
      <c r="M228" s="38" t="s">
        <v>6</v>
      </c>
    </row>
    <row r="229" spans="1:13" x14ac:dyDescent="0.25">
      <c r="A229" s="10">
        <v>45339</v>
      </c>
      <c r="B229" s="11">
        <v>0.125</v>
      </c>
      <c r="C229" s="22">
        <v>45339.125</v>
      </c>
      <c r="D229" s="12">
        <v>63.8</v>
      </c>
      <c r="E229" s="12">
        <v>71.7</v>
      </c>
      <c r="F229" s="12">
        <v>53.2</v>
      </c>
      <c r="G229" s="12" t="s">
        <v>6</v>
      </c>
      <c r="H229" s="12">
        <v>18.5</v>
      </c>
      <c r="I229" s="12">
        <v>31.4</v>
      </c>
      <c r="J229" s="12">
        <v>11.5</v>
      </c>
      <c r="K229" s="12" t="s">
        <v>6</v>
      </c>
      <c r="L229" s="13">
        <v>96</v>
      </c>
      <c r="M229" s="38" t="s">
        <v>6</v>
      </c>
    </row>
    <row r="230" spans="1:13" x14ac:dyDescent="0.25">
      <c r="A230" s="10">
        <v>45339</v>
      </c>
      <c r="B230" s="11">
        <v>0.16666666666666666</v>
      </c>
      <c r="C230" s="22">
        <v>45339.166666666664</v>
      </c>
      <c r="D230" s="12">
        <v>69.5</v>
      </c>
      <c r="E230" s="12">
        <v>76.099999999999994</v>
      </c>
      <c r="F230" s="12">
        <v>54.5</v>
      </c>
      <c r="G230" s="12" t="s">
        <v>6</v>
      </c>
      <c r="H230" s="12">
        <v>18.5</v>
      </c>
      <c r="I230" s="12">
        <v>31.4</v>
      </c>
      <c r="J230" s="12">
        <v>10.6</v>
      </c>
      <c r="K230" s="12" t="s">
        <v>6</v>
      </c>
      <c r="L230" s="13">
        <v>228</v>
      </c>
      <c r="M230" s="38" t="s">
        <v>6</v>
      </c>
    </row>
    <row r="231" spans="1:13" x14ac:dyDescent="0.25">
      <c r="A231" s="10">
        <v>45339</v>
      </c>
      <c r="B231" s="11">
        <v>0.20833333333333334</v>
      </c>
      <c r="C231" s="22">
        <v>45339.208333333336</v>
      </c>
      <c r="D231" s="12">
        <v>70.400000000000006</v>
      </c>
      <c r="E231" s="12">
        <v>78.099999999999994</v>
      </c>
      <c r="F231" s="12">
        <v>58.6</v>
      </c>
      <c r="G231" s="12" t="s">
        <v>6</v>
      </c>
      <c r="H231" s="12">
        <v>15.4</v>
      </c>
      <c r="I231" s="12">
        <v>22.8</v>
      </c>
      <c r="J231" s="12">
        <v>7.4</v>
      </c>
      <c r="K231" s="12" t="s">
        <v>6</v>
      </c>
      <c r="L231" s="13">
        <v>207</v>
      </c>
      <c r="M231" s="38" t="s">
        <v>6</v>
      </c>
    </row>
    <row r="232" spans="1:13" x14ac:dyDescent="0.25">
      <c r="A232" s="10">
        <v>45339</v>
      </c>
      <c r="B232" s="11">
        <v>0.25</v>
      </c>
      <c r="C232" s="22">
        <v>45339.25</v>
      </c>
      <c r="D232" s="12">
        <v>75.099999999999994</v>
      </c>
      <c r="E232" s="12">
        <v>81.7</v>
      </c>
      <c r="F232" s="12">
        <v>58.4</v>
      </c>
      <c r="G232" s="12" t="s">
        <v>6</v>
      </c>
      <c r="H232" s="12">
        <v>16.100000000000001</v>
      </c>
      <c r="I232" s="12">
        <v>21.9</v>
      </c>
      <c r="J232" s="12">
        <v>4.3</v>
      </c>
      <c r="K232" s="12" t="s">
        <v>6</v>
      </c>
      <c r="L232" s="13">
        <v>205</v>
      </c>
      <c r="M232" s="38" t="s">
        <v>6</v>
      </c>
    </row>
    <row r="233" spans="1:13" x14ac:dyDescent="0.25">
      <c r="A233" s="14">
        <v>45339</v>
      </c>
      <c r="B233" s="15">
        <v>0.29166666666666669</v>
      </c>
      <c r="C233" s="20">
        <v>45339.291666666664</v>
      </c>
      <c r="D233" s="16">
        <v>69.099999999999994</v>
      </c>
      <c r="E233" s="16">
        <v>76.400000000000006</v>
      </c>
      <c r="F233" s="16">
        <v>60</v>
      </c>
      <c r="G233" s="16" t="s">
        <v>6</v>
      </c>
      <c r="H233" s="16">
        <v>16.3</v>
      </c>
      <c r="I233" s="16">
        <v>28.8</v>
      </c>
      <c r="J233" s="16">
        <v>8.1999999999999993</v>
      </c>
      <c r="K233" s="16" t="s">
        <v>6</v>
      </c>
      <c r="L233" s="17">
        <v>120</v>
      </c>
      <c r="M233" s="38" t="s">
        <v>6</v>
      </c>
    </row>
    <row r="234" spans="1:13" x14ac:dyDescent="0.25">
      <c r="A234" s="6">
        <v>45339</v>
      </c>
      <c r="B234" s="7">
        <v>0.83333333333333337</v>
      </c>
      <c r="C234" s="21">
        <v>45339.833333333336</v>
      </c>
      <c r="D234" s="8">
        <v>59.1</v>
      </c>
      <c r="E234" s="8">
        <v>59.5</v>
      </c>
      <c r="F234" s="8">
        <v>58.7</v>
      </c>
      <c r="G234" s="8" t="s">
        <v>6</v>
      </c>
      <c r="H234" s="8">
        <v>9.8000000000000007</v>
      </c>
      <c r="I234" s="8">
        <v>15.6</v>
      </c>
      <c r="J234" s="8">
        <v>3.9</v>
      </c>
      <c r="K234" s="8" t="s">
        <v>6</v>
      </c>
      <c r="L234" s="9">
        <v>4</v>
      </c>
      <c r="M234" s="38" t="s">
        <v>6</v>
      </c>
    </row>
    <row r="235" spans="1:13" x14ac:dyDescent="0.25">
      <c r="A235" s="10">
        <v>45339</v>
      </c>
      <c r="B235" s="11">
        <v>0.875</v>
      </c>
      <c r="C235" s="22">
        <v>45339.875</v>
      </c>
      <c r="D235" s="12">
        <v>64.3</v>
      </c>
      <c r="E235" s="12">
        <v>79.099999999999994</v>
      </c>
      <c r="F235" s="12">
        <v>51.1</v>
      </c>
      <c r="G235" s="12" t="s">
        <v>6</v>
      </c>
      <c r="H235" s="12">
        <v>20.6</v>
      </c>
      <c r="I235" s="12">
        <v>27.5</v>
      </c>
      <c r="J235" s="12">
        <v>10.3</v>
      </c>
      <c r="K235" s="12" t="s">
        <v>6</v>
      </c>
      <c r="L235" s="13">
        <v>101</v>
      </c>
      <c r="M235" s="38" t="s">
        <v>6</v>
      </c>
    </row>
    <row r="236" spans="1:13" x14ac:dyDescent="0.25">
      <c r="A236" s="10">
        <v>45339</v>
      </c>
      <c r="B236" s="11">
        <v>0.91666666666666663</v>
      </c>
      <c r="C236" s="22">
        <v>45339.916666666664</v>
      </c>
      <c r="D236" s="12">
        <v>61.8</v>
      </c>
      <c r="E236" s="12">
        <v>69.8</v>
      </c>
      <c r="F236" s="12">
        <v>53.4</v>
      </c>
      <c r="G236" s="12" t="s">
        <v>6</v>
      </c>
      <c r="H236" s="12">
        <v>17.899999999999999</v>
      </c>
      <c r="I236" s="12">
        <v>23.3</v>
      </c>
      <c r="J236" s="12">
        <v>13.3</v>
      </c>
      <c r="K236" s="12" t="s">
        <v>6</v>
      </c>
      <c r="L236" s="13">
        <v>224</v>
      </c>
      <c r="M236" s="38" t="s">
        <v>6</v>
      </c>
    </row>
    <row r="237" spans="1:13" x14ac:dyDescent="0.25">
      <c r="A237" s="10">
        <v>45339</v>
      </c>
      <c r="B237" s="11">
        <v>0.95833333333333337</v>
      </c>
      <c r="C237" s="22">
        <v>45339.958333333336</v>
      </c>
      <c r="D237" s="12">
        <v>65.5</v>
      </c>
      <c r="E237" s="12">
        <v>72.3</v>
      </c>
      <c r="F237" s="12">
        <v>57.4</v>
      </c>
      <c r="G237" s="12" t="s">
        <v>6</v>
      </c>
      <c r="H237" s="12">
        <v>15.6</v>
      </c>
      <c r="I237" s="12">
        <v>27</v>
      </c>
      <c r="J237" s="12">
        <v>9.3000000000000007</v>
      </c>
      <c r="K237" s="12" t="s">
        <v>6</v>
      </c>
      <c r="L237" s="13">
        <v>222</v>
      </c>
      <c r="M237" s="38" t="s">
        <v>6</v>
      </c>
    </row>
    <row r="238" spans="1:13" x14ac:dyDescent="0.25">
      <c r="A238" s="10">
        <v>45340</v>
      </c>
      <c r="B238" s="11">
        <v>0</v>
      </c>
      <c r="C238" s="22">
        <v>45340</v>
      </c>
      <c r="D238" s="12">
        <v>64.099999999999994</v>
      </c>
      <c r="E238" s="12">
        <v>68.599999999999994</v>
      </c>
      <c r="F238" s="12">
        <v>59.5</v>
      </c>
      <c r="G238" s="12" t="s">
        <v>6</v>
      </c>
      <c r="H238" s="12">
        <v>14.8</v>
      </c>
      <c r="I238" s="12">
        <v>20.5</v>
      </c>
      <c r="J238" s="12">
        <v>8.6</v>
      </c>
      <c r="K238" s="12" t="s">
        <v>6</v>
      </c>
      <c r="L238" s="13">
        <v>216</v>
      </c>
      <c r="M238" s="38" t="s">
        <v>6</v>
      </c>
    </row>
    <row r="239" spans="1:13" x14ac:dyDescent="0.25">
      <c r="A239" s="10">
        <v>45340</v>
      </c>
      <c r="B239" s="11">
        <v>4.1666666666666664E-2</v>
      </c>
      <c r="C239" s="22">
        <v>45340.041666666664</v>
      </c>
      <c r="D239" s="12">
        <v>63.5</v>
      </c>
      <c r="E239" s="12">
        <v>69.599999999999994</v>
      </c>
      <c r="F239" s="12">
        <v>50.3</v>
      </c>
      <c r="G239" s="12" t="s">
        <v>6</v>
      </c>
      <c r="H239" s="12">
        <v>18.5</v>
      </c>
      <c r="I239" s="12">
        <v>25.7</v>
      </c>
      <c r="J239" s="12">
        <v>9.6</v>
      </c>
      <c r="K239" s="12" t="s">
        <v>6</v>
      </c>
      <c r="L239" s="13">
        <v>178</v>
      </c>
      <c r="M239" s="38" t="s">
        <v>6</v>
      </c>
    </row>
    <row r="240" spans="1:13" x14ac:dyDescent="0.25">
      <c r="A240" s="10">
        <v>45340</v>
      </c>
      <c r="B240" s="11">
        <v>8.3333333333333329E-2</v>
      </c>
      <c r="C240" s="22">
        <v>45340.083333333336</v>
      </c>
      <c r="D240" s="12">
        <v>65.2</v>
      </c>
      <c r="E240" s="12">
        <v>70.8</v>
      </c>
      <c r="F240" s="12">
        <v>59.6</v>
      </c>
      <c r="G240" s="12" t="s">
        <v>6</v>
      </c>
      <c r="H240" s="12">
        <v>16.100000000000001</v>
      </c>
      <c r="I240" s="12">
        <v>22.1</v>
      </c>
      <c r="J240" s="12">
        <v>9.8000000000000007</v>
      </c>
      <c r="K240" s="12" t="s">
        <v>6</v>
      </c>
      <c r="L240" s="13">
        <v>213</v>
      </c>
      <c r="M240" s="38" t="s">
        <v>6</v>
      </c>
    </row>
    <row r="241" spans="1:13" x14ac:dyDescent="0.25">
      <c r="A241" s="10">
        <v>45340</v>
      </c>
      <c r="B241" s="11">
        <v>0.125</v>
      </c>
      <c r="C241" s="22">
        <v>45340.125</v>
      </c>
      <c r="D241" s="12">
        <v>63.7</v>
      </c>
      <c r="E241" s="12">
        <v>70.599999999999994</v>
      </c>
      <c r="F241" s="12">
        <v>57.1</v>
      </c>
      <c r="G241" s="12" t="s">
        <v>6</v>
      </c>
      <c r="H241" s="12">
        <v>14.8</v>
      </c>
      <c r="I241" s="12">
        <v>20.399999999999999</v>
      </c>
      <c r="J241" s="12">
        <v>7.8</v>
      </c>
      <c r="K241" s="12" t="s">
        <v>6</v>
      </c>
      <c r="L241" s="13">
        <v>220</v>
      </c>
      <c r="M241" s="38" t="s">
        <v>6</v>
      </c>
    </row>
    <row r="242" spans="1:13" x14ac:dyDescent="0.25">
      <c r="A242" s="10">
        <v>45340</v>
      </c>
      <c r="B242" s="11">
        <v>0.16666666666666666</v>
      </c>
      <c r="C242" s="22">
        <v>45340.166666666664</v>
      </c>
      <c r="D242" s="12">
        <v>65.599999999999994</v>
      </c>
      <c r="E242" s="12">
        <v>76</v>
      </c>
      <c r="F242" s="12">
        <v>59.2</v>
      </c>
      <c r="G242" s="12" t="s">
        <v>6</v>
      </c>
      <c r="H242" s="12">
        <v>14</v>
      </c>
      <c r="I242" s="12">
        <v>27.9</v>
      </c>
      <c r="J242" s="12">
        <v>7.9</v>
      </c>
      <c r="K242" s="12" t="s">
        <v>6</v>
      </c>
      <c r="L242" s="13">
        <v>201</v>
      </c>
      <c r="M242" s="38" t="s">
        <v>6</v>
      </c>
    </row>
    <row r="243" spans="1:13" x14ac:dyDescent="0.25">
      <c r="A243" s="10">
        <v>45340</v>
      </c>
      <c r="B243" s="11">
        <v>0.20833333333333334</v>
      </c>
      <c r="C243" s="22">
        <v>45340.208333333336</v>
      </c>
      <c r="D243" s="12">
        <v>68</v>
      </c>
      <c r="E243" s="12">
        <v>74.3</v>
      </c>
      <c r="F243" s="12">
        <v>60.2</v>
      </c>
      <c r="G243" s="12" t="s">
        <v>6</v>
      </c>
      <c r="H243" s="12">
        <v>15.4</v>
      </c>
      <c r="I243" s="12">
        <v>22.8</v>
      </c>
      <c r="J243" s="12">
        <v>8.4</v>
      </c>
      <c r="K243" s="12" t="s">
        <v>6</v>
      </c>
      <c r="L243" s="13">
        <v>205</v>
      </c>
      <c r="M243" s="38" t="s">
        <v>6</v>
      </c>
    </row>
    <row r="244" spans="1:13" x14ac:dyDescent="0.25">
      <c r="A244" s="10">
        <v>45340</v>
      </c>
      <c r="B244" s="11">
        <v>0.25</v>
      </c>
      <c r="C244" s="22">
        <v>45340.25</v>
      </c>
      <c r="D244" s="12">
        <v>71.3</v>
      </c>
      <c r="E244" s="12">
        <v>83.7</v>
      </c>
      <c r="F244" s="12">
        <v>61.9</v>
      </c>
      <c r="G244" s="12" t="s">
        <v>6</v>
      </c>
      <c r="H244" s="12">
        <v>17.600000000000001</v>
      </c>
      <c r="I244" s="12">
        <v>26</v>
      </c>
      <c r="J244" s="12">
        <v>11.4</v>
      </c>
      <c r="K244" s="12" t="s">
        <v>6</v>
      </c>
      <c r="L244" s="13">
        <v>204</v>
      </c>
      <c r="M244" s="38" t="s">
        <v>6</v>
      </c>
    </row>
    <row r="245" spans="1:13" x14ac:dyDescent="0.25">
      <c r="A245" s="14">
        <v>45340</v>
      </c>
      <c r="B245" s="15">
        <v>0.29166666666666669</v>
      </c>
      <c r="C245" s="20">
        <v>45340.291666666664</v>
      </c>
      <c r="D245" s="16">
        <v>71.8</v>
      </c>
      <c r="E245" s="16">
        <v>79.5</v>
      </c>
      <c r="F245" s="16">
        <v>63.7</v>
      </c>
      <c r="G245" s="16" t="s">
        <v>6</v>
      </c>
      <c r="H245" s="16">
        <v>16.899999999999999</v>
      </c>
      <c r="I245" s="16">
        <v>23.1</v>
      </c>
      <c r="J245" s="16">
        <v>10.4</v>
      </c>
      <c r="K245" s="16" t="s">
        <v>6</v>
      </c>
      <c r="L245" s="17">
        <v>197</v>
      </c>
      <c r="M245" s="38" t="s">
        <v>6</v>
      </c>
    </row>
    <row r="246" spans="1:13" x14ac:dyDescent="0.25">
      <c r="A246" s="6">
        <v>45341</v>
      </c>
      <c r="B246" s="7">
        <v>8.3333333333333329E-2</v>
      </c>
      <c r="C246" s="21">
        <v>45341.083333333336</v>
      </c>
      <c r="D246" s="8">
        <v>66.599999999999994</v>
      </c>
      <c r="E246" s="8">
        <v>70.099999999999994</v>
      </c>
      <c r="F246" s="8">
        <v>59.9</v>
      </c>
      <c r="G246" s="8" t="s">
        <v>6</v>
      </c>
      <c r="H246" s="8">
        <v>20.100000000000001</v>
      </c>
      <c r="I246" s="8">
        <v>23.9</v>
      </c>
      <c r="J246" s="8">
        <v>12.9</v>
      </c>
      <c r="K246" s="8" t="s">
        <v>6</v>
      </c>
      <c r="L246" s="9">
        <v>44</v>
      </c>
      <c r="M246" s="39" t="s">
        <v>6</v>
      </c>
    </row>
    <row r="247" spans="1:13" x14ac:dyDescent="0.25">
      <c r="A247" s="10">
        <v>45341</v>
      </c>
      <c r="B247" s="11">
        <v>0.125</v>
      </c>
      <c r="C247" s="22">
        <v>45341.125</v>
      </c>
      <c r="D247" s="12">
        <v>65.3</v>
      </c>
      <c r="E247" s="12">
        <v>73.099999999999994</v>
      </c>
      <c r="F247" s="12">
        <v>53.9</v>
      </c>
      <c r="G247" s="12" t="s">
        <v>6</v>
      </c>
      <c r="H247" s="12">
        <v>17.899999999999999</v>
      </c>
      <c r="I247" s="12">
        <v>25.2</v>
      </c>
      <c r="J247" s="12">
        <v>11</v>
      </c>
      <c r="K247" s="12" t="s">
        <v>6</v>
      </c>
      <c r="L247" s="13">
        <v>226</v>
      </c>
      <c r="M247" s="39" t="s">
        <v>6</v>
      </c>
    </row>
    <row r="248" spans="1:13" x14ac:dyDescent="0.25">
      <c r="A248" s="10">
        <v>45341</v>
      </c>
      <c r="B248" s="11">
        <v>0.16666666666666666</v>
      </c>
      <c r="C248" s="22">
        <v>45341.166666666664</v>
      </c>
      <c r="D248" s="12">
        <v>69.400000000000006</v>
      </c>
      <c r="E248" s="12">
        <v>75.900000000000006</v>
      </c>
      <c r="F248" s="12">
        <v>61.6</v>
      </c>
      <c r="G248" s="12" t="s">
        <v>6</v>
      </c>
      <c r="H248" s="12">
        <v>17.8</v>
      </c>
      <c r="I248" s="12">
        <v>26.4</v>
      </c>
      <c r="J248" s="12">
        <v>11.9</v>
      </c>
      <c r="K248" s="12" t="s">
        <v>6</v>
      </c>
      <c r="L248" s="13">
        <v>224</v>
      </c>
      <c r="M248" s="39" t="s">
        <v>6</v>
      </c>
    </row>
    <row r="249" spans="1:13" x14ac:dyDescent="0.25">
      <c r="A249" s="10">
        <v>45341</v>
      </c>
      <c r="B249" s="11">
        <v>0.20833333333333334</v>
      </c>
      <c r="C249" s="22">
        <v>45341.208333333336</v>
      </c>
      <c r="D249" s="12">
        <v>68</v>
      </c>
      <c r="E249" s="12">
        <v>74.400000000000006</v>
      </c>
      <c r="F249" s="12">
        <v>60.2</v>
      </c>
      <c r="G249" s="12" t="s">
        <v>6</v>
      </c>
      <c r="H249" s="12">
        <v>15.5</v>
      </c>
      <c r="I249" s="12">
        <v>27.3</v>
      </c>
      <c r="J249" s="12">
        <v>8.6</v>
      </c>
      <c r="K249" s="12" t="s">
        <v>6</v>
      </c>
      <c r="L249" s="13">
        <v>209</v>
      </c>
      <c r="M249" s="39" t="s">
        <v>6</v>
      </c>
    </row>
    <row r="250" spans="1:13" x14ac:dyDescent="0.25">
      <c r="A250" s="10">
        <v>45341</v>
      </c>
      <c r="B250" s="11">
        <v>0.25</v>
      </c>
      <c r="C250" s="22">
        <v>45341.25</v>
      </c>
      <c r="D250" s="12">
        <v>67.7</v>
      </c>
      <c r="E250" s="12">
        <v>71.900000000000006</v>
      </c>
      <c r="F250" s="12">
        <v>63.7</v>
      </c>
      <c r="G250" s="12" t="s">
        <v>6</v>
      </c>
      <c r="H250" s="12">
        <v>15.2</v>
      </c>
      <c r="I250" s="12">
        <v>36.299999999999997</v>
      </c>
      <c r="J250" s="12">
        <v>7.5</v>
      </c>
      <c r="K250" s="12" t="s">
        <v>6</v>
      </c>
      <c r="L250" s="13">
        <v>188</v>
      </c>
      <c r="M250" s="39" t="s">
        <v>6</v>
      </c>
    </row>
    <row r="251" spans="1:13" x14ac:dyDescent="0.25">
      <c r="A251" s="10">
        <v>45341</v>
      </c>
      <c r="B251" s="11">
        <v>0.875</v>
      </c>
      <c r="C251" s="22">
        <v>45341.875</v>
      </c>
      <c r="D251" s="12">
        <v>73.5</v>
      </c>
      <c r="E251" s="12">
        <v>86.9</v>
      </c>
      <c r="F251" s="12">
        <v>63.4</v>
      </c>
      <c r="G251" s="12" t="s">
        <v>6</v>
      </c>
      <c r="H251" s="12">
        <v>21.5</v>
      </c>
      <c r="I251" s="12">
        <v>34.299999999999997</v>
      </c>
      <c r="J251" s="12">
        <v>14.7</v>
      </c>
      <c r="K251" s="12" t="s">
        <v>6</v>
      </c>
      <c r="L251" s="13">
        <v>51</v>
      </c>
      <c r="M251" s="40" t="s">
        <v>6</v>
      </c>
    </row>
    <row r="252" spans="1:13" x14ac:dyDescent="0.25">
      <c r="A252" s="10">
        <v>45341</v>
      </c>
      <c r="B252" s="11">
        <v>0.91666666666666663</v>
      </c>
      <c r="C252" s="22">
        <v>45341.916666666664</v>
      </c>
      <c r="D252" s="12">
        <v>69.599999999999994</v>
      </c>
      <c r="E252" s="12">
        <v>80.900000000000006</v>
      </c>
      <c r="F252" s="12">
        <v>57.1</v>
      </c>
      <c r="G252" s="12" t="s">
        <v>6</v>
      </c>
      <c r="H252" s="12">
        <v>18.3</v>
      </c>
      <c r="I252" s="12">
        <v>30.5</v>
      </c>
      <c r="J252" s="12">
        <v>10.4</v>
      </c>
      <c r="K252" s="12" t="s">
        <v>6</v>
      </c>
      <c r="L252" s="13">
        <v>212</v>
      </c>
      <c r="M252" s="40" t="s">
        <v>6</v>
      </c>
    </row>
    <row r="253" spans="1:13" x14ac:dyDescent="0.25">
      <c r="A253" s="10">
        <v>45341</v>
      </c>
      <c r="B253" s="11">
        <v>0.95833333333333337</v>
      </c>
      <c r="C253" s="22">
        <v>45341.958333333336</v>
      </c>
      <c r="D253" s="12">
        <v>70.5</v>
      </c>
      <c r="E253" s="12">
        <v>73.8</v>
      </c>
      <c r="F253" s="12">
        <v>65.900000000000006</v>
      </c>
      <c r="G253" s="12" t="s">
        <v>6</v>
      </c>
      <c r="H253" s="12">
        <v>16.899999999999999</v>
      </c>
      <c r="I253" s="12">
        <v>25.3</v>
      </c>
      <c r="J253" s="12">
        <v>8.9</v>
      </c>
      <c r="K253" s="12" t="s">
        <v>6</v>
      </c>
      <c r="L253" s="13">
        <v>128</v>
      </c>
      <c r="M253" s="40" t="s">
        <v>6</v>
      </c>
    </row>
    <row r="254" spans="1:13" x14ac:dyDescent="0.25">
      <c r="A254" s="10">
        <v>45342</v>
      </c>
      <c r="B254" s="11">
        <v>0</v>
      </c>
      <c r="C254" s="22">
        <v>45342</v>
      </c>
      <c r="D254" s="12">
        <v>72.900000000000006</v>
      </c>
      <c r="E254" s="12">
        <v>75.2</v>
      </c>
      <c r="F254" s="12">
        <v>67.400000000000006</v>
      </c>
      <c r="G254" s="12" t="s">
        <v>6</v>
      </c>
      <c r="H254" s="12">
        <v>21.5</v>
      </c>
      <c r="I254" s="12">
        <v>30</v>
      </c>
      <c r="J254" s="12">
        <v>10.4</v>
      </c>
      <c r="K254" s="12" t="s">
        <v>6</v>
      </c>
      <c r="L254" s="13">
        <v>92</v>
      </c>
      <c r="M254" s="40" t="s">
        <v>6</v>
      </c>
    </row>
    <row r="255" spans="1:13" x14ac:dyDescent="0.25">
      <c r="A255" s="14">
        <v>45342</v>
      </c>
      <c r="B255" s="15">
        <v>4.1666666666666664E-2</v>
      </c>
      <c r="C255" s="20">
        <v>45342.041666666664</v>
      </c>
      <c r="D255" s="16">
        <v>70.5</v>
      </c>
      <c r="E255" s="16">
        <v>78.099999999999994</v>
      </c>
      <c r="F255" s="16">
        <v>63.2</v>
      </c>
      <c r="G255" s="16" t="s">
        <v>6</v>
      </c>
      <c r="H255" s="16">
        <v>18.8</v>
      </c>
      <c r="I255" s="16">
        <v>24.7</v>
      </c>
      <c r="J255" s="16">
        <v>9.1</v>
      </c>
      <c r="K255" s="16" t="s">
        <v>6</v>
      </c>
      <c r="L255" s="17">
        <v>152</v>
      </c>
      <c r="M255" s="40" t="s">
        <v>6</v>
      </c>
    </row>
    <row r="256" spans="1:13" x14ac:dyDescent="0.25">
      <c r="A256" s="6">
        <v>45342</v>
      </c>
      <c r="B256" s="7">
        <v>0.83333333333333337</v>
      </c>
      <c r="C256" s="21">
        <v>45342.833333333336</v>
      </c>
      <c r="D256" s="8">
        <v>67.900000000000006</v>
      </c>
      <c r="E256" s="8">
        <v>67.900000000000006</v>
      </c>
      <c r="F256" s="8">
        <v>67.900000000000006</v>
      </c>
      <c r="G256" s="8" t="s">
        <v>6</v>
      </c>
      <c r="H256" s="8">
        <v>44.8</v>
      </c>
      <c r="I256" s="8">
        <v>66.900000000000006</v>
      </c>
      <c r="J256" s="8">
        <v>23.4</v>
      </c>
      <c r="K256" s="8" t="s">
        <v>6</v>
      </c>
      <c r="L256" s="9">
        <v>3</v>
      </c>
      <c r="M256" s="41" t="s">
        <v>6</v>
      </c>
    </row>
    <row r="257" spans="1:13" x14ac:dyDescent="0.25">
      <c r="A257" s="10">
        <v>45342</v>
      </c>
      <c r="B257" s="11">
        <v>0.91666666666666663</v>
      </c>
      <c r="C257" s="22">
        <v>45342.916666666664</v>
      </c>
      <c r="D257" s="12">
        <v>71.099999999999994</v>
      </c>
      <c r="E257" s="12">
        <v>83.5</v>
      </c>
      <c r="F257" s="12">
        <v>51</v>
      </c>
      <c r="G257" s="12" t="s">
        <v>6</v>
      </c>
      <c r="H257" s="12">
        <v>19.899999999999999</v>
      </c>
      <c r="I257" s="12">
        <v>28.9</v>
      </c>
      <c r="J257" s="12">
        <v>8.3000000000000007</v>
      </c>
      <c r="K257" s="12" t="s">
        <v>6</v>
      </c>
      <c r="L257" s="13">
        <v>125</v>
      </c>
      <c r="M257" s="41" t="s">
        <v>6</v>
      </c>
    </row>
    <row r="258" spans="1:13" x14ac:dyDescent="0.25">
      <c r="A258" s="10">
        <v>45342</v>
      </c>
      <c r="B258" s="11">
        <v>0.95833333333333337</v>
      </c>
      <c r="C258" s="22">
        <v>45342.958333333336</v>
      </c>
      <c r="D258" s="12">
        <v>74.599999999999994</v>
      </c>
      <c r="E258" s="12">
        <v>82.9</v>
      </c>
      <c r="F258" s="12">
        <v>68.599999999999994</v>
      </c>
      <c r="G258" s="12" t="s">
        <v>6</v>
      </c>
      <c r="H258" s="12">
        <v>16.600000000000001</v>
      </c>
      <c r="I258" s="12">
        <v>22.9</v>
      </c>
      <c r="J258" s="12">
        <v>10.199999999999999</v>
      </c>
      <c r="K258" s="12" t="s">
        <v>6</v>
      </c>
      <c r="L258" s="13">
        <v>183</v>
      </c>
      <c r="M258" s="41" t="s">
        <v>6</v>
      </c>
    </row>
    <row r="259" spans="1:13" x14ac:dyDescent="0.25">
      <c r="A259" s="10">
        <v>45343</v>
      </c>
      <c r="B259" s="11">
        <v>8.3333333333333329E-2</v>
      </c>
      <c r="C259" s="22">
        <v>45343.083333333336</v>
      </c>
      <c r="D259" s="12">
        <v>74.099999999999994</v>
      </c>
      <c r="E259" s="12">
        <v>75.8</v>
      </c>
      <c r="F259" s="12">
        <v>72.2</v>
      </c>
      <c r="G259" s="12" t="s">
        <v>6</v>
      </c>
      <c r="H259" s="12">
        <v>17.5</v>
      </c>
      <c r="I259" s="12">
        <v>21.1</v>
      </c>
      <c r="J259" s="12">
        <v>10.8</v>
      </c>
      <c r="K259" s="12" t="s">
        <v>6</v>
      </c>
      <c r="L259" s="13">
        <v>25</v>
      </c>
      <c r="M259" s="41" t="s">
        <v>6</v>
      </c>
    </row>
    <row r="260" spans="1:13" x14ac:dyDescent="0.25">
      <c r="A260" s="10">
        <v>45343</v>
      </c>
      <c r="B260" s="11">
        <v>0.125</v>
      </c>
      <c r="C260" s="22">
        <v>45343.125</v>
      </c>
      <c r="D260" s="12">
        <v>68.900000000000006</v>
      </c>
      <c r="E260" s="12">
        <v>76.8</v>
      </c>
      <c r="F260" s="12">
        <v>54.6</v>
      </c>
      <c r="G260" s="12" t="s">
        <v>6</v>
      </c>
      <c r="H260" s="12">
        <v>15.5</v>
      </c>
      <c r="I260" s="12">
        <v>24.3</v>
      </c>
      <c r="J260" s="12">
        <v>8.8000000000000007</v>
      </c>
      <c r="K260" s="12" t="s">
        <v>6</v>
      </c>
      <c r="L260" s="13">
        <v>222</v>
      </c>
      <c r="M260" s="41" t="s">
        <v>6</v>
      </c>
    </row>
    <row r="261" spans="1:13" x14ac:dyDescent="0.25">
      <c r="A261" s="10">
        <v>45343</v>
      </c>
      <c r="B261" s="11">
        <v>0.16666666666666666</v>
      </c>
      <c r="C261" s="22">
        <v>45343.166666666664</v>
      </c>
      <c r="D261" s="12">
        <v>72.7</v>
      </c>
      <c r="E261" s="12">
        <v>80.7</v>
      </c>
      <c r="F261" s="12">
        <v>62.5</v>
      </c>
      <c r="G261" s="12" t="s">
        <v>6</v>
      </c>
      <c r="H261" s="12">
        <v>15.4</v>
      </c>
      <c r="I261" s="12">
        <v>22</v>
      </c>
      <c r="J261" s="12">
        <v>7.8</v>
      </c>
      <c r="K261" s="12" t="s">
        <v>6</v>
      </c>
      <c r="L261" s="13">
        <v>215</v>
      </c>
      <c r="M261" s="41" t="s">
        <v>6</v>
      </c>
    </row>
    <row r="262" spans="1:13" x14ac:dyDescent="0.25">
      <c r="A262" s="10">
        <v>45343</v>
      </c>
      <c r="B262" s="11">
        <v>0.20833333333333334</v>
      </c>
      <c r="C262" s="22">
        <v>45343.208333333336</v>
      </c>
      <c r="D262" s="12">
        <v>76.5</v>
      </c>
      <c r="E262" s="12">
        <v>84.5</v>
      </c>
      <c r="F262" s="12">
        <v>68.3</v>
      </c>
      <c r="G262" s="12" t="s">
        <v>6</v>
      </c>
      <c r="H262" s="12">
        <v>17.7</v>
      </c>
      <c r="I262" s="12">
        <v>31.6</v>
      </c>
      <c r="J262" s="12">
        <v>10.199999999999999</v>
      </c>
      <c r="K262" s="12" t="s">
        <v>6</v>
      </c>
      <c r="L262" s="13">
        <v>197</v>
      </c>
      <c r="M262" s="41" t="s">
        <v>6</v>
      </c>
    </row>
    <row r="263" spans="1:13" x14ac:dyDescent="0.25">
      <c r="A263" s="10">
        <v>45343</v>
      </c>
      <c r="B263" s="11">
        <v>0.25</v>
      </c>
      <c r="C263" s="22">
        <v>45343.25</v>
      </c>
      <c r="D263" s="12">
        <v>74.2</v>
      </c>
      <c r="E263" s="12">
        <v>88.6</v>
      </c>
      <c r="F263" s="12">
        <v>61.7</v>
      </c>
      <c r="G263" s="12" t="s">
        <v>6</v>
      </c>
      <c r="H263" s="12">
        <v>16.3</v>
      </c>
      <c r="I263" s="12">
        <v>24.3</v>
      </c>
      <c r="J263" s="12">
        <v>9.1999999999999993</v>
      </c>
      <c r="K263" s="12" t="s">
        <v>6</v>
      </c>
      <c r="L263" s="13">
        <v>227</v>
      </c>
      <c r="M263" s="41" t="s">
        <v>6</v>
      </c>
    </row>
    <row r="264" spans="1:13" x14ac:dyDescent="0.25">
      <c r="A264" s="14">
        <v>45343</v>
      </c>
      <c r="B264" s="15">
        <v>0.29166666666666669</v>
      </c>
      <c r="C264" s="20">
        <v>45343.291666666664</v>
      </c>
      <c r="D264" s="16">
        <v>76.900000000000006</v>
      </c>
      <c r="E264" s="16">
        <v>84.6</v>
      </c>
      <c r="F264" s="16">
        <v>71.7</v>
      </c>
      <c r="G264" s="16" t="s">
        <v>6</v>
      </c>
      <c r="H264" s="16">
        <v>14.9</v>
      </c>
      <c r="I264" s="16">
        <v>20.399999999999999</v>
      </c>
      <c r="J264" s="16">
        <v>7.7</v>
      </c>
      <c r="K264" s="16" t="s">
        <v>6</v>
      </c>
      <c r="L264" s="17">
        <v>177</v>
      </c>
      <c r="M264" s="41" t="s">
        <v>6</v>
      </c>
    </row>
    <row r="265" spans="1:13" x14ac:dyDescent="0.25">
      <c r="A265" s="6">
        <v>45343</v>
      </c>
      <c r="B265" s="7">
        <v>0.41666666666666669</v>
      </c>
      <c r="C265" s="21">
        <v>45343.416666666664</v>
      </c>
      <c r="D265" s="8">
        <v>61.4</v>
      </c>
      <c r="E265" s="8">
        <v>61.4</v>
      </c>
      <c r="F265" s="8">
        <v>61.4</v>
      </c>
      <c r="G265" s="8" t="s">
        <v>6</v>
      </c>
      <c r="H265" s="8">
        <v>3.1</v>
      </c>
      <c r="I265" s="8">
        <v>3.1</v>
      </c>
      <c r="J265" s="8">
        <v>3.1</v>
      </c>
      <c r="K265" s="8" t="s">
        <v>6</v>
      </c>
      <c r="L265" s="9">
        <v>1</v>
      </c>
      <c r="M265" s="41" t="s">
        <v>6</v>
      </c>
    </row>
    <row r="266" spans="1:13" x14ac:dyDescent="0.25">
      <c r="A266" s="10">
        <v>45343</v>
      </c>
      <c r="B266" s="11">
        <v>0.79166666666666663</v>
      </c>
      <c r="C266" s="22">
        <v>45343.791666666664</v>
      </c>
      <c r="D266" s="12">
        <v>75.3</v>
      </c>
      <c r="E266" s="12">
        <v>86.4</v>
      </c>
      <c r="F266" s="12">
        <v>66</v>
      </c>
      <c r="G266" s="12" t="s">
        <v>6</v>
      </c>
      <c r="H266" s="12">
        <v>18.3</v>
      </c>
      <c r="I266" s="12">
        <v>25.2</v>
      </c>
      <c r="J266" s="12">
        <v>5.8</v>
      </c>
      <c r="K266" s="12" t="s">
        <v>6</v>
      </c>
      <c r="L266" s="13">
        <v>81</v>
      </c>
      <c r="M266" s="43" t="s">
        <v>6</v>
      </c>
    </row>
    <row r="267" spans="1:13" x14ac:dyDescent="0.25">
      <c r="A267" s="10">
        <v>45343</v>
      </c>
      <c r="B267" s="11">
        <v>0.83333333333333337</v>
      </c>
      <c r="C267" s="22">
        <v>45343.833333333336</v>
      </c>
      <c r="D267" s="12">
        <v>75.5</v>
      </c>
      <c r="E267" s="12">
        <v>84.9</v>
      </c>
      <c r="F267" s="12">
        <v>55.7</v>
      </c>
      <c r="G267" s="12" t="s">
        <v>6</v>
      </c>
      <c r="H267" s="12">
        <v>20.2</v>
      </c>
      <c r="I267" s="12">
        <v>28.3</v>
      </c>
      <c r="J267" s="12">
        <v>13.2</v>
      </c>
      <c r="K267" s="12" t="s">
        <v>6</v>
      </c>
      <c r="L267" s="13">
        <v>224</v>
      </c>
      <c r="M267" s="43" t="s">
        <v>6</v>
      </c>
    </row>
    <row r="268" spans="1:13" x14ac:dyDescent="0.25">
      <c r="A268" s="10">
        <v>45343</v>
      </c>
      <c r="B268" s="11">
        <v>0.875</v>
      </c>
      <c r="C268" s="22">
        <v>45343.875</v>
      </c>
      <c r="D268" s="12">
        <v>68.900000000000006</v>
      </c>
      <c r="E268" s="12">
        <v>77.5</v>
      </c>
      <c r="F268" s="12">
        <v>57.9</v>
      </c>
      <c r="G268" s="12" t="s">
        <v>6</v>
      </c>
      <c r="H268" s="12">
        <v>21.2</v>
      </c>
      <c r="I268" s="12">
        <v>32.1</v>
      </c>
      <c r="J268" s="12">
        <v>7.8</v>
      </c>
      <c r="K268" s="12" t="s">
        <v>6</v>
      </c>
      <c r="L268" s="13">
        <v>122</v>
      </c>
      <c r="M268" s="43" t="s">
        <v>6</v>
      </c>
    </row>
    <row r="269" spans="1:13" x14ac:dyDescent="0.25">
      <c r="A269" s="10">
        <v>45343</v>
      </c>
      <c r="B269" s="11">
        <v>0.91666666666666663</v>
      </c>
      <c r="C269" s="22">
        <v>45343.916666666664</v>
      </c>
      <c r="D269" s="12">
        <v>57.4</v>
      </c>
      <c r="E269" s="12">
        <v>64</v>
      </c>
      <c r="F269" s="12">
        <v>51.7</v>
      </c>
      <c r="G269" s="12" t="s">
        <v>6</v>
      </c>
      <c r="H269" s="12">
        <v>19.5</v>
      </c>
      <c r="I269" s="12">
        <v>30.5</v>
      </c>
      <c r="J269" s="12">
        <v>9.6999999999999993</v>
      </c>
      <c r="K269" s="12" t="s">
        <v>6</v>
      </c>
      <c r="L269" s="13">
        <v>123</v>
      </c>
      <c r="M269" s="43" t="s">
        <v>6</v>
      </c>
    </row>
    <row r="270" spans="1:13" x14ac:dyDescent="0.25">
      <c r="A270" s="10">
        <v>45343</v>
      </c>
      <c r="B270" s="11">
        <v>0.95833333333333337</v>
      </c>
      <c r="C270" s="22">
        <v>45343.958333333336</v>
      </c>
      <c r="D270" s="12">
        <v>64.5</v>
      </c>
      <c r="E270" s="12">
        <v>82.9</v>
      </c>
      <c r="F270" s="12">
        <v>47</v>
      </c>
      <c r="G270" s="12" t="s">
        <v>6</v>
      </c>
      <c r="H270" s="12">
        <v>21.6</v>
      </c>
      <c r="I270" s="12">
        <v>28.3</v>
      </c>
      <c r="J270" s="12">
        <v>12.3</v>
      </c>
      <c r="K270" s="12" t="s">
        <v>6</v>
      </c>
      <c r="L270" s="13">
        <v>159</v>
      </c>
      <c r="M270" s="43" t="s">
        <v>6</v>
      </c>
    </row>
    <row r="271" spans="1:13" x14ac:dyDescent="0.25">
      <c r="A271" s="10">
        <v>45344</v>
      </c>
      <c r="B271" s="11">
        <v>0</v>
      </c>
      <c r="C271" s="22">
        <v>45344</v>
      </c>
      <c r="D271" s="12">
        <v>77.900000000000006</v>
      </c>
      <c r="E271" s="12">
        <v>83.9</v>
      </c>
      <c r="F271" s="12">
        <v>63.7</v>
      </c>
      <c r="G271" s="12" t="s">
        <v>6</v>
      </c>
      <c r="H271" s="12">
        <v>15.8</v>
      </c>
      <c r="I271" s="12">
        <v>27.1</v>
      </c>
      <c r="J271" s="12">
        <v>8.1999999999999993</v>
      </c>
      <c r="K271" s="12" t="s">
        <v>6</v>
      </c>
      <c r="L271" s="13">
        <v>226</v>
      </c>
      <c r="M271" s="43" t="s">
        <v>6</v>
      </c>
    </row>
    <row r="272" spans="1:13" x14ac:dyDescent="0.25">
      <c r="A272" s="10">
        <v>45344</v>
      </c>
      <c r="B272" s="11">
        <v>4.1666666666666664E-2</v>
      </c>
      <c r="C272" s="22">
        <v>45344.041666666664</v>
      </c>
      <c r="D272" s="12">
        <v>78</v>
      </c>
      <c r="E272" s="12">
        <v>82.9</v>
      </c>
      <c r="F272" s="12">
        <v>72.099999999999994</v>
      </c>
      <c r="G272" s="12" t="s">
        <v>6</v>
      </c>
      <c r="H272" s="12">
        <v>16.7</v>
      </c>
      <c r="I272" s="12">
        <v>24.1</v>
      </c>
      <c r="J272" s="12">
        <v>9.9</v>
      </c>
      <c r="K272" s="12" t="s">
        <v>6</v>
      </c>
      <c r="L272" s="13">
        <v>222</v>
      </c>
      <c r="M272" s="43" t="s">
        <v>6</v>
      </c>
    </row>
    <row r="273" spans="1:13" x14ac:dyDescent="0.25">
      <c r="A273" s="10">
        <v>45344</v>
      </c>
      <c r="B273" s="11">
        <v>8.3333333333333329E-2</v>
      </c>
      <c r="C273" s="22">
        <v>45344.083333333336</v>
      </c>
      <c r="D273" s="12">
        <v>79.7</v>
      </c>
      <c r="E273" s="12">
        <v>90.7</v>
      </c>
      <c r="F273" s="12">
        <v>72.8</v>
      </c>
      <c r="G273" s="12" t="s">
        <v>6</v>
      </c>
      <c r="H273" s="12">
        <v>15.9</v>
      </c>
      <c r="I273" s="12">
        <v>27</v>
      </c>
      <c r="J273" s="12">
        <v>9.3000000000000007</v>
      </c>
      <c r="K273" s="12" t="s">
        <v>6</v>
      </c>
      <c r="L273" s="13">
        <v>218</v>
      </c>
      <c r="M273" s="43" t="s">
        <v>6</v>
      </c>
    </row>
    <row r="274" spans="1:13" x14ac:dyDescent="0.25">
      <c r="A274" s="10">
        <v>45344</v>
      </c>
      <c r="B274" s="11">
        <v>0.125</v>
      </c>
      <c r="C274" s="22">
        <v>45344.125</v>
      </c>
      <c r="D274" s="12">
        <v>54</v>
      </c>
      <c r="E274" s="12">
        <v>80.599999999999994</v>
      </c>
      <c r="F274" s="12">
        <v>42.3</v>
      </c>
      <c r="G274" s="12" t="s">
        <v>6</v>
      </c>
      <c r="H274" s="12">
        <v>19.600000000000001</v>
      </c>
      <c r="I274" s="12">
        <v>29.1</v>
      </c>
      <c r="J274" s="12">
        <v>14.1</v>
      </c>
      <c r="K274" s="12" t="s">
        <v>6</v>
      </c>
      <c r="L274" s="13">
        <v>149</v>
      </c>
      <c r="M274" s="43" t="s">
        <v>6</v>
      </c>
    </row>
    <row r="275" spans="1:13" x14ac:dyDescent="0.25">
      <c r="A275" s="10">
        <v>45344</v>
      </c>
      <c r="B275" s="11">
        <v>0.16666666666666666</v>
      </c>
      <c r="C275" s="22">
        <v>45344.166666666664</v>
      </c>
      <c r="D275" s="12">
        <v>72.599999999999994</v>
      </c>
      <c r="E275" s="12">
        <v>88.6</v>
      </c>
      <c r="F275" s="12">
        <v>43.8</v>
      </c>
      <c r="G275" s="12" t="s">
        <v>6</v>
      </c>
      <c r="H275" s="12">
        <v>18</v>
      </c>
      <c r="I275" s="12">
        <v>27.4</v>
      </c>
      <c r="J275" s="12">
        <v>10.6</v>
      </c>
      <c r="K275" s="12" t="s">
        <v>6</v>
      </c>
      <c r="L275" s="13">
        <v>206</v>
      </c>
      <c r="M275" s="43" t="s">
        <v>6</v>
      </c>
    </row>
    <row r="276" spans="1:13" x14ac:dyDescent="0.25">
      <c r="A276" s="10">
        <v>45344</v>
      </c>
      <c r="B276" s="11">
        <v>0.20833333333333334</v>
      </c>
      <c r="C276" s="22">
        <v>45344.208333333336</v>
      </c>
      <c r="D276" s="12">
        <v>78.900000000000006</v>
      </c>
      <c r="E276" s="12">
        <v>86.1</v>
      </c>
      <c r="F276" s="12">
        <v>69.3</v>
      </c>
      <c r="G276" s="12" t="s">
        <v>6</v>
      </c>
      <c r="H276" s="12">
        <v>16.399999999999999</v>
      </c>
      <c r="I276" s="12">
        <v>21.3</v>
      </c>
      <c r="J276" s="12">
        <v>10</v>
      </c>
      <c r="K276" s="12" t="s">
        <v>6</v>
      </c>
      <c r="L276" s="13">
        <v>225</v>
      </c>
      <c r="M276" s="43" t="s">
        <v>6</v>
      </c>
    </row>
    <row r="277" spans="1:13" x14ac:dyDescent="0.25">
      <c r="A277" s="10">
        <v>45344</v>
      </c>
      <c r="B277" s="11">
        <v>0.25</v>
      </c>
      <c r="C277" s="22">
        <v>45344.25</v>
      </c>
      <c r="D277" s="12">
        <v>79.099999999999994</v>
      </c>
      <c r="E277" s="12">
        <v>83.7</v>
      </c>
      <c r="F277" s="12">
        <v>61.9</v>
      </c>
      <c r="G277" s="12" t="s">
        <v>6</v>
      </c>
      <c r="H277" s="12">
        <v>15</v>
      </c>
      <c r="I277" s="12">
        <v>23</v>
      </c>
      <c r="J277" s="12">
        <v>8.1999999999999993</v>
      </c>
      <c r="K277" s="12" t="s">
        <v>6</v>
      </c>
      <c r="L277" s="13">
        <v>219</v>
      </c>
      <c r="M277" s="43" t="s">
        <v>6</v>
      </c>
    </row>
    <row r="278" spans="1:13" x14ac:dyDescent="0.25">
      <c r="A278" s="14">
        <v>45344</v>
      </c>
      <c r="B278" s="15">
        <v>0.29166666666666669</v>
      </c>
      <c r="C278" s="20">
        <v>45344.291666666664</v>
      </c>
      <c r="D278" s="16">
        <v>79.2</v>
      </c>
      <c r="E278" s="16">
        <v>79.2</v>
      </c>
      <c r="F278" s="16">
        <v>79.2</v>
      </c>
      <c r="G278" s="16" t="s">
        <v>6</v>
      </c>
      <c r="H278" s="16">
        <v>13.8</v>
      </c>
      <c r="I278" s="16">
        <v>13.8</v>
      </c>
      <c r="J278" s="16">
        <v>13.8</v>
      </c>
      <c r="K278" s="16" t="s">
        <v>6</v>
      </c>
      <c r="L278" s="17">
        <v>1</v>
      </c>
      <c r="M278" s="43" t="s">
        <v>6</v>
      </c>
    </row>
    <row r="279" spans="1:13" x14ac:dyDescent="0.25">
      <c r="A279" s="6">
        <v>45344</v>
      </c>
      <c r="B279" s="7">
        <v>0.5</v>
      </c>
      <c r="C279" s="21">
        <v>45344.5</v>
      </c>
      <c r="D279" s="8">
        <v>65.3</v>
      </c>
      <c r="E279" s="8">
        <v>65.3</v>
      </c>
      <c r="F279" s="8">
        <v>65.3</v>
      </c>
      <c r="G279" s="8" t="s">
        <v>6</v>
      </c>
      <c r="H279" s="8">
        <v>7.7</v>
      </c>
      <c r="I279" s="8">
        <v>7.7</v>
      </c>
      <c r="J279" s="8">
        <v>7.7</v>
      </c>
      <c r="K279" s="8" t="s">
        <v>6</v>
      </c>
      <c r="L279" s="9">
        <v>1</v>
      </c>
      <c r="M279" s="43" t="s">
        <v>6</v>
      </c>
    </row>
    <row r="280" spans="1:13" x14ac:dyDescent="0.25">
      <c r="A280" s="14">
        <v>45344</v>
      </c>
      <c r="B280" s="15">
        <v>0.79166666666666663</v>
      </c>
      <c r="C280" s="20">
        <v>45344.791666666664</v>
      </c>
      <c r="D280" s="16">
        <v>69.900000000000006</v>
      </c>
      <c r="E280" s="16">
        <v>72.400000000000006</v>
      </c>
      <c r="F280" s="16">
        <v>67.400000000000006</v>
      </c>
      <c r="G280" s="16" t="s">
        <v>6</v>
      </c>
      <c r="H280" s="16">
        <v>10.4</v>
      </c>
      <c r="I280" s="16">
        <v>11.3</v>
      </c>
      <c r="J280" s="16">
        <v>9.4</v>
      </c>
      <c r="K280" s="16" t="s">
        <v>6</v>
      </c>
      <c r="L280" s="17">
        <v>2</v>
      </c>
      <c r="M280" s="44" t="s">
        <v>6</v>
      </c>
    </row>
    <row r="281" spans="1:13" x14ac:dyDescent="0.25">
      <c r="A281" s="6">
        <v>45345</v>
      </c>
      <c r="B281" s="7">
        <v>0.79166666666666663</v>
      </c>
      <c r="C281" s="21">
        <v>45345.791666666664</v>
      </c>
      <c r="D281" s="8">
        <v>68.599999999999994</v>
      </c>
      <c r="E281" s="8">
        <v>68.599999999999994</v>
      </c>
      <c r="F281" s="8">
        <v>68.599999999999994</v>
      </c>
      <c r="G281" s="8" t="s">
        <v>6</v>
      </c>
      <c r="H281" s="8">
        <v>4.2</v>
      </c>
      <c r="I281" s="8">
        <v>4.2</v>
      </c>
      <c r="J281" s="8">
        <v>4.2</v>
      </c>
      <c r="K281" s="8" t="s">
        <v>6</v>
      </c>
      <c r="L281" s="9">
        <v>1</v>
      </c>
      <c r="M281" s="45" t="s">
        <v>6</v>
      </c>
    </row>
    <row r="282" spans="1:13" x14ac:dyDescent="0.25">
      <c r="A282" s="10">
        <v>45345</v>
      </c>
      <c r="B282" s="11">
        <v>0.83333333333333337</v>
      </c>
      <c r="C282" s="22">
        <v>45345.833333333336</v>
      </c>
      <c r="D282" s="12">
        <v>63.7</v>
      </c>
      <c r="E282" s="12">
        <v>63.7</v>
      </c>
      <c r="F282" s="12">
        <v>63.7</v>
      </c>
      <c r="G282" s="12" t="s">
        <v>6</v>
      </c>
      <c r="H282" s="12">
        <v>4.5999999999999996</v>
      </c>
      <c r="I282" s="12">
        <v>4.5999999999999996</v>
      </c>
      <c r="J282" s="12">
        <v>4.5999999999999996</v>
      </c>
      <c r="K282" s="12" t="s">
        <v>6</v>
      </c>
      <c r="L282" s="13">
        <v>1</v>
      </c>
      <c r="M282" s="45" t="s">
        <v>6</v>
      </c>
    </row>
    <row r="283" spans="1:13" x14ac:dyDescent="0.25">
      <c r="A283" s="10">
        <v>45346</v>
      </c>
      <c r="B283" s="11">
        <v>0</v>
      </c>
      <c r="C283" s="22">
        <v>45346</v>
      </c>
      <c r="D283" s="12">
        <v>71.2</v>
      </c>
      <c r="E283" s="12">
        <v>83.2</v>
      </c>
      <c r="F283" s="12">
        <v>53.9</v>
      </c>
      <c r="G283" s="12" t="s">
        <v>6</v>
      </c>
      <c r="H283" s="12">
        <v>21.2</v>
      </c>
      <c r="I283" s="12">
        <v>31.1</v>
      </c>
      <c r="J283" s="12">
        <v>8.1999999999999993</v>
      </c>
      <c r="K283" s="12" t="s">
        <v>6</v>
      </c>
      <c r="L283" s="13">
        <v>78</v>
      </c>
      <c r="M283" s="45" t="s">
        <v>6</v>
      </c>
    </row>
    <row r="284" spans="1:13" x14ac:dyDescent="0.25">
      <c r="A284" s="10">
        <v>45346</v>
      </c>
      <c r="B284" s="11">
        <v>4.1666666666666664E-2</v>
      </c>
      <c r="C284" s="22">
        <v>45346.041666666664</v>
      </c>
      <c r="D284" s="12">
        <v>71.7</v>
      </c>
      <c r="E284" s="12">
        <v>84.7</v>
      </c>
      <c r="F284" s="12">
        <v>57.3</v>
      </c>
      <c r="G284" s="12" t="s">
        <v>6</v>
      </c>
      <c r="H284" s="12">
        <v>18.8</v>
      </c>
      <c r="I284" s="12">
        <v>27.9</v>
      </c>
      <c r="J284" s="12">
        <v>11</v>
      </c>
      <c r="K284" s="12" t="s">
        <v>6</v>
      </c>
      <c r="L284" s="13">
        <v>202</v>
      </c>
      <c r="M284" s="45" t="s">
        <v>6</v>
      </c>
    </row>
    <row r="285" spans="1:13" x14ac:dyDescent="0.25">
      <c r="A285" s="14">
        <v>45346</v>
      </c>
      <c r="B285" s="15">
        <v>0.16666666666666666</v>
      </c>
      <c r="C285" s="20">
        <v>45346.166666666664</v>
      </c>
      <c r="D285" s="16">
        <v>62.3</v>
      </c>
      <c r="E285" s="16">
        <v>62.3</v>
      </c>
      <c r="F285" s="16">
        <v>62.3</v>
      </c>
      <c r="G285" s="16" t="s">
        <v>6</v>
      </c>
      <c r="H285" s="16">
        <v>3.8</v>
      </c>
      <c r="I285" s="16">
        <v>3.8</v>
      </c>
      <c r="J285" s="16">
        <v>3.8</v>
      </c>
      <c r="K285" s="16" t="s">
        <v>6</v>
      </c>
      <c r="L285" s="17">
        <v>1</v>
      </c>
      <c r="M285" s="45" t="s">
        <v>6</v>
      </c>
    </row>
    <row r="286" spans="1:13" x14ac:dyDescent="0.25">
      <c r="A286" s="6">
        <v>45346</v>
      </c>
      <c r="B286" s="7">
        <v>0.75</v>
      </c>
      <c r="C286" s="21">
        <v>45346.75</v>
      </c>
      <c r="D286" s="8">
        <v>70.2</v>
      </c>
      <c r="E286" s="8">
        <v>77.3</v>
      </c>
      <c r="F286" s="8">
        <v>58.3</v>
      </c>
      <c r="G286" s="8" t="s">
        <v>6</v>
      </c>
      <c r="H286" s="8">
        <v>17</v>
      </c>
      <c r="I286" s="8">
        <v>25.6</v>
      </c>
      <c r="J286" s="8">
        <v>2.6</v>
      </c>
      <c r="K286" s="8" t="s">
        <v>6</v>
      </c>
      <c r="L286" s="9">
        <v>147</v>
      </c>
      <c r="M286" s="45" t="s">
        <v>6</v>
      </c>
    </row>
    <row r="287" spans="1:13" x14ac:dyDescent="0.25">
      <c r="A287" s="10">
        <v>45346</v>
      </c>
      <c r="B287" s="11">
        <v>0.79166666666666663</v>
      </c>
      <c r="C287" s="22">
        <v>45346.791666666664</v>
      </c>
      <c r="D287" s="12">
        <v>69.8</v>
      </c>
      <c r="E287" s="12">
        <v>77.900000000000006</v>
      </c>
      <c r="F287" s="12">
        <v>60.2</v>
      </c>
      <c r="G287" s="12" t="s">
        <v>6</v>
      </c>
      <c r="H287" s="12">
        <v>17.100000000000001</v>
      </c>
      <c r="I287" s="12">
        <v>23</v>
      </c>
      <c r="J287" s="12">
        <v>10.7</v>
      </c>
      <c r="K287" s="12" t="s">
        <v>6</v>
      </c>
      <c r="L287" s="13">
        <v>224</v>
      </c>
      <c r="M287" s="45" t="s">
        <v>6</v>
      </c>
    </row>
    <row r="288" spans="1:13" x14ac:dyDescent="0.25">
      <c r="A288" s="14">
        <v>45346</v>
      </c>
      <c r="B288" s="15">
        <v>0.83333333333333337</v>
      </c>
      <c r="C288" s="20">
        <v>45346.833333333336</v>
      </c>
      <c r="D288" s="16">
        <v>76.2</v>
      </c>
      <c r="E288" s="16">
        <v>79.5</v>
      </c>
      <c r="F288" s="16">
        <v>70.599999999999994</v>
      </c>
      <c r="G288" s="16" t="s">
        <v>6</v>
      </c>
      <c r="H288" s="16">
        <v>16.399999999999999</v>
      </c>
      <c r="I288" s="16">
        <v>24.2</v>
      </c>
      <c r="J288" s="16">
        <v>9</v>
      </c>
      <c r="K288" s="16" t="s">
        <v>6</v>
      </c>
      <c r="L288" s="17">
        <v>130</v>
      </c>
      <c r="M288" s="45" t="s">
        <v>6</v>
      </c>
    </row>
    <row r="289" spans="1:13" x14ac:dyDescent="0.25">
      <c r="A289" s="6">
        <v>45347</v>
      </c>
      <c r="B289" s="7">
        <v>0.70833333333333337</v>
      </c>
      <c r="C289" s="21">
        <v>45347.708333333336</v>
      </c>
      <c r="D289" s="8">
        <v>68</v>
      </c>
      <c r="E289" s="8">
        <v>68</v>
      </c>
      <c r="F289" s="8">
        <v>68</v>
      </c>
      <c r="G289" s="8" t="s">
        <v>6</v>
      </c>
      <c r="H289" s="8">
        <v>3.7</v>
      </c>
      <c r="I289" s="8">
        <v>3.7</v>
      </c>
      <c r="J289" s="8">
        <v>3.7</v>
      </c>
      <c r="K289" s="8" t="s">
        <v>6</v>
      </c>
      <c r="L289" s="9">
        <v>1</v>
      </c>
      <c r="M289" s="45" t="s">
        <v>6</v>
      </c>
    </row>
    <row r="290" spans="1:13" x14ac:dyDescent="0.25">
      <c r="A290" s="10">
        <v>45347</v>
      </c>
      <c r="B290" s="11">
        <v>0.83333333333333337</v>
      </c>
      <c r="C290" s="22">
        <v>45347.833333333336</v>
      </c>
      <c r="D290" s="12">
        <v>71.900000000000006</v>
      </c>
      <c r="E290" s="12">
        <v>87.6</v>
      </c>
      <c r="F290" s="12">
        <v>55.3</v>
      </c>
      <c r="G290" s="12" t="s">
        <v>6</v>
      </c>
      <c r="H290" s="12">
        <v>18.600000000000001</v>
      </c>
      <c r="I290" s="12">
        <v>31.6</v>
      </c>
      <c r="J290" s="12">
        <v>8.3000000000000007</v>
      </c>
      <c r="K290" s="12" t="s">
        <v>6</v>
      </c>
      <c r="L290" s="13">
        <v>193</v>
      </c>
      <c r="M290" s="45" t="s">
        <v>6</v>
      </c>
    </row>
    <row r="291" spans="1:13" x14ac:dyDescent="0.25">
      <c r="A291" s="10">
        <v>45347</v>
      </c>
      <c r="B291" s="11">
        <v>0.875</v>
      </c>
      <c r="C291" s="22">
        <v>45347.875</v>
      </c>
      <c r="D291" s="12">
        <v>64.599999999999994</v>
      </c>
      <c r="E291" s="12">
        <v>79.5</v>
      </c>
      <c r="F291" s="12">
        <v>53.4</v>
      </c>
      <c r="G291" s="12" t="s">
        <v>6</v>
      </c>
      <c r="H291" s="12">
        <v>18.600000000000001</v>
      </c>
      <c r="I291" s="12">
        <v>28.9</v>
      </c>
      <c r="J291" s="12">
        <v>9.5</v>
      </c>
      <c r="K291" s="12" t="s">
        <v>6</v>
      </c>
      <c r="L291" s="13">
        <v>203</v>
      </c>
      <c r="M291" s="45" t="s">
        <v>6</v>
      </c>
    </row>
    <row r="292" spans="1:13" x14ac:dyDescent="0.25">
      <c r="A292" s="10">
        <v>45347</v>
      </c>
      <c r="B292" s="11">
        <v>0.91666666666666663</v>
      </c>
      <c r="C292" s="22">
        <v>45347.916666666664</v>
      </c>
      <c r="D292" s="12">
        <v>64.099999999999994</v>
      </c>
      <c r="E292" s="12">
        <v>77.3</v>
      </c>
      <c r="F292" s="12">
        <v>55.6</v>
      </c>
      <c r="G292" s="12" t="s">
        <v>6</v>
      </c>
      <c r="H292" s="12">
        <v>18.8</v>
      </c>
      <c r="I292" s="12">
        <v>26.2</v>
      </c>
      <c r="J292" s="12">
        <v>8.1999999999999993</v>
      </c>
      <c r="K292" s="12" t="s">
        <v>6</v>
      </c>
      <c r="L292" s="13">
        <v>214</v>
      </c>
      <c r="M292" s="45" t="s">
        <v>6</v>
      </c>
    </row>
    <row r="293" spans="1:13" x14ac:dyDescent="0.25">
      <c r="A293" s="10">
        <v>45348</v>
      </c>
      <c r="B293" s="11">
        <v>4.1666666666666664E-2</v>
      </c>
      <c r="C293" s="22">
        <v>45348.041666666664</v>
      </c>
      <c r="D293" s="12">
        <v>68.3</v>
      </c>
      <c r="E293" s="12">
        <v>79.2</v>
      </c>
      <c r="F293" s="12">
        <v>52.5</v>
      </c>
      <c r="G293" s="12" t="s">
        <v>6</v>
      </c>
      <c r="H293" s="12">
        <v>19.100000000000001</v>
      </c>
      <c r="I293" s="12">
        <v>24.9</v>
      </c>
      <c r="J293" s="12">
        <v>11.9</v>
      </c>
      <c r="K293" s="12" t="s">
        <v>6</v>
      </c>
      <c r="L293" s="13">
        <v>77</v>
      </c>
      <c r="M293" s="45" t="s">
        <v>6</v>
      </c>
    </row>
    <row r="294" spans="1:13" x14ac:dyDescent="0.25">
      <c r="A294" s="10">
        <v>45348</v>
      </c>
      <c r="B294" s="11">
        <v>8.3333333333333329E-2</v>
      </c>
      <c r="C294" s="22">
        <v>45348.083333333336</v>
      </c>
      <c r="D294" s="12">
        <v>72.8</v>
      </c>
      <c r="E294" s="12">
        <v>79.400000000000006</v>
      </c>
      <c r="F294" s="12">
        <v>63</v>
      </c>
      <c r="G294" s="12" t="s">
        <v>6</v>
      </c>
      <c r="H294" s="12">
        <v>16.8</v>
      </c>
      <c r="I294" s="12">
        <v>25.6</v>
      </c>
      <c r="J294" s="12">
        <v>8.3000000000000007</v>
      </c>
      <c r="K294" s="12" t="s">
        <v>6</v>
      </c>
      <c r="L294" s="13">
        <v>220</v>
      </c>
      <c r="M294" s="45" t="s">
        <v>6</v>
      </c>
    </row>
    <row r="295" spans="1:13" x14ac:dyDescent="0.25">
      <c r="A295" s="14">
        <v>45348</v>
      </c>
      <c r="B295" s="15">
        <v>0.125</v>
      </c>
      <c r="C295" s="20">
        <v>45348.125</v>
      </c>
      <c r="D295" s="16">
        <v>73.599999999999994</v>
      </c>
      <c r="E295" s="16">
        <v>80.099999999999994</v>
      </c>
      <c r="F295" s="16">
        <v>56</v>
      </c>
      <c r="G295" s="16" t="s">
        <v>6</v>
      </c>
      <c r="H295" s="16">
        <v>13.8</v>
      </c>
      <c r="I295" s="16">
        <v>23.5</v>
      </c>
      <c r="J295" s="16">
        <v>8.3000000000000007</v>
      </c>
      <c r="K295" s="16" t="s">
        <v>6</v>
      </c>
      <c r="L295" s="17">
        <v>221</v>
      </c>
      <c r="M295" s="45" t="s">
        <v>6</v>
      </c>
    </row>
    <row r="296" spans="1:13" x14ac:dyDescent="0.25">
      <c r="A296" s="6">
        <v>45348</v>
      </c>
      <c r="B296" s="7">
        <v>0.79166666666666663</v>
      </c>
      <c r="C296" s="21">
        <v>45348.791666666664</v>
      </c>
      <c r="D296" s="8">
        <v>60.7</v>
      </c>
      <c r="E296" s="8">
        <v>60.7</v>
      </c>
      <c r="F296" s="8">
        <v>60.7</v>
      </c>
      <c r="G296" s="8" t="s">
        <v>6</v>
      </c>
      <c r="H296" s="8">
        <v>3.8</v>
      </c>
      <c r="I296" s="8">
        <v>3.8</v>
      </c>
      <c r="J296" s="8">
        <v>3.8</v>
      </c>
      <c r="K296" s="8" t="s">
        <v>6</v>
      </c>
      <c r="L296" s="9">
        <v>1</v>
      </c>
      <c r="M296" s="46" t="s">
        <v>6</v>
      </c>
    </row>
    <row r="297" spans="1:13" x14ac:dyDescent="0.25">
      <c r="A297" s="10">
        <v>45348</v>
      </c>
      <c r="B297" s="11">
        <v>0.875</v>
      </c>
      <c r="C297" s="22">
        <v>45348.875</v>
      </c>
      <c r="D297" s="12">
        <v>59.6</v>
      </c>
      <c r="E297" s="12">
        <v>67.3</v>
      </c>
      <c r="F297" s="12">
        <v>53.2</v>
      </c>
      <c r="G297" s="12" t="s">
        <v>6</v>
      </c>
      <c r="H297" s="12">
        <v>17.3</v>
      </c>
      <c r="I297" s="12">
        <v>23.6</v>
      </c>
      <c r="J297" s="12">
        <v>11.6</v>
      </c>
      <c r="K297" s="12" t="s">
        <v>6</v>
      </c>
      <c r="L297" s="13">
        <v>35</v>
      </c>
      <c r="M297" s="46" t="s">
        <v>6</v>
      </c>
    </row>
    <row r="298" spans="1:13" x14ac:dyDescent="0.25">
      <c r="A298" s="10">
        <v>45348</v>
      </c>
      <c r="B298" s="11">
        <v>0.91666666666666663</v>
      </c>
      <c r="C298" s="22">
        <v>45348.916666666664</v>
      </c>
      <c r="D298" s="12">
        <v>67.2</v>
      </c>
      <c r="E298" s="12">
        <v>76.900000000000006</v>
      </c>
      <c r="F298" s="12">
        <v>56.7</v>
      </c>
      <c r="G298" s="12" t="s">
        <v>6</v>
      </c>
      <c r="H298" s="12">
        <v>16.7</v>
      </c>
      <c r="I298" s="12">
        <v>22.7</v>
      </c>
      <c r="J298" s="12">
        <v>8.9</v>
      </c>
      <c r="K298" s="12" t="s">
        <v>6</v>
      </c>
      <c r="L298" s="13">
        <v>222</v>
      </c>
      <c r="M298" s="46" t="s">
        <v>6</v>
      </c>
    </row>
    <row r="299" spans="1:13" x14ac:dyDescent="0.25">
      <c r="A299" s="10">
        <v>45348</v>
      </c>
      <c r="B299" s="11">
        <v>0.95833333333333337</v>
      </c>
      <c r="C299" s="22">
        <v>45348.958333333336</v>
      </c>
      <c r="D299" s="12">
        <v>71.099999999999994</v>
      </c>
      <c r="E299" s="12">
        <v>79.3</v>
      </c>
      <c r="F299" s="12">
        <v>54.3</v>
      </c>
      <c r="G299" s="12" t="s">
        <v>6</v>
      </c>
      <c r="H299" s="12">
        <v>15.8</v>
      </c>
      <c r="I299" s="12">
        <v>30.5</v>
      </c>
      <c r="J299" s="12">
        <v>7.2</v>
      </c>
      <c r="K299" s="12" t="s">
        <v>6</v>
      </c>
      <c r="L299" s="13">
        <v>195</v>
      </c>
      <c r="M299" s="46" t="s">
        <v>6</v>
      </c>
    </row>
    <row r="300" spans="1:13" x14ac:dyDescent="0.25">
      <c r="A300" s="10">
        <v>45349</v>
      </c>
      <c r="B300" s="11">
        <v>0</v>
      </c>
      <c r="C300" s="22">
        <v>45349</v>
      </c>
      <c r="D300" s="12">
        <v>70.8</v>
      </c>
      <c r="E300" s="12">
        <v>79.099999999999994</v>
      </c>
      <c r="F300" s="12">
        <v>56.2</v>
      </c>
      <c r="G300" s="12" t="s">
        <v>6</v>
      </c>
      <c r="H300" s="12">
        <v>16.899999999999999</v>
      </c>
      <c r="I300" s="12">
        <v>24.3</v>
      </c>
      <c r="J300" s="12">
        <v>8.8000000000000007</v>
      </c>
      <c r="K300" s="12" t="s">
        <v>6</v>
      </c>
      <c r="L300" s="13">
        <v>224</v>
      </c>
      <c r="M300" s="46" t="s">
        <v>6</v>
      </c>
    </row>
    <row r="301" spans="1:13" x14ac:dyDescent="0.25">
      <c r="A301" s="14">
        <v>45349</v>
      </c>
      <c r="B301" s="15">
        <v>4.1666666666666664E-2</v>
      </c>
      <c r="C301" s="20">
        <v>45349.041666666664</v>
      </c>
      <c r="D301" s="16">
        <v>71.599999999999994</v>
      </c>
      <c r="E301" s="16">
        <v>76.099999999999994</v>
      </c>
      <c r="F301" s="16">
        <v>65.599999999999994</v>
      </c>
      <c r="G301" s="16" t="s">
        <v>6</v>
      </c>
      <c r="H301" s="16">
        <v>14.2</v>
      </c>
      <c r="I301" s="16">
        <v>20</v>
      </c>
      <c r="J301" s="16">
        <v>8.6999999999999993</v>
      </c>
      <c r="K301" s="16" t="s">
        <v>6</v>
      </c>
      <c r="L301" s="17">
        <v>147</v>
      </c>
      <c r="M301" s="47" t="s">
        <v>6</v>
      </c>
    </row>
    <row r="302" spans="1:13" x14ac:dyDescent="0.25">
      <c r="A302" s="6">
        <v>45349</v>
      </c>
      <c r="B302" s="7">
        <v>0.83333333333333337</v>
      </c>
      <c r="C302" s="21">
        <v>45349.833333333336</v>
      </c>
      <c r="D302" s="8">
        <v>61</v>
      </c>
      <c r="E302" s="8">
        <v>61</v>
      </c>
      <c r="F302" s="8">
        <v>61</v>
      </c>
      <c r="G302" s="8" t="s">
        <v>6</v>
      </c>
      <c r="H302" s="8">
        <v>16.8</v>
      </c>
      <c r="I302" s="8">
        <v>16.8</v>
      </c>
      <c r="J302" s="8">
        <v>16.8</v>
      </c>
      <c r="K302" s="8" t="s">
        <v>6</v>
      </c>
      <c r="L302" s="9">
        <v>1</v>
      </c>
      <c r="M302" s="47" t="s">
        <v>6</v>
      </c>
    </row>
    <row r="303" spans="1:13" x14ac:dyDescent="0.25">
      <c r="A303" s="10">
        <v>45350</v>
      </c>
      <c r="B303" s="11">
        <v>0</v>
      </c>
      <c r="C303" s="22">
        <v>45350</v>
      </c>
      <c r="D303" s="12">
        <v>66.2</v>
      </c>
      <c r="E303" s="12">
        <v>73.7</v>
      </c>
      <c r="F303" s="12">
        <v>55.6</v>
      </c>
      <c r="G303" s="12" t="s">
        <v>6</v>
      </c>
      <c r="H303" s="12">
        <v>19.2</v>
      </c>
      <c r="I303" s="12">
        <v>28.1</v>
      </c>
      <c r="J303" s="12">
        <v>10.4</v>
      </c>
      <c r="K303" s="12" t="s">
        <v>6</v>
      </c>
      <c r="L303" s="13">
        <v>160</v>
      </c>
      <c r="M303" s="47" t="s">
        <v>6</v>
      </c>
    </row>
    <row r="304" spans="1:13" x14ac:dyDescent="0.25">
      <c r="A304" s="10">
        <v>45350</v>
      </c>
      <c r="B304" s="11">
        <v>4.1666666666666664E-2</v>
      </c>
      <c r="C304" s="22">
        <v>45350.041666666664</v>
      </c>
      <c r="D304" s="12">
        <v>66.3</v>
      </c>
      <c r="E304" s="12">
        <v>73</v>
      </c>
      <c r="F304" s="12">
        <v>60.8</v>
      </c>
      <c r="G304" s="12" t="s">
        <v>6</v>
      </c>
      <c r="H304" s="12">
        <v>16.2</v>
      </c>
      <c r="I304" s="12">
        <v>24.1</v>
      </c>
      <c r="J304" s="12">
        <v>8.6999999999999993</v>
      </c>
      <c r="K304" s="12" t="s">
        <v>6</v>
      </c>
      <c r="L304" s="13">
        <v>196</v>
      </c>
      <c r="M304" s="47" t="s">
        <v>6</v>
      </c>
    </row>
    <row r="305" spans="1:13" x14ac:dyDescent="0.25">
      <c r="A305" s="14">
        <v>45350</v>
      </c>
      <c r="B305" s="15">
        <v>0.25</v>
      </c>
      <c r="C305" s="20">
        <v>45350.25</v>
      </c>
      <c r="D305" s="16">
        <v>68.599999999999994</v>
      </c>
      <c r="E305" s="16">
        <v>78.5</v>
      </c>
      <c r="F305" s="16">
        <v>61.1</v>
      </c>
      <c r="G305" s="16" t="s">
        <v>6</v>
      </c>
      <c r="H305" s="16">
        <v>17.899999999999999</v>
      </c>
      <c r="I305" s="16">
        <v>24</v>
      </c>
      <c r="J305" s="16">
        <v>8.5</v>
      </c>
      <c r="K305" s="16" t="s">
        <v>6</v>
      </c>
      <c r="L305" s="17">
        <v>119</v>
      </c>
      <c r="M305" s="47" t="s">
        <v>6</v>
      </c>
    </row>
    <row r="306" spans="1:13" x14ac:dyDescent="0.25">
      <c r="A306" s="6">
        <v>45350</v>
      </c>
      <c r="B306" s="7">
        <v>0.5</v>
      </c>
      <c r="C306" s="21">
        <v>45350.5</v>
      </c>
      <c r="D306" s="8">
        <v>69.7</v>
      </c>
      <c r="E306" s="8">
        <v>72</v>
      </c>
      <c r="F306" s="8">
        <v>67.3</v>
      </c>
      <c r="G306" s="8" t="s">
        <v>6</v>
      </c>
      <c r="H306" s="8">
        <v>9.4</v>
      </c>
      <c r="I306" s="8">
        <v>9.6</v>
      </c>
      <c r="J306" s="8">
        <v>9.1999999999999993</v>
      </c>
      <c r="K306" s="8" t="s">
        <v>6</v>
      </c>
      <c r="L306" s="9">
        <v>2</v>
      </c>
      <c r="M306" s="47" t="s">
        <v>6</v>
      </c>
    </row>
    <row r="307" spans="1:13" x14ac:dyDescent="0.25">
      <c r="A307" s="10">
        <v>45350</v>
      </c>
      <c r="B307" s="11">
        <v>0.83333333333333337</v>
      </c>
      <c r="C307" s="22">
        <v>45350.833333333336</v>
      </c>
      <c r="D307" s="12">
        <v>71.900000000000006</v>
      </c>
      <c r="E307" s="12">
        <v>73.900000000000006</v>
      </c>
      <c r="F307" s="12">
        <v>69.900000000000006</v>
      </c>
      <c r="G307" s="12" t="s">
        <v>6</v>
      </c>
      <c r="H307" s="12">
        <v>7</v>
      </c>
      <c r="I307" s="12">
        <v>7.1</v>
      </c>
      <c r="J307" s="12">
        <v>6.9</v>
      </c>
      <c r="K307" s="12" t="s">
        <v>6</v>
      </c>
      <c r="L307" s="13">
        <v>2</v>
      </c>
      <c r="M307" s="48" t="s">
        <v>6</v>
      </c>
    </row>
    <row r="308" spans="1:13" x14ac:dyDescent="0.25">
      <c r="A308" s="10">
        <v>45350</v>
      </c>
      <c r="B308" s="11">
        <v>0.875</v>
      </c>
      <c r="C308" s="22">
        <v>45350.875</v>
      </c>
      <c r="D308" s="12">
        <v>68.7</v>
      </c>
      <c r="E308" s="12">
        <v>68.900000000000006</v>
      </c>
      <c r="F308" s="12">
        <v>67.8</v>
      </c>
      <c r="G308" s="12" t="s">
        <v>6</v>
      </c>
      <c r="H308" s="12">
        <v>15</v>
      </c>
      <c r="I308" s="12">
        <v>21.6</v>
      </c>
      <c r="J308" s="12">
        <v>7.5</v>
      </c>
      <c r="K308" s="12" t="s">
        <v>6</v>
      </c>
      <c r="L308" s="13">
        <v>11</v>
      </c>
      <c r="M308" s="48" t="s">
        <v>6</v>
      </c>
    </row>
    <row r="309" spans="1:13" x14ac:dyDescent="0.25">
      <c r="A309" s="10">
        <v>45350</v>
      </c>
      <c r="B309" s="11">
        <v>0.91666666666666663</v>
      </c>
      <c r="C309" s="22">
        <v>45350.916666666664</v>
      </c>
      <c r="D309" s="12">
        <v>69.3</v>
      </c>
      <c r="E309" s="12">
        <v>82.9</v>
      </c>
      <c r="F309" s="12">
        <v>53.7</v>
      </c>
      <c r="G309" s="12" t="s">
        <v>6</v>
      </c>
      <c r="H309" s="12">
        <v>18.100000000000001</v>
      </c>
      <c r="I309" s="12">
        <v>26.8</v>
      </c>
      <c r="J309" s="12">
        <v>9.8000000000000007</v>
      </c>
      <c r="K309" s="12" t="s">
        <v>6</v>
      </c>
      <c r="L309" s="13">
        <v>211</v>
      </c>
      <c r="M309" s="48" t="s">
        <v>6</v>
      </c>
    </row>
    <row r="310" spans="1:13" x14ac:dyDescent="0.25">
      <c r="A310" s="10">
        <v>45350</v>
      </c>
      <c r="B310" s="11">
        <v>0.95833333333333337</v>
      </c>
      <c r="C310" s="22">
        <v>45350.958333333336</v>
      </c>
      <c r="D310" s="12">
        <v>77.5</v>
      </c>
      <c r="E310" s="12">
        <v>84.7</v>
      </c>
      <c r="F310" s="12">
        <v>66.8</v>
      </c>
      <c r="G310" s="12" t="s">
        <v>6</v>
      </c>
      <c r="H310" s="12">
        <v>17.8</v>
      </c>
      <c r="I310" s="12">
        <v>22.5</v>
      </c>
      <c r="J310" s="12">
        <v>9.5</v>
      </c>
      <c r="K310" s="12" t="s">
        <v>6</v>
      </c>
      <c r="L310" s="13">
        <v>115</v>
      </c>
      <c r="M310" s="48" t="s">
        <v>6</v>
      </c>
    </row>
    <row r="311" spans="1:13" x14ac:dyDescent="0.25">
      <c r="A311" s="10">
        <v>45351</v>
      </c>
      <c r="B311" s="11">
        <v>0</v>
      </c>
      <c r="C311" s="22">
        <v>45351</v>
      </c>
      <c r="D311" s="12">
        <v>73.3</v>
      </c>
      <c r="E311" s="12">
        <v>77.8</v>
      </c>
      <c r="F311" s="12">
        <v>65.400000000000006</v>
      </c>
      <c r="G311" s="12" t="s">
        <v>6</v>
      </c>
      <c r="H311" s="12">
        <v>17.5</v>
      </c>
      <c r="I311" s="12">
        <v>26.8</v>
      </c>
      <c r="J311" s="12">
        <v>9.4</v>
      </c>
      <c r="K311" s="12" t="s">
        <v>6</v>
      </c>
      <c r="L311" s="13">
        <v>65</v>
      </c>
      <c r="M311" s="48" t="s">
        <v>6</v>
      </c>
    </row>
    <row r="312" spans="1:13" x14ac:dyDescent="0.25">
      <c r="A312" s="10">
        <v>45351</v>
      </c>
      <c r="B312" s="11">
        <v>4.1666666666666664E-2</v>
      </c>
      <c r="C312" s="22">
        <v>45351.041666666664</v>
      </c>
      <c r="D312" s="12">
        <v>66</v>
      </c>
      <c r="E312" s="12">
        <v>72.400000000000006</v>
      </c>
      <c r="F312" s="12">
        <v>57.8</v>
      </c>
      <c r="G312" s="12" t="s">
        <v>6</v>
      </c>
      <c r="H312" s="12">
        <v>20.6</v>
      </c>
      <c r="I312" s="12">
        <v>28.8</v>
      </c>
      <c r="J312" s="12">
        <v>11.5</v>
      </c>
      <c r="K312" s="12" t="s">
        <v>6</v>
      </c>
      <c r="L312" s="13">
        <v>118</v>
      </c>
      <c r="M312" s="48" t="s">
        <v>6</v>
      </c>
    </row>
    <row r="313" spans="1:13" x14ac:dyDescent="0.25">
      <c r="A313" s="10">
        <v>45351</v>
      </c>
      <c r="B313" s="11">
        <v>8.3333333333333329E-2</v>
      </c>
      <c r="C313" s="22">
        <v>45351.083333333336</v>
      </c>
      <c r="D313" s="12">
        <v>63.9</v>
      </c>
      <c r="E313" s="12">
        <v>70.099999999999994</v>
      </c>
      <c r="F313" s="12">
        <v>51</v>
      </c>
      <c r="G313" s="12" t="s">
        <v>6</v>
      </c>
      <c r="H313" s="12">
        <v>17.2</v>
      </c>
      <c r="I313" s="12">
        <v>25.5</v>
      </c>
      <c r="J313" s="12">
        <v>8.6</v>
      </c>
      <c r="K313" s="12" t="s">
        <v>6</v>
      </c>
      <c r="L313" s="13">
        <v>201</v>
      </c>
      <c r="M313" s="48" t="s">
        <v>6</v>
      </c>
    </row>
    <row r="314" spans="1:13" x14ac:dyDescent="0.25">
      <c r="A314" s="10">
        <v>45351</v>
      </c>
      <c r="B314" s="11">
        <v>0.125</v>
      </c>
      <c r="C314" s="22">
        <v>45351.125</v>
      </c>
      <c r="D314" s="12">
        <v>66.400000000000006</v>
      </c>
      <c r="E314" s="12">
        <v>73.900000000000006</v>
      </c>
      <c r="F314" s="12">
        <v>52.3</v>
      </c>
      <c r="G314" s="12" t="s">
        <v>6</v>
      </c>
      <c r="H314" s="12">
        <v>13.6</v>
      </c>
      <c r="I314" s="12">
        <v>27.2</v>
      </c>
      <c r="J314" s="12">
        <v>7.6</v>
      </c>
      <c r="K314" s="12" t="s">
        <v>6</v>
      </c>
      <c r="L314" s="13">
        <v>221</v>
      </c>
      <c r="M314" s="48" t="s">
        <v>6</v>
      </c>
    </row>
    <row r="315" spans="1:13" x14ac:dyDescent="0.25">
      <c r="A315" s="10">
        <v>45351</v>
      </c>
      <c r="B315" s="11">
        <v>0.16666666666666666</v>
      </c>
      <c r="C315" s="22">
        <v>45351.166666666664</v>
      </c>
      <c r="D315" s="12">
        <v>67.599999999999994</v>
      </c>
      <c r="E315" s="12">
        <v>74.599999999999994</v>
      </c>
      <c r="F315" s="12">
        <v>52</v>
      </c>
      <c r="G315" s="12" t="s">
        <v>6</v>
      </c>
      <c r="H315" s="12">
        <v>16.399999999999999</v>
      </c>
      <c r="I315" s="12">
        <v>23.2</v>
      </c>
      <c r="J315" s="12">
        <v>9.5</v>
      </c>
      <c r="K315" s="12" t="s">
        <v>6</v>
      </c>
      <c r="L315" s="13">
        <v>220</v>
      </c>
      <c r="M315" s="48" t="s">
        <v>6</v>
      </c>
    </row>
    <row r="316" spans="1:13" x14ac:dyDescent="0.25">
      <c r="A316" s="14">
        <v>45351</v>
      </c>
      <c r="B316" s="15">
        <v>0.20833333333333334</v>
      </c>
      <c r="C316" s="20">
        <v>45351.208333333336</v>
      </c>
      <c r="D316" s="16">
        <v>69</v>
      </c>
      <c r="E316" s="16">
        <v>72</v>
      </c>
      <c r="F316" s="16">
        <v>64.900000000000006</v>
      </c>
      <c r="G316" s="16" t="s">
        <v>6</v>
      </c>
      <c r="H316" s="16">
        <v>15</v>
      </c>
      <c r="I316" s="16">
        <v>23.8</v>
      </c>
      <c r="J316" s="16">
        <v>8</v>
      </c>
      <c r="K316" s="16" t="s">
        <v>6</v>
      </c>
      <c r="L316" s="17">
        <v>32</v>
      </c>
      <c r="M316" s="48" t="s">
        <v>6</v>
      </c>
    </row>
    <row r="317" spans="1:13" x14ac:dyDescent="0.25">
      <c r="A317" s="6">
        <v>45351</v>
      </c>
      <c r="B317" s="7">
        <v>0.83333333333333337</v>
      </c>
      <c r="C317" s="21">
        <v>45351.833333333336</v>
      </c>
      <c r="D317" s="8">
        <v>67.8</v>
      </c>
      <c r="E317" s="8">
        <v>67.8</v>
      </c>
      <c r="F317" s="8">
        <v>67.7</v>
      </c>
      <c r="G317" s="8" t="s">
        <v>6</v>
      </c>
      <c r="H317" s="8">
        <v>4.8</v>
      </c>
      <c r="I317" s="8">
        <v>5.5</v>
      </c>
      <c r="J317" s="8">
        <v>4</v>
      </c>
      <c r="K317" s="8" t="s">
        <v>6</v>
      </c>
      <c r="L317" s="9">
        <v>2</v>
      </c>
      <c r="M317" s="49" t="s">
        <v>6</v>
      </c>
    </row>
    <row r="318" spans="1:13" x14ac:dyDescent="0.25">
      <c r="A318" s="10">
        <v>45352</v>
      </c>
      <c r="B318" s="11">
        <v>0</v>
      </c>
      <c r="C318" s="22">
        <v>45352</v>
      </c>
      <c r="D318" s="12">
        <v>58.7</v>
      </c>
      <c r="E318" s="12">
        <v>70.599999999999994</v>
      </c>
      <c r="F318" s="12">
        <v>48.3</v>
      </c>
      <c r="G318" s="12" t="s">
        <v>6</v>
      </c>
      <c r="H318" s="12">
        <v>18.2</v>
      </c>
      <c r="I318" s="12">
        <v>22.6</v>
      </c>
      <c r="J318" s="12">
        <v>3.8</v>
      </c>
      <c r="K318" s="12" t="s">
        <v>6</v>
      </c>
      <c r="L318" s="13">
        <v>78</v>
      </c>
      <c r="M318" s="49" t="s">
        <v>6</v>
      </c>
    </row>
    <row r="319" spans="1:13" x14ac:dyDescent="0.25">
      <c r="A319" s="10">
        <v>45352</v>
      </c>
      <c r="B319" s="11">
        <v>4.1666666666666664E-2</v>
      </c>
      <c r="C319" s="22">
        <v>45352.041666666664</v>
      </c>
      <c r="D319" s="12">
        <v>67.2</v>
      </c>
      <c r="E319" s="12">
        <v>79.900000000000006</v>
      </c>
      <c r="F319" s="12">
        <v>57.3</v>
      </c>
      <c r="G319" s="12" t="s">
        <v>6</v>
      </c>
      <c r="H319" s="12">
        <v>18.100000000000001</v>
      </c>
      <c r="I319" s="12">
        <v>22.5</v>
      </c>
      <c r="J319" s="12">
        <v>11.8</v>
      </c>
      <c r="K319" s="12" t="s">
        <v>6</v>
      </c>
      <c r="L319" s="13">
        <v>207</v>
      </c>
      <c r="M319" s="49" t="s">
        <v>6</v>
      </c>
    </row>
    <row r="320" spans="1:13" x14ac:dyDescent="0.25">
      <c r="A320" s="10">
        <v>45352</v>
      </c>
      <c r="B320" s="11">
        <v>8.3333333333333329E-2</v>
      </c>
      <c r="C320" s="22">
        <v>45352.083333333336</v>
      </c>
      <c r="D320" s="12">
        <v>68.900000000000006</v>
      </c>
      <c r="E320" s="12">
        <v>73.8</v>
      </c>
      <c r="F320" s="12">
        <v>63.5</v>
      </c>
      <c r="G320" s="12" t="s">
        <v>6</v>
      </c>
      <c r="H320" s="12">
        <v>16.399999999999999</v>
      </c>
      <c r="I320" s="12">
        <v>22.2</v>
      </c>
      <c r="J320" s="12">
        <v>10.3</v>
      </c>
      <c r="K320" s="12" t="s">
        <v>6</v>
      </c>
      <c r="L320" s="13">
        <v>135</v>
      </c>
      <c r="M320" s="49" t="s">
        <v>6</v>
      </c>
    </row>
    <row r="321" spans="1:13" x14ac:dyDescent="0.25">
      <c r="A321" s="14">
        <v>45352</v>
      </c>
      <c r="B321" s="15">
        <v>0.29166666666666669</v>
      </c>
      <c r="C321" s="20">
        <v>45352.291666666664</v>
      </c>
      <c r="D321" s="16">
        <v>72.400000000000006</v>
      </c>
      <c r="E321" s="16">
        <v>72.400000000000006</v>
      </c>
      <c r="F321" s="16">
        <v>72.400000000000006</v>
      </c>
      <c r="G321" s="16" t="s">
        <v>6</v>
      </c>
      <c r="H321" s="16">
        <v>4.9000000000000004</v>
      </c>
      <c r="I321" s="16">
        <v>4.9000000000000004</v>
      </c>
      <c r="J321" s="16">
        <v>4.9000000000000004</v>
      </c>
      <c r="K321" s="16" t="s">
        <v>6</v>
      </c>
      <c r="L321" s="17">
        <v>1</v>
      </c>
      <c r="M321" s="49" t="s">
        <v>6</v>
      </c>
    </row>
    <row r="322" spans="1:13" x14ac:dyDescent="0.25">
      <c r="A322" s="6">
        <v>45352</v>
      </c>
      <c r="B322" s="7">
        <v>0.83333333333333337</v>
      </c>
      <c r="C322" s="21">
        <v>45352.833333333336</v>
      </c>
      <c r="D322" s="8">
        <v>71.099999999999994</v>
      </c>
      <c r="E322" s="8">
        <v>71.099999999999994</v>
      </c>
      <c r="F322" s="8">
        <v>71.099999999999994</v>
      </c>
      <c r="G322" s="8" t="s">
        <v>6</v>
      </c>
      <c r="H322" s="8">
        <v>10</v>
      </c>
      <c r="I322" s="8">
        <v>10</v>
      </c>
      <c r="J322" s="8">
        <v>10</v>
      </c>
      <c r="K322" s="8" t="s">
        <v>6</v>
      </c>
      <c r="L322" s="9">
        <v>1</v>
      </c>
      <c r="M322" s="50" t="s">
        <v>6</v>
      </c>
    </row>
    <row r="323" spans="1:13" x14ac:dyDescent="0.25">
      <c r="A323" s="10">
        <v>45353</v>
      </c>
      <c r="B323" s="11">
        <v>0.25</v>
      </c>
      <c r="C323" s="22">
        <v>45353.25</v>
      </c>
      <c r="D323" s="12">
        <v>64</v>
      </c>
      <c r="E323" s="12">
        <v>71.400000000000006</v>
      </c>
      <c r="F323" s="12">
        <v>49.7</v>
      </c>
      <c r="G323" s="12" t="s">
        <v>6</v>
      </c>
      <c r="H323" s="12">
        <v>19.5</v>
      </c>
      <c r="I323" s="12">
        <v>26.6</v>
      </c>
      <c r="J323" s="12">
        <v>7</v>
      </c>
      <c r="K323" s="12" t="s">
        <v>6</v>
      </c>
      <c r="L323" s="13">
        <v>89</v>
      </c>
      <c r="M323" s="50" t="s">
        <v>6</v>
      </c>
    </row>
    <row r="324" spans="1:13" x14ac:dyDescent="0.25">
      <c r="A324" s="14">
        <v>45353</v>
      </c>
      <c r="B324" s="15">
        <v>0.29166666666666669</v>
      </c>
      <c r="C324" s="20">
        <v>45353.291666666664</v>
      </c>
      <c r="D324" s="16">
        <v>64.900000000000006</v>
      </c>
      <c r="E324" s="16">
        <v>73.7</v>
      </c>
      <c r="F324" s="16">
        <v>49.8</v>
      </c>
      <c r="G324" s="16" t="s">
        <v>6</v>
      </c>
      <c r="H324" s="16">
        <v>18.399999999999999</v>
      </c>
      <c r="I324" s="16">
        <v>24.6</v>
      </c>
      <c r="J324" s="16">
        <v>11.7</v>
      </c>
      <c r="K324" s="16" t="s">
        <v>6</v>
      </c>
      <c r="L324" s="17">
        <v>120</v>
      </c>
      <c r="M324" s="50" t="s">
        <v>6</v>
      </c>
    </row>
    <row r="325" spans="1:13" x14ac:dyDescent="0.25">
      <c r="A325" s="6">
        <v>45353</v>
      </c>
      <c r="B325" s="7">
        <v>0.83333333333333337</v>
      </c>
      <c r="C325" s="21">
        <v>45353.833333333336</v>
      </c>
      <c r="D325" s="8">
        <v>64.3</v>
      </c>
      <c r="E325" s="8">
        <v>64.3</v>
      </c>
      <c r="F325" s="8">
        <v>64.3</v>
      </c>
      <c r="G325" s="8" t="s">
        <v>6</v>
      </c>
      <c r="H325" s="8">
        <v>60.3</v>
      </c>
      <c r="I325" s="8">
        <v>60.3</v>
      </c>
      <c r="J325" s="8">
        <v>60.3</v>
      </c>
      <c r="K325" s="8" t="s">
        <v>6</v>
      </c>
      <c r="L325" s="9">
        <v>1</v>
      </c>
      <c r="M325" s="50" t="s">
        <v>6</v>
      </c>
    </row>
    <row r="326" spans="1:13" x14ac:dyDescent="0.25">
      <c r="A326" s="10">
        <v>45353</v>
      </c>
      <c r="B326" s="11">
        <v>0.875</v>
      </c>
      <c r="C326" s="22">
        <v>45353.875</v>
      </c>
      <c r="D326" s="12">
        <v>65.900000000000006</v>
      </c>
      <c r="E326" s="12">
        <v>73.8</v>
      </c>
      <c r="F326" s="12">
        <v>53.3</v>
      </c>
      <c r="G326" s="12" t="s">
        <v>6</v>
      </c>
      <c r="H326" s="12">
        <v>18.899999999999999</v>
      </c>
      <c r="I326" s="12">
        <v>34.799999999999997</v>
      </c>
      <c r="J326" s="12">
        <v>10.1</v>
      </c>
      <c r="K326" s="12" t="s">
        <v>6</v>
      </c>
      <c r="L326" s="13">
        <v>140</v>
      </c>
      <c r="M326" s="50" t="s">
        <v>6</v>
      </c>
    </row>
    <row r="327" spans="1:13" x14ac:dyDescent="0.25">
      <c r="A327" s="10">
        <v>45353</v>
      </c>
      <c r="B327" s="11">
        <v>0.91666666666666663</v>
      </c>
      <c r="C327" s="22">
        <v>45353.916666666664</v>
      </c>
      <c r="D327" s="12">
        <v>67.5</v>
      </c>
      <c r="E327" s="12">
        <v>71.900000000000006</v>
      </c>
      <c r="F327" s="12">
        <v>62.8</v>
      </c>
      <c r="G327" s="12" t="s">
        <v>6</v>
      </c>
      <c r="H327" s="12">
        <v>16.600000000000001</v>
      </c>
      <c r="I327" s="12">
        <v>29.7</v>
      </c>
      <c r="J327" s="12">
        <v>9.1</v>
      </c>
      <c r="K327" s="12" t="s">
        <v>6</v>
      </c>
      <c r="L327" s="13">
        <v>219</v>
      </c>
      <c r="M327" s="50" t="s">
        <v>6</v>
      </c>
    </row>
    <row r="328" spans="1:13" x14ac:dyDescent="0.25">
      <c r="A328" s="10">
        <v>45353</v>
      </c>
      <c r="B328" s="11">
        <v>0.95833333333333337</v>
      </c>
      <c r="C328" s="22">
        <v>45353.958333333336</v>
      </c>
      <c r="D328" s="12">
        <v>68.2</v>
      </c>
      <c r="E328" s="12">
        <v>76.2</v>
      </c>
      <c r="F328" s="12">
        <v>62.2</v>
      </c>
      <c r="G328" s="12" t="s">
        <v>6</v>
      </c>
      <c r="H328" s="12">
        <v>16.2</v>
      </c>
      <c r="I328" s="12">
        <v>25.6</v>
      </c>
      <c r="J328" s="12">
        <v>10.199999999999999</v>
      </c>
      <c r="K328" s="12" t="s">
        <v>6</v>
      </c>
      <c r="L328" s="13">
        <v>212</v>
      </c>
      <c r="M328" s="50" t="s">
        <v>6</v>
      </c>
    </row>
    <row r="329" spans="1:13" x14ac:dyDescent="0.25">
      <c r="A329" s="10">
        <v>45354</v>
      </c>
      <c r="B329" s="11">
        <v>0</v>
      </c>
      <c r="C329" s="22">
        <v>45354</v>
      </c>
      <c r="D329" s="12">
        <v>67.900000000000006</v>
      </c>
      <c r="E329" s="12">
        <v>69.2</v>
      </c>
      <c r="F329" s="12">
        <v>66.400000000000006</v>
      </c>
      <c r="G329" s="12" t="s">
        <v>6</v>
      </c>
      <c r="H329" s="12">
        <v>17.600000000000001</v>
      </c>
      <c r="I329" s="12">
        <v>19.399999999999999</v>
      </c>
      <c r="J329" s="12">
        <v>13.8</v>
      </c>
      <c r="K329" s="12" t="s">
        <v>6</v>
      </c>
      <c r="L329" s="13">
        <v>8</v>
      </c>
      <c r="M329" s="50" t="s">
        <v>6</v>
      </c>
    </row>
    <row r="330" spans="1:13" x14ac:dyDescent="0.25">
      <c r="A330" s="10">
        <v>45354</v>
      </c>
      <c r="B330" s="11">
        <v>8.3333333333333329E-2</v>
      </c>
      <c r="C330" s="22">
        <v>45354.083333333336</v>
      </c>
      <c r="D330" s="12">
        <v>54.3</v>
      </c>
      <c r="E330" s="12">
        <v>69.2</v>
      </c>
      <c r="F330" s="12">
        <v>47.8</v>
      </c>
      <c r="G330" s="12" t="s">
        <v>6</v>
      </c>
      <c r="H330" s="12">
        <v>23.7</v>
      </c>
      <c r="I330" s="12">
        <v>60.9</v>
      </c>
      <c r="J330" s="12">
        <v>15.6</v>
      </c>
      <c r="K330" s="12" t="s">
        <v>6</v>
      </c>
      <c r="L330" s="13">
        <v>38</v>
      </c>
      <c r="M330" s="50" t="s">
        <v>6</v>
      </c>
    </row>
    <row r="331" spans="1:13" x14ac:dyDescent="0.25">
      <c r="A331" s="10">
        <v>45354</v>
      </c>
      <c r="B331" s="11">
        <v>0.125</v>
      </c>
      <c r="C331" s="22">
        <v>45354.125</v>
      </c>
      <c r="D331" s="12">
        <v>68.099999999999994</v>
      </c>
      <c r="E331" s="12">
        <v>81.400000000000006</v>
      </c>
      <c r="F331" s="12">
        <v>49.6</v>
      </c>
      <c r="G331" s="12" t="s">
        <v>6</v>
      </c>
      <c r="H331" s="12">
        <v>16.5</v>
      </c>
      <c r="I331" s="12">
        <v>24.7</v>
      </c>
      <c r="J331" s="12">
        <v>7.6</v>
      </c>
      <c r="K331" s="12" t="s">
        <v>6</v>
      </c>
      <c r="L331" s="13">
        <v>203</v>
      </c>
      <c r="M331" s="50" t="s">
        <v>6</v>
      </c>
    </row>
    <row r="332" spans="1:13" x14ac:dyDescent="0.25">
      <c r="A332" s="10">
        <v>45354</v>
      </c>
      <c r="B332" s="11">
        <v>0.16666666666666666</v>
      </c>
      <c r="C332" s="22">
        <v>45354.166666666664</v>
      </c>
      <c r="D332" s="12">
        <v>66.099999999999994</v>
      </c>
      <c r="E332" s="12">
        <v>74.599999999999994</v>
      </c>
      <c r="F332" s="12">
        <v>54.3</v>
      </c>
      <c r="G332" s="12" t="s">
        <v>6</v>
      </c>
      <c r="H332" s="12">
        <v>16.100000000000001</v>
      </c>
      <c r="I332" s="12">
        <v>26.2</v>
      </c>
      <c r="J332" s="12">
        <v>8.9</v>
      </c>
      <c r="K332" s="12" t="s">
        <v>6</v>
      </c>
      <c r="L332" s="13">
        <v>196</v>
      </c>
      <c r="M332" s="50" t="s">
        <v>6</v>
      </c>
    </row>
    <row r="333" spans="1:13" x14ac:dyDescent="0.25">
      <c r="A333" s="10">
        <v>45354</v>
      </c>
      <c r="B333" s="11">
        <v>0.20833333333333334</v>
      </c>
      <c r="C333" s="22">
        <v>45354.208333333336</v>
      </c>
      <c r="D333" s="12">
        <v>74.2</v>
      </c>
      <c r="E333" s="12">
        <v>82.4</v>
      </c>
      <c r="F333" s="12">
        <v>67.900000000000006</v>
      </c>
      <c r="G333" s="12" t="s">
        <v>6</v>
      </c>
      <c r="H333" s="12">
        <v>16.3</v>
      </c>
      <c r="I333" s="12">
        <v>23.1</v>
      </c>
      <c r="J333" s="12">
        <v>7.5</v>
      </c>
      <c r="K333" s="12" t="s">
        <v>6</v>
      </c>
      <c r="L333" s="13">
        <v>212</v>
      </c>
      <c r="M333" s="50" t="s">
        <v>6</v>
      </c>
    </row>
    <row r="334" spans="1:13" x14ac:dyDescent="0.25">
      <c r="A334" s="10">
        <v>45354</v>
      </c>
      <c r="B334" s="11">
        <v>0.25</v>
      </c>
      <c r="C334" s="22">
        <v>45354.25</v>
      </c>
      <c r="D334" s="12">
        <v>74.599999999999994</v>
      </c>
      <c r="E334" s="12">
        <v>83.9</v>
      </c>
      <c r="F334" s="12">
        <v>67.5</v>
      </c>
      <c r="G334" s="12" t="s">
        <v>6</v>
      </c>
      <c r="H334" s="12">
        <v>15.7</v>
      </c>
      <c r="I334" s="12">
        <v>19.3</v>
      </c>
      <c r="J334" s="12">
        <v>7.7</v>
      </c>
      <c r="K334" s="12" t="s">
        <v>6</v>
      </c>
      <c r="L334" s="13">
        <v>217</v>
      </c>
      <c r="M334" s="50" t="s">
        <v>6</v>
      </c>
    </row>
    <row r="335" spans="1:13" x14ac:dyDescent="0.25">
      <c r="A335" s="14">
        <v>45354</v>
      </c>
      <c r="B335" s="15">
        <v>0.29166666666666669</v>
      </c>
      <c r="C335" s="20">
        <v>45354.291666666664</v>
      </c>
      <c r="D335" s="16">
        <v>75.599999999999994</v>
      </c>
      <c r="E335" s="16">
        <v>81.2</v>
      </c>
      <c r="F335" s="16">
        <v>70.8</v>
      </c>
      <c r="G335" s="16" t="s">
        <v>6</v>
      </c>
      <c r="H335" s="16">
        <v>15.4</v>
      </c>
      <c r="I335" s="16">
        <v>25.3</v>
      </c>
      <c r="J335" s="16">
        <v>10.4</v>
      </c>
      <c r="K335" s="16" t="s">
        <v>6</v>
      </c>
      <c r="L335" s="17">
        <v>32</v>
      </c>
      <c r="M335" s="50" t="s">
        <v>6</v>
      </c>
    </row>
    <row r="336" spans="1:13" x14ac:dyDescent="0.25">
      <c r="A336" s="6">
        <v>45354</v>
      </c>
      <c r="B336" s="7">
        <v>0.5</v>
      </c>
      <c r="C336" s="21">
        <v>45354.5</v>
      </c>
      <c r="D336" s="8">
        <v>69.3</v>
      </c>
      <c r="E336" s="8">
        <v>71.5</v>
      </c>
      <c r="F336" s="8">
        <v>67.400000000000006</v>
      </c>
      <c r="G336" s="8" t="s">
        <v>6</v>
      </c>
      <c r="H336" s="8">
        <v>6.9</v>
      </c>
      <c r="I336" s="8">
        <v>7.5</v>
      </c>
      <c r="J336" s="8">
        <v>6.3</v>
      </c>
      <c r="K336" s="8" t="s">
        <v>6</v>
      </c>
      <c r="L336" s="9">
        <v>3</v>
      </c>
      <c r="M336" s="50" t="s">
        <v>6</v>
      </c>
    </row>
    <row r="337" spans="1:13" x14ac:dyDescent="0.25">
      <c r="A337" s="10">
        <v>45354</v>
      </c>
      <c r="B337" s="11">
        <v>0.91666666666666663</v>
      </c>
      <c r="C337" s="22">
        <v>45354.916666666664</v>
      </c>
      <c r="D337" s="12">
        <v>62.9</v>
      </c>
      <c r="E337" s="12">
        <v>75.099999999999994</v>
      </c>
      <c r="F337" s="12">
        <v>46</v>
      </c>
      <c r="G337" s="12" t="s">
        <v>6</v>
      </c>
      <c r="H337" s="12">
        <v>20.5</v>
      </c>
      <c r="I337" s="12">
        <v>31.7</v>
      </c>
      <c r="J337" s="12">
        <v>15.7</v>
      </c>
      <c r="K337" s="12" t="s">
        <v>6</v>
      </c>
      <c r="L337" s="13">
        <v>87</v>
      </c>
      <c r="M337" s="50" t="s">
        <v>6</v>
      </c>
    </row>
    <row r="338" spans="1:13" x14ac:dyDescent="0.25">
      <c r="A338" s="10">
        <v>45354</v>
      </c>
      <c r="B338" s="11">
        <v>0.95833333333333337</v>
      </c>
      <c r="C338" s="22">
        <v>45354.958333333336</v>
      </c>
      <c r="D338" s="12">
        <v>69.7</v>
      </c>
      <c r="E338" s="12">
        <v>80.2</v>
      </c>
      <c r="F338" s="12">
        <v>56.7</v>
      </c>
      <c r="G338" s="12" t="s">
        <v>6</v>
      </c>
      <c r="H338" s="12">
        <v>16.600000000000001</v>
      </c>
      <c r="I338" s="12">
        <v>25.5</v>
      </c>
      <c r="J338" s="12">
        <v>8.1999999999999993</v>
      </c>
      <c r="K338" s="12" t="s">
        <v>6</v>
      </c>
      <c r="L338" s="13">
        <v>227</v>
      </c>
      <c r="M338" s="50" t="s">
        <v>6</v>
      </c>
    </row>
    <row r="339" spans="1:13" x14ac:dyDescent="0.25">
      <c r="A339" s="10">
        <v>45355</v>
      </c>
      <c r="B339" s="11">
        <v>0</v>
      </c>
      <c r="C339" s="22">
        <v>45355</v>
      </c>
      <c r="D339" s="12">
        <v>73.8</v>
      </c>
      <c r="E339" s="12">
        <v>79.2</v>
      </c>
      <c r="F339" s="12">
        <v>65.5</v>
      </c>
      <c r="G339" s="12" t="s">
        <v>6</v>
      </c>
      <c r="H339" s="12">
        <v>17</v>
      </c>
      <c r="I339" s="12">
        <v>24.7</v>
      </c>
      <c r="J339" s="12">
        <v>9.6999999999999993</v>
      </c>
      <c r="K339" s="12" t="s">
        <v>6</v>
      </c>
      <c r="L339" s="13">
        <v>218</v>
      </c>
      <c r="M339" s="50" t="s">
        <v>6</v>
      </c>
    </row>
    <row r="340" spans="1:13" x14ac:dyDescent="0.25">
      <c r="A340" s="10">
        <v>45355</v>
      </c>
      <c r="B340" s="11">
        <v>4.1666666666666664E-2</v>
      </c>
      <c r="C340" s="22">
        <v>45355.041666666664</v>
      </c>
      <c r="D340" s="12">
        <v>70.900000000000006</v>
      </c>
      <c r="E340" s="12">
        <v>76.599999999999994</v>
      </c>
      <c r="F340" s="12">
        <v>63.7</v>
      </c>
      <c r="G340" s="12" t="s">
        <v>6</v>
      </c>
      <c r="H340" s="12">
        <v>17.5</v>
      </c>
      <c r="I340" s="12">
        <v>32.6</v>
      </c>
      <c r="J340" s="12">
        <v>7.5</v>
      </c>
      <c r="K340" s="12" t="s">
        <v>6</v>
      </c>
      <c r="L340" s="13">
        <v>209</v>
      </c>
      <c r="M340" s="50" t="s">
        <v>6</v>
      </c>
    </row>
    <row r="341" spans="1:13" x14ac:dyDescent="0.25">
      <c r="A341" s="10">
        <v>45355</v>
      </c>
      <c r="B341" s="11">
        <v>0.16666666666666666</v>
      </c>
      <c r="C341" s="22">
        <v>45355.166666666664</v>
      </c>
      <c r="D341" s="12">
        <v>69.3</v>
      </c>
      <c r="E341" s="12">
        <v>76.599999999999994</v>
      </c>
      <c r="F341" s="12">
        <v>61.3</v>
      </c>
      <c r="G341" s="12" t="s">
        <v>6</v>
      </c>
      <c r="H341" s="12">
        <v>18.600000000000001</v>
      </c>
      <c r="I341" s="12">
        <v>32</v>
      </c>
      <c r="J341" s="12">
        <v>8.1999999999999993</v>
      </c>
      <c r="K341" s="12" t="s">
        <v>6</v>
      </c>
      <c r="L341" s="13">
        <v>182</v>
      </c>
      <c r="M341" s="50" t="s">
        <v>6</v>
      </c>
    </row>
    <row r="342" spans="1:13" x14ac:dyDescent="0.25">
      <c r="A342" s="10">
        <v>45355</v>
      </c>
      <c r="B342" s="11">
        <v>0.20833333333333334</v>
      </c>
      <c r="C342" s="22">
        <v>45355.208333333336</v>
      </c>
      <c r="D342" s="12">
        <v>69.2</v>
      </c>
      <c r="E342" s="12">
        <v>73.099999999999994</v>
      </c>
      <c r="F342" s="12">
        <v>63.1</v>
      </c>
      <c r="G342" s="12" t="s">
        <v>6</v>
      </c>
      <c r="H342" s="12">
        <v>16.3</v>
      </c>
      <c r="I342" s="12">
        <v>21.5</v>
      </c>
      <c r="J342" s="12">
        <v>8.6999999999999993</v>
      </c>
      <c r="K342" s="12" t="s">
        <v>6</v>
      </c>
      <c r="L342" s="13">
        <v>213</v>
      </c>
      <c r="M342" s="50" t="s">
        <v>6</v>
      </c>
    </row>
    <row r="343" spans="1:13" x14ac:dyDescent="0.25">
      <c r="A343" s="14">
        <v>45355</v>
      </c>
      <c r="B343" s="15">
        <v>0.25</v>
      </c>
      <c r="C343" s="20">
        <v>45355.25</v>
      </c>
      <c r="D343" s="16">
        <v>66.5</v>
      </c>
      <c r="E343" s="16">
        <v>73.7</v>
      </c>
      <c r="F343" s="16">
        <v>53.2</v>
      </c>
      <c r="G343" s="16" t="s">
        <v>6</v>
      </c>
      <c r="H343" s="16">
        <v>16.5</v>
      </c>
      <c r="I343" s="16">
        <v>22.7</v>
      </c>
      <c r="J343" s="16">
        <v>8.3000000000000007</v>
      </c>
      <c r="K343" s="16" t="s">
        <v>6</v>
      </c>
      <c r="L343" s="17">
        <v>135</v>
      </c>
      <c r="M343" s="50" t="s">
        <v>6</v>
      </c>
    </row>
    <row r="344" spans="1:13" x14ac:dyDescent="0.25">
      <c r="A344" s="6">
        <v>45355</v>
      </c>
      <c r="B344" s="7">
        <v>0.58333333333333337</v>
      </c>
      <c r="C344" s="21">
        <v>45355.583333333336</v>
      </c>
      <c r="D344" s="8">
        <v>53.4</v>
      </c>
      <c r="E344" s="8">
        <v>54.2</v>
      </c>
      <c r="F344" s="8">
        <v>51.8</v>
      </c>
      <c r="G344" s="8" t="s">
        <v>6</v>
      </c>
      <c r="H344" s="8">
        <v>20.2</v>
      </c>
      <c r="I344" s="8">
        <v>23.4</v>
      </c>
      <c r="J344" s="8">
        <v>11</v>
      </c>
      <c r="K344" s="8" t="s">
        <v>6</v>
      </c>
      <c r="L344" s="9">
        <v>14</v>
      </c>
      <c r="M344" s="51" t="s">
        <v>6</v>
      </c>
    </row>
    <row r="345" spans="1:13" x14ac:dyDescent="0.25">
      <c r="A345" s="10">
        <v>45355</v>
      </c>
      <c r="B345" s="11">
        <v>0.625</v>
      </c>
      <c r="C345" s="22">
        <v>45355.625</v>
      </c>
      <c r="D345" s="12">
        <v>64.2</v>
      </c>
      <c r="E345" s="12">
        <v>76.099999999999994</v>
      </c>
      <c r="F345" s="12">
        <v>52.3</v>
      </c>
      <c r="G345" s="12" t="s">
        <v>6</v>
      </c>
      <c r="H345" s="12">
        <v>17.7</v>
      </c>
      <c r="I345" s="12">
        <v>24.6</v>
      </c>
      <c r="J345" s="12">
        <v>10.8</v>
      </c>
      <c r="K345" s="12" t="s">
        <v>6</v>
      </c>
      <c r="L345" s="13">
        <v>199</v>
      </c>
      <c r="M345" s="51" t="s">
        <v>6</v>
      </c>
    </row>
    <row r="346" spans="1:13" x14ac:dyDescent="0.25">
      <c r="A346" s="10">
        <v>45355</v>
      </c>
      <c r="B346" s="11">
        <v>0.83333333333333337</v>
      </c>
      <c r="C346" s="22">
        <v>45355.833333333336</v>
      </c>
      <c r="D346" s="12">
        <v>71.8</v>
      </c>
      <c r="E346" s="12">
        <v>74.599999999999994</v>
      </c>
      <c r="F346" s="12">
        <v>68.900000000000006</v>
      </c>
      <c r="G346" s="12" t="s">
        <v>6</v>
      </c>
      <c r="H346" s="12">
        <v>5.5</v>
      </c>
      <c r="I346" s="12">
        <v>7.7</v>
      </c>
      <c r="J346" s="12">
        <v>3.2</v>
      </c>
      <c r="K346" s="12" t="s">
        <v>6</v>
      </c>
      <c r="L346" s="13">
        <v>2</v>
      </c>
      <c r="M346" s="51" t="s">
        <v>6</v>
      </c>
    </row>
    <row r="347" spans="1:13" x14ac:dyDescent="0.25">
      <c r="A347" s="10">
        <v>45355</v>
      </c>
      <c r="B347" s="11">
        <v>0.875</v>
      </c>
      <c r="C347" s="22">
        <v>45355.875</v>
      </c>
      <c r="D347" s="12">
        <v>62.8</v>
      </c>
      <c r="E347" s="12">
        <v>75.2</v>
      </c>
      <c r="F347" s="12">
        <v>52.4</v>
      </c>
      <c r="G347" s="12" t="s">
        <v>6</v>
      </c>
      <c r="H347" s="12">
        <v>21.8</v>
      </c>
      <c r="I347" s="12">
        <v>32.200000000000003</v>
      </c>
      <c r="J347" s="12">
        <v>5.8</v>
      </c>
      <c r="K347" s="12" t="s">
        <v>6</v>
      </c>
      <c r="L347" s="13">
        <v>38</v>
      </c>
      <c r="M347" s="51" t="s">
        <v>6</v>
      </c>
    </row>
    <row r="348" spans="1:13" x14ac:dyDescent="0.25">
      <c r="A348" s="10">
        <v>45355</v>
      </c>
      <c r="B348" s="11">
        <v>0.91666666666666663</v>
      </c>
      <c r="C348" s="22">
        <v>45355.916666666664</v>
      </c>
      <c r="D348" s="12">
        <v>69.5</v>
      </c>
      <c r="E348" s="12">
        <v>75.5</v>
      </c>
      <c r="F348" s="12">
        <v>58.1</v>
      </c>
      <c r="G348" s="12" t="s">
        <v>6</v>
      </c>
      <c r="H348" s="12">
        <v>17.7</v>
      </c>
      <c r="I348" s="12">
        <v>25.7</v>
      </c>
      <c r="J348" s="12">
        <v>12.6</v>
      </c>
      <c r="K348" s="12" t="s">
        <v>6</v>
      </c>
      <c r="L348" s="13">
        <v>221</v>
      </c>
      <c r="M348" s="51" t="s">
        <v>6</v>
      </c>
    </row>
    <row r="349" spans="1:13" x14ac:dyDescent="0.25">
      <c r="A349" s="10">
        <v>45355</v>
      </c>
      <c r="B349" s="11">
        <v>0.95833333333333337</v>
      </c>
      <c r="C349" s="22">
        <v>45355.958333333336</v>
      </c>
      <c r="D349" s="12">
        <v>69.7</v>
      </c>
      <c r="E349" s="12">
        <v>73.900000000000006</v>
      </c>
      <c r="F349" s="12">
        <v>65.599999999999994</v>
      </c>
      <c r="G349" s="12" t="s">
        <v>6</v>
      </c>
      <c r="H349" s="12">
        <v>17.5</v>
      </c>
      <c r="I349" s="12">
        <v>27.5</v>
      </c>
      <c r="J349" s="12">
        <v>11.9</v>
      </c>
      <c r="K349" s="12" t="s">
        <v>6</v>
      </c>
      <c r="L349" s="13">
        <v>116</v>
      </c>
      <c r="M349" s="51" t="s">
        <v>6</v>
      </c>
    </row>
    <row r="350" spans="1:13" x14ac:dyDescent="0.25">
      <c r="A350" s="10">
        <v>45356</v>
      </c>
      <c r="B350" s="11">
        <v>0</v>
      </c>
      <c r="C350" s="22">
        <v>45356</v>
      </c>
      <c r="D350" s="12">
        <v>59</v>
      </c>
      <c r="E350" s="12">
        <v>59</v>
      </c>
      <c r="F350" s="12">
        <v>59</v>
      </c>
      <c r="G350" s="12" t="s">
        <v>6</v>
      </c>
      <c r="H350" s="12">
        <v>3.8</v>
      </c>
      <c r="I350" s="12">
        <v>3.8</v>
      </c>
      <c r="J350" s="12">
        <v>3.8</v>
      </c>
      <c r="K350" s="12" t="s">
        <v>6</v>
      </c>
      <c r="L350" s="13">
        <v>1</v>
      </c>
      <c r="M350" s="51" t="s">
        <v>6</v>
      </c>
    </row>
    <row r="351" spans="1:13" x14ac:dyDescent="0.25">
      <c r="A351" s="10">
        <v>45356</v>
      </c>
      <c r="B351" s="11">
        <v>0.16666666666666666</v>
      </c>
      <c r="C351" s="22">
        <v>45356.166666666664</v>
      </c>
      <c r="D351" s="12">
        <v>72.2</v>
      </c>
      <c r="E351" s="12">
        <v>76.3</v>
      </c>
      <c r="F351" s="12">
        <v>64.599999999999994</v>
      </c>
      <c r="G351" s="12" t="s">
        <v>6</v>
      </c>
      <c r="H351" s="12">
        <v>19.600000000000001</v>
      </c>
      <c r="I351" s="12">
        <v>26.7</v>
      </c>
      <c r="J351" s="12">
        <v>12.1</v>
      </c>
      <c r="K351" s="12" t="s">
        <v>6</v>
      </c>
      <c r="L351" s="13">
        <v>36</v>
      </c>
      <c r="M351" s="51" t="s">
        <v>6</v>
      </c>
    </row>
    <row r="352" spans="1:13" x14ac:dyDescent="0.25">
      <c r="A352" s="14">
        <v>45356</v>
      </c>
      <c r="B352" s="15">
        <v>0.20833333333333334</v>
      </c>
      <c r="C352" s="20">
        <v>45356.208333333336</v>
      </c>
      <c r="D352" s="16">
        <v>74</v>
      </c>
      <c r="E352" s="16">
        <v>79.099999999999994</v>
      </c>
      <c r="F352" s="16">
        <v>57.9</v>
      </c>
      <c r="G352" s="16" t="s">
        <v>6</v>
      </c>
      <c r="H352" s="16">
        <v>20.5</v>
      </c>
      <c r="I352" s="16">
        <v>26.7</v>
      </c>
      <c r="J352" s="16">
        <v>15.2</v>
      </c>
      <c r="K352" s="16" t="s">
        <v>6</v>
      </c>
      <c r="L352" s="17">
        <v>35</v>
      </c>
      <c r="M352" s="51" t="s">
        <v>6</v>
      </c>
    </row>
    <row r="353" spans="1:13" x14ac:dyDescent="0.25">
      <c r="A353" s="6">
        <v>45356</v>
      </c>
      <c r="B353" s="7">
        <v>0.54166666666666663</v>
      </c>
      <c r="C353" s="21">
        <v>45356.541666666664</v>
      </c>
      <c r="D353" s="8">
        <v>67.8</v>
      </c>
      <c r="E353" s="8">
        <v>67.8</v>
      </c>
      <c r="F353" s="8">
        <v>67.8</v>
      </c>
      <c r="G353" s="8" t="s">
        <v>6</v>
      </c>
      <c r="H353" s="8">
        <v>4.3</v>
      </c>
      <c r="I353" s="8">
        <v>4.3</v>
      </c>
      <c r="J353" s="8">
        <v>4.3</v>
      </c>
      <c r="K353" s="8" t="s">
        <v>6</v>
      </c>
      <c r="L353" s="9">
        <v>1</v>
      </c>
      <c r="M353" s="52" t="s">
        <v>6</v>
      </c>
    </row>
    <row r="354" spans="1:13" x14ac:dyDescent="0.25">
      <c r="A354" s="10">
        <v>45356</v>
      </c>
      <c r="B354" s="11">
        <v>0.83333333333333337</v>
      </c>
      <c r="C354" s="22">
        <v>45356.833333333336</v>
      </c>
      <c r="D354" s="12">
        <v>63.4</v>
      </c>
      <c r="E354" s="12">
        <v>64.7</v>
      </c>
      <c r="F354" s="12">
        <v>61.5</v>
      </c>
      <c r="G354" s="12" t="s">
        <v>6</v>
      </c>
      <c r="H354" s="12">
        <v>5</v>
      </c>
      <c r="I354" s="12">
        <v>7</v>
      </c>
      <c r="J354" s="12">
        <v>3.2</v>
      </c>
      <c r="K354" s="12" t="s">
        <v>6</v>
      </c>
      <c r="L354" s="13">
        <v>3</v>
      </c>
      <c r="M354" s="52" t="s">
        <v>6</v>
      </c>
    </row>
    <row r="355" spans="1:13" x14ac:dyDescent="0.25">
      <c r="A355" s="10">
        <v>45356</v>
      </c>
      <c r="B355" s="11">
        <v>0.875</v>
      </c>
      <c r="C355" s="22">
        <v>45356.875</v>
      </c>
      <c r="D355" s="12">
        <v>78</v>
      </c>
      <c r="E355" s="12">
        <v>90.3</v>
      </c>
      <c r="F355" s="12">
        <v>61.7</v>
      </c>
      <c r="G355" s="12" t="s">
        <v>6</v>
      </c>
      <c r="H355" s="12">
        <v>20.100000000000001</v>
      </c>
      <c r="I355" s="12">
        <v>25.6</v>
      </c>
      <c r="J355" s="12">
        <v>9.6</v>
      </c>
      <c r="K355" s="12" t="s">
        <v>6</v>
      </c>
      <c r="L355" s="13">
        <v>181</v>
      </c>
      <c r="M355" s="52" t="s">
        <v>6</v>
      </c>
    </row>
    <row r="356" spans="1:13" x14ac:dyDescent="0.25">
      <c r="A356" s="10">
        <v>45356</v>
      </c>
      <c r="B356" s="11">
        <v>0.91666666666666663</v>
      </c>
      <c r="C356" s="22">
        <v>45356.916666666664</v>
      </c>
      <c r="D356" s="12">
        <v>67.2</v>
      </c>
      <c r="E356" s="12">
        <v>72.5</v>
      </c>
      <c r="F356" s="12">
        <v>57.9</v>
      </c>
      <c r="G356" s="12" t="s">
        <v>6</v>
      </c>
      <c r="H356" s="12">
        <v>19.7</v>
      </c>
      <c r="I356" s="12">
        <v>24.1</v>
      </c>
      <c r="J356" s="12">
        <v>13.7</v>
      </c>
      <c r="K356" s="12" t="s">
        <v>6</v>
      </c>
      <c r="L356" s="13">
        <v>24</v>
      </c>
      <c r="M356" s="52" t="s">
        <v>6</v>
      </c>
    </row>
    <row r="357" spans="1:13" x14ac:dyDescent="0.25">
      <c r="A357" s="10">
        <v>45356</v>
      </c>
      <c r="B357" s="11">
        <v>0.95833333333333337</v>
      </c>
      <c r="C357" s="22">
        <v>45356.958333333336</v>
      </c>
      <c r="D357" s="12">
        <v>72.400000000000006</v>
      </c>
      <c r="E357" s="12">
        <v>77.3</v>
      </c>
      <c r="F357" s="12">
        <v>63.4</v>
      </c>
      <c r="G357" s="12" t="s">
        <v>6</v>
      </c>
      <c r="H357" s="12">
        <v>17.7</v>
      </c>
      <c r="I357" s="12">
        <v>23.9</v>
      </c>
      <c r="J357" s="12">
        <v>10.8</v>
      </c>
      <c r="K357" s="12" t="s">
        <v>6</v>
      </c>
      <c r="L357" s="13">
        <v>62</v>
      </c>
      <c r="M357" s="52" t="s">
        <v>6</v>
      </c>
    </row>
    <row r="358" spans="1:13" x14ac:dyDescent="0.25">
      <c r="A358" s="10">
        <v>45357</v>
      </c>
      <c r="B358" s="11">
        <v>0</v>
      </c>
      <c r="C358" s="22">
        <v>45357</v>
      </c>
      <c r="D358" s="12">
        <v>70.599999999999994</v>
      </c>
      <c r="E358" s="12">
        <v>75.8</v>
      </c>
      <c r="F358" s="12">
        <v>66.900000000000006</v>
      </c>
      <c r="G358" s="12" t="s">
        <v>6</v>
      </c>
      <c r="H358" s="12">
        <v>16.600000000000001</v>
      </c>
      <c r="I358" s="12">
        <v>23.1</v>
      </c>
      <c r="J358" s="12">
        <v>9.1</v>
      </c>
      <c r="K358" s="12" t="s">
        <v>6</v>
      </c>
      <c r="L358" s="13">
        <v>220</v>
      </c>
      <c r="M358" s="52" t="s">
        <v>6</v>
      </c>
    </row>
    <row r="359" spans="1:13" x14ac:dyDescent="0.25">
      <c r="A359" s="10">
        <v>45357</v>
      </c>
      <c r="B359" s="11">
        <v>8.3333333333333329E-2</v>
      </c>
      <c r="C359" s="22">
        <v>45357.083333333336</v>
      </c>
      <c r="D359" s="12">
        <v>68.400000000000006</v>
      </c>
      <c r="E359" s="12">
        <v>79.400000000000006</v>
      </c>
      <c r="F359" s="12">
        <v>49.2</v>
      </c>
      <c r="G359" s="12" t="s">
        <v>6</v>
      </c>
      <c r="H359" s="12">
        <v>18.399999999999999</v>
      </c>
      <c r="I359" s="12">
        <v>25.7</v>
      </c>
      <c r="J359" s="12">
        <v>9.1</v>
      </c>
      <c r="K359" s="12" t="s">
        <v>6</v>
      </c>
      <c r="L359" s="13">
        <v>143</v>
      </c>
      <c r="M359" s="52" t="s">
        <v>6</v>
      </c>
    </row>
    <row r="360" spans="1:13" x14ac:dyDescent="0.25">
      <c r="A360" s="14">
        <v>45357</v>
      </c>
      <c r="B360" s="15">
        <v>0.125</v>
      </c>
      <c r="C360" s="20">
        <v>45357.125</v>
      </c>
      <c r="D360" s="16">
        <v>71.599999999999994</v>
      </c>
      <c r="E360" s="16">
        <v>77</v>
      </c>
      <c r="F360" s="16">
        <v>66</v>
      </c>
      <c r="G360" s="16" t="s">
        <v>6</v>
      </c>
      <c r="H360" s="16">
        <v>16.600000000000001</v>
      </c>
      <c r="I360" s="16">
        <v>21.4</v>
      </c>
      <c r="J360" s="16">
        <v>10.5</v>
      </c>
      <c r="K360" s="16" t="s">
        <v>6</v>
      </c>
      <c r="L360" s="17">
        <v>156</v>
      </c>
      <c r="M360" s="52" t="s">
        <v>6</v>
      </c>
    </row>
    <row r="361" spans="1:13" x14ac:dyDescent="0.25">
      <c r="A361" s="6">
        <v>45357</v>
      </c>
      <c r="B361" s="7">
        <v>0.75</v>
      </c>
      <c r="C361" s="21">
        <v>45357.75</v>
      </c>
      <c r="D361" s="8">
        <v>69</v>
      </c>
      <c r="E361" s="8">
        <v>69</v>
      </c>
      <c r="F361" s="8">
        <v>69</v>
      </c>
      <c r="G361" s="8" t="s">
        <v>6</v>
      </c>
      <c r="H361" s="8">
        <v>5.9</v>
      </c>
      <c r="I361" s="8">
        <v>5.9</v>
      </c>
      <c r="J361" s="8">
        <v>5.9</v>
      </c>
      <c r="K361" s="8" t="s">
        <v>6</v>
      </c>
      <c r="L361" s="9">
        <v>1</v>
      </c>
      <c r="M361" s="53" t="s">
        <v>6</v>
      </c>
    </row>
    <row r="362" spans="1:13" x14ac:dyDescent="0.25">
      <c r="A362" s="10">
        <v>45357</v>
      </c>
      <c r="B362" s="11">
        <v>0.875</v>
      </c>
      <c r="C362" s="22">
        <v>45357.875</v>
      </c>
      <c r="D362" s="12">
        <v>69.400000000000006</v>
      </c>
      <c r="E362" s="12">
        <v>71.599999999999994</v>
      </c>
      <c r="F362" s="12">
        <v>66.2</v>
      </c>
      <c r="G362" s="12" t="s">
        <v>6</v>
      </c>
      <c r="H362" s="12">
        <v>6.9</v>
      </c>
      <c r="I362" s="12">
        <v>7.1</v>
      </c>
      <c r="J362" s="12">
        <v>6.8</v>
      </c>
      <c r="K362" s="12" t="s">
        <v>6</v>
      </c>
      <c r="L362" s="13">
        <v>3</v>
      </c>
      <c r="M362" s="53" t="s">
        <v>6</v>
      </c>
    </row>
    <row r="363" spans="1:13" x14ac:dyDescent="0.25">
      <c r="A363" s="10">
        <v>45357</v>
      </c>
      <c r="B363" s="11">
        <v>0.91666666666666663</v>
      </c>
      <c r="C363" s="22">
        <v>45357.916666666664</v>
      </c>
      <c r="D363" s="12">
        <v>65</v>
      </c>
      <c r="E363" s="12">
        <v>72.599999999999994</v>
      </c>
      <c r="F363" s="12">
        <v>48.4</v>
      </c>
      <c r="G363" s="12" t="s">
        <v>6</v>
      </c>
      <c r="H363" s="12">
        <v>18</v>
      </c>
      <c r="I363" s="12">
        <v>23.9</v>
      </c>
      <c r="J363" s="12">
        <v>9.5</v>
      </c>
      <c r="K363" s="12" t="s">
        <v>6</v>
      </c>
      <c r="L363" s="13">
        <v>181</v>
      </c>
      <c r="M363" s="53" t="s">
        <v>6</v>
      </c>
    </row>
    <row r="364" spans="1:13" x14ac:dyDescent="0.25">
      <c r="A364" s="10">
        <v>45357</v>
      </c>
      <c r="B364" s="11">
        <v>0.95833333333333337</v>
      </c>
      <c r="C364" s="22">
        <v>45357.958333333336</v>
      </c>
      <c r="D364" s="12">
        <v>66</v>
      </c>
      <c r="E364" s="12">
        <v>80</v>
      </c>
      <c r="F364" s="12">
        <v>52.4</v>
      </c>
      <c r="G364" s="12" t="s">
        <v>6</v>
      </c>
      <c r="H364" s="12">
        <v>17.2</v>
      </c>
      <c r="I364" s="12">
        <v>28.2</v>
      </c>
      <c r="J364" s="12">
        <v>10</v>
      </c>
      <c r="K364" s="12" t="s">
        <v>6</v>
      </c>
      <c r="L364" s="13">
        <v>218</v>
      </c>
      <c r="M364" s="53" t="s">
        <v>6</v>
      </c>
    </row>
    <row r="365" spans="1:13" x14ac:dyDescent="0.25">
      <c r="A365" s="14">
        <v>45358</v>
      </c>
      <c r="B365" s="15">
        <v>0</v>
      </c>
      <c r="C365" s="20">
        <v>45358</v>
      </c>
      <c r="D365" s="16">
        <v>63.5</v>
      </c>
      <c r="E365" s="16">
        <v>71.900000000000006</v>
      </c>
      <c r="F365" s="16">
        <v>54.3</v>
      </c>
      <c r="G365" s="16" t="s">
        <v>6</v>
      </c>
      <c r="H365" s="16">
        <v>16.3</v>
      </c>
      <c r="I365" s="16">
        <v>25</v>
      </c>
      <c r="J365" s="16">
        <v>8.6</v>
      </c>
      <c r="K365" s="16" t="s">
        <v>6</v>
      </c>
      <c r="L365" s="17">
        <v>74</v>
      </c>
      <c r="M365" s="53" t="s">
        <v>6</v>
      </c>
    </row>
    <row r="366" spans="1:13" x14ac:dyDescent="0.25">
      <c r="A366" s="6">
        <v>45358</v>
      </c>
      <c r="B366" s="7">
        <v>0.83333333333333337</v>
      </c>
      <c r="C366" s="21">
        <v>45358.833333333336</v>
      </c>
      <c r="D366" s="8">
        <v>65.8</v>
      </c>
      <c r="E366" s="8">
        <v>66.599999999999994</v>
      </c>
      <c r="F366" s="8">
        <v>65</v>
      </c>
      <c r="G366" s="8" t="s">
        <v>6</v>
      </c>
      <c r="H366" s="8">
        <v>7.3</v>
      </c>
      <c r="I366" s="8">
        <v>12.5</v>
      </c>
      <c r="J366" s="8">
        <v>2.2000000000000002</v>
      </c>
      <c r="K366" s="8" t="s">
        <v>6</v>
      </c>
      <c r="L366" s="9">
        <v>2</v>
      </c>
      <c r="M366" s="54" t="s">
        <v>6</v>
      </c>
    </row>
    <row r="367" spans="1:13" x14ac:dyDescent="0.25">
      <c r="A367" s="10">
        <v>45358</v>
      </c>
      <c r="B367" s="11">
        <v>0.91666666666666663</v>
      </c>
      <c r="C367" s="22">
        <v>45358.916666666664</v>
      </c>
      <c r="D367" s="12">
        <v>72.8</v>
      </c>
      <c r="E367" s="12">
        <v>72.8</v>
      </c>
      <c r="F367" s="12">
        <v>72.8</v>
      </c>
      <c r="G367" s="12" t="s">
        <v>6</v>
      </c>
      <c r="H367" s="12">
        <v>5.7</v>
      </c>
      <c r="I367" s="12">
        <v>5.7</v>
      </c>
      <c r="J367" s="12">
        <v>5.7</v>
      </c>
      <c r="K367" s="12" t="s">
        <v>6</v>
      </c>
      <c r="L367" s="13">
        <v>1</v>
      </c>
      <c r="M367" s="54" t="s">
        <v>6</v>
      </c>
    </row>
    <row r="368" spans="1:13" x14ac:dyDescent="0.25">
      <c r="A368" s="10">
        <v>45358</v>
      </c>
      <c r="B368" s="11">
        <v>0.95833333333333337</v>
      </c>
      <c r="C368" s="22">
        <v>45358.958333333336</v>
      </c>
      <c r="D368" s="12">
        <v>72.900000000000006</v>
      </c>
      <c r="E368" s="12">
        <v>76.400000000000006</v>
      </c>
      <c r="F368" s="12">
        <v>66.3</v>
      </c>
      <c r="G368" s="12" t="s">
        <v>6</v>
      </c>
      <c r="H368" s="12">
        <v>20.9</v>
      </c>
      <c r="I368" s="12">
        <v>26.3</v>
      </c>
      <c r="J368" s="12">
        <v>8.5</v>
      </c>
      <c r="K368" s="12" t="s">
        <v>6</v>
      </c>
      <c r="L368" s="13">
        <v>92</v>
      </c>
      <c r="M368" s="54" t="s">
        <v>6</v>
      </c>
    </row>
    <row r="369" spans="1:13" x14ac:dyDescent="0.25">
      <c r="A369" s="10">
        <v>45359</v>
      </c>
      <c r="B369" s="11">
        <v>4.1666666666666664E-2</v>
      </c>
      <c r="C369" s="22">
        <v>45359.041666666664</v>
      </c>
      <c r="D369" s="12">
        <v>68</v>
      </c>
      <c r="E369" s="12">
        <v>69.5</v>
      </c>
      <c r="F369" s="12">
        <v>66.599999999999994</v>
      </c>
      <c r="G369" s="12" t="s">
        <v>6</v>
      </c>
      <c r="H369" s="12">
        <v>8.4</v>
      </c>
      <c r="I369" s="12">
        <v>8.4</v>
      </c>
      <c r="J369" s="12">
        <v>8.3000000000000007</v>
      </c>
      <c r="K369" s="12" t="s">
        <v>6</v>
      </c>
      <c r="L369" s="13">
        <v>2</v>
      </c>
      <c r="M369" s="54" t="s">
        <v>6</v>
      </c>
    </row>
    <row r="370" spans="1:13" x14ac:dyDescent="0.25">
      <c r="A370" s="10">
        <v>45359</v>
      </c>
      <c r="B370" s="11">
        <v>8.3333333333333329E-2</v>
      </c>
      <c r="C370" s="22">
        <v>45359.083333333336</v>
      </c>
      <c r="D370" s="12">
        <v>73.900000000000006</v>
      </c>
      <c r="E370" s="12">
        <v>82.1</v>
      </c>
      <c r="F370" s="12">
        <v>62.4</v>
      </c>
      <c r="G370" s="12" t="s">
        <v>6</v>
      </c>
      <c r="H370" s="12">
        <v>19.2</v>
      </c>
      <c r="I370" s="12">
        <v>25.5</v>
      </c>
      <c r="J370" s="12">
        <v>7.1</v>
      </c>
      <c r="K370" s="12" t="s">
        <v>6</v>
      </c>
      <c r="L370" s="13">
        <v>88</v>
      </c>
      <c r="M370" s="54" t="s">
        <v>6</v>
      </c>
    </row>
    <row r="371" spans="1:13" x14ac:dyDescent="0.25">
      <c r="A371" s="10">
        <v>45359</v>
      </c>
      <c r="B371" s="11">
        <v>0.125</v>
      </c>
      <c r="C371" s="22">
        <v>45359.125</v>
      </c>
      <c r="D371" s="12">
        <v>73.8</v>
      </c>
      <c r="E371" s="12">
        <v>83.4</v>
      </c>
      <c r="F371" s="12">
        <v>66.8</v>
      </c>
      <c r="G371" s="12" t="s">
        <v>6</v>
      </c>
      <c r="H371" s="12">
        <v>15.8</v>
      </c>
      <c r="I371" s="12">
        <v>22.3</v>
      </c>
      <c r="J371" s="12">
        <v>9.9</v>
      </c>
      <c r="K371" s="12" t="s">
        <v>6</v>
      </c>
      <c r="L371" s="13">
        <v>164</v>
      </c>
      <c r="M371" s="54" t="s">
        <v>6</v>
      </c>
    </row>
    <row r="372" spans="1:13" x14ac:dyDescent="0.25">
      <c r="A372" s="10">
        <v>45359</v>
      </c>
      <c r="B372" s="11">
        <v>0.16666666666666666</v>
      </c>
      <c r="C372" s="22">
        <v>45359.166666666664</v>
      </c>
      <c r="D372" s="12">
        <v>76.3</v>
      </c>
      <c r="E372" s="12">
        <v>79.900000000000006</v>
      </c>
      <c r="F372" s="12">
        <v>71.900000000000006</v>
      </c>
      <c r="G372" s="12" t="s">
        <v>6</v>
      </c>
      <c r="H372" s="12">
        <v>19.5</v>
      </c>
      <c r="I372" s="12">
        <v>27.6</v>
      </c>
      <c r="J372" s="12">
        <v>10.4</v>
      </c>
      <c r="K372" s="12" t="s">
        <v>6</v>
      </c>
      <c r="L372" s="13">
        <v>53</v>
      </c>
      <c r="M372" s="54" t="s">
        <v>6</v>
      </c>
    </row>
    <row r="373" spans="1:13" x14ac:dyDescent="0.25">
      <c r="A373" s="10">
        <v>45359</v>
      </c>
      <c r="B373" s="11">
        <v>0.20833333333333334</v>
      </c>
      <c r="C373" s="22">
        <v>45359.208333333336</v>
      </c>
      <c r="D373" s="12">
        <v>75</v>
      </c>
      <c r="E373" s="12">
        <v>82.2</v>
      </c>
      <c r="F373" s="12">
        <v>60.9</v>
      </c>
      <c r="G373" s="12" t="s">
        <v>6</v>
      </c>
      <c r="H373" s="12">
        <v>17.3</v>
      </c>
      <c r="I373" s="12">
        <v>24.8</v>
      </c>
      <c r="J373" s="12">
        <v>8.1</v>
      </c>
      <c r="K373" s="12" t="s">
        <v>6</v>
      </c>
      <c r="L373" s="13">
        <v>223</v>
      </c>
      <c r="M373" s="54" t="s">
        <v>6</v>
      </c>
    </row>
    <row r="374" spans="1:13" x14ac:dyDescent="0.25">
      <c r="A374" s="10">
        <v>45359</v>
      </c>
      <c r="B374" s="11">
        <v>0.25</v>
      </c>
      <c r="C374" s="22">
        <v>45359.25</v>
      </c>
      <c r="D374" s="12">
        <v>79.5</v>
      </c>
      <c r="E374" s="12">
        <v>84.7</v>
      </c>
      <c r="F374" s="12">
        <v>70.599999999999994</v>
      </c>
      <c r="G374" s="12" t="s">
        <v>6</v>
      </c>
      <c r="H374" s="12">
        <v>18.2</v>
      </c>
      <c r="I374" s="12">
        <v>27</v>
      </c>
      <c r="J374" s="12">
        <v>8.6</v>
      </c>
      <c r="K374" s="12" t="s">
        <v>6</v>
      </c>
      <c r="L374" s="13">
        <v>154</v>
      </c>
      <c r="M374" s="54" t="s">
        <v>6</v>
      </c>
    </row>
    <row r="375" spans="1:13" x14ac:dyDescent="0.25">
      <c r="A375" s="14">
        <v>45359</v>
      </c>
      <c r="B375" s="15">
        <v>0.29166666666666669</v>
      </c>
      <c r="C375" s="20">
        <v>45359.291666666664</v>
      </c>
      <c r="D375" s="16">
        <v>69.5</v>
      </c>
      <c r="E375" s="16">
        <v>72.099999999999994</v>
      </c>
      <c r="F375" s="16">
        <v>67</v>
      </c>
      <c r="G375" s="16" t="s">
        <v>6</v>
      </c>
      <c r="H375" s="16">
        <v>4.5</v>
      </c>
      <c r="I375" s="16">
        <v>5.2</v>
      </c>
      <c r="J375" s="16">
        <v>3.9</v>
      </c>
      <c r="K375" s="16" t="s">
        <v>6</v>
      </c>
      <c r="L375" s="17">
        <v>2</v>
      </c>
      <c r="M375" s="54" t="s">
        <v>6</v>
      </c>
    </row>
    <row r="376" spans="1:13" x14ac:dyDescent="0.25">
      <c r="A376" s="6">
        <v>45359</v>
      </c>
      <c r="B376" s="7">
        <v>0.70833333333333337</v>
      </c>
      <c r="C376" s="21">
        <v>45359.708333333336</v>
      </c>
      <c r="D376" s="8">
        <v>63.2</v>
      </c>
      <c r="E376" s="8">
        <v>63.2</v>
      </c>
      <c r="F376" s="8">
        <v>63.2</v>
      </c>
      <c r="G376" s="8" t="s">
        <v>6</v>
      </c>
      <c r="H376" s="8">
        <v>3.1</v>
      </c>
      <c r="I376" s="8">
        <v>3.1</v>
      </c>
      <c r="J376" s="8">
        <v>3.1</v>
      </c>
      <c r="K376" s="8" t="s">
        <v>6</v>
      </c>
      <c r="L376" s="9">
        <v>1</v>
      </c>
      <c r="M376" s="55" t="s">
        <v>6</v>
      </c>
    </row>
    <row r="377" spans="1:13" x14ac:dyDescent="0.25">
      <c r="A377" s="14">
        <v>45359</v>
      </c>
      <c r="B377" s="15">
        <v>0.83333333333333337</v>
      </c>
      <c r="C377" s="20">
        <v>45359.833333333336</v>
      </c>
      <c r="D377" s="16">
        <v>71.099999999999994</v>
      </c>
      <c r="E377" s="16">
        <v>71.099999999999994</v>
      </c>
      <c r="F377" s="16">
        <v>71.099999999999994</v>
      </c>
      <c r="G377" s="16" t="s">
        <v>6</v>
      </c>
      <c r="H377" s="16">
        <v>6.3</v>
      </c>
      <c r="I377" s="16">
        <v>6.3</v>
      </c>
      <c r="J377" s="16">
        <v>6.3</v>
      </c>
      <c r="K377" s="16" t="s">
        <v>6</v>
      </c>
      <c r="L377" s="17">
        <v>1</v>
      </c>
      <c r="M377" s="55" t="s">
        <v>6</v>
      </c>
    </row>
    <row r="378" spans="1:13" x14ac:dyDescent="0.25">
      <c r="A378" s="6">
        <v>45360</v>
      </c>
      <c r="B378" s="7">
        <v>0.83333333333333337</v>
      </c>
      <c r="C378" s="21">
        <v>45360.833333333336</v>
      </c>
      <c r="D378" s="8">
        <v>64</v>
      </c>
      <c r="E378" s="8">
        <v>64.5</v>
      </c>
      <c r="F378" s="8">
        <v>63.4</v>
      </c>
      <c r="G378" s="8" t="s">
        <v>6</v>
      </c>
      <c r="H378" s="8">
        <v>13.4</v>
      </c>
      <c r="I378" s="8">
        <v>13.8</v>
      </c>
      <c r="J378" s="8">
        <v>13.1</v>
      </c>
      <c r="K378" s="8" t="s">
        <v>6</v>
      </c>
      <c r="L378" s="9">
        <v>2</v>
      </c>
      <c r="M378" s="55" t="s">
        <v>6</v>
      </c>
    </row>
    <row r="379" spans="1:13" x14ac:dyDescent="0.25">
      <c r="A379" s="10">
        <v>45360</v>
      </c>
      <c r="B379" s="11">
        <v>0.875</v>
      </c>
      <c r="C379" s="22">
        <v>45360.875</v>
      </c>
      <c r="D379" s="12">
        <v>73.8</v>
      </c>
      <c r="E379" s="12">
        <v>80.900000000000006</v>
      </c>
      <c r="F379" s="12">
        <v>56.4</v>
      </c>
      <c r="G379" s="12" t="s">
        <v>6</v>
      </c>
      <c r="H379" s="12">
        <v>19.2</v>
      </c>
      <c r="I379" s="12">
        <v>28</v>
      </c>
      <c r="J379" s="12">
        <v>8.9</v>
      </c>
      <c r="K379" s="12" t="s">
        <v>6</v>
      </c>
      <c r="L379" s="13">
        <v>186</v>
      </c>
      <c r="M379" s="55" t="s">
        <v>6</v>
      </c>
    </row>
    <row r="380" spans="1:13" x14ac:dyDescent="0.25">
      <c r="A380" s="10">
        <v>45360</v>
      </c>
      <c r="B380" s="11">
        <v>0.91666666666666663</v>
      </c>
      <c r="C380" s="22">
        <v>45360.916666666664</v>
      </c>
      <c r="D380" s="12">
        <v>78.7</v>
      </c>
      <c r="E380" s="12">
        <v>84.4</v>
      </c>
      <c r="F380" s="12">
        <v>68.099999999999994</v>
      </c>
      <c r="G380" s="12" t="s">
        <v>6</v>
      </c>
      <c r="H380" s="12">
        <v>15.9</v>
      </c>
      <c r="I380" s="12">
        <v>22.6</v>
      </c>
      <c r="J380" s="12">
        <v>7.4</v>
      </c>
      <c r="K380" s="12" t="s">
        <v>6</v>
      </c>
      <c r="L380" s="13">
        <v>203</v>
      </c>
      <c r="M380" s="55" t="s">
        <v>6</v>
      </c>
    </row>
    <row r="381" spans="1:13" x14ac:dyDescent="0.25">
      <c r="A381" s="10">
        <v>45360</v>
      </c>
      <c r="B381" s="11">
        <v>0.95833333333333337</v>
      </c>
      <c r="C381" s="22">
        <v>45360.958333333336</v>
      </c>
      <c r="D381" s="12">
        <v>78.3</v>
      </c>
      <c r="E381" s="12">
        <v>84</v>
      </c>
      <c r="F381" s="12">
        <v>70.5</v>
      </c>
      <c r="G381" s="12" t="s">
        <v>6</v>
      </c>
      <c r="H381" s="12">
        <v>17.899999999999999</v>
      </c>
      <c r="I381" s="12">
        <v>36.9</v>
      </c>
      <c r="J381" s="12">
        <v>11.4</v>
      </c>
      <c r="K381" s="12" t="s">
        <v>6</v>
      </c>
      <c r="L381" s="13">
        <v>227</v>
      </c>
      <c r="M381" s="55" t="s">
        <v>6</v>
      </c>
    </row>
    <row r="382" spans="1:13" x14ac:dyDescent="0.25">
      <c r="A382" s="10">
        <v>45361</v>
      </c>
      <c r="B382" s="11">
        <v>0</v>
      </c>
      <c r="C382" s="22">
        <v>45361</v>
      </c>
      <c r="D382" s="12">
        <v>74</v>
      </c>
      <c r="E382" s="12">
        <v>86.7</v>
      </c>
      <c r="F382" s="12">
        <v>56.7</v>
      </c>
      <c r="G382" s="12" t="s">
        <v>6</v>
      </c>
      <c r="H382" s="12">
        <v>17.2</v>
      </c>
      <c r="I382" s="12">
        <v>26.4</v>
      </c>
      <c r="J382" s="12">
        <v>9.1999999999999993</v>
      </c>
      <c r="K382" s="12" t="s">
        <v>6</v>
      </c>
      <c r="L382" s="13">
        <v>181</v>
      </c>
      <c r="M382" s="55" t="s">
        <v>6</v>
      </c>
    </row>
    <row r="383" spans="1:13" x14ac:dyDescent="0.25">
      <c r="A383" s="14">
        <v>45361</v>
      </c>
      <c r="B383" s="15">
        <v>0.33333333333333331</v>
      </c>
      <c r="C383" s="20">
        <v>45361.333333333336</v>
      </c>
      <c r="D383" s="16">
        <v>65.3</v>
      </c>
      <c r="E383" s="16">
        <v>65.3</v>
      </c>
      <c r="F383" s="16">
        <v>65.3</v>
      </c>
      <c r="G383" s="16" t="s">
        <v>6</v>
      </c>
      <c r="H383" s="16">
        <v>5.0999999999999996</v>
      </c>
      <c r="I383" s="16">
        <v>5.0999999999999996</v>
      </c>
      <c r="J383" s="16">
        <v>5.0999999999999996</v>
      </c>
      <c r="K383" s="16" t="s">
        <v>6</v>
      </c>
      <c r="L383" s="17">
        <v>1</v>
      </c>
      <c r="M383" s="56" t="s">
        <v>6</v>
      </c>
    </row>
    <row r="384" spans="1:13" x14ac:dyDescent="0.25">
      <c r="A384" s="6">
        <v>45361</v>
      </c>
      <c r="B384" s="7">
        <v>0.5</v>
      </c>
      <c r="C384" s="21">
        <v>45361.5</v>
      </c>
      <c r="D384" s="8">
        <v>64.900000000000006</v>
      </c>
      <c r="E384" s="8">
        <v>68.8</v>
      </c>
      <c r="F384" s="8">
        <v>60.9</v>
      </c>
      <c r="G384" s="8" t="s">
        <v>6</v>
      </c>
      <c r="H384" s="8">
        <v>11.6</v>
      </c>
      <c r="I384" s="8">
        <v>14.4</v>
      </c>
      <c r="J384" s="8">
        <v>7.5</v>
      </c>
      <c r="K384" s="8" t="s">
        <v>6</v>
      </c>
      <c r="L384" s="9">
        <v>10</v>
      </c>
      <c r="M384" s="57" t="s">
        <v>6</v>
      </c>
    </row>
    <row r="385" spans="1:13" x14ac:dyDescent="0.25">
      <c r="A385" s="10">
        <v>45361</v>
      </c>
      <c r="B385" s="11">
        <v>0.91666666666666663</v>
      </c>
      <c r="C385" s="22">
        <v>45361.916666666664</v>
      </c>
      <c r="D385" s="12">
        <v>66.8</v>
      </c>
      <c r="E385" s="12">
        <v>76</v>
      </c>
      <c r="F385" s="12">
        <v>53.8</v>
      </c>
      <c r="G385" s="12" t="s">
        <v>6</v>
      </c>
      <c r="H385" s="12">
        <v>18</v>
      </c>
      <c r="I385" s="12">
        <v>26.6</v>
      </c>
      <c r="J385" s="12">
        <v>12.3</v>
      </c>
      <c r="K385" s="12" t="s">
        <v>6</v>
      </c>
      <c r="L385" s="13">
        <v>146</v>
      </c>
      <c r="M385" s="58" t="s">
        <v>6</v>
      </c>
    </row>
    <row r="386" spans="1:13" x14ac:dyDescent="0.25">
      <c r="A386" s="10">
        <v>45361</v>
      </c>
      <c r="B386" s="11">
        <v>0.95833333333333337</v>
      </c>
      <c r="C386" s="22">
        <v>45361.958333333336</v>
      </c>
      <c r="D386" s="12">
        <v>67.3</v>
      </c>
      <c r="E386" s="12">
        <v>74.099999999999994</v>
      </c>
      <c r="F386" s="12">
        <v>60.7</v>
      </c>
      <c r="G386" s="12" t="s">
        <v>6</v>
      </c>
      <c r="H386" s="12">
        <v>18.3</v>
      </c>
      <c r="I386" s="12">
        <v>27.2</v>
      </c>
      <c r="J386" s="12">
        <v>10.5</v>
      </c>
      <c r="K386" s="12" t="s">
        <v>6</v>
      </c>
      <c r="L386" s="13">
        <v>176</v>
      </c>
      <c r="M386" s="58" t="s">
        <v>6</v>
      </c>
    </row>
    <row r="387" spans="1:13" x14ac:dyDescent="0.25">
      <c r="A387" s="10">
        <v>45362</v>
      </c>
      <c r="B387" s="11">
        <v>0</v>
      </c>
      <c r="C387" s="22">
        <v>45362</v>
      </c>
      <c r="D387" s="12">
        <v>67.5</v>
      </c>
      <c r="E387" s="12">
        <v>67.900000000000006</v>
      </c>
      <c r="F387" s="12">
        <v>67.2</v>
      </c>
      <c r="G387" s="12" t="s">
        <v>6</v>
      </c>
      <c r="H387" s="12">
        <v>20.100000000000001</v>
      </c>
      <c r="I387" s="12">
        <v>22.4</v>
      </c>
      <c r="J387" s="12">
        <v>16.899999999999999</v>
      </c>
      <c r="K387" s="12" t="s">
        <v>6</v>
      </c>
      <c r="L387" s="13">
        <v>6</v>
      </c>
      <c r="M387" s="58" t="s">
        <v>6</v>
      </c>
    </row>
    <row r="388" spans="1:13" x14ac:dyDescent="0.25">
      <c r="A388" s="10">
        <v>45362</v>
      </c>
      <c r="B388" s="11">
        <v>4.1666666666666664E-2</v>
      </c>
      <c r="C388" s="22">
        <v>45362.041666666664</v>
      </c>
      <c r="D388" s="12">
        <v>66.599999999999994</v>
      </c>
      <c r="E388" s="12">
        <v>72.900000000000006</v>
      </c>
      <c r="F388" s="12">
        <v>61.4</v>
      </c>
      <c r="G388" s="12" t="s">
        <v>6</v>
      </c>
      <c r="H388" s="12">
        <v>16.899999999999999</v>
      </c>
      <c r="I388" s="12">
        <v>22.9</v>
      </c>
      <c r="J388" s="12">
        <v>11.6</v>
      </c>
      <c r="K388" s="12" t="s">
        <v>6</v>
      </c>
      <c r="L388" s="13">
        <v>108</v>
      </c>
      <c r="M388" s="58" t="s">
        <v>6</v>
      </c>
    </row>
    <row r="389" spans="1:13" x14ac:dyDescent="0.25">
      <c r="A389" s="14">
        <v>45362</v>
      </c>
      <c r="B389" s="15">
        <v>8.3333333333333329E-2</v>
      </c>
      <c r="C389" s="20">
        <v>45362.083333333336</v>
      </c>
      <c r="D389" s="16">
        <v>70</v>
      </c>
      <c r="E389" s="16">
        <v>75.599999999999994</v>
      </c>
      <c r="F389" s="16">
        <v>66</v>
      </c>
      <c r="G389" s="16" t="s">
        <v>6</v>
      </c>
      <c r="H389" s="16">
        <v>14</v>
      </c>
      <c r="I389" s="16">
        <v>20.2</v>
      </c>
      <c r="J389" s="16">
        <v>9.6</v>
      </c>
      <c r="K389" s="16" t="s">
        <v>6</v>
      </c>
      <c r="L389" s="17">
        <v>47</v>
      </c>
      <c r="M389" s="58" t="s">
        <v>6</v>
      </c>
    </row>
    <row r="390" spans="1:13" x14ac:dyDescent="0.25">
      <c r="A390" s="6">
        <v>45362</v>
      </c>
      <c r="B390" s="7">
        <v>8.3333333333333329E-2</v>
      </c>
      <c r="C390" s="21">
        <v>45362.083333333336</v>
      </c>
      <c r="D390" s="8">
        <v>70</v>
      </c>
      <c r="E390" s="8">
        <v>75.599999999999994</v>
      </c>
      <c r="F390" s="8">
        <v>66</v>
      </c>
      <c r="G390" s="8" t="s">
        <v>6</v>
      </c>
      <c r="H390" s="8">
        <v>14</v>
      </c>
      <c r="I390" s="8">
        <v>20.2</v>
      </c>
      <c r="J390" s="8">
        <v>9.6</v>
      </c>
      <c r="K390" s="8" t="s">
        <v>6</v>
      </c>
      <c r="L390" s="9">
        <v>47</v>
      </c>
      <c r="M390" s="59" t="s">
        <v>6</v>
      </c>
    </row>
    <row r="391" spans="1:13" x14ac:dyDescent="0.25">
      <c r="A391" s="14">
        <v>45362</v>
      </c>
      <c r="B391" s="15">
        <v>0.75</v>
      </c>
      <c r="C391" s="20">
        <v>45362.75</v>
      </c>
      <c r="D391" s="16">
        <v>65.900000000000006</v>
      </c>
      <c r="E391" s="16">
        <v>65.900000000000006</v>
      </c>
      <c r="F391" s="16">
        <v>65.900000000000006</v>
      </c>
      <c r="G391" s="16" t="s">
        <v>6</v>
      </c>
      <c r="H391" s="16">
        <v>6.1</v>
      </c>
      <c r="I391" s="16">
        <v>6.1</v>
      </c>
      <c r="J391" s="16">
        <v>6.1</v>
      </c>
      <c r="K391" s="16" t="s">
        <v>6</v>
      </c>
      <c r="L391" s="17">
        <v>1</v>
      </c>
      <c r="M391" s="59" t="s">
        <v>6</v>
      </c>
    </row>
    <row r="392" spans="1:13" x14ac:dyDescent="0.25">
      <c r="A392" s="6">
        <v>45363</v>
      </c>
      <c r="B392" s="7">
        <v>0.66666666666666663</v>
      </c>
      <c r="C392" s="21">
        <v>45363.666666666664</v>
      </c>
      <c r="D392" s="8">
        <v>70.5</v>
      </c>
      <c r="E392" s="8">
        <v>70.5</v>
      </c>
      <c r="F392" s="8">
        <v>70.5</v>
      </c>
      <c r="G392" s="8" t="s">
        <v>6</v>
      </c>
      <c r="H392" s="8">
        <v>12</v>
      </c>
      <c r="I392" s="8">
        <v>12</v>
      </c>
      <c r="J392" s="8">
        <v>12</v>
      </c>
      <c r="K392" s="8" t="s">
        <v>6</v>
      </c>
      <c r="L392" s="9">
        <v>1</v>
      </c>
      <c r="M392" s="60" t="s">
        <v>6</v>
      </c>
    </row>
    <row r="393" spans="1:13" x14ac:dyDescent="0.25">
      <c r="A393" s="10">
        <v>45364</v>
      </c>
      <c r="B393" s="11">
        <v>0</v>
      </c>
      <c r="C393" s="22">
        <v>45364</v>
      </c>
      <c r="D393" s="12">
        <v>68.5</v>
      </c>
      <c r="E393" s="12">
        <v>74.5</v>
      </c>
      <c r="F393" s="12">
        <v>56.7</v>
      </c>
      <c r="G393" s="12" t="s">
        <v>6</v>
      </c>
      <c r="H393" s="12">
        <v>19</v>
      </c>
      <c r="I393" s="12">
        <v>30.4</v>
      </c>
      <c r="J393" s="12">
        <v>5.0999999999999996</v>
      </c>
      <c r="K393" s="12" t="s">
        <v>6</v>
      </c>
      <c r="L393" s="13">
        <v>147</v>
      </c>
      <c r="M393" s="60" t="s">
        <v>6</v>
      </c>
    </row>
    <row r="394" spans="1:13" x14ac:dyDescent="0.25">
      <c r="A394" s="10">
        <v>45364</v>
      </c>
      <c r="B394" s="11">
        <v>4.1666666666666664E-2</v>
      </c>
      <c r="C394" s="22">
        <v>45364.041666666664</v>
      </c>
      <c r="D394" s="12">
        <v>71.099999999999994</v>
      </c>
      <c r="E394" s="12">
        <v>79.099999999999994</v>
      </c>
      <c r="F394" s="12">
        <v>57.3</v>
      </c>
      <c r="G394" s="12" t="s">
        <v>6</v>
      </c>
      <c r="H394" s="12">
        <v>16.399999999999999</v>
      </c>
      <c r="I394" s="12">
        <v>29.9</v>
      </c>
      <c r="J394" s="12">
        <v>7.9</v>
      </c>
      <c r="K394" s="12" t="s">
        <v>6</v>
      </c>
      <c r="L394" s="13">
        <v>222</v>
      </c>
      <c r="M394" s="60" t="s">
        <v>6</v>
      </c>
    </row>
    <row r="395" spans="1:13" x14ac:dyDescent="0.25">
      <c r="A395" s="10">
        <v>45364</v>
      </c>
      <c r="B395" s="11">
        <v>8.3333333333333329E-2</v>
      </c>
      <c r="C395" s="22">
        <v>45364.083333333336</v>
      </c>
      <c r="D395" s="12">
        <v>73.599999999999994</v>
      </c>
      <c r="E395" s="12">
        <v>78.599999999999994</v>
      </c>
      <c r="F395" s="12">
        <v>67.3</v>
      </c>
      <c r="G395" s="12" t="s">
        <v>6</v>
      </c>
      <c r="H395" s="12">
        <v>14.6</v>
      </c>
      <c r="I395" s="12">
        <v>21.7</v>
      </c>
      <c r="J395" s="12">
        <v>6.2</v>
      </c>
      <c r="K395" s="12" t="s">
        <v>6</v>
      </c>
      <c r="L395" s="13">
        <v>217</v>
      </c>
      <c r="M395" s="60" t="s">
        <v>6</v>
      </c>
    </row>
    <row r="396" spans="1:13" x14ac:dyDescent="0.25">
      <c r="A396" s="10">
        <v>45364</v>
      </c>
      <c r="B396" s="11">
        <v>0.125</v>
      </c>
      <c r="C396" s="22">
        <v>45364.125</v>
      </c>
      <c r="D396" s="12">
        <v>69.2</v>
      </c>
      <c r="E396" s="12">
        <v>75.8</v>
      </c>
      <c r="F396" s="12">
        <v>62.1</v>
      </c>
      <c r="G396" s="12" t="s">
        <v>6</v>
      </c>
      <c r="H396" s="12">
        <v>17.100000000000001</v>
      </c>
      <c r="I396" s="12">
        <v>24.9</v>
      </c>
      <c r="J396" s="12">
        <v>8.4</v>
      </c>
      <c r="K396" s="12" t="s">
        <v>6</v>
      </c>
      <c r="L396" s="13">
        <v>229</v>
      </c>
      <c r="M396" s="60" t="s">
        <v>6</v>
      </c>
    </row>
    <row r="397" spans="1:13" x14ac:dyDescent="0.25">
      <c r="A397" s="10">
        <v>45364</v>
      </c>
      <c r="B397" s="11">
        <v>0.16666666666666666</v>
      </c>
      <c r="C397" s="22">
        <v>45364.166666666664</v>
      </c>
      <c r="D397" s="12">
        <v>72.400000000000006</v>
      </c>
      <c r="E397" s="12">
        <v>79</v>
      </c>
      <c r="F397" s="12">
        <v>67.400000000000006</v>
      </c>
      <c r="G397" s="12" t="s">
        <v>6</v>
      </c>
      <c r="H397" s="12">
        <v>14.9</v>
      </c>
      <c r="I397" s="12">
        <v>20.7</v>
      </c>
      <c r="J397" s="12">
        <v>7.6</v>
      </c>
      <c r="K397" s="12" t="s">
        <v>6</v>
      </c>
      <c r="L397" s="13">
        <v>194</v>
      </c>
      <c r="M397" s="60" t="s">
        <v>6</v>
      </c>
    </row>
    <row r="398" spans="1:13" x14ac:dyDescent="0.25">
      <c r="A398" s="14">
        <v>45364</v>
      </c>
      <c r="B398" s="15">
        <v>0.20833333333333334</v>
      </c>
      <c r="C398" s="20">
        <v>45364.208333333336</v>
      </c>
      <c r="D398" s="16">
        <v>61.6</v>
      </c>
      <c r="E398" s="16">
        <v>71</v>
      </c>
      <c r="F398" s="16">
        <v>53.4</v>
      </c>
      <c r="G398" s="16" t="s">
        <v>6</v>
      </c>
      <c r="H398" s="16">
        <v>21.8</v>
      </c>
      <c r="I398" s="16">
        <v>26.4</v>
      </c>
      <c r="J398" s="16">
        <v>13.2</v>
      </c>
      <c r="K398" s="16" t="s">
        <v>6</v>
      </c>
      <c r="L398" s="17">
        <v>33</v>
      </c>
      <c r="M398" s="60" t="s">
        <v>6</v>
      </c>
    </row>
    <row r="399" spans="1:13" x14ac:dyDescent="0.25">
      <c r="A399" s="6">
        <v>45364</v>
      </c>
      <c r="B399" s="7">
        <v>0.625</v>
      </c>
      <c r="C399" s="21">
        <v>45364.625</v>
      </c>
      <c r="D399" s="8">
        <v>62.8</v>
      </c>
      <c r="E399" s="8">
        <v>62.8</v>
      </c>
      <c r="F399" s="8">
        <v>62.8</v>
      </c>
      <c r="G399" s="8" t="s">
        <v>6</v>
      </c>
      <c r="H399" s="8">
        <v>3.6</v>
      </c>
      <c r="I399" s="8">
        <v>3.6</v>
      </c>
      <c r="J399" s="8">
        <v>3.6</v>
      </c>
      <c r="K399" s="8" t="s">
        <v>6</v>
      </c>
      <c r="L399" s="9">
        <v>1</v>
      </c>
      <c r="M399" s="61" t="s">
        <v>6</v>
      </c>
    </row>
    <row r="400" spans="1:13" x14ac:dyDescent="0.25">
      <c r="A400" s="10">
        <v>45364</v>
      </c>
      <c r="B400" s="11">
        <v>0.70833333333333337</v>
      </c>
      <c r="C400" s="22">
        <v>45364.708333333336</v>
      </c>
      <c r="D400" s="12">
        <v>63.9</v>
      </c>
      <c r="E400" s="12">
        <v>63.9</v>
      </c>
      <c r="F400" s="12">
        <v>63.9</v>
      </c>
      <c r="G400" s="12" t="s">
        <v>6</v>
      </c>
      <c r="H400" s="12">
        <v>4.7</v>
      </c>
      <c r="I400" s="12">
        <v>4.7</v>
      </c>
      <c r="J400" s="12">
        <v>4.7</v>
      </c>
      <c r="K400" s="12" t="s">
        <v>6</v>
      </c>
      <c r="L400" s="13">
        <v>1</v>
      </c>
      <c r="M400" s="61" t="s">
        <v>6</v>
      </c>
    </row>
    <row r="401" spans="1:13" x14ac:dyDescent="0.25">
      <c r="A401" s="10">
        <v>45364</v>
      </c>
      <c r="B401" s="11">
        <v>0.83333333333333337</v>
      </c>
      <c r="C401" s="22">
        <v>45364.833333333336</v>
      </c>
      <c r="D401" s="12">
        <v>62.4</v>
      </c>
      <c r="E401" s="12">
        <v>62.4</v>
      </c>
      <c r="F401" s="12">
        <v>62.4</v>
      </c>
      <c r="G401" s="12" t="s">
        <v>6</v>
      </c>
      <c r="H401" s="12">
        <v>5.7</v>
      </c>
      <c r="I401" s="12">
        <v>5.7</v>
      </c>
      <c r="J401" s="12">
        <v>5.7</v>
      </c>
      <c r="K401" s="12" t="s">
        <v>6</v>
      </c>
      <c r="L401" s="13">
        <v>1</v>
      </c>
      <c r="M401" s="61" t="s">
        <v>6</v>
      </c>
    </row>
    <row r="402" spans="1:13" x14ac:dyDescent="0.25">
      <c r="A402" s="14">
        <v>45365</v>
      </c>
      <c r="B402" s="15">
        <v>0.20833333333333334</v>
      </c>
      <c r="C402" s="20">
        <v>45365.208333333336</v>
      </c>
      <c r="D402" s="16">
        <v>71.7</v>
      </c>
      <c r="E402" s="16">
        <v>71.7</v>
      </c>
      <c r="F402" s="16">
        <v>71.7</v>
      </c>
      <c r="G402" s="16" t="s">
        <v>6</v>
      </c>
      <c r="H402" s="16">
        <v>3.9</v>
      </c>
      <c r="I402" s="16">
        <v>3.9</v>
      </c>
      <c r="J402" s="16">
        <v>3.9</v>
      </c>
      <c r="K402" s="16" t="s">
        <v>6</v>
      </c>
      <c r="L402" s="17">
        <v>1</v>
      </c>
      <c r="M402" s="61" t="s">
        <v>6</v>
      </c>
    </row>
    <row r="403" spans="1:13" x14ac:dyDescent="0.25">
      <c r="A403" s="6">
        <v>45365</v>
      </c>
      <c r="B403" s="7">
        <v>0.70833333333333337</v>
      </c>
      <c r="C403" s="21">
        <v>45365.708333333336</v>
      </c>
      <c r="D403" s="8">
        <v>59.1</v>
      </c>
      <c r="E403" s="8">
        <v>70.400000000000006</v>
      </c>
      <c r="F403" s="8">
        <v>49.4</v>
      </c>
      <c r="G403" s="8" t="s">
        <v>6</v>
      </c>
      <c r="H403" s="8">
        <v>19.899999999999999</v>
      </c>
      <c r="I403" s="8">
        <v>27.7</v>
      </c>
      <c r="J403" s="8">
        <v>6.6</v>
      </c>
      <c r="K403" s="8" t="s">
        <v>6</v>
      </c>
      <c r="L403" s="9">
        <v>195</v>
      </c>
      <c r="M403" s="62" t="s">
        <v>6</v>
      </c>
    </row>
    <row r="404" spans="1:13" x14ac:dyDescent="0.25">
      <c r="A404" s="10">
        <v>45365</v>
      </c>
      <c r="B404" s="11">
        <v>0.75</v>
      </c>
      <c r="C404" s="22">
        <v>45365.75</v>
      </c>
      <c r="D404" s="12">
        <v>66.7</v>
      </c>
      <c r="E404" s="12">
        <v>80.2</v>
      </c>
      <c r="F404" s="12">
        <v>51.2</v>
      </c>
      <c r="G404" s="12" t="s">
        <v>6</v>
      </c>
      <c r="H404" s="12">
        <v>18.7</v>
      </c>
      <c r="I404" s="12">
        <v>23.9</v>
      </c>
      <c r="J404" s="12">
        <v>6.8</v>
      </c>
      <c r="K404" s="12" t="s">
        <v>6</v>
      </c>
      <c r="L404" s="13">
        <v>194</v>
      </c>
      <c r="M404" s="62" t="s">
        <v>6</v>
      </c>
    </row>
    <row r="405" spans="1:13" x14ac:dyDescent="0.25">
      <c r="A405" s="10">
        <v>45365</v>
      </c>
      <c r="B405" s="11">
        <v>0.79166666666666663</v>
      </c>
      <c r="C405" s="22">
        <v>45365.791666666664</v>
      </c>
      <c r="D405" s="12">
        <v>76.099999999999994</v>
      </c>
      <c r="E405" s="12">
        <v>76.099999999999994</v>
      </c>
      <c r="F405" s="12">
        <v>76.099999999999994</v>
      </c>
      <c r="G405" s="12" t="s">
        <v>6</v>
      </c>
      <c r="H405" s="12">
        <v>4.5999999999999996</v>
      </c>
      <c r="I405" s="12">
        <v>4.5999999999999996</v>
      </c>
      <c r="J405" s="12">
        <v>4.5999999999999996</v>
      </c>
      <c r="K405" s="12" t="s">
        <v>6</v>
      </c>
      <c r="L405" s="13">
        <v>1</v>
      </c>
      <c r="M405" s="62" t="s">
        <v>6</v>
      </c>
    </row>
    <row r="406" spans="1:13" x14ac:dyDescent="0.25">
      <c r="A406" s="10">
        <v>45365</v>
      </c>
      <c r="B406" s="11">
        <v>0.83333333333333337</v>
      </c>
      <c r="C406" s="22">
        <v>45365.833333333336</v>
      </c>
      <c r="D406" s="12">
        <v>67.8</v>
      </c>
      <c r="E406" s="12">
        <v>67.8</v>
      </c>
      <c r="F406" s="12">
        <v>67.8</v>
      </c>
      <c r="G406" s="12" t="s">
        <v>6</v>
      </c>
      <c r="H406" s="12">
        <v>5.7</v>
      </c>
      <c r="I406" s="12">
        <v>5.7</v>
      </c>
      <c r="J406" s="12">
        <v>5.7</v>
      </c>
      <c r="K406" s="12" t="s">
        <v>6</v>
      </c>
      <c r="L406" s="13">
        <v>1</v>
      </c>
      <c r="M406" s="62" t="s">
        <v>6</v>
      </c>
    </row>
    <row r="407" spans="1:13" x14ac:dyDescent="0.25">
      <c r="A407" s="10">
        <v>45365</v>
      </c>
      <c r="B407" s="11">
        <v>0.91666666666666663</v>
      </c>
      <c r="C407" s="22">
        <v>45365.916666666664</v>
      </c>
      <c r="D407" s="12">
        <v>73</v>
      </c>
      <c r="E407" s="12">
        <v>90.1</v>
      </c>
      <c r="F407" s="12">
        <v>51.6</v>
      </c>
      <c r="G407" s="12" t="s">
        <v>6</v>
      </c>
      <c r="H407" s="12">
        <v>20.399999999999999</v>
      </c>
      <c r="I407" s="12">
        <v>28.2</v>
      </c>
      <c r="J407" s="12">
        <v>11.3</v>
      </c>
      <c r="K407" s="12" t="s">
        <v>6</v>
      </c>
      <c r="L407" s="13">
        <v>202</v>
      </c>
      <c r="M407" s="62" t="s">
        <v>6</v>
      </c>
    </row>
    <row r="408" spans="1:13" x14ac:dyDescent="0.25">
      <c r="A408" s="10">
        <v>45365</v>
      </c>
      <c r="B408" s="11">
        <v>0.95833333333333337</v>
      </c>
      <c r="C408" s="22">
        <v>45365.958333333336</v>
      </c>
      <c r="D408" s="12">
        <v>83.6</v>
      </c>
      <c r="E408" s="12">
        <v>89</v>
      </c>
      <c r="F408" s="12">
        <v>78.8</v>
      </c>
      <c r="G408" s="12" t="s">
        <v>6</v>
      </c>
      <c r="H408" s="12">
        <v>18.3</v>
      </c>
      <c r="I408" s="12">
        <v>30.3</v>
      </c>
      <c r="J408" s="12">
        <v>12.3</v>
      </c>
      <c r="K408" s="12" t="s">
        <v>6</v>
      </c>
      <c r="L408" s="13">
        <v>208</v>
      </c>
      <c r="M408" s="62" t="s">
        <v>6</v>
      </c>
    </row>
    <row r="409" spans="1:13" x14ac:dyDescent="0.25">
      <c r="A409" s="10">
        <v>45366</v>
      </c>
      <c r="B409" s="11">
        <v>0</v>
      </c>
      <c r="C409" s="22">
        <v>45366</v>
      </c>
      <c r="D409" s="12">
        <v>58.5</v>
      </c>
      <c r="E409" s="12">
        <v>68.900000000000006</v>
      </c>
      <c r="F409" s="12">
        <v>49.4</v>
      </c>
      <c r="G409" s="12" t="s">
        <v>6</v>
      </c>
      <c r="H409" s="12">
        <v>21.2</v>
      </c>
      <c r="I409" s="12">
        <v>29</v>
      </c>
      <c r="J409" s="12">
        <v>12.9</v>
      </c>
      <c r="K409" s="12" t="s">
        <v>6</v>
      </c>
      <c r="L409" s="13">
        <v>135</v>
      </c>
      <c r="M409" s="62" t="s">
        <v>6</v>
      </c>
    </row>
    <row r="410" spans="1:13" x14ac:dyDescent="0.25">
      <c r="A410" s="14">
        <v>45366</v>
      </c>
      <c r="B410" s="15">
        <v>8.3333333333333329E-2</v>
      </c>
      <c r="C410" s="20">
        <v>45366.083333333336</v>
      </c>
      <c r="D410" s="16">
        <v>60.8</v>
      </c>
      <c r="E410" s="16">
        <v>60.9</v>
      </c>
      <c r="F410" s="16">
        <v>60.7</v>
      </c>
      <c r="G410" s="16" t="s">
        <v>6</v>
      </c>
      <c r="H410" s="16">
        <v>13.4</v>
      </c>
      <c r="I410" s="16">
        <v>14.4</v>
      </c>
      <c r="J410" s="16">
        <v>12.4</v>
      </c>
      <c r="K410" s="16" t="s">
        <v>6</v>
      </c>
      <c r="L410" s="17">
        <v>2</v>
      </c>
      <c r="M410" s="62" t="s">
        <v>6</v>
      </c>
    </row>
    <row r="411" spans="1:13" x14ac:dyDescent="0.25">
      <c r="A411" s="66">
        <v>45366</v>
      </c>
      <c r="B411" s="68">
        <v>0.83333333333333337</v>
      </c>
      <c r="C411" s="64">
        <v>45366.833333333336</v>
      </c>
      <c r="D411" s="65">
        <v>62</v>
      </c>
      <c r="E411" s="65">
        <v>62</v>
      </c>
      <c r="F411" s="65">
        <v>62</v>
      </c>
      <c r="G411" s="65" t="s">
        <v>6</v>
      </c>
      <c r="H411" s="65">
        <v>10.8</v>
      </c>
      <c r="I411" s="65">
        <v>11.3</v>
      </c>
      <c r="J411" s="65">
        <v>10.199999999999999</v>
      </c>
      <c r="K411" s="65" t="s">
        <v>6</v>
      </c>
      <c r="L411" s="67">
        <v>2</v>
      </c>
      <c r="M411" s="63" t="s">
        <v>6</v>
      </c>
    </row>
    <row r="412" spans="1:13" x14ac:dyDescent="0.25">
      <c r="A412" s="6">
        <v>45368</v>
      </c>
      <c r="B412" s="7">
        <v>0.58333333333333337</v>
      </c>
      <c r="C412" s="21">
        <v>45368.583333333336</v>
      </c>
      <c r="D412" s="8">
        <v>65.400000000000006</v>
      </c>
      <c r="E412" s="8">
        <v>75.5</v>
      </c>
      <c r="F412" s="8">
        <v>52.3</v>
      </c>
      <c r="G412" s="8" t="s">
        <v>6</v>
      </c>
      <c r="H412" s="8">
        <v>18.8</v>
      </c>
      <c r="I412" s="8">
        <v>28.4</v>
      </c>
      <c r="J412" s="8">
        <v>5.6</v>
      </c>
      <c r="K412" s="8" t="s">
        <v>6</v>
      </c>
      <c r="L412" s="9">
        <v>115</v>
      </c>
      <c r="M412" s="69" t="s">
        <v>6</v>
      </c>
    </row>
    <row r="413" spans="1:13" x14ac:dyDescent="0.25">
      <c r="A413" s="10">
        <v>45368</v>
      </c>
      <c r="B413" s="11">
        <v>0.625</v>
      </c>
      <c r="C413" s="22">
        <v>45368.625</v>
      </c>
      <c r="D413" s="12">
        <v>62.4</v>
      </c>
      <c r="E413" s="12">
        <v>69.900000000000006</v>
      </c>
      <c r="F413" s="12">
        <v>52.8</v>
      </c>
      <c r="G413" s="12" t="s">
        <v>6</v>
      </c>
      <c r="H413" s="12">
        <v>20.3</v>
      </c>
      <c r="I413" s="12">
        <v>33.299999999999997</v>
      </c>
      <c r="J413" s="12">
        <v>10.8</v>
      </c>
      <c r="K413" s="12" t="s">
        <v>6</v>
      </c>
      <c r="L413" s="13">
        <v>130</v>
      </c>
      <c r="M413" s="69" t="s">
        <v>6</v>
      </c>
    </row>
    <row r="414" spans="1:13" x14ac:dyDescent="0.25">
      <c r="A414" s="10">
        <v>45368</v>
      </c>
      <c r="B414" s="11">
        <v>0.83333333333333337</v>
      </c>
      <c r="C414" s="22">
        <v>45368.833333333336</v>
      </c>
      <c r="D414" s="12">
        <v>72.599999999999994</v>
      </c>
      <c r="E414" s="12">
        <v>73</v>
      </c>
      <c r="F414" s="12">
        <v>72.2</v>
      </c>
      <c r="G414" s="12" t="s">
        <v>6</v>
      </c>
      <c r="H414" s="12">
        <v>16.2</v>
      </c>
      <c r="I414" s="12">
        <v>18</v>
      </c>
      <c r="J414" s="12">
        <v>14.4</v>
      </c>
      <c r="K414" s="12" t="s">
        <v>6</v>
      </c>
      <c r="L414" s="13">
        <v>2</v>
      </c>
      <c r="M414" s="69" t="s">
        <v>6</v>
      </c>
    </row>
    <row r="415" spans="1:13" x14ac:dyDescent="0.25">
      <c r="A415" s="10">
        <v>45368</v>
      </c>
      <c r="B415" s="11">
        <v>0.95833333333333337</v>
      </c>
      <c r="C415" s="22">
        <v>45368.958333333336</v>
      </c>
      <c r="D415" s="12">
        <v>71.3</v>
      </c>
      <c r="E415" s="12">
        <v>78.3</v>
      </c>
      <c r="F415" s="12">
        <v>59.4</v>
      </c>
      <c r="G415" s="12" t="s">
        <v>6</v>
      </c>
      <c r="H415" s="12">
        <v>18.8</v>
      </c>
      <c r="I415" s="12">
        <v>25.7</v>
      </c>
      <c r="J415" s="12">
        <v>11.2</v>
      </c>
      <c r="K415" s="12" t="s">
        <v>6</v>
      </c>
      <c r="L415" s="13">
        <v>174</v>
      </c>
      <c r="M415" s="69" t="s">
        <v>6</v>
      </c>
    </row>
    <row r="416" spans="1:13" x14ac:dyDescent="0.25">
      <c r="A416" s="10">
        <v>45369</v>
      </c>
      <c r="B416" s="11">
        <v>0</v>
      </c>
      <c r="C416" s="22">
        <v>45369</v>
      </c>
      <c r="D416" s="12">
        <v>75.5</v>
      </c>
      <c r="E416" s="12">
        <v>82</v>
      </c>
      <c r="F416" s="12">
        <v>68.3</v>
      </c>
      <c r="G416" s="12" t="s">
        <v>6</v>
      </c>
      <c r="H416" s="12">
        <v>16.2</v>
      </c>
      <c r="I416" s="12">
        <v>25.3</v>
      </c>
      <c r="J416" s="12">
        <v>8.6999999999999993</v>
      </c>
      <c r="K416" s="12" t="s">
        <v>6</v>
      </c>
      <c r="L416" s="13">
        <v>218</v>
      </c>
      <c r="M416" s="69" t="s">
        <v>6</v>
      </c>
    </row>
    <row r="417" spans="1:13" x14ac:dyDescent="0.25">
      <c r="A417" s="10">
        <v>45369</v>
      </c>
      <c r="B417" s="11">
        <v>4.1666666666666664E-2</v>
      </c>
      <c r="C417" s="22">
        <v>45369.041666666664</v>
      </c>
      <c r="D417" s="12">
        <v>68.599999999999994</v>
      </c>
      <c r="E417" s="12">
        <v>83.4</v>
      </c>
      <c r="F417" s="12">
        <v>50.2</v>
      </c>
      <c r="G417" s="12" t="s">
        <v>6</v>
      </c>
      <c r="H417" s="12">
        <v>18</v>
      </c>
      <c r="I417" s="12">
        <v>26.5</v>
      </c>
      <c r="J417" s="12">
        <v>10.8</v>
      </c>
      <c r="K417" s="12" t="s">
        <v>6</v>
      </c>
      <c r="L417" s="13">
        <v>225</v>
      </c>
      <c r="M417" s="69" t="s">
        <v>6</v>
      </c>
    </row>
    <row r="418" spans="1:13" x14ac:dyDescent="0.25">
      <c r="A418" s="10">
        <v>45369</v>
      </c>
      <c r="B418" s="11">
        <v>8.3333333333333329E-2</v>
      </c>
      <c r="C418" s="22">
        <v>45369.083333333336</v>
      </c>
      <c r="D418" s="12">
        <v>76</v>
      </c>
      <c r="E418" s="12">
        <v>85.8</v>
      </c>
      <c r="F418" s="12">
        <v>68.7</v>
      </c>
      <c r="G418" s="12" t="s">
        <v>6</v>
      </c>
      <c r="H418" s="12">
        <v>16.100000000000001</v>
      </c>
      <c r="I418" s="12">
        <v>20.8</v>
      </c>
      <c r="J418" s="12">
        <v>10</v>
      </c>
      <c r="K418" s="12" t="s">
        <v>6</v>
      </c>
      <c r="L418" s="13">
        <v>216</v>
      </c>
      <c r="M418" s="69" t="s">
        <v>6</v>
      </c>
    </row>
    <row r="419" spans="1:13" x14ac:dyDescent="0.25">
      <c r="A419" s="10">
        <v>45369</v>
      </c>
      <c r="B419" s="11">
        <v>0.125</v>
      </c>
      <c r="C419" s="22">
        <v>45369.125</v>
      </c>
      <c r="D419" s="12">
        <v>75.599999999999994</v>
      </c>
      <c r="E419" s="12">
        <v>81.2</v>
      </c>
      <c r="F419" s="12">
        <v>69.7</v>
      </c>
      <c r="G419" s="12" t="s">
        <v>6</v>
      </c>
      <c r="H419" s="12">
        <v>17.2</v>
      </c>
      <c r="I419" s="12">
        <v>23.4</v>
      </c>
      <c r="J419" s="12">
        <v>10.1</v>
      </c>
      <c r="K419" s="12" t="s">
        <v>6</v>
      </c>
      <c r="L419" s="13">
        <v>218</v>
      </c>
      <c r="M419" s="69" t="s">
        <v>6</v>
      </c>
    </row>
    <row r="420" spans="1:13" x14ac:dyDescent="0.25">
      <c r="A420" s="10">
        <v>45369</v>
      </c>
      <c r="B420" s="11">
        <v>0.16666666666666666</v>
      </c>
      <c r="C420" s="22">
        <v>45369.166666666664</v>
      </c>
      <c r="D420" s="12">
        <v>74.599999999999994</v>
      </c>
      <c r="E420" s="12">
        <v>83.1</v>
      </c>
      <c r="F420" s="12">
        <v>57.3</v>
      </c>
      <c r="G420" s="12" t="s">
        <v>6</v>
      </c>
      <c r="H420" s="12">
        <v>20</v>
      </c>
      <c r="I420" s="12">
        <v>26.1</v>
      </c>
      <c r="J420" s="12">
        <v>10</v>
      </c>
      <c r="K420" s="12" t="s">
        <v>6</v>
      </c>
      <c r="L420" s="13">
        <v>185</v>
      </c>
      <c r="M420" s="69" t="s">
        <v>6</v>
      </c>
    </row>
    <row r="421" spans="1:13" x14ac:dyDescent="0.25">
      <c r="A421" s="14">
        <v>45369</v>
      </c>
      <c r="B421" s="15">
        <v>0.20833333333333334</v>
      </c>
      <c r="C421" s="20">
        <v>45369.208333333336</v>
      </c>
      <c r="D421" s="16">
        <v>73.8</v>
      </c>
      <c r="E421" s="16">
        <v>74.2</v>
      </c>
      <c r="F421" s="16">
        <v>73.099999999999994</v>
      </c>
      <c r="G421" s="16" t="s">
        <v>6</v>
      </c>
      <c r="H421" s="16">
        <v>17.600000000000001</v>
      </c>
      <c r="I421" s="16">
        <v>22.4</v>
      </c>
      <c r="J421" s="16">
        <v>11.5</v>
      </c>
      <c r="K421" s="16" t="s">
        <v>6</v>
      </c>
      <c r="L421" s="17">
        <v>9</v>
      </c>
      <c r="M421" s="69" t="s">
        <v>6</v>
      </c>
    </row>
    <row r="422" spans="1:13" x14ac:dyDescent="0.25">
      <c r="A422" s="66">
        <v>45369</v>
      </c>
      <c r="B422" s="68">
        <v>0.83333333333333337</v>
      </c>
      <c r="C422" s="64">
        <v>45369.833333333336</v>
      </c>
      <c r="D422" s="65">
        <v>70</v>
      </c>
      <c r="E422" s="65">
        <v>70.5</v>
      </c>
      <c r="F422" s="65">
        <v>69.8</v>
      </c>
      <c r="G422" s="65" t="s">
        <v>6</v>
      </c>
      <c r="H422" s="65">
        <v>8</v>
      </c>
      <c r="I422" s="65">
        <v>11.2</v>
      </c>
      <c r="J422" s="65">
        <v>4.2</v>
      </c>
      <c r="K422" s="65" t="s">
        <v>6</v>
      </c>
      <c r="L422" s="67">
        <v>3</v>
      </c>
      <c r="M422" s="70" t="s">
        <v>6</v>
      </c>
    </row>
    <row r="423" spans="1:13" x14ac:dyDescent="0.25">
      <c r="A423" s="6">
        <v>45370</v>
      </c>
      <c r="B423" s="7">
        <v>0.91666666666666663</v>
      </c>
      <c r="C423" s="21">
        <v>45370.916666666664</v>
      </c>
      <c r="D423" s="8">
        <v>69.599999999999994</v>
      </c>
      <c r="E423" s="8">
        <v>81.099999999999994</v>
      </c>
      <c r="F423" s="8">
        <v>52.3</v>
      </c>
      <c r="G423" s="8" t="s">
        <v>6</v>
      </c>
      <c r="H423" s="8">
        <v>19.2</v>
      </c>
      <c r="I423" s="8">
        <v>26.2</v>
      </c>
      <c r="J423" s="8">
        <v>6.2</v>
      </c>
      <c r="K423" s="8" t="s">
        <v>6</v>
      </c>
      <c r="L423" s="9">
        <v>166</v>
      </c>
      <c r="M423" s="71" t="s">
        <v>6</v>
      </c>
    </row>
    <row r="424" spans="1:13" x14ac:dyDescent="0.25">
      <c r="A424" s="10">
        <v>45370</v>
      </c>
      <c r="B424" s="11">
        <v>0.95833333333333337</v>
      </c>
      <c r="C424" s="22">
        <v>45370.958333333336</v>
      </c>
      <c r="D424" s="12">
        <v>68.599999999999994</v>
      </c>
      <c r="E424" s="12">
        <v>76</v>
      </c>
      <c r="F424" s="12">
        <v>61.5</v>
      </c>
      <c r="G424" s="12" t="s">
        <v>6</v>
      </c>
      <c r="H424" s="12">
        <v>17.100000000000001</v>
      </c>
      <c r="I424" s="12">
        <v>27</v>
      </c>
      <c r="J424" s="12">
        <v>10</v>
      </c>
      <c r="K424" s="12" t="s">
        <v>6</v>
      </c>
      <c r="L424" s="13">
        <v>212</v>
      </c>
      <c r="M424" s="71" t="s">
        <v>6</v>
      </c>
    </row>
    <row r="425" spans="1:13" x14ac:dyDescent="0.25">
      <c r="A425" s="10">
        <v>45371</v>
      </c>
      <c r="B425" s="11">
        <v>0</v>
      </c>
      <c r="C425" s="22">
        <v>45371</v>
      </c>
      <c r="D425" s="12">
        <v>67.2</v>
      </c>
      <c r="E425" s="12">
        <v>74.900000000000006</v>
      </c>
      <c r="F425" s="12">
        <v>52</v>
      </c>
      <c r="G425" s="12" t="s">
        <v>6</v>
      </c>
      <c r="H425" s="12">
        <v>19.399999999999999</v>
      </c>
      <c r="I425" s="12">
        <v>29.4</v>
      </c>
      <c r="J425" s="12">
        <v>12.8</v>
      </c>
      <c r="K425" s="12" t="s">
        <v>6</v>
      </c>
      <c r="L425" s="13">
        <v>215</v>
      </c>
      <c r="M425" s="71" t="s">
        <v>6</v>
      </c>
    </row>
    <row r="426" spans="1:13" x14ac:dyDescent="0.25">
      <c r="A426" s="10">
        <v>45371</v>
      </c>
      <c r="B426" s="11">
        <v>4.1666666666666664E-2</v>
      </c>
      <c r="C426" s="22">
        <v>45371.041666666664</v>
      </c>
      <c r="D426" s="12">
        <v>69.7</v>
      </c>
      <c r="E426" s="12">
        <v>79.099999999999994</v>
      </c>
      <c r="F426" s="12">
        <v>63.3</v>
      </c>
      <c r="G426" s="12" t="s">
        <v>6</v>
      </c>
      <c r="H426" s="12">
        <v>16.600000000000001</v>
      </c>
      <c r="I426" s="12">
        <v>26</v>
      </c>
      <c r="J426" s="12">
        <v>9</v>
      </c>
      <c r="K426" s="12" t="s">
        <v>6</v>
      </c>
      <c r="L426" s="13">
        <v>196</v>
      </c>
      <c r="M426" s="71" t="s">
        <v>6</v>
      </c>
    </row>
    <row r="427" spans="1:13" x14ac:dyDescent="0.25">
      <c r="A427" s="66">
        <v>45372</v>
      </c>
      <c r="B427" s="68">
        <v>0.91666666666666663</v>
      </c>
      <c r="C427" s="64">
        <v>45372.916666666664</v>
      </c>
      <c r="D427" s="65">
        <v>67.900000000000006</v>
      </c>
      <c r="E427" s="65">
        <v>67.900000000000006</v>
      </c>
      <c r="F427" s="65">
        <v>67.900000000000006</v>
      </c>
      <c r="G427" s="65" t="s">
        <v>6</v>
      </c>
      <c r="H427" s="65">
        <v>4.5999999999999996</v>
      </c>
      <c r="I427" s="65">
        <v>4.5999999999999996</v>
      </c>
      <c r="J427" s="65">
        <v>4.5999999999999996</v>
      </c>
      <c r="K427" s="65" t="s">
        <v>6</v>
      </c>
      <c r="L427" s="65">
        <v>1</v>
      </c>
      <c r="M427" s="67" t="s">
        <v>6</v>
      </c>
    </row>
    <row r="428" spans="1:13" x14ac:dyDescent="0.25">
      <c r="A428" s="6">
        <v>45373</v>
      </c>
      <c r="B428" s="7">
        <v>0.75</v>
      </c>
      <c r="C428" s="21">
        <v>45373.75</v>
      </c>
      <c r="D428" s="8">
        <v>61.1</v>
      </c>
      <c r="E428" s="8">
        <v>61.1</v>
      </c>
      <c r="F428" s="8">
        <v>61.1</v>
      </c>
      <c r="G428" s="8" t="s">
        <v>6</v>
      </c>
      <c r="H428" s="8">
        <v>3.8</v>
      </c>
      <c r="I428" s="8">
        <v>3.8</v>
      </c>
      <c r="J428" s="8">
        <v>3.8</v>
      </c>
      <c r="K428" s="8" t="s">
        <v>6</v>
      </c>
      <c r="L428" s="9">
        <v>1</v>
      </c>
      <c r="M428" s="73" t="s">
        <v>6</v>
      </c>
    </row>
    <row r="429" spans="1:13" x14ac:dyDescent="0.25">
      <c r="A429" s="10">
        <v>45373</v>
      </c>
      <c r="B429" s="11">
        <v>0.83333333333333337</v>
      </c>
      <c r="C429" s="22">
        <v>45373.833333333336</v>
      </c>
      <c r="D429" s="12">
        <v>62.8</v>
      </c>
      <c r="E429" s="12">
        <v>62.8</v>
      </c>
      <c r="F429" s="12">
        <v>62.8</v>
      </c>
      <c r="G429" s="12" t="s">
        <v>6</v>
      </c>
      <c r="H429" s="12">
        <v>7.7</v>
      </c>
      <c r="I429" s="12">
        <v>7.7</v>
      </c>
      <c r="J429" s="12">
        <v>7.7</v>
      </c>
      <c r="K429" s="12" t="s">
        <v>6</v>
      </c>
      <c r="L429" s="13">
        <v>1</v>
      </c>
      <c r="M429" s="73" t="s">
        <v>6</v>
      </c>
    </row>
    <row r="430" spans="1:13" x14ac:dyDescent="0.25">
      <c r="A430" s="10">
        <v>45373</v>
      </c>
      <c r="B430" s="11">
        <v>0.875</v>
      </c>
      <c r="C430" s="22">
        <v>45373.875</v>
      </c>
      <c r="D430" s="12">
        <v>70.8</v>
      </c>
      <c r="E430" s="12">
        <v>76.3</v>
      </c>
      <c r="F430" s="12">
        <v>55.3</v>
      </c>
      <c r="G430" s="12" t="s">
        <v>6</v>
      </c>
      <c r="H430" s="12">
        <v>19.2</v>
      </c>
      <c r="I430" s="12">
        <v>25.4</v>
      </c>
      <c r="J430" s="12">
        <v>9.6999999999999993</v>
      </c>
      <c r="K430" s="12" t="s">
        <v>6</v>
      </c>
      <c r="L430" s="13">
        <v>147</v>
      </c>
      <c r="M430" s="73" t="s">
        <v>6</v>
      </c>
    </row>
    <row r="431" spans="1:13" x14ac:dyDescent="0.25">
      <c r="A431" s="10">
        <v>45373</v>
      </c>
      <c r="B431" s="11">
        <v>0.91666666666666663</v>
      </c>
      <c r="C431" s="22">
        <v>45373.916666666664</v>
      </c>
      <c r="D431" s="12">
        <v>70</v>
      </c>
      <c r="E431" s="12">
        <v>76</v>
      </c>
      <c r="F431" s="12">
        <v>59.8</v>
      </c>
      <c r="G431" s="12" t="s">
        <v>6</v>
      </c>
      <c r="H431" s="12">
        <v>17.8</v>
      </c>
      <c r="I431" s="12">
        <v>25.3</v>
      </c>
      <c r="J431" s="12">
        <v>9.5</v>
      </c>
      <c r="K431" s="12" t="s">
        <v>6</v>
      </c>
      <c r="L431" s="13">
        <v>206</v>
      </c>
      <c r="M431" s="73" t="s">
        <v>6</v>
      </c>
    </row>
    <row r="432" spans="1:13" x14ac:dyDescent="0.25">
      <c r="A432" s="10">
        <v>45373</v>
      </c>
      <c r="B432" s="11">
        <v>0.95833333333333337</v>
      </c>
      <c r="C432" s="22">
        <v>45373.958333333336</v>
      </c>
      <c r="D432" s="12">
        <v>70</v>
      </c>
      <c r="E432" s="12">
        <v>76.2</v>
      </c>
      <c r="F432" s="12">
        <v>65.8</v>
      </c>
      <c r="G432" s="12" t="s">
        <v>6</v>
      </c>
      <c r="H432" s="12">
        <v>16.3</v>
      </c>
      <c r="I432" s="12">
        <v>29.6</v>
      </c>
      <c r="J432" s="12">
        <v>9.3000000000000007</v>
      </c>
      <c r="K432" s="12" t="s">
        <v>6</v>
      </c>
      <c r="L432" s="13">
        <v>223</v>
      </c>
      <c r="M432" s="73" t="s">
        <v>6</v>
      </c>
    </row>
    <row r="433" spans="1:13" x14ac:dyDescent="0.25">
      <c r="A433" s="10">
        <v>45374</v>
      </c>
      <c r="B433" s="11">
        <v>0</v>
      </c>
      <c r="C433" s="22">
        <v>45374</v>
      </c>
      <c r="D433" s="12">
        <v>68.900000000000006</v>
      </c>
      <c r="E433" s="12">
        <v>74.400000000000006</v>
      </c>
      <c r="F433" s="12">
        <v>62.8</v>
      </c>
      <c r="G433" s="12" t="s">
        <v>6</v>
      </c>
      <c r="H433" s="12">
        <v>15.8</v>
      </c>
      <c r="I433" s="12">
        <v>20.6</v>
      </c>
      <c r="J433" s="12">
        <v>9.6</v>
      </c>
      <c r="K433" s="12" t="s">
        <v>6</v>
      </c>
      <c r="L433" s="13">
        <v>216</v>
      </c>
      <c r="M433" s="73" t="s">
        <v>6</v>
      </c>
    </row>
    <row r="434" spans="1:13" x14ac:dyDescent="0.25">
      <c r="A434" s="10">
        <v>45374</v>
      </c>
      <c r="B434" s="11">
        <v>4.1666666666666664E-2</v>
      </c>
      <c r="C434" s="22">
        <v>45374.041666666664</v>
      </c>
      <c r="D434" s="12">
        <v>67.599999999999994</v>
      </c>
      <c r="E434" s="12">
        <v>73.3</v>
      </c>
      <c r="F434" s="12">
        <v>63.2</v>
      </c>
      <c r="G434" s="12" t="s">
        <v>6</v>
      </c>
      <c r="H434" s="12">
        <v>17.7</v>
      </c>
      <c r="I434" s="12">
        <v>21.6</v>
      </c>
      <c r="J434" s="12">
        <v>10.3</v>
      </c>
      <c r="K434" s="12" t="s">
        <v>6</v>
      </c>
      <c r="L434" s="13">
        <v>39</v>
      </c>
      <c r="M434" s="73" t="s">
        <v>6</v>
      </c>
    </row>
    <row r="435" spans="1:13" x14ac:dyDescent="0.25">
      <c r="A435" s="10">
        <v>45374</v>
      </c>
      <c r="B435" s="11">
        <v>0.20833333333333334</v>
      </c>
      <c r="C435" s="22">
        <v>45374.208333333336</v>
      </c>
      <c r="D435" s="12">
        <v>57.3</v>
      </c>
      <c r="E435" s="12">
        <v>68.3</v>
      </c>
      <c r="F435" s="12">
        <v>45.3</v>
      </c>
      <c r="G435" s="12" t="s">
        <v>6</v>
      </c>
      <c r="H435" s="12">
        <v>20.6</v>
      </c>
      <c r="I435" s="12">
        <v>24</v>
      </c>
      <c r="J435" s="12">
        <v>10.8</v>
      </c>
      <c r="K435" s="12" t="s">
        <v>6</v>
      </c>
      <c r="L435" s="13">
        <v>36</v>
      </c>
      <c r="M435" s="73" t="s">
        <v>6</v>
      </c>
    </row>
    <row r="436" spans="1:13" x14ac:dyDescent="0.25">
      <c r="A436" s="10">
        <v>45374</v>
      </c>
      <c r="B436" s="11">
        <v>0.25</v>
      </c>
      <c r="C436" s="22">
        <v>45374.25</v>
      </c>
      <c r="D436" s="12">
        <v>65</v>
      </c>
      <c r="E436" s="12">
        <v>70.900000000000006</v>
      </c>
      <c r="F436" s="12">
        <v>56.1</v>
      </c>
      <c r="G436" s="12" t="s">
        <v>6</v>
      </c>
      <c r="H436" s="12">
        <v>17.3</v>
      </c>
      <c r="I436" s="12">
        <v>30.4</v>
      </c>
      <c r="J436" s="12">
        <v>10.9</v>
      </c>
      <c r="K436" s="12" t="s">
        <v>6</v>
      </c>
      <c r="L436" s="13">
        <v>214</v>
      </c>
      <c r="M436" s="73" t="s">
        <v>6</v>
      </c>
    </row>
    <row r="437" spans="1:13" x14ac:dyDescent="0.25">
      <c r="A437" s="14">
        <v>45374</v>
      </c>
      <c r="B437" s="15">
        <v>0.29166666666666669</v>
      </c>
      <c r="C437" s="20">
        <v>45374.291666666664</v>
      </c>
      <c r="D437" s="16">
        <v>63.3</v>
      </c>
      <c r="E437" s="16">
        <v>71.8</v>
      </c>
      <c r="F437" s="16">
        <v>55.6</v>
      </c>
      <c r="G437" s="16" t="s">
        <v>6</v>
      </c>
      <c r="H437" s="16">
        <v>17.100000000000001</v>
      </c>
      <c r="I437" s="16">
        <v>33.6</v>
      </c>
      <c r="J437" s="16">
        <v>8.4</v>
      </c>
      <c r="K437" s="16" t="s">
        <v>6</v>
      </c>
      <c r="L437" s="17">
        <v>127</v>
      </c>
      <c r="M437" s="73" t="s">
        <v>6</v>
      </c>
    </row>
    <row r="438" spans="1:13" x14ac:dyDescent="0.25">
      <c r="A438" s="6">
        <v>45374</v>
      </c>
      <c r="B438" s="7">
        <v>0.83333333333333337</v>
      </c>
      <c r="C438" s="21">
        <v>45374.833333333336</v>
      </c>
      <c r="D438" s="8">
        <v>67.7</v>
      </c>
      <c r="E438" s="8">
        <v>75.8</v>
      </c>
      <c r="F438" s="8">
        <v>57.4</v>
      </c>
      <c r="G438" s="8" t="s">
        <v>6</v>
      </c>
      <c r="H438" s="8">
        <v>19.399999999999999</v>
      </c>
      <c r="I438" s="8">
        <v>33.299999999999997</v>
      </c>
      <c r="J438" s="8">
        <v>6.4</v>
      </c>
      <c r="K438" s="8" t="s">
        <v>6</v>
      </c>
      <c r="L438" s="9">
        <v>101</v>
      </c>
      <c r="M438" s="73" t="s">
        <v>6</v>
      </c>
    </row>
    <row r="439" spans="1:13" x14ac:dyDescent="0.25">
      <c r="A439" s="10">
        <v>45374</v>
      </c>
      <c r="B439" s="11">
        <v>0.875</v>
      </c>
      <c r="C439" s="22">
        <v>45374.875</v>
      </c>
      <c r="D439" s="12">
        <v>72.2</v>
      </c>
      <c r="E439" s="12">
        <v>81.3</v>
      </c>
      <c r="F439" s="12">
        <v>54</v>
      </c>
      <c r="G439" s="12" t="s">
        <v>6</v>
      </c>
      <c r="H439" s="12">
        <v>19.899999999999999</v>
      </c>
      <c r="I439" s="12">
        <v>29.3</v>
      </c>
      <c r="J439" s="12">
        <v>10.6</v>
      </c>
      <c r="K439" s="12" t="s">
        <v>6</v>
      </c>
      <c r="L439" s="13">
        <v>222</v>
      </c>
      <c r="M439" s="73" t="s">
        <v>6</v>
      </c>
    </row>
    <row r="440" spans="1:13" x14ac:dyDescent="0.25">
      <c r="A440" s="14">
        <v>45374</v>
      </c>
      <c r="B440" s="15">
        <v>0.91666666666666663</v>
      </c>
      <c r="C440" s="20">
        <v>45374.916666666664</v>
      </c>
      <c r="D440" s="16">
        <v>78.099999999999994</v>
      </c>
      <c r="E440" s="16">
        <v>78.7</v>
      </c>
      <c r="F440" s="16">
        <v>77.5</v>
      </c>
      <c r="G440" s="16" t="s">
        <v>6</v>
      </c>
      <c r="H440" s="16">
        <v>18.2</v>
      </c>
      <c r="I440" s="16">
        <v>21.5</v>
      </c>
      <c r="J440" s="16">
        <v>12.7</v>
      </c>
      <c r="K440" s="16" t="s">
        <v>6</v>
      </c>
      <c r="L440" s="17">
        <v>16</v>
      </c>
      <c r="M440" s="73" t="s">
        <v>6</v>
      </c>
    </row>
    <row r="441" spans="1:13" x14ac:dyDescent="0.25">
      <c r="A441" s="6">
        <v>45375</v>
      </c>
      <c r="B441" s="7">
        <v>0.70833333333333337</v>
      </c>
      <c r="C441" s="21">
        <v>45375.708333333336</v>
      </c>
      <c r="D441" s="8">
        <v>64</v>
      </c>
      <c r="E441" s="8">
        <v>64</v>
      </c>
      <c r="F441" s="8">
        <v>64</v>
      </c>
      <c r="G441" s="8" t="s">
        <v>6</v>
      </c>
      <c r="H441" s="8">
        <v>63.1</v>
      </c>
      <c r="I441" s="8">
        <v>63.1</v>
      </c>
      <c r="J441" s="8">
        <v>63.1</v>
      </c>
      <c r="K441" s="8" t="s">
        <v>6</v>
      </c>
      <c r="L441" s="9">
        <v>1</v>
      </c>
      <c r="M441" s="74" t="s">
        <v>6</v>
      </c>
    </row>
    <row r="442" spans="1:13" x14ac:dyDescent="0.25">
      <c r="A442" s="10">
        <v>45375</v>
      </c>
      <c r="B442" s="11">
        <v>0.83333333333333337</v>
      </c>
      <c r="C442" s="22">
        <v>45375.833333333336</v>
      </c>
      <c r="D442" s="12">
        <v>74.5</v>
      </c>
      <c r="E442" s="12">
        <v>74.5</v>
      </c>
      <c r="F442" s="12">
        <v>74.5</v>
      </c>
      <c r="G442" s="12" t="s">
        <v>6</v>
      </c>
      <c r="H442" s="12">
        <v>18.100000000000001</v>
      </c>
      <c r="I442" s="12">
        <v>18.100000000000001</v>
      </c>
      <c r="J442" s="12">
        <v>18.100000000000001</v>
      </c>
      <c r="K442" s="12" t="s">
        <v>6</v>
      </c>
      <c r="L442" s="13">
        <v>1</v>
      </c>
      <c r="M442" s="74" t="s">
        <v>6</v>
      </c>
    </row>
    <row r="443" spans="1:13" x14ac:dyDescent="0.25">
      <c r="A443" s="10">
        <v>45375</v>
      </c>
      <c r="B443" s="11">
        <v>0.875</v>
      </c>
      <c r="C443" s="22">
        <v>45375.875</v>
      </c>
      <c r="D443" s="12">
        <v>64.900000000000006</v>
      </c>
      <c r="E443" s="12">
        <v>75.099999999999994</v>
      </c>
      <c r="F443" s="12">
        <v>53.3</v>
      </c>
      <c r="G443" s="12" t="s">
        <v>6</v>
      </c>
      <c r="H443" s="12">
        <v>18.899999999999999</v>
      </c>
      <c r="I443" s="12">
        <v>23.5</v>
      </c>
      <c r="J443" s="12">
        <v>10.7</v>
      </c>
      <c r="K443" s="12" t="s">
        <v>6</v>
      </c>
      <c r="L443" s="13">
        <v>41</v>
      </c>
      <c r="M443" s="74" t="s">
        <v>6</v>
      </c>
    </row>
    <row r="444" spans="1:13" x14ac:dyDescent="0.25">
      <c r="A444" s="10">
        <v>45375</v>
      </c>
      <c r="B444" s="11">
        <v>0.91666666666666663</v>
      </c>
      <c r="C444" s="22">
        <v>45375.916666666664</v>
      </c>
      <c r="D444" s="12">
        <v>71.2</v>
      </c>
      <c r="E444" s="12">
        <v>79.7</v>
      </c>
      <c r="F444" s="12">
        <v>62.1</v>
      </c>
      <c r="G444" s="12" t="s">
        <v>6</v>
      </c>
      <c r="H444" s="12">
        <v>15.4</v>
      </c>
      <c r="I444" s="12">
        <v>23.3</v>
      </c>
      <c r="J444" s="12">
        <v>9.6</v>
      </c>
      <c r="K444" s="12" t="s">
        <v>6</v>
      </c>
      <c r="L444" s="13">
        <v>150</v>
      </c>
      <c r="M444" s="74" t="s">
        <v>6</v>
      </c>
    </row>
    <row r="445" spans="1:13" x14ac:dyDescent="0.25">
      <c r="A445" s="10">
        <v>45375</v>
      </c>
      <c r="B445" s="11">
        <v>0.95833333333333337</v>
      </c>
      <c r="C445" s="22">
        <v>45375.958333333336</v>
      </c>
      <c r="D445" s="12">
        <v>63.8</v>
      </c>
      <c r="E445" s="12">
        <v>64.2</v>
      </c>
      <c r="F445" s="12">
        <v>63.3</v>
      </c>
      <c r="G445" s="12" t="s">
        <v>6</v>
      </c>
      <c r="H445" s="12">
        <v>8.8000000000000007</v>
      </c>
      <c r="I445" s="12">
        <v>9</v>
      </c>
      <c r="J445" s="12">
        <v>8.6</v>
      </c>
      <c r="K445" s="12" t="s">
        <v>6</v>
      </c>
      <c r="L445" s="13">
        <v>2</v>
      </c>
      <c r="M445" s="74" t="s">
        <v>6</v>
      </c>
    </row>
    <row r="446" spans="1:13" x14ac:dyDescent="0.25">
      <c r="A446" s="14">
        <v>45376</v>
      </c>
      <c r="B446" s="15">
        <v>4.1666666666666664E-2</v>
      </c>
      <c r="C446" s="20">
        <v>45376.041666666664</v>
      </c>
      <c r="D446" s="16">
        <v>65.900000000000006</v>
      </c>
      <c r="E446" s="16">
        <v>65.900000000000006</v>
      </c>
      <c r="F446" s="16">
        <v>65.900000000000006</v>
      </c>
      <c r="G446" s="16" t="s">
        <v>6</v>
      </c>
      <c r="H446" s="16">
        <v>8.4</v>
      </c>
      <c r="I446" s="16">
        <v>8.4</v>
      </c>
      <c r="J446" s="16">
        <v>8.4</v>
      </c>
      <c r="K446" s="16" t="s">
        <v>6</v>
      </c>
      <c r="L446" s="17">
        <v>1</v>
      </c>
      <c r="M446" s="74" t="s">
        <v>6</v>
      </c>
    </row>
    <row r="447" spans="1:13" x14ac:dyDescent="0.25">
      <c r="A447" s="6">
        <v>45377</v>
      </c>
      <c r="B447" s="7">
        <v>4.1666666666666664E-2</v>
      </c>
      <c r="C447" s="21">
        <v>45377.041666666664</v>
      </c>
      <c r="D447" s="8">
        <v>63.4</v>
      </c>
      <c r="E447" s="8">
        <v>73.7</v>
      </c>
      <c r="F447" s="8">
        <v>53.3</v>
      </c>
      <c r="G447" s="8" t="s">
        <v>6</v>
      </c>
      <c r="H447" s="8">
        <v>19.2</v>
      </c>
      <c r="I447" s="8">
        <v>26.3</v>
      </c>
      <c r="J447" s="8">
        <v>5.6</v>
      </c>
      <c r="K447" s="8" t="s">
        <v>6</v>
      </c>
      <c r="L447" s="9">
        <v>113</v>
      </c>
      <c r="M447" s="75" t="s">
        <v>6</v>
      </c>
    </row>
    <row r="448" spans="1:13" x14ac:dyDescent="0.25">
      <c r="A448" s="10">
        <v>45377</v>
      </c>
      <c r="B448" s="11">
        <v>8.3333333333333329E-2</v>
      </c>
      <c r="C448" s="22">
        <v>45377.083333333336</v>
      </c>
      <c r="D448" s="12">
        <v>70.8</v>
      </c>
      <c r="E448" s="12">
        <v>78</v>
      </c>
      <c r="F448" s="12">
        <v>60.1</v>
      </c>
      <c r="G448" s="12" t="s">
        <v>6</v>
      </c>
      <c r="H448" s="12">
        <v>16.7</v>
      </c>
      <c r="I448" s="12">
        <v>24.1</v>
      </c>
      <c r="J448" s="12">
        <v>8.6999999999999993</v>
      </c>
      <c r="K448" s="12" t="s">
        <v>6</v>
      </c>
      <c r="L448" s="13">
        <v>224</v>
      </c>
      <c r="M448" s="75" t="s">
        <v>6</v>
      </c>
    </row>
    <row r="449" spans="1:13" x14ac:dyDescent="0.25">
      <c r="A449" s="10">
        <v>45377</v>
      </c>
      <c r="B449" s="11">
        <v>0.125</v>
      </c>
      <c r="C449" s="22">
        <v>45377.125</v>
      </c>
      <c r="D449" s="12">
        <v>73.7</v>
      </c>
      <c r="E449" s="12">
        <v>79.099999999999994</v>
      </c>
      <c r="F449" s="12">
        <v>69.2</v>
      </c>
      <c r="G449" s="12" t="s">
        <v>6</v>
      </c>
      <c r="H449" s="12">
        <v>14.7</v>
      </c>
      <c r="I449" s="12">
        <v>19.600000000000001</v>
      </c>
      <c r="J449" s="12">
        <v>8.6</v>
      </c>
      <c r="K449" s="12" t="s">
        <v>6</v>
      </c>
      <c r="L449" s="13">
        <v>79</v>
      </c>
      <c r="M449" s="75" t="s">
        <v>6</v>
      </c>
    </row>
    <row r="450" spans="1:13" x14ac:dyDescent="0.25">
      <c r="A450" s="14">
        <v>45377</v>
      </c>
      <c r="B450" s="15">
        <v>0.83333333333333337</v>
      </c>
      <c r="C450" s="20">
        <v>45377.833333333336</v>
      </c>
      <c r="D450" s="16">
        <v>69.099999999999994</v>
      </c>
      <c r="E450" s="16">
        <v>69.099999999999994</v>
      </c>
      <c r="F450" s="16">
        <v>69.099999999999994</v>
      </c>
      <c r="G450" s="16" t="s">
        <v>6</v>
      </c>
      <c r="H450" s="16">
        <v>7.5</v>
      </c>
      <c r="I450" s="16">
        <v>7.5</v>
      </c>
      <c r="J450" s="16">
        <v>7.5</v>
      </c>
      <c r="K450" s="16" t="s">
        <v>6</v>
      </c>
      <c r="L450" s="17">
        <v>1</v>
      </c>
      <c r="M450" s="76" t="s">
        <v>6</v>
      </c>
    </row>
    <row r="451" spans="1:13" x14ac:dyDescent="0.25">
      <c r="A451" s="6">
        <v>45378</v>
      </c>
      <c r="B451" s="7">
        <v>0.91666666666666663</v>
      </c>
      <c r="C451" s="21">
        <v>45378.916666666664</v>
      </c>
      <c r="D451" s="8">
        <v>65</v>
      </c>
      <c r="E451" s="8">
        <v>80.2</v>
      </c>
      <c r="F451" s="8">
        <v>50.1</v>
      </c>
      <c r="G451" s="8" t="s">
        <v>6</v>
      </c>
      <c r="H451" s="8">
        <v>19.5</v>
      </c>
      <c r="I451" s="8">
        <v>27.7</v>
      </c>
      <c r="J451" s="8">
        <v>9.6999999999999993</v>
      </c>
      <c r="K451" s="8" t="s">
        <v>6</v>
      </c>
      <c r="L451" s="9">
        <v>128</v>
      </c>
      <c r="M451" s="77" t="s">
        <v>6</v>
      </c>
    </row>
    <row r="452" spans="1:13" x14ac:dyDescent="0.25">
      <c r="A452" s="14">
        <v>45378</v>
      </c>
      <c r="B452" s="15">
        <v>0.95833333333333337</v>
      </c>
      <c r="C452" s="20">
        <v>45378.958333333336</v>
      </c>
      <c r="D452" s="16">
        <v>73.8</v>
      </c>
      <c r="E452" s="16">
        <v>84.4</v>
      </c>
      <c r="F452" s="16">
        <v>62.3</v>
      </c>
      <c r="G452" s="16" t="s">
        <v>6</v>
      </c>
      <c r="H452" s="16">
        <v>18.3</v>
      </c>
      <c r="I452" s="16">
        <v>25.7</v>
      </c>
      <c r="J452" s="16">
        <v>11.6</v>
      </c>
      <c r="K452" s="16" t="s">
        <v>6</v>
      </c>
      <c r="L452" s="17">
        <v>95</v>
      </c>
      <c r="M452" s="77" t="s">
        <v>6</v>
      </c>
    </row>
    <row r="453" spans="1:13" x14ac:dyDescent="0.25">
      <c r="A453" s="6">
        <v>45379</v>
      </c>
      <c r="B453" s="7">
        <v>0.75</v>
      </c>
      <c r="C453" s="21">
        <v>45379.75</v>
      </c>
      <c r="D453" s="8">
        <v>67.400000000000006</v>
      </c>
      <c r="E453" s="8">
        <v>67.400000000000006</v>
      </c>
      <c r="F453" s="8">
        <v>67.400000000000006</v>
      </c>
      <c r="G453" s="8" t="s">
        <v>6</v>
      </c>
      <c r="H453" s="8">
        <v>4</v>
      </c>
      <c r="I453" s="8">
        <v>4</v>
      </c>
      <c r="J453" s="8">
        <v>4</v>
      </c>
      <c r="K453" s="8" t="s">
        <v>6</v>
      </c>
      <c r="L453" s="9">
        <v>1</v>
      </c>
      <c r="M453" s="78" t="s">
        <v>6</v>
      </c>
    </row>
    <row r="454" spans="1:13" x14ac:dyDescent="0.25">
      <c r="A454" s="10">
        <v>45379</v>
      </c>
      <c r="B454" s="11">
        <v>0.83333333333333337</v>
      </c>
      <c r="C454" s="22">
        <v>45379.833333333336</v>
      </c>
      <c r="D454" s="12">
        <v>69.8</v>
      </c>
      <c r="E454" s="12">
        <v>69.8</v>
      </c>
      <c r="F454" s="12">
        <v>69.8</v>
      </c>
      <c r="G454" s="12" t="s">
        <v>6</v>
      </c>
      <c r="H454" s="12">
        <v>6.1</v>
      </c>
      <c r="I454" s="12">
        <v>6.1</v>
      </c>
      <c r="J454" s="12">
        <v>6.1</v>
      </c>
      <c r="K454" s="12" t="s">
        <v>6</v>
      </c>
      <c r="L454" s="13">
        <v>1</v>
      </c>
      <c r="M454" s="78" t="s">
        <v>6</v>
      </c>
    </row>
    <row r="455" spans="1:13" x14ac:dyDescent="0.25">
      <c r="A455" s="10">
        <v>45379</v>
      </c>
      <c r="B455" s="11">
        <v>0.875</v>
      </c>
      <c r="C455" s="22">
        <v>45379.875</v>
      </c>
      <c r="D455" s="12">
        <v>68.3</v>
      </c>
      <c r="E455" s="12">
        <v>81.099999999999994</v>
      </c>
      <c r="F455" s="12">
        <v>55.3</v>
      </c>
      <c r="G455" s="12" t="s">
        <v>6</v>
      </c>
      <c r="H455" s="12">
        <v>22.4</v>
      </c>
      <c r="I455" s="12">
        <v>28.6</v>
      </c>
      <c r="J455" s="12">
        <v>11.7</v>
      </c>
      <c r="K455" s="12" t="s">
        <v>6</v>
      </c>
      <c r="L455" s="13">
        <v>80</v>
      </c>
      <c r="M455" s="78" t="s">
        <v>6</v>
      </c>
    </row>
    <row r="456" spans="1:13" x14ac:dyDescent="0.25">
      <c r="A456" s="10">
        <v>45379</v>
      </c>
      <c r="B456" s="11">
        <v>0.91666666666666663</v>
      </c>
      <c r="C456" s="22">
        <v>45379.916666666664</v>
      </c>
      <c r="D456" s="12">
        <v>74</v>
      </c>
      <c r="E456" s="12">
        <v>81.7</v>
      </c>
      <c r="F456" s="12">
        <v>61.7</v>
      </c>
      <c r="G456" s="12" t="s">
        <v>6</v>
      </c>
      <c r="H456" s="12">
        <v>17.3</v>
      </c>
      <c r="I456" s="12">
        <v>27</v>
      </c>
      <c r="J456" s="12">
        <v>7</v>
      </c>
      <c r="K456" s="12" t="s">
        <v>6</v>
      </c>
      <c r="L456" s="13">
        <v>221</v>
      </c>
      <c r="M456" s="78" t="s">
        <v>6</v>
      </c>
    </row>
    <row r="457" spans="1:13" x14ac:dyDescent="0.25">
      <c r="A457" s="10">
        <v>45379</v>
      </c>
      <c r="B457" s="11">
        <v>0.95833333333333337</v>
      </c>
      <c r="C457" s="22">
        <v>45379.958333333336</v>
      </c>
      <c r="D457" s="12">
        <v>76.7</v>
      </c>
      <c r="E457" s="12">
        <v>85</v>
      </c>
      <c r="F457" s="12">
        <v>69.7</v>
      </c>
      <c r="G457" s="12" t="s">
        <v>6</v>
      </c>
      <c r="H457" s="12">
        <v>15.7</v>
      </c>
      <c r="I457" s="12">
        <v>21.9</v>
      </c>
      <c r="J457" s="12">
        <v>8.4</v>
      </c>
      <c r="K457" s="12" t="s">
        <v>6</v>
      </c>
      <c r="L457" s="13">
        <v>215</v>
      </c>
      <c r="M457" s="78" t="s">
        <v>6</v>
      </c>
    </row>
    <row r="458" spans="1:13" x14ac:dyDescent="0.25">
      <c r="A458" s="10">
        <v>45380</v>
      </c>
      <c r="B458" s="11">
        <v>0</v>
      </c>
      <c r="C458" s="22">
        <v>45380</v>
      </c>
      <c r="D458" s="12">
        <v>77</v>
      </c>
      <c r="E458" s="12">
        <v>82.6</v>
      </c>
      <c r="F458" s="12">
        <v>69.099999999999994</v>
      </c>
      <c r="G458" s="12" t="s">
        <v>6</v>
      </c>
      <c r="H458" s="12">
        <v>13.1</v>
      </c>
      <c r="I458" s="12">
        <v>24.3</v>
      </c>
      <c r="J458" s="12">
        <v>7</v>
      </c>
      <c r="K458" s="12" t="s">
        <v>6</v>
      </c>
      <c r="L458" s="13">
        <v>216</v>
      </c>
      <c r="M458" s="78" t="s">
        <v>6</v>
      </c>
    </row>
    <row r="459" spans="1:13" x14ac:dyDescent="0.25">
      <c r="A459" s="10">
        <v>45380</v>
      </c>
      <c r="B459" s="11">
        <v>4.1666666666666664E-2</v>
      </c>
      <c r="C459" s="22">
        <v>45380.041666666664</v>
      </c>
      <c r="D459" s="12">
        <v>74</v>
      </c>
      <c r="E459" s="12">
        <v>80.900000000000006</v>
      </c>
      <c r="F459" s="12">
        <v>60.4</v>
      </c>
      <c r="G459" s="12" t="s">
        <v>6</v>
      </c>
      <c r="H459" s="12">
        <v>14.8</v>
      </c>
      <c r="I459" s="12">
        <v>23.6</v>
      </c>
      <c r="J459" s="12">
        <v>7.1</v>
      </c>
      <c r="K459" s="12" t="s">
        <v>6</v>
      </c>
      <c r="L459" s="13">
        <v>218</v>
      </c>
      <c r="M459" s="78" t="s">
        <v>6</v>
      </c>
    </row>
    <row r="460" spans="1:13" x14ac:dyDescent="0.25">
      <c r="A460" s="10">
        <v>45380</v>
      </c>
      <c r="B460" s="11">
        <v>8.3333333333333329E-2</v>
      </c>
      <c r="C460" s="22">
        <v>45380.083333333336</v>
      </c>
      <c r="D460" s="12">
        <v>75.7</v>
      </c>
      <c r="E460" s="12">
        <v>82.8</v>
      </c>
      <c r="F460" s="12">
        <v>66.900000000000006</v>
      </c>
      <c r="G460" s="12" t="s">
        <v>6</v>
      </c>
      <c r="H460" s="12">
        <v>16.100000000000001</v>
      </c>
      <c r="I460" s="12">
        <v>24.4</v>
      </c>
      <c r="J460" s="12">
        <v>8.1999999999999993</v>
      </c>
      <c r="K460" s="12" t="s">
        <v>6</v>
      </c>
      <c r="L460" s="13">
        <v>219</v>
      </c>
      <c r="M460" s="78" t="s">
        <v>6</v>
      </c>
    </row>
    <row r="461" spans="1:13" x14ac:dyDescent="0.25">
      <c r="A461" s="10">
        <v>45380</v>
      </c>
      <c r="B461" s="11">
        <v>0.125</v>
      </c>
      <c r="C461" s="22">
        <v>45380.125</v>
      </c>
      <c r="D461" s="12">
        <v>73.2</v>
      </c>
      <c r="E461" s="12">
        <v>79.7</v>
      </c>
      <c r="F461" s="12">
        <v>62.3</v>
      </c>
      <c r="G461" s="12" t="s">
        <v>6</v>
      </c>
      <c r="H461" s="12">
        <v>16</v>
      </c>
      <c r="I461" s="12">
        <v>23.3</v>
      </c>
      <c r="J461" s="12">
        <v>8.6</v>
      </c>
      <c r="K461" s="12" t="s">
        <v>6</v>
      </c>
      <c r="L461" s="13">
        <v>212</v>
      </c>
      <c r="M461" s="78" t="s">
        <v>6</v>
      </c>
    </row>
    <row r="462" spans="1:13" x14ac:dyDescent="0.25">
      <c r="A462" s="10">
        <v>45380</v>
      </c>
      <c r="B462" s="11">
        <v>0.16666666666666666</v>
      </c>
      <c r="C462" s="22">
        <v>45380.166666666664</v>
      </c>
      <c r="D462" s="12">
        <v>75.599999999999994</v>
      </c>
      <c r="E462" s="12">
        <v>83.6</v>
      </c>
      <c r="F462" s="12">
        <v>68.2</v>
      </c>
      <c r="G462" s="12" t="s">
        <v>6</v>
      </c>
      <c r="H462" s="12">
        <v>15.1</v>
      </c>
      <c r="I462" s="12">
        <v>22.6</v>
      </c>
      <c r="J462" s="12">
        <v>7.5</v>
      </c>
      <c r="K462" s="12" t="s">
        <v>6</v>
      </c>
      <c r="L462" s="13">
        <v>214</v>
      </c>
      <c r="M462" s="78" t="s">
        <v>6</v>
      </c>
    </row>
    <row r="463" spans="1:13" x14ac:dyDescent="0.25">
      <c r="A463" s="10">
        <v>45380</v>
      </c>
      <c r="B463" s="11">
        <v>0.20833333333333334</v>
      </c>
      <c r="C463" s="22">
        <v>45380.208333333336</v>
      </c>
      <c r="D463" s="12">
        <v>74.599999999999994</v>
      </c>
      <c r="E463" s="12">
        <v>81.5</v>
      </c>
      <c r="F463" s="12">
        <v>63.7</v>
      </c>
      <c r="G463" s="12" t="s">
        <v>6</v>
      </c>
      <c r="H463" s="12">
        <v>18.5</v>
      </c>
      <c r="I463" s="12">
        <v>25.8</v>
      </c>
      <c r="J463" s="12">
        <v>12.5</v>
      </c>
      <c r="K463" s="12" t="s">
        <v>6</v>
      </c>
      <c r="L463" s="13">
        <v>102</v>
      </c>
      <c r="M463" s="78" t="s">
        <v>6</v>
      </c>
    </row>
    <row r="464" spans="1:13" x14ac:dyDescent="0.25">
      <c r="A464" s="14">
        <v>45380</v>
      </c>
      <c r="B464" s="15">
        <v>0.29166666666666669</v>
      </c>
      <c r="C464" s="20">
        <v>45380.291666666664</v>
      </c>
      <c r="D464" s="16">
        <v>56.3</v>
      </c>
      <c r="E464" s="16">
        <v>56.3</v>
      </c>
      <c r="F464" s="16">
        <v>56.3</v>
      </c>
      <c r="G464" s="16" t="s">
        <v>6</v>
      </c>
      <c r="H464" s="16">
        <v>3.3</v>
      </c>
      <c r="I464" s="16">
        <v>3.3</v>
      </c>
      <c r="J464" s="16">
        <v>3.3</v>
      </c>
      <c r="K464" s="16" t="s">
        <v>6</v>
      </c>
      <c r="L464" s="17">
        <v>1</v>
      </c>
      <c r="M464" s="78" t="s">
        <v>6</v>
      </c>
    </row>
    <row r="465" spans="1:13" x14ac:dyDescent="0.25">
      <c r="A465" s="80">
        <v>45380</v>
      </c>
      <c r="B465" s="7">
        <v>0.875</v>
      </c>
      <c r="C465" s="21">
        <v>45380.875</v>
      </c>
      <c r="D465" s="8">
        <v>44.4</v>
      </c>
      <c r="E465" s="8">
        <v>56.2</v>
      </c>
      <c r="F465" s="8">
        <v>41.9</v>
      </c>
      <c r="G465" s="8" t="s">
        <v>6</v>
      </c>
      <c r="H465" s="8">
        <v>21.6</v>
      </c>
      <c r="I465" s="8">
        <v>29.4</v>
      </c>
      <c r="J465" s="8">
        <v>14.3</v>
      </c>
      <c r="K465" s="8" t="s">
        <v>6</v>
      </c>
      <c r="L465" s="8">
        <v>132</v>
      </c>
      <c r="M465" s="82" t="s">
        <v>6</v>
      </c>
    </row>
    <row r="466" spans="1:13" x14ac:dyDescent="0.25">
      <c r="A466" s="79">
        <v>45380</v>
      </c>
      <c r="B466" s="11">
        <v>0.91666666666666663</v>
      </c>
      <c r="C466" s="22">
        <v>45380.916666666664</v>
      </c>
      <c r="D466" s="12">
        <v>44.4</v>
      </c>
      <c r="E466" s="12">
        <v>68.599999999999994</v>
      </c>
      <c r="F466" s="12">
        <v>41.8</v>
      </c>
      <c r="G466" s="12" t="s">
        <v>6</v>
      </c>
      <c r="H466" s="12">
        <v>17</v>
      </c>
      <c r="I466" s="12">
        <v>26.5</v>
      </c>
      <c r="J466" s="12">
        <v>8.3000000000000007</v>
      </c>
      <c r="K466" s="12" t="s">
        <v>6</v>
      </c>
      <c r="L466" s="12">
        <v>143</v>
      </c>
      <c r="M466" s="82" t="s">
        <v>6</v>
      </c>
    </row>
    <row r="467" spans="1:13" x14ac:dyDescent="0.25">
      <c r="A467" s="79">
        <v>45381</v>
      </c>
      <c r="B467" s="11">
        <v>0.16666666666666666</v>
      </c>
      <c r="C467" s="22">
        <v>45381.166666666664</v>
      </c>
      <c r="D467" s="12">
        <v>59.6</v>
      </c>
      <c r="E467" s="12">
        <v>68.7</v>
      </c>
      <c r="F467" s="12">
        <v>40.700000000000003</v>
      </c>
      <c r="G467" s="12" t="s">
        <v>6</v>
      </c>
      <c r="H467" s="12">
        <v>19.8</v>
      </c>
      <c r="I467" s="12">
        <v>33.6</v>
      </c>
      <c r="J467" s="12">
        <v>13.1</v>
      </c>
      <c r="K467" s="12" t="s">
        <v>6</v>
      </c>
      <c r="L467" s="12">
        <v>154</v>
      </c>
      <c r="M467" s="82" t="s">
        <v>6</v>
      </c>
    </row>
    <row r="468" spans="1:13" x14ac:dyDescent="0.25">
      <c r="A468" s="81">
        <v>45381</v>
      </c>
      <c r="B468" s="15">
        <v>0.20833333333333334</v>
      </c>
      <c r="C468" s="20">
        <v>45381.208333333336</v>
      </c>
      <c r="D468" s="16">
        <v>41.1</v>
      </c>
      <c r="E468" s="16">
        <v>43.5</v>
      </c>
      <c r="F468" s="16">
        <v>40.1</v>
      </c>
      <c r="G468" s="16" t="s">
        <v>6</v>
      </c>
      <c r="H468" s="16">
        <v>20.100000000000001</v>
      </c>
      <c r="I468" s="16">
        <v>24</v>
      </c>
      <c r="J468" s="16">
        <v>16.3</v>
      </c>
      <c r="K468" s="16" t="s">
        <v>6</v>
      </c>
      <c r="L468" s="16">
        <v>21</v>
      </c>
      <c r="M468" s="82" t="s">
        <v>6</v>
      </c>
    </row>
    <row r="469" spans="1:13" x14ac:dyDescent="0.25">
      <c r="A469" s="80">
        <v>45381</v>
      </c>
      <c r="B469" s="7">
        <v>0.58333333333333337</v>
      </c>
      <c r="C469" s="21">
        <v>45381.583333333336</v>
      </c>
      <c r="D469" s="8">
        <v>72.599999999999994</v>
      </c>
      <c r="E469" s="8">
        <v>72.599999999999994</v>
      </c>
      <c r="F469" s="8">
        <v>72.599999999999994</v>
      </c>
      <c r="G469" s="8" t="s">
        <v>6</v>
      </c>
      <c r="H469" s="8">
        <v>3.1</v>
      </c>
      <c r="I469" s="8">
        <v>3.1</v>
      </c>
      <c r="J469" s="8">
        <v>3.1</v>
      </c>
      <c r="K469" s="8" t="s">
        <v>6</v>
      </c>
      <c r="L469" s="8">
        <v>1</v>
      </c>
      <c r="M469" s="82" t="s">
        <v>6</v>
      </c>
    </row>
    <row r="470" spans="1:13" x14ac:dyDescent="0.25">
      <c r="A470" s="79">
        <v>45381</v>
      </c>
      <c r="B470" s="11">
        <v>0.625</v>
      </c>
      <c r="C470" s="22">
        <v>45381.625</v>
      </c>
      <c r="D470" s="12">
        <v>66.7</v>
      </c>
      <c r="E470" s="12">
        <v>74.3</v>
      </c>
      <c r="F470" s="12">
        <v>52.8</v>
      </c>
      <c r="G470" s="12" t="s">
        <v>6</v>
      </c>
      <c r="H470" s="12">
        <v>21.9</v>
      </c>
      <c r="I470" s="12">
        <v>25.7</v>
      </c>
      <c r="J470" s="12">
        <v>5.8</v>
      </c>
      <c r="K470" s="12" t="s">
        <v>6</v>
      </c>
      <c r="L470" s="12">
        <v>50</v>
      </c>
      <c r="M470" s="82" t="s">
        <v>6</v>
      </c>
    </row>
    <row r="471" spans="1:13" x14ac:dyDescent="0.25">
      <c r="A471" s="79">
        <v>45381</v>
      </c>
      <c r="B471" s="11">
        <v>0.66666666666666663</v>
      </c>
      <c r="C471" s="22">
        <v>45381.666666666664</v>
      </c>
      <c r="D471" s="12">
        <v>68.400000000000006</v>
      </c>
      <c r="E471" s="12">
        <v>76.2</v>
      </c>
      <c r="F471" s="12">
        <v>54.2</v>
      </c>
      <c r="G471" s="12" t="s">
        <v>6</v>
      </c>
      <c r="H471" s="12">
        <v>17.600000000000001</v>
      </c>
      <c r="I471" s="12">
        <v>30.1</v>
      </c>
      <c r="J471" s="12">
        <v>9</v>
      </c>
      <c r="K471" s="12" t="s">
        <v>6</v>
      </c>
      <c r="L471" s="12">
        <v>215</v>
      </c>
      <c r="M471" s="82" t="s">
        <v>6</v>
      </c>
    </row>
    <row r="472" spans="1:13" x14ac:dyDescent="0.25">
      <c r="A472" s="79">
        <v>45381</v>
      </c>
      <c r="B472" s="11">
        <v>0.70833333333333337</v>
      </c>
      <c r="C472" s="22">
        <v>45381.708333333336</v>
      </c>
      <c r="D472" s="12">
        <v>70.400000000000006</v>
      </c>
      <c r="E472" s="12">
        <v>74.8</v>
      </c>
      <c r="F472" s="12">
        <v>66.900000000000006</v>
      </c>
      <c r="G472" s="12" t="s">
        <v>6</v>
      </c>
      <c r="H472" s="12">
        <v>15.5</v>
      </c>
      <c r="I472" s="12">
        <v>22.2</v>
      </c>
      <c r="J472" s="12">
        <v>8.9</v>
      </c>
      <c r="K472" s="12" t="s">
        <v>6</v>
      </c>
      <c r="L472" s="12">
        <v>62</v>
      </c>
      <c r="M472" s="82" t="s">
        <v>6</v>
      </c>
    </row>
    <row r="473" spans="1:13" x14ac:dyDescent="0.25">
      <c r="A473" s="79">
        <v>45381</v>
      </c>
      <c r="B473" s="11">
        <v>0.91666666666666663</v>
      </c>
      <c r="C473" s="22">
        <v>45381.916666666664</v>
      </c>
      <c r="D473" s="12">
        <v>68.599999999999994</v>
      </c>
      <c r="E473" s="12">
        <v>77.7</v>
      </c>
      <c r="F473" s="12">
        <v>57.9</v>
      </c>
      <c r="G473" s="12" t="s">
        <v>6</v>
      </c>
      <c r="H473" s="12">
        <v>20.8</v>
      </c>
      <c r="I473" s="12">
        <v>27.9</v>
      </c>
      <c r="J473" s="12">
        <v>9.6</v>
      </c>
      <c r="K473" s="12" t="s">
        <v>6</v>
      </c>
      <c r="L473" s="12">
        <v>135</v>
      </c>
      <c r="M473" s="82" t="s">
        <v>6</v>
      </c>
    </row>
    <row r="474" spans="1:13" x14ac:dyDescent="0.25">
      <c r="A474" s="79">
        <v>45381</v>
      </c>
      <c r="B474" s="11">
        <v>0.95833333333333337</v>
      </c>
      <c r="C474" s="22">
        <v>45381.958333333336</v>
      </c>
      <c r="D474" s="12">
        <v>59.3</v>
      </c>
      <c r="E474" s="12">
        <v>59.3</v>
      </c>
      <c r="F474" s="12">
        <v>59.3</v>
      </c>
      <c r="G474" s="12" t="s">
        <v>6</v>
      </c>
      <c r="H474" s="12">
        <v>3.9</v>
      </c>
      <c r="I474" s="12">
        <v>3.9</v>
      </c>
      <c r="J474" s="12">
        <v>3.9</v>
      </c>
      <c r="K474" s="12" t="s">
        <v>6</v>
      </c>
      <c r="L474" s="12">
        <v>1</v>
      </c>
      <c r="M474" s="82" t="s">
        <v>6</v>
      </c>
    </row>
    <row r="475" spans="1:13" x14ac:dyDescent="0.25">
      <c r="A475" s="79">
        <v>45382</v>
      </c>
      <c r="B475" s="11">
        <v>4.1666666666666664E-2</v>
      </c>
      <c r="C475" s="22">
        <v>45382.041666666664</v>
      </c>
      <c r="D475" s="12">
        <v>65.599999999999994</v>
      </c>
      <c r="E475" s="12">
        <v>74.7</v>
      </c>
      <c r="F475" s="12">
        <v>57.2</v>
      </c>
      <c r="G475" s="12" t="s">
        <v>6</v>
      </c>
      <c r="H475" s="12">
        <v>21.2</v>
      </c>
      <c r="I475" s="12">
        <v>24.5</v>
      </c>
      <c r="J475" s="12">
        <v>12.6</v>
      </c>
      <c r="K475" s="12" t="s">
        <v>6</v>
      </c>
      <c r="L475" s="12">
        <v>47</v>
      </c>
      <c r="M475" s="82" t="s">
        <v>6</v>
      </c>
    </row>
    <row r="476" spans="1:13" x14ac:dyDescent="0.25">
      <c r="A476" s="81">
        <v>45382</v>
      </c>
      <c r="B476" s="15">
        <v>8.3333333333333329E-2</v>
      </c>
      <c r="C476" s="20">
        <v>45382.083333333336</v>
      </c>
      <c r="D476" s="16">
        <v>73</v>
      </c>
      <c r="E476" s="16">
        <v>78.5</v>
      </c>
      <c r="F476" s="16">
        <v>66.400000000000006</v>
      </c>
      <c r="G476" s="16" t="s">
        <v>6</v>
      </c>
      <c r="H476" s="16">
        <v>17.8</v>
      </c>
      <c r="I476" s="16">
        <v>26.1</v>
      </c>
      <c r="J476" s="16">
        <v>8.8000000000000007</v>
      </c>
      <c r="K476" s="16" t="s">
        <v>6</v>
      </c>
      <c r="L476" s="16">
        <v>198</v>
      </c>
      <c r="M476" s="82" t="s">
        <v>6</v>
      </c>
    </row>
    <row r="477" spans="1:13" x14ac:dyDescent="0.25">
      <c r="A477" s="80">
        <v>45382</v>
      </c>
      <c r="B477" s="7">
        <v>0.5</v>
      </c>
      <c r="C477" s="21">
        <v>45382.5</v>
      </c>
      <c r="D477" s="8">
        <v>75</v>
      </c>
      <c r="E477" s="8">
        <v>75.3</v>
      </c>
      <c r="F477" s="8">
        <v>74.5</v>
      </c>
      <c r="G477" s="8" t="s">
        <v>6</v>
      </c>
      <c r="H477" s="8">
        <v>10.3</v>
      </c>
      <c r="I477" s="8">
        <v>12.3</v>
      </c>
      <c r="J477" s="8">
        <v>9.1999999999999993</v>
      </c>
      <c r="K477" s="8" t="s">
        <v>6</v>
      </c>
      <c r="L477" s="8">
        <v>4</v>
      </c>
      <c r="M477" s="82" t="s">
        <v>6</v>
      </c>
    </row>
    <row r="478" spans="1:13" x14ac:dyDescent="0.25">
      <c r="A478" s="79">
        <v>45382</v>
      </c>
      <c r="B478" s="11">
        <v>0.75</v>
      </c>
      <c r="C478" s="22">
        <v>45382.75</v>
      </c>
      <c r="D478" s="12">
        <v>60.6</v>
      </c>
      <c r="E478" s="12">
        <v>60.6</v>
      </c>
      <c r="F478" s="12">
        <v>60.6</v>
      </c>
      <c r="G478" s="12" t="s">
        <v>6</v>
      </c>
      <c r="H478" s="12">
        <v>8.9</v>
      </c>
      <c r="I478" s="12">
        <v>8.9</v>
      </c>
      <c r="J478" s="12">
        <v>8.9</v>
      </c>
      <c r="K478" s="12" t="s">
        <v>6</v>
      </c>
      <c r="L478" s="12">
        <v>1</v>
      </c>
      <c r="M478" s="83" t="s">
        <v>6</v>
      </c>
    </row>
    <row r="479" spans="1:13" x14ac:dyDescent="0.25">
      <c r="A479" s="79">
        <v>45382</v>
      </c>
      <c r="B479" s="11">
        <v>0.91666666666666663</v>
      </c>
      <c r="C479" s="22">
        <v>45382.916666666664</v>
      </c>
      <c r="D479" s="12">
        <v>63.3</v>
      </c>
      <c r="E479" s="12">
        <v>80.900000000000006</v>
      </c>
      <c r="F479" s="12">
        <v>47.8</v>
      </c>
      <c r="G479" s="12" t="s">
        <v>6</v>
      </c>
      <c r="H479" s="12">
        <v>21.7</v>
      </c>
      <c r="I479" s="12">
        <v>29.1</v>
      </c>
      <c r="J479" s="12">
        <v>13</v>
      </c>
      <c r="K479" s="12" t="s">
        <v>6</v>
      </c>
      <c r="L479" s="12">
        <v>84</v>
      </c>
      <c r="M479" s="83" t="s">
        <v>6</v>
      </c>
    </row>
    <row r="480" spans="1:13" x14ac:dyDescent="0.25">
      <c r="A480" s="79">
        <v>45382</v>
      </c>
      <c r="B480" s="11">
        <v>0.95833333333333337</v>
      </c>
      <c r="C480" s="22">
        <v>45382.958333333336</v>
      </c>
      <c r="D480" s="12">
        <v>71.3</v>
      </c>
      <c r="E480" s="12">
        <v>81.7</v>
      </c>
      <c r="F480" s="12">
        <v>51</v>
      </c>
      <c r="G480" s="12" t="s">
        <v>6</v>
      </c>
      <c r="H480" s="12">
        <v>18.2</v>
      </c>
      <c r="I480" s="12">
        <v>36.9</v>
      </c>
      <c r="J480" s="12">
        <v>8.4</v>
      </c>
      <c r="K480" s="12" t="s">
        <v>6</v>
      </c>
      <c r="L480" s="12">
        <v>218</v>
      </c>
      <c r="M480" s="83" t="s">
        <v>6</v>
      </c>
    </row>
    <row r="481" spans="1:13" x14ac:dyDescent="0.25">
      <c r="A481" s="79">
        <v>45383</v>
      </c>
      <c r="B481" s="11">
        <v>0</v>
      </c>
      <c r="C481" s="22">
        <v>45383</v>
      </c>
      <c r="D481" s="12">
        <v>70.3</v>
      </c>
      <c r="E481" s="12">
        <v>73.099999999999994</v>
      </c>
      <c r="F481" s="12">
        <v>61.6</v>
      </c>
      <c r="G481" s="12" t="s">
        <v>6</v>
      </c>
      <c r="H481" s="12">
        <v>17.7</v>
      </c>
      <c r="I481" s="12">
        <v>28.9</v>
      </c>
      <c r="J481" s="12">
        <v>8.8000000000000007</v>
      </c>
      <c r="K481" s="12" t="s">
        <v>6</v>
      </c>
      <c r="L481" s="12">
        <v>12</v>
      </c>
      <c r="M481" s="83" t="s">
        <v>6</v>
      </c>
    </row>
    <row r="482" spans="1:13" x14ac:dyDescent="0.25">
      <c r="A482" s="81">
        <v>45383</v>
      </c>
      <c r="B482" s="15">
        <v>0.16666666666666666</v>
      </c>
      <c r="C482" s="20">
        <v>45383.166666666664</v>
      </c>
      <c r="D482" s="16">
        <v>65.8</v>
      </c>
      <c r="E482" s="16">
        <v>65.8</v>
      </c>
      <c r="F482" s="16">
        <v>65.8</v>
      </c>
      <c r="G482" s="16" t="s">
        <v>6</v>
      </c>
      <c r="H482" s="16">
        <v>4.5999999999999996</v>
      </c>
      <c r="I482" s="16">
        <v>4.5999999999999996</v>
      </c>
      <c r="J482" s="16">
        <v>4.5999999999999996</v>
      </c>
      <c r="K482" s="16" t="s">
        <v>6</v>
      </c>
      <c r="L482" s="16">
        <v>1</v>
      </c>
      <c r="M482" s="83" t="s">
        <v>6</v>
      </c>
    </row>
    <row r="483" spans="1:13" x14ac:dyDescent="0.25">
      <c r="A483" s="80">
        <v>45383</v>
      </c>
      <c r="B483" s="7">
        <v>0.41666666666666669</v>
      </c>
      <c r="C483" s="21">
        <v>45383.416666666664</v>
      </c>
      <c r="D483" s="8">
        <v>60.2</v>
      </c>
      <c r="E483" s="8">
        <v>60.2</v>
      </c>
      <c r="F483" s="8">
        <v>60.2</v>
      </c>
      <c r="G483" s="8" t="s">
        <v>6</v>
      </c>
      <c r="H483" s="8">
        <v>14.1</v>
      </c>
      <c r="I483" s="8">
        <v>14.1</v>
      </c>
      <c r="J483" s="8">
        <v>14.1</v>
      </c>
      <c r="K483" s="8" t="s">
        <v>6</v>
      </c>
      <c r="L483" s="8">
        <v>1</v>
      </c>
      <c r="M483" s="84" t="s">
        <v>6</v>
      </c>
    </row>
    <row r="484" spans="1:13" x14ac:dyDescent="0.25">
      <c r="A484" s="81">
        <v>45383</v>
      </c>
      <c r="B484" s="15">
        <v>0.83333333333333337</v>
      </c>
      <c r="C484" s="20">
        <v>45383.833333333336</v>
      </c>
      <c r="D484" s="16">
        <v>65</v>
      </c>
      <c r="E484" s="16">
        <v>65.5</v>
      </c>
      <c r="F484" s="16">
        <v>64.5</v>
      </c>
      <c r="G484" s="16" t="s">
        <v>6</v>
      </c>
      <c r="H484" s="16">
        <v>4.9000000000000004</v>
      </c>
      <c r="I484" s="16">
        <v>5.8</v>
      </c>
      <c r="J484" s="16">
        <v>4.0999999999999996</v>
      </c>
      <c r="K484" s="16" t="s">
        <v>6</v>
      </c>
      <c r="L484" s="16">
        <v>2</v>
      </c>
      <c r="M484" s="84" t="s">
        <v>6</v>
      </c>
    </row>
    <row r="485" spans="1:13" x14ac:dyDescent="0.25">
      <c r="A485" s="80">
        <v>45384</v>
      </c>
      <c r="B485" s="7">
        <v>0.95833333333333337</v>
      </c>
      <c r="C485" s="21">
        <v>45384.958333333336</v>
      </c>
      <c r="D485" s="8">
        <v>68.900000000000006</v>
      </c>
      <c r="E485" s="8">
        <v>79.900000000000006</v>
      </c>
      <c r="F485" s="8">
        <v>51.9</v>
      </c>
      <c r="G485" s="8" t="s">
        <v>6</v>
      </c>
      <c r="H485" s="8">
        <v>19.8</v>
      </c>
      <c r="I485" s="8">
        <v>28.6</v>
      </c>
      <c r="J485" s="8">
        <v>6.2</v>
      </c>
      <c r="K485" s="8" t="s">
        <v>6</v>
      </c>
      <c r="L485" s="8">
        <v>138</v>
      </c>
      <c r="M485" s="85" t="s">
        <v>6</v>
      </c>
    </row>
    <row r="486" spans="1:13" x14ac:dyDescent="0.25">
      <c r="A486" s="79">
        <v>45385</v>
      </c>
      <c r="B486" s="11">
        <v>0</v>
      </c>
      <c r="C486" s="22">
        <v>45385</v>
      </c>
      <c r="D486" s="12">
        <v>74.5</v>
      </c>
      <c r="E486" s="12">
        <v>84.2</v>
      </c>
      <c r="F486" s="12">
        <v>64.2</v>
      </c>
      <c r="G486" s="12" t="s">
        <v>6</v>
      </c>
      <c r="H486" s="12">
        <v>17.8</v>
      </c>
      <c r="I486" s="12">
        <v>23.7</v>
      </c>
      <c r="J486" s="12">
        <v>10.9</v>
      </c>
      <c r="K486" s="12" t="s">
        <v>6</v>
      </c>
      <c r="L486" s="12">
        <v>212</v>
      </c>
      <c r="M486" s="85" t="s">
        <v>6</v>
      </c>
    </row>
    <row r="487" spans="1:13" x14ac:dyDescent="0.25">
      <c r="A487" s="79">
        <v>45385</v>
      </c>
      <c r="B487" s="11">
        <v>4.1666666666666664E-2</v>
      </c>
      <c r="C487" s="22">
        <v>45385.041666666664</v>
      </c>
      <c r="D487" s="12">
        <v>76.900000000000006</v>
      </c>
      <c r="E487" s="12">
        <v>81</v>
      </c>
      <c r="F487" s="12">
        <v>70.599999999999994</v>
      </c>
      <c r="G487" s="12" t="s">
        <v>6</v>
      </c>
      <c r="H487" s="12">
        <v>16.3</v>
      </c>
      <c r="I487" s="12">
        <v>22.4</v>
      </c>
      <c r="J487" s="12">
        <v>8.9</v>
      </c>
      <c r="K487" s="12" t="s">
        <v>6</v>
      </c>
      <c r="L487" s="12">
        <v>221</v>
      </c>
      <c r="M487" s="85" t="s">
        <v>6</v>
      </c>
    </row>
    <row r="488" spans="1:13" x14ac:dyDescent="0.25">
      <c r="A488" s="79">
        <v>45385</v>
      </c>
      <c r="B488" s="11">
        <v>8.3333333333333329E-2</v>
      </c>
      <c r="C488" s="22">
        <v>45385.083333333336</v>
      </c>
      <c r="D488" s="12">
        <v>74.599999999999994</v>
      </c>
      <c r="E488" s="12">
        <v>79</v>
      </c>
      <c r="F488" s="12">
        <v>66.8</v>
      </c>
      <c r="G488" s="12" t="s">
        <v>6</v>
      </c>
      <c r="H488" s="12">
        <v>15.8</v>
      </c>
      <c r="I488" s="12">
        <v>23.1</v>
      </c>
      <c r="J488" s="12">
        <v>8.6</v>
      </c>
      <c r="K488" s="12" t="s">
        <v>6</v>
      </c>
      <c r="L488" s="12">
        <v>217</v>
      </c>
      <c r="M488" s="85" t="s">
        <v>6</v>
      </c>
    </row>
    <row r="489" spans="1:13" x14ac:dyDescent="0.25">
      <c r="A489" s="79">
        <v>45385</v>
      </c>
      <c r="B489" s="11">
        <v>0.125</v>
      </c>
      <c r="C489" s="22">
        <v>45385.125</v>
      </c>
      <c r="D489" s="12">
        <v>74.099999999999994</v>
      </c>
      <c r="E489" s="12">
        <v>81.599999999999994</v>
      </c>
      <c r="F489" s="12">
        <v>65.599999999999994</v>
      </c>
      <c r="G489" s="12" t="s">
        <v>6</v>
      </c>
      <c r="H489" s="12">
        <v>15.7</v>
      </c>
      <c r="I489" s="12">
        <v>27.3</v>
      </c>
      <c r="J489" s="12">
        <v>7.6</v>
      </c>
      <c r="K489" s="12" t="s">
        <v>6</v>
      </c>
      <c r="L489" s="12">
        <v>218</v>
      </c>
      <c r="M489" s="85" t="s">
        <v>6</v>
      </c>
    </row>
    <row r="490" spans="1:13" x14ac:dyDescent="0.25">
      <c r="A490" s="79">
        <v>45385</v>
      </c>
      <c r="B490" s="11">
        <v>0.16666666666666666</v>
      </c>
      <c r="C490" s="22">
        <v>45385.166666666664</v>
      </c>
      <c r="D490" s="12">
        <v>73.2</v>
      </c>
      <c r="E490" s="12">
        <v>81.400000000000006</v>
      </c>
      <c r="F490" s="12">
        <v>66.8</v>
      </c>
      <c r="G490" s="12" t="s">
        <v>6</v>
      </c>
      <c r="H490" s="12">
        <v>17.3</v>
      </c>
      <c r="I490" s="12">
        <v>25.3</v>
      </c>
      <c r="J490" s="12">
        <v>10.199999999999999</v>
      </c>
      <c r="K490" s="12" t="s">
        <v>6</v>
      </c>
      <c r="L490" s="12">
        <v>185</v>
      </c>
      <c r="M490" s="85" t="s">
        <v>6</v>
      </c>
    </row>
    <row r="491" spans="1:13" x14ac:dyDescent="0.25">
      <c r="A491" s="81">
        <v>45385</v>
      </c>
      <c r="B491" s="15">
        <v>0.20833333333333334</v>
      </c>
      <c r="C491" s="20">
        <v>45385.208333333336</v>
      </c>
      <c r="D491" s="16">
        <v>62.2</v>
      </c>
      <c r="E491" s="16">
        <v>76.3</v>
      </c>
      <c r="F491" s="16">
        <v>52.7</v>
      </c>
      <c r="G491" s="16" t="s">
        <v>6</v>
      </c>
      <c r="H491" s="16">
        <v>18.2</v>
      </c>
      <c r="I491" s="16">
        <v>25.9</v>
      </c>
      <c r="J491" s="16">
        <v>9.3000000000000007</v>
      </c>
      <c r="K491" s="16" t="s">
        <v>6</v>
      </c>
      <c r="L491" s="16">
        <v>165</v>
      </c>
      <c r="M491" s="85" t="s">
        <v>6</v>
      </c>
    </row>
    <row r="492" spans="1:13" x14ac:dyDescent="0.25">
      <c r="A492" s="80">
        <v>45385</v>
      </c>
      <c r="B492" s="7">
        <v>0.625</v>
      </c>
      <c r="C492" s="21">
        <v>45385.625</v>
      </c>
      <c r="D492" s="8">
        <v>65.099999999999994</v>
      </c>
      <c r="E492" s="8">
        <v>75.5</v>
      </c>
      <c r="F492" s="8">
        <v>49.6</v>
      </c>
      <c r="G492" s="8" t="s">
        <v>6</v>
      </c>
      <c r="H492" s="8">
        <v>17.3</v>
      </c>
      <c r="I492" s="8">
        <v>24.4</v>
      </c>
      <c r="J492" s="8">
        <v>8.6</v>
      </c>
      <c r="K492" s="8" t="s">
        <v>6</v>
      </c>
      <c r="L492" s="8">
        <v>205</v>
      </c>
      <c r="M492" s="86" t="s">
        <v>6</v>
      </c>
    </row>
    <row r="493" spans="1:13" x14ac:dyDescent="0.25">
      <c r="A493" s="79">
        <v>45385</v>
      </c>
      <c r="B493" s="11">
        <v>0.66666666666666663</v>
      </c>
      <c r="C493" s="22">
        <v>45385.666666666664</v>
      </c>
      <c r="D493" s="12">
        <v>72.400000000000006</v>
      </c>
      <c r="E493" s="12">
        <v>78.099999999999994</v>
      </c>
      <c r="F493" s="12">
        <v>64</v>
      </c>
      <c r="G493" s="12" t="s">
        <v>6</v>
      </c>
      <c r="H493" s="12">
        <v>15.7</v>
      </c>
      <c r="I493" s="12">
        <v>20.399999999999999</v>
      </c>
      <c r="J493" s="12">
        <v>9.8000000000000007</v>
      </c>
      <c r="K493" s="12" t="s">
        <v>6</v>
      </c>
      <c r="L493" s="12">
        <v>212</v>
      </c>
      <c r="M493" s="86" t="s">
        <v>6</v>
      </c>
    </row>
    <row r="494" spans="1:13" x14ac:dyDescent="0.25">
      <c r="A494" s="79">
        <v>45385</v>
      </c>
      <c r="B494" s="11">
        <v>0.70833333333333337</v>
      </c>
      <c r="C494" s="22">
        <v>45385.708333333336</v>
      </c>
      <c r="D494" s="12">
        <v>74</v>
      </c>
      <c r="E494" s="12">
        <v>79.400000000000006</v>
      </c>
      <c r="F494" s="12">
        <v>61</v>
      </c>
      <c r="G494" s="12" t="s">
        <v>6</v>
      </c>
      <c r="H494" s="12">
        <v>15.1</v>
      </c>
      <c r="I494" s="12">
        <v>27.5</v>
      </c>
      <c r="J494" s="12">
        <v>9.8000000000000007</v>
      </c>
      <c r="K494" s="12" t="s">
        <v>6</v>
      </c>
      <c r="L494" s="12">
        <v>206</v>
      </c>
      <c r="M494" s="86" t="s">
        <v>6</v>
      </c>
    </row>
    <row r="495" spans="1:13" x14ac:dyDescent="0.25">
      <c r="A495" s="79">
        <v>45385</v>
      </c>
      <c r="B495" s="11">
        <v>0.83333333333333337</v>
      </c>
      <c r="C495" s="22">
        <v>45385.833333333336</v>
      </c>
      <c r="D495" s="12">
        <v>61.4</v>
      </c>
      <c r="E495" s="12">
        <v>61.9</v>
      </c>
      <c r="F495" s="12">
        <v>60.7</v>
      </c>
      <c r="G495" s="12" t="s">
        <v>6</v>
      </c>
      <c r="H495" s="12">
        <v>11.3</v>
      </c>
      <c r="I495" s="12">
        <v>13.2</v>
      </c>
      <c r="J495" s="12">
        <v>10</v>
      </c>
      <c r="K495" s="12" t="s">
        <v>6</v>
      </c>
      <c r="L495" s="12">
        <v>4</v>
      </c>
      <c r="M495" s="86" t="s">
        <v>6</v>
      </c>
    </row>
    <row r="496" spans="1:13" x14ac:dyDescent="0.25">
      <c r="A496" s="79">
        <v>45386</v>
      </c>
      <c r="B496" s="11">
        <v>0</v>
      </c>
      <c r="C496" s="22">
        <v>45386</v>
      </c>
      <c r="D496" s="12">
        <v>62.8</v>
      </c>
      <c r="E496" s="12">
        <v>71.099999999999994</v>
      </c>
      <c r="F496" s="12">
        <v>51.6</v>
      </c>
      <c r="G496" s="12" t="s">
        <v>6</v>
      </c>
      <c r="H496" s="12">
        <v>19</v>
      </c>
      <c r="I496" s="12">
        <v>32.4</v>
      </c>
      <c r="J496" s="12">
        <v>10.1</v>
      </c>
      <c r="K496" s="12" t="s">
        <v>6</v>
      </c>
      <c r="L496" s="12">
        <v>163</v>
      </c>
      <c r="M496" s="86" t="s">
        <v>6</v>
      </c>
    </row>
    <row r="497" spans="1:13" x14ac:dyDescent="0.25">
      <c r="A497" s="79">
        <v>45386</v>
      </c>
      <c r="B497" s="11">
        <v>4.1666666666666664E-2</v>
      </c>
      <c r="C497" s="22">
        <v>45386.041666666664</v>
      </c>
      <c r="D497" s="12">
        <v>71.400000000000006</v>
      </c>
      <c r="E497" s="12">
        <v>79.2</v>
      </c>
      <c r="F497" s="12">
        <v>63.2</v>
      </c>
      <c r="G497" s="12" t="s">
        <v>6</v>
      </c>
      <c r="H497" s="12">
        <v>17.2</v>
      </c>
      <c r="I497" s="12">
        <v>22.7</v>
      </c>
      <c r="J497" s="12">
        <v>8.5</v>
      </c>
      <c r="K497" s="12" t="s">
        <v>6</v>
      </c>
      <c r="L497" s="12">
        <v>223</v>
      </c>
      <c r="M497" s="86" t="s">
        <v>6</v>
      </c>
    </row>
    <row r="498" spans="1:13" x14ac:dyDescent="0.25">
      <c r="A498" s="79">
        <v>45386</v>
      </c>
      <c r="B498" s="11">
        <v>8.3333333333333329E-2</v>
      </c>
      <c r="C498" s="22">
        <v>45386.083333333336</v>
      </c>
      <c r="D498" s="12">
        <v>71.8</v>
      </c>
      <c r="E498" s="12">
        <v>79.7</v>
      </c>
      <c r="F498" s="12">
        <v>58.3</v>
      </c>
      <c r="G498" s="12" t="s">
        <v>6</v>
      </c>
      <c r="H498" s="12">
        <v>15.8</v>
      </c>
      <c r="I498" s="12">
        <v>27.7</v>
      </c>
      <c r="J498" s="12">
        <v>9.1999999999999993</v>
      </c>
      <c r="K498" s="12" t="s">
        <v>6</v>
      </c>
      <c r="L498" s="12">
        <v>221</v>
      </c>
      <c r="M498" s="86" t="s">
        <v>6</v>
      </c>
    </row>
    <row r="499" spans="1:13" x14ac:dyDescent="0.25">
      <c r="A499" s="79">
        <v>45386</v>
      </c>
      <c r="B499" s="11">
        <v>0.125</v>
      </c>
      <c r="C499" s="22">
        <v>45386.125</v>
      </c>
      <c r="D499" s="12">
        <v>72.3</v>
      </c>
      <c r="E499" s="12">
        <v>78.8</v>
      </c>
      <c r="F499" s="12">
        <v>65.2</v>
      </c>
      <c r="G499" s="12" t="s">
        <v>6</v>
      </c>
      <c r="H499" s="12">
        <v>14.8</v>
      </c>
      <c r="I499" s="12">
        <v>22</v>
      </c>
      <c r="J499" s="12">
        <v>7</v>
      </c>
      <c r="K499" s="12" t="s">
        <v>6</v>
      </c>
      <c r="L499" s="12">
        <v>221</v>
      </c>
      <c r="M499" s="86" t="s">
        <v>6</v>
      </c>
    </row>
    <row r="500" spans="1:13" x14ac:dyDescent="0.25">
      <c r="A500" s="81">
        <v>45386</v>
      </c>
      <c r="B500" s="15">
        <v>0.16666666666666666</v>
      </c>
      <c r="C500" s="20">
        <v>45386.166666666664</v>
      </c>
      <c r="D500" s="16">
        <v>69.8</v>
      </c>
      <c r="E500" s="16">
        <v>77.2</v>
      </c>
      <c r="F500" s="16">
        <v>62.7</v>
      </c>
      <c r="G500" s="16" t="s">
        <v>6</v>
      </c>
      <c r="H500" s="16">
        <v>14.9</v>
      </c>
      <c r="I500" s="16">
        <v>21.2</v>
      </c>
      <c r="J500" s="16">
        <v>7.9</v>
      </c>
      <c r="K500" s="16" t="s">
        <v>6</v>
      </c>
      <c r="L500" s="16">
        <v>141</v>
      </c>
      <c r="M500" s="86" t="s">
        <v>6</v>
      </c>
    </row>
    <row r="501" spans="1:13" x14ac:dyDescent="0.25">
      <c r="A501" s="80">
        <v>45386</v>
      </c>
      <c r="B501" s="7">
        <v>0.75</v>
      </c>
      <c r="C501" s="21">
        <v>45386.75</v>
      </c>
      <c r="D501" s="8">
        <v>76.400000000000006</v>
      </c>
      <c r="E501" s="8">
        <v>76.400000000000006</v>
      </c>
      <c r="F501" s="8">
        <v>76.400000000000006</v>
      </c>
      <c r="G501" s="8" t="s">
        <v>6</v>
      </c>
      <c r="H501" s="8">
        <v>3.7</v>
      </c>
      <c r="I501" s="8">
        <v>3.7</v>
      </c>
      <c r="J501" s="8">
        <v>3.7</v>
      </c>
      <c r="K501" s="8" t="s">
        <v>6</v>
      </c>
      <c r="L501" s="8">
        <v>1</v>
      </c>
      <c r="M501" s="87" t="s">
        <v>6</v>
      </c>
    </row>
    <row r="502" spans="1:13" x14ac:dyDescent="0.25">
      <c r="A502" s="79">
        <v>45386</v>
      </c>
      <c r="B502" s="11">
        <v>0.875</v>
      </c>
      <c r="C502" s="22">
        <v>45386.875</v>
      </c>
      <c r="D502" s="12">
        <v>65.2</v>
      </c>
      <c r="E502" s="12">
        <v>76.400000000000006</v>
      </c>
      <c r="F502" s="12">
        <v>57</v>
      </c>
      <c r="G502" s="12" t="s">
        <v>6</v>
      </c>
      <c r="H502" s="12">
        <v>22.7</v>
      </c>
      <c r="I502" s="12">
        <v>31</v>
      </c>
      <c r="J502" s="12">
        <v>5.4</v>
      </c>
      <c r="K502" s="12" t="s">
        <v>6</v>
      </c>
      <c r="L502" s="12">
        <v>57</v>
      </c>
      <c r="M502" s="87" t="s">
        <v>6</v>
      </c>
    </row>
    <row r="503" spans="1:13" x14ac:dyDescent="0.25">
      <c r="A503" s="79">
        <v>45386</v>
      </c>
      <c r="B503" s="11">
        <v>0.91666666666666663</v>
      </c>
      <c r="C503" s="22">
        <v>45386.916666666664</v>
      </c>
      <c r="D503" s="12">
        <v>67.599999999999994</v>
      </c>
      <c r="E503" s="12">
        <v>78.7</v>
      </c>
      <c r="F503" s="12">
        <v>57.7</v>
      </c>
      <c r="G503" s="12" t="s">
        <v>6</v>
      </c>
      <c r="H503" s="12">
        <v>21.2</v>
      </c>
      <c r="I503" s="12">
        <v>29.9</v>
      </c>
      <c r="J503" s="12">
        <v>11.9</v>
      </c>
      <c r="K503" s="12" t="s">
        <v>6</v>
      </c>
      <c r="L503" s="12">
        <v>163</v>
      </c>
      <c r="M503" s="87" t="s">
        <v>6</v>
      </c>
    </row>
    <row r="504" spans="1:13" x14ac:dyDescent="0.25">
      <c r="A504" s="79">
        <v>45387</v>
      </c>
      <c r="B504" s="11">
        <v>0</v>
      </c>
      <c r="C504" s="22">
        <v>45387</v>
      </c>
      <c r="D504" s="12">
        <v>69.3</v>
      </c>
      <c r="E504" s="12">
        <v>78.400000000000006</v>
      </c>
      <c r="F504" s="12">
        <v>53.1</v>
      </c>
      <c r="G504" s="12" t="s">
        <v>6</v>
      </c>
      <c r="H504" s="12">
        <v>19.5</v>
      </c>
      <c r="I504" s="12">
        <v>35.200000000000003</v>
      </c>
      <c r="J504" s="12">
        <v>10.3</v>
      </c>
      <c r="K504" s="12" t="s">
        <v>6</v>
      </c>
      <c r="L504" s="12">
        <v>156</v>
      </c>
      <c r="M504" s="87" t="s">
        <v>6</v>
      </c>
    </row>
    <row r="505" spans="1:13" x14ac:dyDescent="0.25">
      <c r="A505" s="79">
        <v>45387</v>
      </c>
      <c r="B505" s="11">
        <v>4.1666666666666664E-2</v>
      </c>
      <c r="C505" s="22">
        <v>45387.041666666664</v>
      </c>
      <c r="D505" s="12">
        <v>76.7</v>
      </c>
      <c r="E505" s="12">
        <v>80.2</v>
      </c>
      <c r="F505" s="12">
        <v>57.2</v>
      </c>
      <c r="G505" s="12" t="s">
        <v>6</v>
      </c>
      <c r="H505" s="12">
        <v>14.2</v>
      </c>
      <c r="I505" s="12">
        <v>25.8</v>
      </c>
      <c r="J505" s="12">
        <v>7.6</v>
      </c>
      <c r="K505" s="12" t="s">
        <v>6</v>
      </c>
      <c r="L505" s="12">
        <v>194</v>
      </c>
      <c r="M505" s="87" t="s">
        <v>6</v>
      </c>
    </row>
    <row r="506" spans="1:13" x14ac:dyDescent="0.25">
      <c r="A506" s="79">
        <v>45387</v>
      </c>
      <c r="B506" s="11">
        <v>8.3333333333333329E-2</v>
      </c>
      <c r="C506" s="22">
        <v>45387.083333333336</v>
      </c>
      <c r="D506" s="12">
        <v>71.900000000000006</v>
      </c>
      <c r="E506" s="12">
        <v>79.7</v>
      </c>
      <c r="F506" s="12">
        <v>55</v>
      </c>
      <c r="G506" s="12" t="s">
        <v>6</v>
      </c>
      <c r="H506" s="12">
        <v>17.100000000000001</v>
      </c>
      <c r="I506" s="12">
        <v>27.5</v>
      </c>
      <c r="J506" s="12">
        <v>9.5</v>
      </c>
      <c r="K506" s="12" t="s">
        <v>6</v>
      </c>
      <c r="L506" s="12">
        <v>221</v>
      </c>
      <c r="M506" s="87" t="s">
        <v>6</v>
      </c>
    </row>
    <row r="507" spans="1:13" x14ac:dyDescent="0.25">
      <c r="A507" s="79">
        <v>45387</v>
      </c>
      <c r="B507" s="11">
        <v>0.125</v>
      </c>
      <c r="C507" s="22">
        <v>45387.125</v>
      </c>
      <c r="D507" s="12">
        <v>77.7</v>
      </c>
      <c r="E507" s="12">
        <v>81.5</v>
      </c>
      <c r="F507" s="12">
        <v>70</v>
      </c>
      <c r="G507" s="12" t="s">
        <v>6</v>
      </c>
      <c r="H507" s="12">
        <v>16.100000000000001</v>
      </c>
      <c r="I507" s="12">
        <v>24.5</v>
      </c>
      <c r="J507" s="12">
        <v>9</v>
      </c>
      <c r="K507" s="12" t="s">
        <v>6</v>
      </c>
      <c r="L507" s="12">
        <v>214</v>
      </c>
      <c r="M507" s="87" t="s">
        <v>6</v>
      </c>
    </row>
    <row r="508" spans="1:13" x14ac:dyDescent="0.25">
      <c r="A508" s="81">
        <v>45387</v>
      </c>
      <c r="B508" s="15">
        <v>0.16666666666666666</v>
      </c>
      <c r="C508" s="20">
        <v>45387.166666666664</v>
      </c>
      <c r="D508" s="16">
        <v>67.8</v>
      </c>
      <c r="E508" s="16">
        <v>78.900000000000006</v>
      </c>
      <c r="F508" s="16">
        <v>54</v>
      </c>
      <c r="G508" s="16" t="s">
        <v>6</v>
      </c>
      <c r="H508" s="16">
        <v>18.899999999999999</v>
      </c>
      <c r="I508" s="16">
        <v>26.9</v>
      </c>
      <c r="J508" s="16">
        <v>9.9</v>
      </c>
      <c r="K508" s="16" t="s">
        <v>6</v>
      </c>
      <c r="L508" s="16">
        <v>121</v>
      </c>
      <c r="M508" s="87" t="s">
        <v>6</v>
      </c>
    </row>
    <row r="509" spans="1:13" x14ac:dyDescent="0.25">
      <c r="A509" s="80">
        <v>45387</v>
      </c>
      <c r="B509" s="7">
        <v>0.70833333333333337</v>
      </c>
      <c r="C509" s="21">
        <v>45387.708333333336</v>
      </c>
      <c r="D509" s="8">
        <v>65.7</v>
      </c>
      <c r="E509" s="8">
        <v>65.7</v>
      </c>
      <c r="F509" s="8">
        <v>65.7</v>
      </c>
      <c r="G509" s="8" t="s">
        <v>6</v>
      </c>
      <c r="H509" s="8">
        <v>5.9</v>
      </c>
      <c r="I509" s="8">
        <v>5.9</v>
      </c>
      <c r="J509" s="8">
        <v>5.9</v>
      </c>
      <c r="K509" s="8" t="s">
        <v>6</v>
      </c>
      <c r="L509" s="8">
        <v>1</v>
      </c>
      <c r="M509" s="88" t="s">
        <v>6</v>
      </c>
    </row>
    <row r="510" spans="1:13" x14ac:dyDescent="0.25">
      <c r="A510" s="79">
        <v>45387</v>
      </c>
      <c r="B510" s="11">
        <v>0.83333333333333337</v>
      </c>
      <c r="C510" s="22">
        <v>45387.833333333336</v>
      </c>
      <c r="D510" s="12">
        <v>66.900000000000006</v>
      </c>
      <c r="E510" s="12">
        <v>66.900000000000006</v>
      </c>
      <c r="F510" s="12">
        <v>66.900000000000006</v>
      </c>
      <c r="G510" s="12" t="s">
        <v>6</v>
      </c>
      <c r="H510" s="12">
        <v>8.5</v>
      </c>
      <c r="I510" s="12">
        <v>8.5</v>
      </c>
      <c r="J510" s="12">
        <v>8.5</v>
      </c>
      <c r="K510" s="12" t="s">
        <v>6</v>
      </c>
      <c r="L510" s="12">
        <v>1</v>
      </c>
      <c r="M510" s="88" t="s">
        <v>6</v>
      </c>
    </row>
    <row r="511" spans="1:13" x14ac:dyDescent="0.25">
      <c r="A511" s="79">
        <v>45387</v>
      </c>
      <c r="B511" s="11">
        <v>0.875</v>
      </c>
      <c r="C511" s="22">
        <v>45387.875</v>
      </c>
      <c r="D511" s="12">
        <v>73.7</v>
      </c>
      <c r="E511" s="12">
        <v>80.900000000000006</v>
      </c>
      <c r="F511" s="12">
        <v>51.3</v>
      </c>
      <c r="G511" s="12" t="s">
        <v>6</v>
      </c>
      <c r="H511" s="12">
        <v>20</v>
      </c>
      <c r="I511" s="12">
        <v>28.4</v>
      </c>
      <c r="J511" s="12">
        <v>12.4</v>
      </c>
      <c r="K511" s="12" t="s">
        <v>6</v>
      </c>
      <c r="L511" s="12">
        <v>187</v>
      </c>
      <c r="M511" s="88" t="s">
        <v>6</v>
      </c>
    </row>
    <row r="512" spans="1:13" x14ac:dyDescent="0.25">
      <c r="A512" s="79">
        <v>45387</v>
      </c>
      <c r="B512" s="11">
        <v>0.91666666666666663</v>
      </c>
      <c r="C512" s="22">
        <v>45387.916666666664</v>
      </c>
      <c r="D512" s="12">
        <v>72.099999999999994</v>
      </c>
      <c r="E512" s="12">
        <v>84.5</v>
      </c>
      <c r="F512" s="12">
        <v>54.7</v>
      </c>
      <c r="G512" s="12" t="s">
        <v>6</v>
      </c>
      <c r="H512" s="12">
        <v>20</v>
      </c>
      <c r="I512" s="12">
        <v>29.1</v>
      </c>
      <c r="J512" s="12">
        <v>10.1</v>
      </c>
      <c r="K512" s="12" t="s">
        <v>6</v>
      </c>
      <c r="L512" s="12">
        <v>175</v>
      </c>
      <c r="M512" s="88" t="s">
        <v>6</v>
      </c>
    </row>
    <row r="513" spans="1:13" x14ac:dyDescent="0.25">
      <c r="A513" s="79">
        <v>45388</v>
      </c>
      <c r="B513" s="11">
        <v>0</v>
      </c>
      <c r="C513" s="22">
        <v>45388</v>
      </c>
      <c r="D513" s="12">
        <v>73.400000000000006</v>
      </c>
      <c r="E513" s="12">
        <v>80</v>
      </c>
      <c r="F513" s="12">
        <v>59.6</v>
      </c>
      <c r="G513" s="12" t="s">
        <v>6</v>
      </c>
      <c r="H513" s="12">
        <v>18.899999999999999</v>
      </c>
      <c r="I513" s="12">
        <v>28.4</v>
      </c>
      <c r="J513" s="12">
        <v>3.6</v>
      </c>
      <c r="K513" s="12" t="s">
        <v>6</v>
      </c>
      <c r="L513" s="12">
        <v>172</v>
      </c>
      <c r="M513" s="88" t="s">
        <v>6</v>
      </c>
    </row>
    <row r="514" spans="1:13" x14ac:dyDescent="0.25">
      <c r="A514" s="79">
        <v>45388</v>
      </c>
      <c r="B514" s="11">
        <v>4.1666666666666664E-2</v>
      </c>
      <c r="C514" s="22">
        <v>45388.041666666664</v>
      </c>
      <c r="D514" s="12">
        <v>72.2</v>
      </c>
      <c r="E514" s="12">
        <v>78.099999999999994</v>
      </c>
      <c r="F514" s="12">
        <v>57.7</v>
      </c>
      <c r="G514" s="12" t="s">
        <v>6</v>
      </c>
      <c r="H514" s="12">
        <v>15.4</v>
      </c>
      <c r="I514" s="12">
        <v>24.2</v>
      </c>
      <c r="J514" s="12">
        <v>7.6</v>
      </c>
      <c r="K514" s="12" t="s">
        <v>6</v>
      </c>
      <c r="L514" s="12">
        <v>216</v>
      </c>
      <c r="M514" s="88" t="s">
        <v>6</v>
      </c>
    </row>
    <row r="515" spans="1:13" x14ac:dyDescent="0.25">
      <c r="A515" s="79">
        <v>45388</v>
      </c>
      <c r="B515" s="11">
        <v>8.3333333333333329E-2</v>
      </c>
      <c r="C515" s="22">
        <v>45388.083333333336</v>
      </c>
      <c r="D515" s="12">
        <v>73.400000000000006</v>
      </c>
      <c r="E515" s="12">
        <v>77.7</v>
      </c>
      <c r="F515" s="12">
        <v>67</v>
      </c>
      <c r="G515" s="12" t="s">
        <v>6</v>
      </c>
      <c r="H515" s="12">
        <v>15.2</v>
      </c>
      <c r="I515" s="12">
        <v>29.7</v>
      </c>
      <c r="J515" s="12">
        <v>7.5</v>
      </c>
      <c r="K515" s="12" t="s">
        <v>6</v>
      </c>
      <c r="L515" s="12">
        <v>216</v>
      </c>
      <c r="M515" s="88" t="s">
        <v>6</v>
      </c>
    </row>
    <row r="516" spans="1:13" x14ac:dyDescent="0.25">
      <c r="A516" s="79">
        <v>45388</v>
      </c>
      <c r="B516" s="11">
        <v>0.125</v>
      </c>
      <c r="C516" s="22">
        <v>45388.125</v>
      </c>
      <c r="D516" s="12">
        <v>76.099999999999994</v>
      </c>
      <c r="E516" s="12">
        <v>80.3</v>
      </c>
      <c r="F516" s="12">
        <v>69.8</v>
      </c>
      <c r="G516" s="12" t="s">
        <v>6</v>
      </c>
      <c r="H516" s="12">
        <v>15.6</v>
      </c>
      <c r="I516" s="12">
        <v>24.9</v>
      </c>
      <c r="J516" s="12">
        <v>8.8000000000000007</v>
      </c>
      <c r="K516" s="12" t="s">
        <v>6</v>
      </c>
      <c r="L516" s="12">
        <v>213</v>
      </c>
      <c r="M516" s="88" t="s">
        <v>6</v>
      </c>
    </row>
    <row r="517" spans="1:13" x14ac:dyDescent="0.25">
      <c r="A517" s="79">
        <v>45388</v>
      </c>
      <c r="B517" s="11">
        <v>0.16666666666666666</v>
      </c>
      <c r="C517" s="22">
        <v>45388.166666666664</v>
      </c>
      <c r="D517" s="12">
        <v>75.599999999999994</v>
      </c>
      <c r="E517" s="12">
        <v>75.599999999999994</v>
      </c>
      <c r="F517" s="12">
        <v>75.599999999999994</v>
      </c>
      <c r="G517" s="12" t="s">
        <v>6</v>
      </c>
      <c r="H517" s="12">
        <v>20.2</v>
      </c>
      <c r="I517" s="12">
        <v>24</v>
      </c>
      <c r="J517" s="12">
        <v>15.4</v>
      </c>
      <c r="K517" s="12" t="s">
        <v>6</v>
      </c>
      <c r="L517" s="12">
        <v>19</v>
      </c>
      <c r="M517" s="88" t="s">
        <v>6</v>
      </c>
    </row>
    <row r="518" spans="1:13" x14ac:dyDescent="0.25">
      <c r="A518" s="81">
        <v>45388</v>
      </c>
      <c r="B518" s="15">
        <v>0.25</v>
      </c>
      <c r="C518" s="20">
        <v>45388.25</v>
      </c>
      <c r="D518" s="16">
        <v>62.5</v>
      </c>
      <c r="E518" s="16">
        <v>62.5</v>
      </c>
      <c r="F518" s="16">
        <v>62.5</v>
      </c>
      <c r="G518" s="16" t="s">
        <v>6</v>
      </c>
      <c r="H518" s="16">
        <v>7.9</v>
      </c>
      <c r="I518" s="16">
        <v>7.9</v>
      </c>
      <c r="J518" s="16">
        <v>7.9</v>
      </c>
      <c r="K518" s="16" t="s">
        <v>6</v>
      </c>
      <c r="L518" s="16">
        <v>1</v>
      </c>
      <c r="M518" s="88" t="s">
        <v>6</v>
      </c>
    </row>
    <row r="519" spans="1:13" x14ac:dyDescent="0.25">
      <c r="A519" s="80">
        <v>45388</v>
      </c>
      <c r="B519" s="7">
        <v>0.45833333333333331</v>
      </c>
      <c r="C519" s="21">
        <v>45388.458333333336</v>
      </c>
      <c r="D519" s="8">
        <v>63.4</v>
      </c>
      <c r="E519" s="8">
        <v>63.5</v>
      </c>
      <c r="F519" s="8">
        <v>63.3</v>
      </c>
      <c r="G519" s="8" t="s">
        <v>6</v>
      </c>
      <c r="H519" s="8">
        <v>6.2</v>
      </c>
      <c r="I519" s="8">
        <v>7.8</v>
      </c>
      <c r="J519" s="8">
        <v>4.5</v>
      </c>
      <c r="K519" s="8" t="s">
        <v>6</v>
      </c>
      <c r="L519" s="8">
        <v>2</v>
      </c>
      <c r="M519" s="88" t="s">
        <v>6</v>
      </c>
    </row>
    <row r="520" spans="1:13" x14ac:dyDescent="0.25">
      <c r="A520" s="79">
        <v>45388</v>
      </c>
      <c r="B520" s="11">
        <v>0.58333333333333337</v>
      </c>
      <c r="C520" s="22">
        <v>45388.583333333336</v>
      </c>
      <c r="D520" s="12">
        <v>49.9</v>
      </c>
      <c r="E520" s="12">
        <v>50.6</v>
      </c>
      <c r="F520" s="12">
        <v>49.7</v>
      </c>
      <c r="G520" s="12" t="s">
        <v>6</v>
      </c>
      <c r="H520" s="12">
        <v>11.1</v>
      </c>
      <c r="I520" s="12">
        <v>12.5</v>
      </c>
      <c r="J520" s="12">
        <v>9.8000000000000007</v>
      </c>
      <c r="K520" s="12" t="s">
        <v>6</v>
      </c>
      <c r="L520" s="12">
        <v>7</v>
      </c>
      <c r="M520" s="88" t="s">
        <v>6</v>
      </c>
    </row>
    <row r="521" spans="1:13" x14ac:dyDescent="0.25">
      <c r="A521" s="81">
        <v>45389</v>
      </c>
      <c r="B521" s="15">
        <v>0.29166666666666669</v>
      </c>
      <c r="C521" s="20">
        <v>45389.291666666664</v>
      </c>
      <c r="D521" s="16">
        <v>73.8</v>
      </c>
      <c r="E521" s="16">
        <v>73.8</v>
      </c>
      <c r="F521" s="16">
        <v>73.8</v>
      </c>
      <c r="G521" s="16" t="s">
        <v>6</v>
      </c>
      <c r="H521" s="16">
        <v>18.899999999999999</v>
      </c>
      <c r="I521" s="16">
        <v>18.899999999999999</v>
      </c>
      <c r="J521" s="16">
        <v>18.899999999999999</v>
      </c>
      <c r="K521" s="16" t="s">
        <v>6</v>
      </c>
      <c r="L521" s="16">
        <v>1</v>
      </c>
      <c r="M521" s="88" t="s">
        <v>6</v>
      </c>
    </row>
    <row r="522" spans="1:13" x14ac:dyDescent="0.25">
      <c r="A522" s="80">
        <v>45389</v>
      </c>
      <c r="B522" s="7">
        <v>0.625</v>
      </c>
      <c r="C522" s="21">
        <v>45389.625</v>
      </c>
      <c r="D522" s="8">
        <v>62.5</v>
      </c>
      <c r="E522" s="8">
        <v>75.599999999999994</v>
      </c>
      <c r="F522" s="8">
        <v>50.2</v>
      </c>
      <c r="G522" s="8" t="s">
        <v>6</v>
      </c>
      <c r="H522" s="8">
        <v>18.7</v>
      </c>
      <c r="I522" s="8">
        <v>27.1</v>
      </c>
      <c r="J522" s="8">
        <v>8.1</v>
      </c>
      <c r="K522" s="8" t="s">
        <v>6</v>
      </c>
      <c r="L522" s="8">
        <v>154</v>
      </c>
      <c r="M522" s="88" t="s">
        <v>6</v>
      </c>
    </row>
    <row r="523" spans="1:13" x14ac:dyDescent="0.25">
      <c r="A523" s="79">
        <v>45389</v>
      </c>
      <c r="B523" s="11">
        <v>0.70833333333333337</v>
      </c>
      <c r="C523" s="22">
        <v>45389.708333333336</v>
      </c>
      <c r="D523" s="12">
        <v>59.7</v>
      </c>
      <c r="E523" s="12">
        <v>63.1</v>
      </c>
      <c r="F523" s="12">
        <v>58</v>
      </c>
      <c r="G523" s="12" t="s">
        <v>6</v>
      </c>
      <c r="H523" s="12">
        <v>12.4</v>
      </c>
      <c r="I523" s="12">
        <v>14.8</v>
      </c>
      <c r="J523" s="12">
        <v>9.8000000000000007</v>
      </c>
      <c r="K523" s="12" t="s">
        <v>6</v>
      </c>
      <c r="L523" s="12">
        <v>7</v>
      </c>
      <c r="M523" s="88" t="s">
        <v>6</v>
      </c>
    </row>
    <row r="524" spans="1:13" x14ac:dyDescent="0.25">
      <c r="A524" s="81">
        <v>45390</v>
      </c>
      <c r="B524" s="15">
        <v>0.125</v>
      </c>
      <c r="C524" s="20">
        <v>45390.125</v>
      </c>
      <c r="D524" s="16">
        <v>64.3</v>
      </c>
      <c r="E524" s="16">
        <v>64.3</v>
      </c>
      <c r="F524" s="16">
        <v>64.3</v>
      </c>
      <c r="G524" s="16" t="s">
        <v>6</v>
      </c>
      <c r="H524" s="16">
        <v>10.5</v>
      </c>
      <c r="I524" s="16">
        <v>10.5</v>
      </c>
      <c r="J524" s="16">
        <v>10.5</v>
      </c>
      <c r="K524" s="16" t="s">
        <v>6</v>
      </c>
      <c r="L524" s="16">
        <v>1</v>
      </c>
      <c r="M524" s="88" t="s">
        <v>6</v>
      </c>
    </row>
    <row r="525" spans="1:13" x14ac:dyDescent="0.25">
      <c r="A525" s="80">
        <v>45390</v>
      </c>
      <c r="B525" s="7">
        <v>0.79166666666666663</v>
      </c>
      <c r="C525" s="21">
        <v>45390.791666666664</v>
      </c>
      <c r="D525" s="8">
        <v>66.7</v>
      </c>
      <c r="E525" s="8">
        <v>66.7</v>
      </c>
      <c r="F525" s="8">
        <v>66.7</v>
      </c>
      <c r="G525" s="8" t="s">
        <v>6</v>
      </c>
      <c r="H525" s="8">
        <v>10.8</v>
      </c>
      <c r="I525" s="8">
        <v>10.8</v>
      </c>
      <c r="J525" s="8">
        <v>10.8</v>
      </c>
      <c r="K525" s="8" t="s">
        <v>6</v>
      </c>
      <c r="L525" s="8">
        <v>1</v>
      </c>
      <c r="M525" s="89" t="s">
        <v>6</v>
      </c>
    </row>
    <row r="526" spans="1:13" x14ac:dyDescent="0.25">
      <c r="A526" s="79">
        <v>45391</v>
      </c>
      <c r="B526" s="11">
        <v>0.20833333333333334</v>
      </c>
      <c r="C526" s="22">
        <v>45391.208333333336</v>
      </c>
      <c r="D526" s="12">
        <v>69.8</v>
      </c>
      <c r="E526" s="12">
        <v>82.1</v>
      </c>
      <c r="F526" s="12">
        <v>53.2</v>
      </c>
      <c r="G526" s="12" t="s">
        <v>6</v>
      </c>
      <c r="H526" s="12">
        <v>16.899999999999999</v>
      </c>
      <c r="I526" s="12">
        <v>26.8</v>
      </c>
      <c r="J526" s="12">
        <v>8.1</v>
      </c>
      <c r="K526" s="12" t="s">
        <v>6</v>
      </c>
      <c r="L526" s="12">
        <v>151</v>
      </c>
      <c r="M526" s="89" t="s">
        <v>6</v>
      </c>
    </row>
    <row r="527" spans="1:13" x14ac:dyDescent="0.25">
      <c r="A527" s="81">
        <v>45391</v>
      </c>
      <c r="B527" s="15">
        <v>0.25</v>
      </c>
      <c r="C527" s="20">
        <v>45391.25</v>
      </c>
      <c r="D527" s="16">
        <v>77.599999999999994</v>
      </c>
      <c r="E527" s="16">
        <v>85.3</v>
      </c>
      <c r="F527" s="16">
        <v>68</v>
      </c>
      <c r="G527" s="16" t="s">
        <v>6</v>
      </c>
      <c r="H527" s="16">
        <v>13</v>
      </c>
      <c r="I527" s="16">
        <v>20.100000000000001</v>
      </c>
      <c r="J527" s="16">
        <v>7</v>
      </c>
      <c r="K527" s="16" t="s">
        <v>6</v>
      </c>
      <c r="L527" s="16">
        <v>178</v>
      </c>
      <c r="M527" s="89" t="s">
        <v>6</v>
      </c>
    </row>
    <row r="528" spans="1:13" x14ac:dyDescent="0.25">
      <c r="A528" s="80">
        <v>45391</v>
      </c>
      <c r="B528" s="7">
        <v>0.45833333333333331</v>
      </c>
      <c r="C528" s="21">
        <v>45391.458333333336</v>
      </c>
      <c r="D528" s="8">
        <v>67.599999999999994</v>
      </c>
      <c r="E528" s="8">
        <v>67.599999999999994</v>
      </c>
      <c r="F528" s="8">
        <v>67.599999999999994</v>
      </c>
      <c r="G528" s="8" t="s">
        <v>6</v>
      </c>
      <c r="H528" s="8">
        <v>5.7</v>
      </c>
      <c r="I528" s="8">
        <v>5.7</v>
      </c>
      <c r="J528" s="8">
        <v>5.7</v>
      </c>
      <c r="K528" s="8" t="s">
        <v>6</v>
      </c>
      <c r="L528" s="8">
        <v>1</v>
      </c>
      <c r="M528" s="90" t="s">
        <v>6</v>
      </c>
    </row>
    <row r="529" spans="1:13" x14ac:dyDescent="0.25">
      <c r="A529" s="79">
        <v>45391</v>
      </c>
      <c r="B529" s="11">
        <v>0.75</v>
      </c>
      <c r="C529" s="22">
        <v>45391.75</v>
      </c>
      <c r="D529" s="12">
        <v>66.8</v>
      </c>
      <c r="E529" s="12">
        <v>68.099999999999994</v>
      </c>
      <c r="F529" s="12">
        <v>66.599999999999994</v>
      </c>
      <c r="G529" s="12" t="s">
        <v>6</v>
      </c>
      <c r="H529" s="12">
        <v>12</v>
      </c>
      <c r="I529" s="12">
        <v>16</v>
      </c>
      <c r="J529" s="12">
        <v>6.7</v>
      </c>
      <c r="K529" s="12" t="s">
        <v>6</v>
      </c>
      <c r="L529" s="12">
        <v>11</v>
      </c>
      <c r="M529" s="90" t="s">
        <v>6</v>
      </c>
    </row>
    <row r="530" spans="1:13" x14ac:dyDescent="0.25">
      <c r="A530" s="79">
        <v>45391</v>
      </c>
      <c r="B530" s="11">
        <v>0.83333333333333337</v>
      </c>
      <c r="C530" s="22">
        <v>45391.833333333336</v>
      </c>
      <c r="D530" s="12">
        <v>67</v>
      </c>
      <c r="E530" s="12">
        <v>69.3</v>
      </c>
      <c r="F530" s="12">
        <v>64.8</v>
      </c>
      <c r="G530" s="12" t="s">
        <v>6</v>
      </c>
      <c r="H530" s="12">
        <v>9.1999999999999993</v>
      </c>
      <c r="I530" s="12">
        <v>9.3000000000000007</v>
      </c>
      <c r="J530" s="12">
        <v>9</v>
      </c>
      <c r="K530" s="12" t="s">
        <v>6</v>
      </c>
      <c r="L530" s="12">
        <v>2</v>
      </c>
      <c r="M530" s="90" t="s">
        <v>6</v>
      </c>
    </row>
    <row r="531" spans="1:13" x14ac:dyDescent="0.25">
      <c r="A531" s="81">
        <v>45392</v>
      </c>
      <c r="B531" s="15">
        <v>0.33333333333333331</v>
      </c>
      <c r="C531" s="20">
        <v>45392.333333333336</v>
      </c>
      <c r="D531" s="16">
        <v>73.400000000000006</v>
      </c>
      <c r="E531" s="16">
        <v>84.9</v>
      </c>
      <c r="F531" s="16">
        <v>57.2</v>
      </c>
      <c r="G531" s="16" t="s">
        <v>6</v>
      </c>
      <c r="H531" s="16">
        <v>25.2</v>
      </c>
      <c r="I531" s="16">
        <v>34.299999999999997</v>
      </c>
      <c r="J531" s="16">
        <v>9.5</v>
      </c>
      <c r="K531" s="16" t="s">
        <v>6</v>
      </c>
      <c r="L531" s="16">
        <v>89</v>
      </c>
      <c r="M531" s="90" t="s">
        <v>6</v>
      </c>
    </row>
    <row r="532" spans="1:13" x14ac:dyDescent="0.25">
      <c r="A532" s="80">
        <v>45392</v>
      </c>
      <c r="B532" s="7">
        <v>0.375</v>
      </c>
      <c r="C532" s="21">
        <v>45392.375</v>
      </c>
      <c r="D532" s="8">
        <v>76.8</v>
      </c>
      <c r="E532" s="8">
        <v>84.2</v>
      </c>
      <c r="F532" s="8">
        <v>61.7</v>
      </c>
      <c r="G532" s="8" t="s">
        <v>6</v>
      </c>
      <c r="H532" s="8">
        <v>19.8</v>
      </c>
      <c r="I532" s="8">
        <v>24.3</v>
      </c>
      <c r="J532" s="8">
        <v>14.1</v>
      </c>
      <c r="K532" s="8" t="s">
        <v>6</v>
      </c>
      <c r="L532" s="8">
        <v>227</v>
      </c>
      <c r="M532" s="90" t="s">
        <v>6</v>
      </c>
    </row>
    <row r="533" spans="1:13" x14ac:dyDescent="0.25">
      <c r="A533" s="79">
        <v>45392</v>
      </c>
      <c r="B533" s="11">
        <v>0.41666666666666669</v>
      </c>
      <c r="C533" s="22">
        <v>45392.416666666664</v>
      </c>
      <c r="D533" s="12">
        <v>74.599999999999994</v>
      </c>
      <c r="E533" s="12">
        <v>81.3</v>
      </c>
      <c r="F533" s="12">
        <v>62</v>
      </c>
      <c r="G533" s="12" t="s">
        <v>6</v>
      </c>
      <c r="H533" s="12">
        <v>17.899999999999999</v>
      </c>
      <c r="I533" s="12">
        <v>21.3</v>
      </c>
      <c r="J533" s="12">
        <v>14.7</v>
      </c>
      <c r="K533" s="12" t="s">
        <v>6</v>
      </c>
      <c r="L533" s="12">
        <v>227</v>
      </c>
      <c r="M533" s="90" t="s">
        <v>6</v>
      </c>
    </row>
    <row r="534" spans="1:13" x14ac:dyDescent="0.25">
      <c r="A534" s="79">
        <v>45392</v>
      </c>
      <c r="B534" s="11">
        <v>0.45833333333333331</v>
      </c>
      <c r="C534" s="22">
        <v>45392.458333333336</v>
      </c>
      <c r="D534" s="12">
        <v>71.599999999999994</v>
      </c>
      <c r="E534" s="12">
        <v>83.5</v>
      </c>
      <c r="F534" s="12">
        <v>59.7</v>
      </c>
      <c r="G534" s="12" t="s">
        <v>6</v>
      </c>
      <c r="H534" s="12">
        <v>20.100000000000001</v>
      </c>
      <c r="I534" s="12">
        <v>27.3</v>
      </c>
      <c r="J534" s="12">
        <v>16.100000000000001</v>
      </c>
      <c r="K534" s="12" t="s">
        <v>6</v>
      </c>
      <c r="L534" s="12">
        <v>226</v>
      </c>
      <c r="M534" s="91" t="s">
        <v>6</v>
      </c>
    </row>
    <row r="535" spans="1:13" x14ac:dyDescent="0.25">
      <c r="A535" s="79">
        <v>45392</v>
      </c>
      <c r="B535" s="11">
        <v>0.5</v>
      </c>
      <c r="C535" s="22">
        <v>45392.5</v>
      </c>
      <c r="D535" s="12">
        <v>74.2</v>
      </c>
      <c r="E535" s="12">
        <v>79.400000000000006</v>
      </c>
      <c r="F535" s="12">
        <v>60.4</v>
      </c>
      <c r="G535" s="12" t="s">
        <v>6</v>
      </c>
      <c r="H535" s="12">
        <v>19.899999999999999</v>
      </c>
      <c r="I535" s="12">
        <v>25.4</v>
      </c>
      <c r="J535" s="12">
        <v>14.4</v>
      </c>
      <c r="K535" s="12" t="s">
        <v>6</v>
      </c>
      <c r="L535" s="12">
        <v>74</v>
      </c>
      <c r="M535" s="91" t="s">
        <v>6</v>
      </c>
    </row>
    <row r="536" spans="1:13" x14ac:dyDescent="0.25">
      <c r="A536" s="81">
        <v>45393</v>
      </c>
      <c r="B536" s="15">
        <v>4.1666666666666664E-2</v>
      </c>
      <c r="C536" s="20">
        <v>45393.041666666664</v>
      </c>
      <c r="D536" s="16">
        <v>55.1</v>
      </c>
      <c r="E536" s="16">
        <v>55.1</v>
      </c>
      <c r="F536" s="16">
        <v>55.1</v>
      </c>
      <c r="G536" s="16" t="s">
        <v>6</v>
      </c>
      <c r="H536" s="16">
        <v>13.2</v>
      </c>
      <c r="I536" s="16">
        <v>13.2</v>
      </c>
      <c r="J536" s="16">
        <v>13.2</v>
      </c>
      <c r="K536" s="16" t="s">
        <v>6</v>
      </c>
      <c r="L536" s="16">
        <v>1</v>
      </c>
      <c r="M536" s="91" t="s">
        <v>6</v>
      </c>
    </row>
    <row r="537" spans="1:13" x14ac:dyDescent="0.25">
      <c r="A537" s="80">
        <v>45393</v>
      </c>
      <c r="B537" s="7">
        <v>0.79166666666666663</v>
      </c>
      <c r="C537" s="21">
        <v>45393.791666666664</v>
      </c>
      <c r="D537" s="8">
        <v>56.5</v>
      </c>
      <c r="E537" s="8">
        <v>56.8</v>
      </c>
      <c r="F537" s="8">
        <v>55.9</v>
      </c>
      <c r="G537" s="8" t="s">
        <v>6</v>
      </c>
      <c r="H537" s="8">
        <v>14.2</v>
      </c>
      <c r="I537" s="8">
        <v>14.6</v>
      </c>
      <c r="J537" s="8">
        <v>13.4</v>
      </c>
      <c r="K537" s="8" t="s">
        <v>6</v>
      </c>
      <c r="L537" s="8">
        <v>5</v>
      </c>
      <c r="M537" s="92" t="s">
        <v>6</v>
      </c>
    </row>
    <row r="538" spans="1:13" x14ac:dyDescent="0.25">
      <c r="A538" s="79">
        <v>45394</v>
      </c>
      <c r="B538" s="11">
        <v>4.1666666666666664E-2</v>
      </c>
      <c r="C538" s="22">
        <v>45394.041666666664</v>
      </c>
      <c r="D538" s="12">
        <v>64.3</v>
      </c>
      <c r="E538" s="12">
        <v>74.900000000000006</v>
      </c>
      <c r="F538" s="12">
        <v>55.1</v>
      </c>
      <c r="G538" s="12" t="s">
        <v>6</v>
      </c>
      <c r="H538" s="12">
        <v>22.3</v>
      </c>
      <c r="I538" s="12">
        <v>28.4</v>
      </c>
      <c r="J538" s="12">
        <v>13.8</v>
      </c>
      <c r="K538" s="12" t="s">
        <v>6</v>
      </c>
      <c r="L538" s="12">
        <v>138</v>
      </c>
      <c r="M538" s="92" t="s">
        <v>6</v>
      </c>
    </row>
    <row r="539" spans="1:13" x14ac:dyDescent="0.25">
      <c r="A539" s="81">
        <v>45394</v>
      </c>
      <c r="B539" s="15">
        <v>8.3333333333333329E-2</v>
      </c>
      <c r="C539" s="20">
        <v>45394.083333333336</v>
      </c>
      <c r="D539" s="16">
        <v>59</v>
      </c>
      <c r="E539" s="16">
        <v>59</v>
      </c>
      <c r="F539" s="16">
        <v>59</v>
      </c>
      <c r="G539" s="16" t="s">
        <v>6</v>
      </c>
      <c r="H539" s="16">
        <v>25.5</v>
      </c>
      <c r="I539" s="16">
        <v>25.5</v>
      </c>
      <c r="J539" s="16">
        <v>25.5</v>
      </c>
      <c r="K539" s="16" t="s">
        <v>6</v>
      </c>
      <c r="L539" s="16">
        <v>1</v>
      </c>
      <c r="M539" s="92" t="s">
        <v>6</v>
      </c>
    </row>
    <row r="540" spans="1:13" x14ac:dyDescent="0.25">
      <c r="A540" s="99">
        <v>45394</v>
      </c>
      <c r="B540" s="96">
        <v>0.66666666666666663</v>
      </c>
      <c r="C540" s="95">
        <v>45394.666666666664</v>
      </c>
      <c r="D540" s="94">
        <v>72</v>
      </c>
      <c r="E540" s="94">
        <v>77</v>
      </c>
      <c r="F540" s="94">
        <v>67.099999999999994</v>
      </c>
      <c r="G540" s="94" t="s">
        <v>6</v>
      </c>
      <c r="H540" s="94">
        <v>19.399999999999999</v>
      </c>
      <c r="I540" s="94">
        <v>22.1</v>
      </c>
      <c r="J540" s="94">
        <v>16.2</v>
      </c>
      <c r="K540" s="94" t="s">
        <v>6</v>
      </c>
      <c r="L540" s="94">
        <v>98</v>
      </c>
      <c r="M540" s="105" t="s">
        <v>6</v>
      </c>
    </row>
    <row r="541" spans="1:13" x14ac:dyDescent="0.25">
      <c r="A541" s="93">
        <v>45394</v>
      </c>
      <c r="B541" s="97">
        <v>0.70833333333333337</v>
      </c>
      <c r="C541" s="102">
        <v>45394.708333333336</v>
      </c>
      <c r="D541" s="101">
        <v>74.2</v>
      </c>
      <c r="E541" s="101">
        <v>79.8</v>
      </c>
      <c r="F541" s="101">
        <v>66.8</v>
      </c>
      <c r="G541" s="101" t="s">
        <v>6</v>
      </c>
      <c r="H541" s="101">
        <v>18.7</v>
      </c>
      <c r="I541" s="101">
        <v>26.6</v>
      </c>
      <c r="J541" s="101">
        <v>12.7</v>
      </c>
      <c r="K541" s="101" t="s">
        <v>6</v>
      </c>
      <c r="L541" s="101">
        <v>225</v>
      </c>
      <c r="M541" s="105" t="s">
        <v>6</v>
      </c>
    </row>
    <row r="542" spans="1:13" x14ac:dyDescent="0.25">
      <c r="A542" s="93">
        <v>45394</v>
      </c>
      <c r="B542" s="97">
        <v>0.75</v>
      </c>
      <c r="C542" s="102">
        <v>45394.75</v>
      </c>
      <c r="D542" s="101">
        <v>75</v>
      </c>
      <c r="E542" s="101">
        <v>83.7</v>
      </c>
      <c r="F542" s="101">
        <v>60.3</v>
      </c>
      <c r="G542" s="101" t="s">
        <v>6</v>
      </c>
      <c r="H542" s="101">
        <v>17.899999999999999</v>
      </c>
      <c r="I542" s="101">
        <v>23.4</v>
      </c>
      <c r="J542" s="101">
        <v>13.4</v>
      </c>
      <c r="K542" s="101" t="s">
        <v>6</v>
      </c>
      <c r="L542" s="101">
        <v>156</v>
      </c>
      <c r="M542" s="105" t="s">
        <v>6</v>
      </c>
    </row>
    <row r="543" spans="1:13" x14ac:dyDescent="0.25">
      <c r="A543" s="93">
        <v>45394</v>
      </c>
      <c r="B543" s="97">
        <v>0.79166666666666663</v>
      </c>
      <c r="C543" s="102">
        <v>45394.791666666664</v>
      </c>
      <c r="D543" s="101">
        <v>77.3</v>
      </c>
      <c r="E543" s="101">
        <v>86.3</v>
      </c>
      <c r="F543" s="101">
        <v>67.400000000000006</v>
      </c>
      <c r="G543" s="101" t="s">
        <v>6</v>
      </c>
      <c r="H543" s="101">
        <v>18.7</v>
      </c>
      <c r="I543" s="101">
        <v>22.9</v>
      </c>
      <c r="J543" s="101">
        <v>12.4</v>
      </c>
      <c r="K543" s="101" t="s">
        <v>6</v>
      </c>
      <c r="L543" s="101">
        <v>194</v>
      </c>
      <c r="M543" s="105" t="s">
        <v>6</v>
      </c>
    </row>
    <row r="544" spans="1:13" x14ac:dyDescent="0.25">
      <c r="A544" s="93">
        <v>45394</v>
      </c>
      <c r="B544" s="97">
        <v>0.83333333333333337</v>
      </c>
      <c r="C544" s="102">
        <v>45394.833333333336</v>
      </c>
      <c r="D544" s="101">
        <v>70.3</v>
      </c>
      <c r="E544" s="101">
        <v>81.599999999999994</v>
      </c>
      <c r="F544" s="101">
        <v>60.2</v>
      </c>
      <c r="G544" s="101" t="s">
        <v>6</v>
      </c>
      <c r="H544" s="101">
        <v>18.600000000000001</v>
      </c>
      <c r="I544" s="101">
        <v>23.8</v>
      </c>
      <c r="J544" s="101">
        <v>14.7</v>
      </c>
      <c r="K544" s="101" t="s">
        <v>6</v>
      </c>
      <c r="L544" s="101">
        <v>224</v>
      </c>
      <c r="M544" s="105" t="s">
        <v>6</v>
      </c>
    </row>
    <row r="545" spans="1:13" x14ac:dyDescent="0.25">
      <c r="A545" s="93">
        <v>45394</v>
      </c>
      <c r="B545" s="97">
        <v>0.875</v>
      </c>
      <c r="C545" s="102">
        <v>45394.875</v>
      </c>
      <c r="D545" s="101">
        <v>73.5</v>
      </c>
      <c r="E545" s="101">
        <v>82.1</v>
      </c>
      <c r="F545" s="101">
        <v>60.3</v>
      </c>
      <c r="G545" s="101" t="s">
        <v>6</v>
      </c>
      <c r="H545" s="101">
        <v>20</v>
      </c>
      <c r="I545" s="101">
        <v>23.9</v>
      </c>
      <c r="J545" s="101">
        <v>16.5</v>
      </c>
      <c r="K545" s="101" t="s">
        <v>6</v>
      </c>
      <c r="L545" s="101">
        <v>218</v>
      </c>
      <c r="M545" s="105" t="s">
        <v>6</v>
      </c>
    </row>
    <row r="546" spans="1:13" x14ac:dyDescent="0.25">
      <c r="A546" s="93">
        <v>45394</v>
      </c>
      <c r="B546" s="97">
        <v>0.91666666666666663</v>
      </c>
      <c r="C546" s="102">
        <v>45394.916666666664</v>
      </c>
      <c r="D546" s="101">
        <v>69</v>
      </c>
      <c r="E546" s="101">
        <v>80.8</v>
      </c>
      <c r="F546" s="101">
        <v>56.8</v>
      </c>
      <c r="G546" s="101" t="s">
        <v>6</v>
      </c>
      <c r="H546" s="101">
        <v>20</v>
      </c>
      <c r="I546" s="101">
        <v>24.5</v>
      </c>
      <c r="J546" s="101">
        <v>16.5</v>
      </c>
      <c r="K546" s="101" t="s">
        <v>6</v>
      </c>
      <c r="L546" s="101">
        <v>179</v>
      </c>
      <c r="M546" s="105" t="s">
        <v>6</v>
      </c>
    </row>
    <row r="547" spans="1:13" x14ac:dyDescent="0.25">
      <c r="A547" s="93">
        <v>45394</v>
      </c>
      <c r="B547" s="97">
        <v>0.95833333333333337</v>
      </c>
      <c r="C547" s="102">
        <v>45394.958333333336</v>
      </c>
      <c r="D547" s="101">
        <v>73.400000000000006</v>
      </c>
      <c r="E547" s="101">
        <v>81</v>
      </c>
      <c r="F547" s="101">
        <v>60.5</v>
      </c>
      <c r="G547" s="101" t="s">
        <v>6</v>
      </c>
      <c r="H547" s="101">
        <v>19.7</v>
      </c>
      <c r="I547" s="101">
        <v>23.7</v>
      </c>
      <c r="J547" s="101">
        <v>15</v>
      </c>
      <c r="K547" s="101" t="s">
        <v>6</v>
      </c>
      <c r="L547" s="101">
        <v>184</v>
      </c>
      <c r="M547" s="105" t="s">
        <v>6</v>
      </c>
    </row>
    <row r="548" spans="1:13" x14ac:dyDescent="0.25">
      <c r="A548" s="93">
        <v>45395</v>
      </c>
      <c r="B548" s="97">
        <v>0</v>
      </c>
      <c r="C548" s="102">
        <v>45395</v>
      </c>
      <c r="D548" s="101">
        <v>73.2</v>
      </c>
      <c r="E548" s="101">
        <v>79.2</v>
      </c>
      <c r="F548" s="101">
        <v>64.599999999999994</v>
      </c>
      <c r="G548" s="101" t="s">
        <v>6</v>
      </c>
      <c r="H548" s="101">
        <v>19.7</v>
      </c>
      <c r="I548" s="101">
        <v>23.6</v>
      </c>
      <c r="J548" s="101">
        <v>15.4</v>
      </c>
      <c r="K548" s="101" t="s">
        <v>6</v>
      </c>
      <c r="L548" s="101">
        <v>160</v>
      </c>
      <c r="M548" s="105" t="s">
        <v>6</v>
      </c>
    </row>
    <row r="549" spans="1:13" x14ac:dyDescent="0.25">
      <c r="A549" s="93">
        <v>45395</v>
      </c>
      <c r="B549" s="97">
        <v>4.1666666666666664E-2</v>
      </c>
      <c r="C549" s="102">
        <v>45395.041666666664</v>
      </c>
      <c r="D549" s="101">
        <v>64</v>
      </c>
      <c r="E549" s="101">
        <v>77.8</v>
      </c>
      <c r="F549" s="101">
        <v>52.9</v>
      </c>
      <c r="G549" s="101" t="s">
        <v>6</v>
      </c>
      <c r="H549" s="101">
        <v>20</v>
      </c>
      <c r="I549" s="101">
        <v>24.8</v>
      </c>
      <c r="J549" s="101">
        <v>15.2</v>
      </c>
      <c r="K549" s="101" t="s">
        <v>6</v>
      </c>
      <c r="L549" s="101">
        <v>178</v>
      </c>
      <c r="M549" s="105" t="s">
        <v>6</v>
      </c>
    </row>
    <row r="550" spans="1:13" x14ac:dyDescent="0.25">
      <c r="A550" s="93">
        <v>45395</v>
      </c>
      <c r="B550" s="97">
        <v>8.3333333333333329E-2</v>
      </c>
      <c r="C550" s="102">
        <v>45395.083333333336</v>
      </c>
      <c r="D550" s="101">
        <v>61.9</v>
      </c>
      <c r="E550" s="101">
        <v>68.099999999999994</v>
      </c>
      <c r="F550" s="101">
        <v>55.7</v>
      </c>
      <c r="G550" s="101" t="s">
        <v>6</v>
      </c>
      <c r="H550" s="101">
        <v>18.899999999999999</v>
      </c>
      <c r="I550" s="101">
        <v>23.4</v>
      </c>
      <c r="J550" s="101">
        <v>14.2</v>
      </c>
      <c r="K550" s="101" t="s">
        <v>6</v>
      </c>
      <c r="L550" s="101">
        <v>191</v>
      </c>
      <c r="M550" s="105" t="s">
        <v>6</v>
      </c>
    </row>
    <row r="551" spans="1:13" x14ac:dyDescent="0.25">
      <c r="A551" s="93">
        <v>45395</v>
      </c>
      <c r="B551" s="97">
        <v>0.125</v>
      </c>
      <c r="C551" s="102">
        <v>45395.125</v>
      </c>
      <c r="D551" s="101">
        <v>70.2</v>
      </c>
      <c r="E551" s="101">
        <v>81.7</v>
      </c>
      <c r="F551" s="101">
        <v>58.9</v>
      </c>
      <c r="G551" s="101" t="s">
        <v>6</v>
      </c>
      <c r="H551" s="101">
        <v>18.7</v>
      </c>
      <c r="I551" s="101">
        <v>21.9</v>
      </c>
      <c r="J551" s="101">
        <v>15.2</v>
      </c>
      <c r="K551" s="101" t="s">
        <v>6</v>
      </c>
      <c r="L551" s="101">
        <v>151</v>
      </c>
      <c r="M551" s="105" t="s">
        <v>6</v>
      </c>
    </row>
    <row r="552" spans="1:13" x14ac:dyDescent="0.25">
      <c r="A552" s="93">
        <v>45395</v>
      </c>
      <c r="B552" s="97">
        <v>0.16666666666666666</v>
      </c>
      <c r="C552" s="102">
        <v>45395.166666666664</v>
      </c>
      <c r="D552" s="101">
        <v>72.2</v>
      </c>
      <c r="E552" s="101">
        <v>81.5</v>
      </c>
      <c r="F552" s="101">
        <v>59.1</v>
      </c>
      <c r="G552" s="101" t="s">
        <v>6</v>
      </c>
      <c r="H552" s="101">
        <v>19.3</v>
      </c>
      <c r="I552" s="101">
        <v>24.1</v>
      </c>
      <c r="J552" s="101">
        <v>15.6</v>
      </c>
      <c r="K552" s="101" t="s">
        <v>6</v>
      </c>
      <c r="L552" s="101">
        <v>218</v>
      </c>
      <c r="M552" s="105" t="s">
        <v>6</v>
      </c>
    </row>
    <row r="553" spans="1:13" x14ac:dyDescent="0.25">
      <c r="A553" s="93">
        <v>45395</v>
      </c>
      <c r="B553" s="97">
        <v>0.20833333333333334</v>
      </c>
      <c r="C553" s="102">
        <v>45395.208333333336</v>
      </c>
      <c r="D553" s="101">
        <v>75.5</v>
      </c>
      <c r="E553" s="101">
        <v>82.3</v>
      </c>
      <c r="F553" s="101">
        <v>66.7</v>
      </c>
      <c r="G553" s="101" t="s">
        <v>6</v>
      </c>
      <c r="H553" s="101">
        <v>18.100000000000001</v>
      </c>
      <c r="I553" s="101">
        <v>21</v>
      </c>
      <c r="J553" s="101">
        <v>13.8</v>
      </c>
      <c r="K553" s="101" t="s">
        <v>6</v>
      </c>
      <c r="L553" s="101">
        <v>221</v>
      </c>
      <c r="M553" s="105" t="s">
        <v>6</v>
      </c>
    </row>
    <row r="554" spans="1:13" x14ac:dyDescent="0.25">
      <c r="A554" s="93">
        <v>45395</v>
      </c>
      <c r="B554" s="97">
        <v>0.25</v>
      </c>
      <c r="C554" s="102">
        <v>45395.25</v>
      </c>
      <c r="D554" s="101">
        <v>71.099999999999994</v>
      </c>
      <c r="E554" s="101">
        <v>81.3</v>
      </c>
      <c r="F554" s="101">
        <v>61.9</v>
      </c>
      <c r="G554" s="101" t="s">
        <v>6</v>
      </c>
      <c r="H554" s="101">
        <v>19.3</v>
      </c>
      <c r="I554" s="101">
        <v>29.4</v>
      </c>
      <c r="J554" s="101">
        <v>14.1</v>
      </c>
      <c r="K554" s="101" t="s">
        <v>6</v>
      </c>
      <c r="L554" s="101">
        <v>209</v>
      </c>
      <c r="M554" s="105" t="s">
        <v>6</v>
      </c>
    </row>
    <row r="555" spans="1:13" x14ac:dyDescent="0.25">
      <c r="A555" s="93">
        <v>45395</v>
      </c>
      <c r="B555" s="97">
        <v>0.29166666666666669</v>
      </c>
      <c r="C555" s="102">
        <v>45395.291666666664</v>
      </c>
      <c r="D555" s="101">
        <v>73.599999999999994</v>
      </c>
      <c r="E555" s="101">
        <v>78.8</v>
      </c>
      <c r="F555" s="101">
        <v>68</v>
      </c>
      <c r="G555" s="101" t="s">
        <v>6</v>
      </c>
      <c r="H555" s="101">
        <v>17.7</v>
      </c>
      <c r="I555" s="101">
        <v>22.3</v>
      </c>
      <c r="J555" s="101">
        <v>13.3</v>
      </c>
      <c r="K555" s="101" t="s">
        <v>6</v>
      </c>
      <c r="L555" s="101">
        <v>206</v>
      </c>
      <c r="M555" s="105" t="s">
        <v>6</v>
      </c>
    </row>
    <row r="556" spans="1:13" x14ac:dyDescent="0.25">
      <c r="A556" s="100">
        <v>45395</v>
      </c>
      <c r="B556" s="98">
        <v>0.33333333333333331</v>
      </c>
      <c r="C556" s="104">
        <v>45395.333333333336</v>
      </c>
      <c r="D556" s="103">
        <v>73.7</v>
      </c>
      <c r="E556" s="103">
        <v>78.5</v>
      </c>
      <c r="F556" s="103">
        <v>69.2</v>
      </c>
      <c r="G556" s="103" t="s">
        <v>6</v>
      </c>
      <c r="H556" s="103">
        <v>18</v>
      </c>
      <c r="I556" s="103">
        <v>23.6</v>
      </c>
      <c r="J556" s="103">
        <v>14.8</v>
      </c>
      <c r="K556" s="103" t="s">
        <v>6</v>
      </c>
      <c r="L556" s="103">
        <v>120</v>
      </c>
      <c r="M556" s="105" t="s">
        <v>6</v>
      </c>
    </row>
    <row r="557" spans="1:13" x14ac:dyDescent="0.25">
      <c r="A557" s="79">
        <v>45396</v>
      </c>
      <c r="B557" s="11">
        <v>0</v>
      </c>
      <c r="C557" s="22">
        <v>45396</v>
      </c>
      <c r="D557" s="12">
        <v>54.4</v>
      </c>
      <c r="E557" s="12">
        <v>54.8</v>
      </c>
      <c r="F557" s="12">
        <v>53.9</v>
      </c>
      <c r="G557" s="12" t="s">
        <v>6</v>
      </c>
      <c r="H557" s="12">
        <v>28.7</v>
      </c>
      <c r="I557" s="12">
        <v>31</v>
      </c>
      <c r="J557" s="12">
        <v>25.3</v>
      </c>
      <c r="K557" s="12" t="s">
        <v>6</v>
      </c>
      <c r="L557" s="12">
        <v>3</v>
      </c>
      <c r="M557" s="105" t="s">
        <v>6</v>
      </c>
    </row>
    <row r="558" spans="1:13" x14ac:dyDescent="0.25">
      <c r="A558" s="79">
        <v>45396</v>
      </c>
      <c r="B558" s="11">
        <v>4.1666666666666664E-2</v>
      </c>
      <c r="C558" s="22">
        <v>45396.041666666664</v>
      </c>
      <c r="D558" s="12">
        <v>70.5</v>
      </c>
      <c r="E558" s="12">
        <v>78.7</v>
      </c>
      <c r="F558" s="12">
        <v>51.8</v>
      </c>
      <c r="G558" s="12" t="s">
        <v>6</v>
      </c>
      <c r="H558" s="12">
        <v>19.7</v>
      </c>
      <c r="I558" s="12">
        <v>25.6</v>
      </c>
      <c r="J558" s="12">
        <v>15.7</v>
      </c>
      <c r="K558" s="12" t="s">
        <v>6</v>
      </c>
      <c r="L558" s="12">
        <v>225</v>
      </c>
      <c r="M558" s="105" t="s">
        <v>6</v>
      </c>
    </row>
    <row r="559" spans="1:13" x14ac:dyDescent="0.25">
      <c r="A559" s="79">
        <v>45396</v>
      </c>
      <c r="B559" s="11">
        <v>8.3333333333333329E-2</v>
      </c>
      <c r="C559" s="22">
        <v>45396.083333333336</v>
      </c>
      <c r="D559" s="12">
        <v>71.099999999999994</v>
      </c>
      <c r="E559" s="12">
        <v>76</v>
      </c>
      <c r="F559" s="12">
        <v>65.099999999999994</v>
      </c>
      <c r="G559" s="12" t="s">
        <v>6</v>
      </c>
      <c r="H559" s="12">
        <v>18.3</v>
      </c>
      <c r="I559" s="12">
        <v>22.1</v>
      </c>
      <c r="J559" s="12">
        <v>12.2</v>
      </c>
      <c r="K559" s="12" t="s">
        <v>6</v>
      </c>
      <c r="L559" s="12">
        <v>226</v>
      </c>
      <c r="M559" s="105" t="s">
        <v>6</v>
      </c>
    </row>
    <row r="560" spans="1:13" x14ac:dyDescent="0.25">
      <c r="A560" s="79">
        <v>45396</v>
      </c>
      <c r="B560" s="11">
        <v>0.125</v>
      </c>
      <c r="C560" s="22">
        <v>45396.125</v>
      </c>
      <c r="D560" s="12">
        <v>68.2</v>
      </c>
      <c r="E560" s="12">
        <v>74.3</v>
      </c>
      <c r="F560" s="12">
        <v>63.5</v>
      </c>
      <c r="G560" s="12" t="s">
        <v>6</v>
      </c>
      <c r="H560" s="12">
        <v>18.5</v>
      </c>
      <c r="I560" s="12">
        <v>22.3</v>
      </c>
      <c r="J560" s="12">
        <v>12.4</v>
      </c>
      <c r="K560" s="12" t="s">
        <v>6</v>
      </c>
      <c r="L560" s="12">
        <v>227</v>
      </c>
      <c r="M560" s="105" t="s">
        <v>6</v>
      </c>
    </row>
    <row r="561" spans="1:13" x14ac:dyDescent="0.25">
      <c r="A561" s="79">
        <v>45396</v>
      </c>
      <c r="B561" s="11">
        <v>0.16666666666666666</v>
      </c>
      <c r="C561" s="22">
        <v>45396.166666666664</v>
      </c>
      <c r="D561" s="12">
        <v>70.8</v>
      </c>
      <c r="E561" s="12">
        <v>75.099999999999994</v>
      </c>
      <c r="F561" s="12">
        <v>64.7</v>
      </c>
      <c r="G561" s="12" t="s">
        <v>6</v>
      </c>
      <c r="H561" s="12">
        <v>18.2</v>
      </c>
      <c r="I561" s="12">
        <v>21.7</v>
      </c>
      <c r="J561" s="12">
        <v>14.6</v>
      </c>
      <c r="K561" s="12" t="s">
        <v>6</v>
      </c>
      <c r="L561" s="12">
        <v>229</v>
      </c>
      <c r="M561" s="105" t="s">
        <v>6</v>
      </c>
    </row>
    <row r="562" spans="1:13" x14ac:dyDescent="0.25">
      <c r="A562" s="79">
        <v>45396</v>
      </c>
      <c r="B562" s="11">
        <v>0.20833333333333334</v>
      </c>
      <c r="C562" s="22">
        <v>45396.208333333336</v>
      </c>
      <c r="D562" s="12">
        <v>70.5</v>
      </c>
      <c r="E562" s="12">
        <v>74.7</v>
      </c>
      <c r="F562" s="12">
        <v>65.7</v>
      </c>
      <c r="G562" s="12" t="s">
        <v>6</v>
      </c>
      <c r="H562" s="12">
        <v>18.2</v>
      </c>
      <c r="I562" s="12">
        <v>22.4</v>
      </c>
      <c r="J562" s="12">
        <v>14.8</v>
      </c>
      <c r="K562" s="12" t="s">
        <v>6</v>
      </c>
      <c r="L562" s="12">
        <v>226</v>
      </c>
      <c r="M562" s="105" t="s">
        <v>6</v>
      </c>
    </row>
    <row r="563" spans="1:13" x14ac:dyDescent="0.25">
      <c r="A563" s="79">
        <v>45396</v>
      </c>
      <c r="B563" s="11">
        <v>0.25</v>
      </c>
      <c r="C563" s="22">
        <v>45396.25</v>
      </c>
      <c r="D563" s="12">
        <v>68.099999999999994</v>
      </c>
      <c r="E563" s="12">
        <v>73.8</v>
      </c>
      <c r="F563" s="12">
        <v>61.7</v>
      </c>
      <c r="G563" s="12" t="s">
        <v>6</v>
      </c>
      <c r="H563" s="12">
        <v>19.399999999999999</v>
      </c>
      <c r="I563" s="12">
        <v>23.1</v>
      </c>
      <c r="J563" s="12">
        <v>14.2</v>
      </c>
      <c r="K563" s="12" t="s">
        <v>6</v>
      </c>
      <c r="L563" s="12">
        <v>226</v>
      </c>
      <c r="M563" s="105" t="s">
        <v>6</v>
      </c>
    </row>
    <row r="564" spans="1:13" x14ac:dyDescent="0.25">
      <c r="A564" s="81">
        <v>45396</v>
      </c>
      <c r="B564" s="15">
        <v>0.29166666666666669</v>
      </c>
      <c r="C564" s="20">
        <v>45396.291666666664</v>
      </c>
      <c r="D564" s="16">
        <v>68.099999999999994</v>
      </c>
      <c r="E564" s="16">
        <v>74.8</v>
      </c>
      <c r="F564" s="16">
        <v>60</v>
      </c>
      <c r="G564" s="16" t="s">
        <v>6</v>
      </c>
      <c r="H564" s="16">
        <v>18.3</v>
      </c>
      <c r="I564" s="16">
        <v>21.9</v>
      </c>
      <c r="J564" s="16">
        <v>12.2</v>
      </c>
      <c r="K564" s="16" t="s">
        <v>6</v>
      </c>
      <c r="L564" s="16">
        <v>151</v>
      </c>
      <c r="M564" s="105" t="s">
        <v>6</v>
      </c>
    </row>
    <row r="565" spans="1:13" x14ac:dyDescent="0.25">
      <c r="A565" s="80">
        <v>45396</v>
      </c>
      <c r="B565" s="7">
        <v>0.5</v>
      </c>
      <c r="C565" s="21">
        <v>45396.5</v>
      </c>
      <c r="D565" s="8">
        <v>59.1</v>
      </c>
      <c r="E565" s="8">
        <v>60.3</v>
      </c>
      <c r="F565" s="8">
        <v>58.3</v>
      </c>
      <c r="G565" s="8" t="s">
        <v>6</v>
      </c>
      <c r="H565" s="8">
        <v>13.9</v>
      </c>
      <c r="I565" s="8">
        <v>15.2</v>
      </c>
      <c r="J565" s="8">
        <v>13.1</v>
      </c>
      <c r="K565" s="8" t="s">
        <v>6</v>
      </c>
      <c r="L565" s="8">
        <v>12</v>
      </c>
      <c r="M565" s="105" t="s">
        <v>6</v>
      </c>
    </row>
    <row r="566" spans="1:13" x14ac:dyDescent="0.25">
      <c r="A566" s="79">
        <v>45396</v>
      </c>
      <c r="B566" s="11">
        <v>0.54166666666666663</v>
      </c>
      <c r="C566" s="22">
        <v>45396.541666666664</v>
      </c>
      <c r="D566" s="12">
        <v>60.1</v>
      </c>
      <c r="E566" s="12">
        <v>60.6</v>
      </c>
      <c r="F566" s="12">
        <v>59</v>
      </c>
      <c r="G566" s="12" t="s">
        <v>6</v>
      </c>
      <c r="H566" s="12">
        <v>12.1</v>
      </c>
      <c r="I566" s="12">
        <v>12.8</v>
      </c>
      <c r="J566" s="12">
        <v>11.7</v>
      </c>
      <c r="K566" s="12" t="s">
        <v>6</v>
      </c>
      <c r="L566" s="12">
        <v>4</v>
      </c>
      <c r="M566" s="105" t="s">
        <v>6</v>
      </c>
    </row>
    <row r="567" spans="1:13" x14ac:dyDescent="0.25">
      <c r="A567" s="79">
        <v>45396</v>
      </c>
      <c r="B567" s="11">
        <v>0.91666666666666663</v>
      </c>
      <c r="C567" s="22">
        <v>45396.916666666664</v>
      </c>
      <c r="D567" s="12">
        <v>65.7</v>
      </c>
      <c r="E567" s="12">
        <v>72.400000000000006</v>
      </c>
      <c r="F567" s="12">
        <v>56.1</v>
      </c>
      <c r="G567" s="12" t="s">
        <v>6</v>
      </c>
      <c r="H567" s="12">
        <v>20.9</v>
      </c>
      <c r="I567" s="12">
        <v>25</v>
      </c>
      <c r="J567" s="12">
        <v>17.2</v>
      </c>
      <c r="K567" s="12" t="s">
        <v>6</v>
      </c>
      <c r="L567" s="12">
        <v>135</v>
      </c>
      <c r="M567" s="106" t="s">
        <v>6</v>
      </c>
    </row>
    <row r="568" spans="1:13" x14ac:dyDescent="0.25">
      <c r="A568" s="79">
        <v>45396</v>
      </c>
      <c r="B568" s="11">
        <v>0.95833333333333337</v>
      </c>
      <c r="C568" s="22">
        <v>45396.958333333336</v>
      </c>
      <c r="D568" s="12">
        <v>67.7</v>
      </c>
      <c r="E568" s="12">
        <v>73.099999999999994</v>
      </c>
      <c r="F568" s="12">
        <v>59.4</v>
      </c>
      <c r="G568" s="12" t="s">
        <v>6</v>
      </c>
      <c r="H568" s="12">
        <v>19</v>
      </c>
      <c r="I568" s="12">
        <v>23.7</v>
      </c>
      <c r="J568" s="12">
        <v>16.8</v>
      </c>
      <c r="K568" s="12" t="s">
        <v>6</v>
      </c>
      <c r="L568" s="12">
        <v>227</v>
      </c>
      <c r="M568" s="106" t="s">
        <v>6</v>
      </c>
    </row>
    <row r="569" spans="1:13" x14ac:dyDescent="0.25">
      <c r="A569" s="79">
        <v>45397</v>
      </c>
      <c r="B569" s="11">
        <v>0</v>
      </c>
      <c r="C569" s="22">
        <v>45397</v>
      </c>
      <c r="D569" s="12">
        <v>69.599999999999994</v>
      </c>
      <c r="E569" s="12">
        <v>73</v>
      </c>
      <c r="F569" s="12">
        <v>64</v>
      </c>
      <c r="G569" s="12" t="s">
        <v>6</v>
      </c>
      <c r="H569" s="12">
        <v>18.399999999999999</v>
      </c>
      <c r="I569" s="12">
        <v>22.5</v>
      </c>
      <c r="J569" s="12">
        <v>14.2</v>
      </c>
      <c r="K569" s="12" t="s">
        <v>6</v>
      </c>
      <c r="L569" s="12">
        <v>219</v>
      </c>
      <c r="M569" s="106" t="s">
        <v>6</v>
      </c>
    </row>
    <row r="570" spans="1:13" x14ac:dyDescent="0.25">
      <c r="A570" s="79">
        <v>45397</v>
      </c>
      <c r="B570" s="11">
        <v>4.1666666666666664E-2</v>
      </c>
      <c r="C570" s="22">
        <v>45397.041666666664</v>
      </c>
      <c r="D570" s="12">
        <v>64.599999999999994</v>
      </c>
      <c r="E570" s="12">
        <v>71.5</v>
      </c>
      <c r="F570" s="12">
        <v>53.3</v>
      </c>
      <c r="G570" s="12" t="s">
        <v>6</v>
      </c>
      <c r="H570" s="12">
        <v>19.5</v>
      </c>
      <c r="I570" s="12">
        <v>23.6</v>
      </c>
      <c r="J570" s="12">
        <v>14.6</v>
      </c>
      <c r="K570" s="12" t="s">
        <v>6</v>
      </c>
      <c r="L570" s="12">
        <v>228</v>
      </c>
      <c r="M570" s="106" t="s">
        <v>6</v>
      </c>
    </row>
    <row r="571" spans="1:13" x14ac:dyDescent="0.25">
      <c r="A571" s="79">
        <v>45397</v>
      </c>
      <c r="B571" s="11">
        <v>8.3333333333333329E-2</v>
      </c>
      <c r="C571" s="22">
        <v>45397.083333333336</v>
      </c>
      <c r="D571" s="12">
        <v>68.8</v>
      </c>
      <c r="E571" s="12">
        <v>73.400000000000006</v>
      </c>
      <c r="F571" s="12">
        <v>58.8</v>
      </c>
      <c r="G571" s="12" t="s">
        <v>6</v>
      </c>
      <c r="H571" s="12">
        <v>18.100000000000001</v>
      </c>
      <c r="I571" s="12">
        <v>23.5</v>
      </c>
      <c r="J571" s="12">
        <v>14.8</v>
      </c>
      <c r="K571" s="12" t="s">
        <v>6</v>
      </c>
      <c r="L571" s="12">
        <v>194</v>
      </c>
      <c r="M571" s="106" t="s">
        <v>6</v>
      </c>
    </row>
    <row r="572" spans="1:13" x14ac:dyDescent="0.25">
      <c r="A572" s="79">
        <v>45397</v>
      </c>
      <c r="B572" s="11">
        <v>0.125</v>
      </c>
      <c r="C572" s="22">
        <v>45397.125</v>
      </c>
      <c r="D572" s="12">
        <v>65.2</v>
      </c>
      <c r="E572" s="12">
        <v>75.599999999999994</v>
      </c>
      <c r="F572" s="12">
        <v>57.3</v>
      </c>
      <c r="G572" s="12" t="s">
        <v>6</v>
      </c>
      <c r="H572" s="12">
        <v>19.8</v>
      </c>
      <c r="I572" s="12">
        <v>25.8</v>
      </c>
      <c r="J572" s="12">
        <v>13.6</v>
      </c>
      <c r="K572" s="12" t="s">
        <v>6</v>
      </c>
      <c r="L572" s="12">
        <v>225</v>
      </c>
      <c r="M572" s="106" t="s">
        <v>6</v>
      </c>
    </row>
    <row r="573" spans="1:13" x14ac:dyDescent="0.25">
      <c r="A573" s="79">
        <v>45397</v>
      </c>
      <c r="B573" s="11">
        <v>0.16666666666666666</v>
      </c>
      <c r="C573" s="22">
        <v>45397.166666666664</v>
      </c>
      <c r="D573" s="12">
        <v>68.900000000000006</v>
      </c>
      <c r="E573" s="12">
        <v>79.5</v>
      </c>
      <c r="F573" s="12">
        <v>59.6</v>
      </c>
      <c r="G573" s="12" t="s">
        <v>6</v>
      </c>
      <c r="H573" s="12">
        <v>18.399999999999999</v>
      </c>
      <c r="I573" s="12">
        <v>23.5</v>
      </c>
      <c r="J573" s="12">
        <v>13.8</v>
      </c>
      <c r="K573" s="12" t="s">
        <v>6</v>
      </c>
      <c r="L573" s="12">
        <v>183</v>
      </c>
      <c r="M573" s="106" t="s">
        <v>6</v>
      </c>
    </row>
    <row r="574" spans="1:13" x14ac:dyDescent="0.25">
      <c r="A574" s="79">
        <v>45397</v>
      </c>
      <c r="B574" s="11">
        <v>0.20833333333333334</v>
      </c>
      <c r="C574" s="22">
        <v>45397.208333333336</v>
      </c>
      <c r="D574" s="12">
        <v>68.5</v>
      </c>
      <c r="E574" s="12">
        <v>75.099999999999994</v>
      </c>
      <c r="F574" s="12">
        <v>62</v>
      </c>
      <c r="G574" s="12" t="s">
        <v>6</v>
      </c>
      <c r="H574" s="12">
        <v>17.600000000000001</v>
      </c>
      <c r="I574" s="12">
        <v>21.2</v>
      </c>
      <c r="J574" s="12">
        <v>13.7</v>
      </c>
      <c r="K574" s="12" t="s">
        <v>6</v>
      </c>
      <c r="L574" s="12">
        <v>230</v>
      </c>
      <c r="M574" s="106" t="s">
        <v>6</v>
      </c>
    </row>
    <row r="575" spans="1:13" x14ac:dyDescent="0.25">
      <c r="A575" s="79">
        <v>45397</v>
      </c>
      <c r="B575" s="11">
        <v>0.25</v>
      </c>
      <c r="C575" s="22">
        <v>45397.25</v>
      </c>
      <c r="D575" s="12">
        <v>69</v>
      </c>
      <c r="E575" s="12">
        <v>76.400000000000006</v>
      </c>
      <c r="F575" s="12">
        <v>61.9</v>
      </c>
      <c r="G575" s="12" t="s">
        <v>6</v>
      </c>
      <c r="H575" s="12">
        <v>17.3</v>
      </c>
      <c r="I575" s="12">
        <v>19.7</v>
      </c>
      <c r="J575" s="12">
        <v>14.5</v>
      </c>
      <c r="K575" s="12" t="s">
        <v>6</v>
      </c>
      <c r="L575" s="12">
        <v>174</v>
      </c>
      <c r="M575" s="106" t="s">
        <v>6</v>
      </c>
    </row>
    <row r="576" spans="1:13" x14ac:dyDescent="0.25">
      <c r="A576" s="79">
        <v>45397</v>
      </c>
      <c r="B576" s="11">
        <v>0.29166666666666669</v>
      </c>
      <c r="C576" s="22">
        <v>45397.291666666664</v>
      </c>
      <c r="D576" s="12">
        <v>70.7</v>
      </c>
      <c r="E576" s="12">
        <v>74.7</v>
      </c>
      <c r="F576" s="12">
        <v>65.5</v>
      </c>
      <c r="G576" s="12" t="s">
        <v>6</v>
      </c>
      <c r="H576" s="12">
        <v>17.899999999999999</v>
      </c>
      <c r="I576" s="12">
        <v>21.5</v>
      </c>
      <c r="J576" s="12">
        <v>14.6</v>
      </c>
      <c r="K576" s="12" t="s">
        <v>6</v>
      </c>
      <c r="L576" s="12">
        <v>227</v>
      </c>
      <c r="M576" s="106" t="s">
        <v>6</v>
      </c>
    </row>
    <row r="577" spans="1:13" x14ac:dyDescent="0.25">
      <c r="A577" s="81">
        <v>45397</v>
      </c>
      <c r="B577" s="15">
        <v>0.33333333333333331</v>
      </c>
      <c r="C577" s="20">
        <v>45397.333333333336</v>
      </c>
      <c r="D577" s="16">
        <v>66.5</v>
      </c>
      <c r="E577" s="16">
        <v>67.099999999999994</v>
      </c>
      <c r="F577" s="16">
        <v>65.7</v>
      </c>
      <c r="G577" s="16" t="s">
        <v>6</v>
      </c>
      <c r="H577" s="16">
        <v>17.7</v>
      </c>
      <c r="I577" s="16">
        <v>21.6</v>
      </c>
      <c r="J577" s="16">
        <v>15.2</v>
      </c>
      <c r="K577" s="16" t="s">
        <v>6</v>
      </c>
      <c r="L577" s="16">
        <v>20</v>
      </c>
      <c r="M577" s="106" t="s">
        <v>6</v>
      </c>
    </row>
    <row r="578" spans="1:13" x14ac:dyDescent="0.25">
      <c r="A578" s="80">
        <v>45397</v>
      </c>
      <c r="B578" s="7">
        <v>0.66666666666666663</v>
      </c>
      <c r="C578" s="21">
        <v>45397.666666666664</v>
      </c>
      <c r="D578" s="8">
        <v>65</v>
      </c>
      <c r="E578" s="8">
        <v>65.3</v>
      </c>
      <c r="F578" s="8">
        <v>64.3</v>
      </c>
      <c r="G578" s="8" t="s">
        <v>6</v>
      </c>
      <c r="H578" s="8">
        <v>13</v>
      </c>
      <c r="I578" s="8">
        <v>13.7</v>
      </c>
      <c r="J578" s="8">
        <v>12.5</v>
      </c>
      <c r="K578" s="8" t="s">
        <v>6</v>
      </c>
      <c r="L578" s="8">
        <v>9</v>
      </c>
      <c r="M578" s="107" t="s">
        <v>6</v>
      </c>
    </row>
    <row r="579" spans="1:13" x14ac:dyDescent="0.25">
      <c r="A579" s="79">
        <v>45397</v>
      </c>
      <c r="B579" s="11">
        <v>0.875</v>
      </c>
      <c r="C579" s="22">
        <v>45397.875</v>
      </c>
      <c r="D579" s="12">
        <v>63.9</v>
      </c>
      <c r="E579" s="12">
        <v>74.8</v>
      </c>
      <c r="F579" s="12">
        <v>52.4</v>
      </c>
      <c r="G579" s="12" t="s">
        <v>6</v>
      </c>
      <c r="H579" s="12">
        <v>19.399999999999999</v>
      </c>
      <c r="I579" s="12">
        <v>23.2</v>
      </c>
      <c r="J579" s="12">
        <v>16.2</v>
      </c>
      <c r="K579" s="12" t="s">
        <v>6</v>
      </c>
      <c r="L579" s="12">
        <v>75</v>
      </c>
      <c r="M579" s="107" t="s">
        <v>6</v>
      </c>
    </row>
    <row r="580" spans="1:13" x14ac:dyDescent="0.25">
      <c r="A580" s="79">
        <v>45397</v>
      </c>
      <c r="B580" s="11">
        <v>0.91666666666666663</v>
      </c>
      <c r="C580" s="22">
        <v>45397.916666666664</v>
      </c>
      <c r="D580" s="12">
        <v>68.7</v>
      </c>
      <c r="E580" s="12">
        <v>74.8</v>
      </c>
      <c r="F580" s="12">
        <v>62.1</v>
      </c>
      <c r="G580" s="12" t="s">
        <v>6</v>
      </c>
      <c r="H580" s="12">
        <v>19.100000000000001</v>
      </c>
      <c r="I580" s="12">
        <v>22.1</v>
      </c>
      <c r="J580" s="12">
        <v>14.8</v>
      </c>
      <c r="K580" s="12" t="s">
        <v>6</v>
      </c>
      <c r="L580" s="12">
        <v>228</v>
      </c>
      <c r="M580" s="107" t="s">
        <v>6</v>
      </c>
    </row>
    <row r="581" spans="1:13" x14ac:dyDescent="0.25">
      <c r="A581" s="79">
        <v>45397</v>
      </c>
      <c r="B581" s="11">
        <v>0.95833333333333337</v>
      </c>
      <c r="C581" s="22">
        <v>45397.958333333336</v>
      </c>
      <c r="D581" s="12">
        <v>61.1</v>
      </c>
      <c r="E581" s="12">
        <v>70</v>
      </c>
      <c r="F581" s="12">
        <v>48.9</v>
      </c>
      <c r="G581" s="12" t="s">
        <v>6</v>
      </c>
      <c r="H581" s="12">
        <v>19</v>
      </c>
      <c r="I581" s="12">
        <v>22.1</v>
      </c>
      <c r="J581" s="12">
        <v>14.7</v>
      </c>
      <c r="K581" s="12" t="s">
        <v>6</v>
      </c>
      <c r="L581" s="12">
        <v>221</v>
      </c>
      <c r="M581" s="107" t="s">
        <v>6</v>
      </c>
    </row>
    <row r="582" spans="1:13" x14ac:dyDescent="0.25">
      <c r="A582" s="79">
        <v>45398</v>
      </c>
      <c r="B582" s="11">
        <v>0</v>
      </c>
      <c r="C582" s="22">
        <v>45398</v>
      </c>
      <c r="D582" s="12">
        <v>64.8</v>
      </c>
      <c r="E582" s="12">
        <v>72.099999999999994</v>
      </c>
      <c r="F582" s="12">
        <v>57.5</v>
      </c>
      <c r="G582" s="12" t="s">
        <v>6</v>
      </c>
      <c r="H582" s="12">
        <v>20.100000000000001</v>
      </c>
      <c r="I582" s="12">
        <v>24.2</v>
      </c>
      <c r="J582" s="12">
        <v>16.5</v>
      </c>
      <c r="K582" s="12" t="s">
        <v>6</v>
      </c>
      <c r="L582" s="12">
        <v>227</v>
      </c>
      <c r="M582" s="107" t="s">
        <v>6</v>
      </c>
    </row>
    <row r="583" spans="1:13" x14ac:dyDescent="0.25">
      <c r="A583" s="79">
        <v>45398</v>
      </c>
      <c r="B583" s="11">
        <v>4.1666666666666664E-2</v>
      </c>
      <c r="C583" s="22">
        <v>45398.041666666664</v>
      </c>
      <c r="D583" s="12">
        <v>68.5</v>
      </c>
      <c r="E583" s="12">
        <v>70.900000000000006</v>
      </c>
      <c r="F583" s="12">
        <v>62.6</v>
      </c>
      <c r="G583" s="12" t="s">
        <v>6</v>
      </c>
      <c r="H583" s="12">
        <v>18.899999999999999</v>
      </c>
      <c r="I583" s="12">
        <v>25.1</v>
      </c>
      <c r="J583" s="12">
        <v>15.7</v>
      </c>
      <c r="K583" s="12" t="s">
        <v>6</v>
      </c>
      <c r="L583" s="12">
        <v>81</v>
      </c>
      <c r="M583" s="107" t="s">
        <v>6</v>
      </c>
    </row>
    <row r="584" spans="1:13" x14ac:dyDescent="0.25">
      <c r="A584" s="79">
        <v>45398</v>
      </c>
      <c r="B584" s="11">
        <v>8.3333333333333329E-2</v>
      </c>
      <c r="C584" s="22">
        <v>45398.083333333336</v>
      </c>
      <c r="D584" s="12">
        <v>66.3</v>
      </c>
      <c r="E584" s="12">
        <v>80</v>
      </c>
      <c r="F584" s="12">
        <v>53.7</v>
      </c>
      <c r="G584" s="12" t="s">
        <v>6</v>
      </c>
      <c r="H584" s="12">
        <v>20.100000000000001</v>
      </c>
      <c r="I584" s="12">
        <v>25.4</v>
      </c>
      <c r="J584" s="12">
        <v>16.2</v>
      </c>
      <c r="K584" s="12" t="s">
        <v>6</v>
      </c>
      <c r="L584" s="12">
        <v>230</v>
      </c>
      <c r="M584" s="107" t="s">
        <v>6</v>
      </c>
    </row>
    <row r="585" spans="1:13" x14ac:dyDescent="0.25">
      <c r="A585" s="79">
        <v>45398</v>
      </c>
      <c r="B585" s="11">
        <v>0.125</v>
      </c>
      <c r="C585" s="22">
        <v>45398.125</v>
      </c>
      <c r="D585" s="12">
        <v>67.5</v>
      </c>
      <c r="E585" s="12">
        <v>72.8</v>
      </c>
      <c r="F585" s="12">
        <v>59.4</v>
      </c>
      <c r="G585" s="12" t="s">
        <v>6</v>
      </c>
      <c r="H585" s="12">
        <v>18.600000000000001</v>
      </c>
      <c r="I585" s="12">
        <v>27</v>
      </c>
      <c r="J585" s="12">
        <v>15.3</v>
      </c>
      <c r="K585" s="12" t="s">
        <v>6</v>
      </c>
      <c r="L585" s="12">
        <v>188</v>
      </c>
      <c r="M585" s="107" t="s">
        <v>6</v>
      </c>
    </row>
    <row r="586" spans="1:13" x14ac:dyDescent="0.25">
      <c r="A586" s="79">
        <v>45398</v>
      </c>
      <c r="B586" s="11">
        <v>0.16666666666666666</v>
      </c>
      <c r="C586" s="22">
        <v>45398.166666666664</v>
      </c>
      <c r="D586" s="12">
        <v>68.900000000000006</v>
      </c>
      <c r="E586" s="12">
        <v>75.099999999999994</v>
      </c>
      <c r="F586" s="12">
        <v>60.8</v>
      </c>
      <c r="G586" s="12" t="s">
        <v>6</v>
      </c>
      <c r="H586" s="12">
        <v>18.7</v>
      </c>
      <c r="I586" s="12">
        <v>23.1</v>
      </c>
      <c r="J586" s="12">
        <v>14.3</v>
      </c>
      <c r="K586" s="12" t="s">
        <v>6</v>
      </c>
      <c r="L586" s="12">
        <v>217</v>
      </c>
      <c r="M586" s="107" t="s">
        <v>6</v>
      </c>
    </row>
    <row r="587" spans="1:13" x14ac:dyDescent="0.25">
      <c r="A587" s="79">
        <v>45398</v>
      </c>
      <c r="B587" s="11">
        <v>0.20833333333333334</v>
      </c>
      <c r="C587" s="22">
        <v>45398.208333333336</v>
      </c>
      <c r="D587" s="12">
        <v>67.099999999999994</v>
      </c>
      <c r="E587" s="12">
        <v>75.599999999999994</v>
      </c>
      <c r="F587" s="12">
        <v>60.8</v>
      </c>
      <c r="G587" s="12" t="s">
        <v>6</v>
      </c>
      <c r="H587" s="12">
        <v>18.600000000000001</v>
      </c>
      <c r="I587" s="12">
        <v>21.5</v>
      </c>
      <c r="J587" s="12">
        <v>15</v>
      </c>
      <c r="K587" s="12" t="s">
        <v>6</v>
      </c>
      <c r="L587" s="12">
        <v>220</v>
      </c>
      <c r="M587" s="107" t="s">
        <v>6</v>
      </c>
    </row>
    <row r="588" spans="1:13" x14ac:dyDescent="0.25">
      <c r="A588" s="79">
        <v>45398</v>
      </c>
      <c r="B588" s="11">
        <v>0.25</v>
      </c>
      <c r="C588" s="22">
        <v>45398.25</v>
      </c>
      <c r="D588" s="12">
        <v>71.5</v>
      </c>
      <c r="E588" s="12">
        <v>76.2</v>
      </c>
      <c r="F588" s="12">
        <v>65.2</v>
      </c>
      <c r="G588" s="12" t="s">
        <v>6</v>
      </c>
      <c r="H588" s="12">
        <v>19.100000000000001</v>
      </c>
      <c r="I588" s="12">
        <v>26.3</v>
      </c>
      <c r="J588" s="12">
        <v>14.8</v>
      </c>
      <c r="K588" s="12" t="s">
        <v>6</v>
      </c>
      <c r="L588" s="12">
        <v>178</v>
      </c>
      <c r="M588" s="107" t="s">
        <v>6</v>
      </c>
    </row>
    <row r="589" spans="1:13" x14ac:dyDescent="0.25">
      <c r="A589" s="81">
        <v>45398</v>
      </c>
      <c r="B589" s="15">
        <v>0.29166666666666669</v>
      </c>
      <c r="C589" s="20">
        <v>45398.291666666664</v>
      </c>
      <c r="D589" s="16">
        <v>69.900000000000006</v>
      </c>
      <c r="E589" s="16">
        <v>71.599999999999994</v>
      </c>
      <c r="F589" s="16">
        <v>68.900000000000006</v>
      </c>
      <c r="G589" s="16" t="s">
        <v>6</v>
      </c>
      <c r="H589" s="16">
        <v>21.7</v>
      </c>
      <c r="I589" s="16">
        <v>24.8</v>
      </c>
      <c r="J589" s="16">
        <v>17.3</v>
      </c>
      <c r="K589" s="16" t="s">
        <v>6</v>
      </c>
      <c r="L589" s="16">
        <v>31</v>
      </c>
      <c r="M589" s="107" t="s">
        <v>6</v>
      </c>
    </row>
    <row r="590" spans="1:13" x14ac:dyDescent="0.25">
      <c r="A590" s="80">
        <v>45398</v>
      </c>
      <c r="B590" s="7">
        <v>0.58333333333333337</v>
      </c>
      <c r="C590" s="21">
        <v>45398.583333333336</v>
      </c>
      <c r="D590" s="8">
        <v>63.3</v>
      </c>
      <c r="E590" s="8">
        <v>69</v>
      </c>
      <c r="F590" s="8">
        <v>56.1</v>
      </c>
      <c r="G590" s="8" t="s">
        <v>6</v>
      </c>
      <c r="H590" s="8">
        <v>19.8</v>
      </c>
      <c r="I590" s="8">
        <v>25.2</v>
      </c>
      <c r="J590" s="8">
        <v>16.7</v>
      </c>
      <c r="K590" s="8" t="s">
        <v>6</v>
      </c>
      <c r="L590" s="8">
        <v>176</v>
      </c>
      <c r="M590" s="108" t="s">
        <v>6</v>
      </c>
    </row>
    <row r="591" spans="1:13" x14ac:dyDescent="0.25">
      <c r="A591" s="79">
        <v>45398</v>
      </c>
      <c r="B591" s="11">
        <v>0.625</v>
      </c>
      <c r="C591" s="22">
        <v>45398.625</v>
      </c>
      <c r="D591" s="12">
        <v>64.099999999999994</v>
      </c>
      <c r="E591" s="12">
        <v>73.099999999999994</v>
      </c>
      <c r="F591" s="12">
        <v>51.8</v>
      </c>
      <c r="G591" s="12" t="s">
        <v>6</v>
      </c>
      <c r="H591" s="12">
        <v>18.600000000000001</v>
      </c>
      <c r="I591" s="12">
        <v>23.7</v>
      </c>
      <c r="J591" s="12">
        <v>14.4</v>
      </c>
      <c r="K591" s="12" t="s">
        <v>6</v>
      </c>
      <c r="L591" s="12">
        <v>186</v>
      </c>
      <c r="M591" s="108" t="s">
        <v>6</v>
      </c>
    </row>
    <row r="592" spans="1:13" x14ac:dyDescent="0.25">
      <c r="A592" s="79">
        <v>45398</v>
      </c>
      <c r="B592" s="11">
        <v>0.66666666666666663</v>
      </c>
      <c r="C592" s="22">
        <v>45398.666666666664</v>
      </c>
      <c r="D592" s="12">
        <v>64</v>
      </c>
      <c r="E592" s="12">
        <v>70.099999999999994</v>
      </c>
      <c r="F592" s="12">
        <v>56.3</v>
      </c>
      <c r="G592" s="12" t="s">
        <v>6</v>
      </c>
      <c r="H592" s="12">
        <v>18.3</v>
      </c>
      <c r="I592" s="12">
        <v>22.2</v>
      </c>
      <c r="J592" s="12">
        <v>15.6</v>
      </c>
      <c r="K592" s="12" t="s">
        <v>6</v>
      </c>
      <c r="L592" s="12">
        <v>227</v>
      </c>
      <c r="M592" s="108" t="s">
        <v>6</v>
      </c>
    </row>
    <row r="593" spans="1:13" x14ac:dyDescent="0.25">
      <c r="A593" s="79">
        <v>45398</v>
      </c>
      <c r="B593" s="11">
        <v>0.70833333333333337</v>
      </c>
      <c r="C593" s="22">
        <v>45398.708333333336</v>
      </c>
      <c r="D593" s="12">
        <v>64.2</v>
      </c>
      <c r="E593" s="12">
        <v>69.099999999999994</v>
      </c>
      <c r="F593" s="12">
        <v>55.9</v>
      </c>
      <c r="G593" s="12" t="s">
        <v>6</v>
      </c>
      <c r="H593" s="12">
        <v>17.8</v>
      </c>
      <c r="I593" s="12">
        <v>23.1</v>
      </c>
      <c r="J593" s="12">
        <v>14.4</v>
      </c>
      <c r="K593" s="12" t="s">
        <v>6</v>
      </c>
      <c r="L593" s="12">
        <v>229</v>
      </c>
      <c r="M593" s="108" t="s">
        <v>6</v>
      </c>
    </row>
    <row r="594" spans="1:13" x14ac:dyDescent="0.25">
      <c r="A594" s="79">
        <v>45398</v>
      </c>
      <c r="B594" s="11">
        <v>0.75</v>
      </c>
      <c r="C594" s="22">
        <v>45398.75</v>
      </c>
      <c r="D594" s="12">
        <v>65.2</v>
      </c>
      <c r="E594" s="12">
        <v>71.5</v>
      </c>
      <c r="F594" s="12">
        <v>59.1</v>
      </c>
      <c r="G594" s="12" t="s">
        <v>6</v>
      </c>
      <c r="H594" s="12">
        <v>18.5</v>
      </c>
      <c r="I594" s="12">
        <v>22.3</v>
      </c>
      <c r="J594" s="12">
        <v>14</v>
      </c>
      <c r="K594" s="12" t="s">
        <v>6</v>
      </c>
      <c r="L594" s="12">
        <v>140</v>
      </c>
      <c r="M594" s="108" t="s">
        <v>6</v>
      </c>
    </row>
    <row r="595" spans="1:13" x14ac:dyDescent="0.25">
      <c r="A595" s="79">
        <v>45398</v>
      </c>
      <c r="B595" s="11">
        <v>0.91666666666666663</v>
      </c>
      <c r="C595" s="22">
        <v>45398.916666666664</v>
      </c>
      <c r="D595" s="12">
        <v>66.099999999999994</v>
      </c>
      <c r="E595" s="12">
        <v>70.7</v>
      </c>
      <c r="F595" s="12">
        <v>55.3</v>
      </c>
      <c r="G595" s="12" t="s">
        <v>6</v>
      </c>
      <c r="H595" s="12">
        <v>18.600000000000001</v>
      </c>
      <c r="I595" s="12">
        <v>20.9</v>
      </c>
      <c r="J595" s="12">
        <v>16.3</v>
      </c>
      <c r="K595" s="12" t="s">
        <v>6</v>
      </c>
      <c r="L595" s="12">
        <v>206</v>
      </c>
      <c r="M595" s="108" t="s">
        <v>6</v>
      </c>
    </row>
    <row r="596" spans="1:13" x14ac:dyDescent="0.25">
      <c r="A596" s="79">
        <v>45398</v>
      </c>
      <c r="B596" s="11">
        <v>0.95833333333333337</v>
      </c>
      <c r="C596" s="22">
        <v>45398.958333333336</v>
      </c>
      <c r="D596" s="12">
        <v>67.2</v>
      </c>
      <c r="E596" s="12">
        <v>73</v>
      </c>
      <c r="F596" s="12">
        <v>55.1</v>
      </c>
      <c r="G596" s="12" t="s">
        <v>6</v>
      </c>
      <c r="H596" s="12">
        <v>17.8</v>
      </c>
      <c r="I596" s="12">
        <v>20.6</v>
      </c>
      <c r="J596" s="12">
        <v>13.4</v>
      </c>
      <c r="K596" s="12" t="s">
        <v>6</v>
      </c>
      <c r="L596" s="12">
        <v>221</v>
      </c>
      <c r="M596" s="108" t="s">
        <v>6</v>
      </c>
    </row>
    <row r="597" spans="1:13" x14ac:dyDescent="0.25">
      <c r="A597" s="79">
        <v>45399</v>
      </c>
      <c r="B597" s="11">
        <v>0</v>
      </c>
      <c r="C597" s="22">
        <v>45399</v>
      </c>
      <c r="D597" s="12">
        <v>65.7</v>
      </c>
      <c r="E597" s="12">
        <v>71.8</v>
      </c>
      <c r="F597" s="12">
        <v>58.6</v>
      </c>
      <c r="G597" s="12" t="s">
        <v>6</v>
      </c>
      <c r="H597" s="12">
        <v>18.600000000000001</v>
      </c>
      <c r="I597" s="12">
        <v>22.8</v>
      </c>
      <c r="J597" s="12">
        <v>15.7</v>
      </c>
      <c r="K597" s="12" t="s">
        <v>6</v>
      </c>
      <c r="L597" s="12">
        <v>225</v>
      </c>
      <c r="M597" s="108" t="s">
        <v>6</v>
      </c>
    </row>
    <row r="598" spans="1:13" x14ac:dyDescent="0.25">
      <c r="A598" s="79">
        <v>45399</v>
      </c>
      <c r="B598" s="11">
        <v>4.1666666666666664E-2</v>
      </c>
      <c r="C598" s="22">
        <v>45399.041666666664</v>
      </c>
      <c r="D598" s="12">
        <v>67.599999999999994</v>
      </c>
      <c r="E598" s="12">
        <v>71.2</v>
      </c>
      <c r="F598" s="12">
        <v>62.9</v>
      </c>
      <c r="G598" s="12" t="s">
        <v>6</v>
      </c>
      <c r="H598" s="12">
        <v>18.100000000000001</v>
      </c>
      <c r="I598" s="12">
        <v>22.3</v>
      </c>
      <c r="J598" s="12">
        <v>14.3</v>
      </c>
      <c r="K598" s="12" t="s">
        <v>6</v>
      </c>
      <c r="L598" s="12">
        <v>220</v>
      </c>
      <c r="M598" s="108" t="s">
        <v>6</v>
      </c>
    </row>
    <row r="599" spans="1:13" x14ac:dyDescent="0.25">
      <c r="A599" s="79">
        <v>45399</v>
      </c>
      <c r="B599" s="11">
        <v>8.3333333333333329E-2</v>
      </c>
      <c r="C599" s="22">
        <v>45399.083333333336</v>
      </c>
      <c r="D599" s="12">
        <v>65.8</v>
      </c>
      <c r="E599" s="12">
        <v>71.8</v>
      </c>
      <c r="F599" s="12">
        <v>54.8</v>
      </c>
      <c r="G599" s="12" t="s">
        <v>6</v>
      </c>
      <c r="H599" s="12">
        <v>20.3</v>
      </c>
      <c r="I599" s="12">
        <v>25.1</v>
      </c>
      <c r="J599" s="12">
        <v>15.1</v>
      </c>
      <c r="K599" s="12" t="s">
        <v>6</v>
      </c>
      <c r="L599" s="12">
        <v>85</v>
      </c>
      <c r="M599" s="108" t="s">
        <v>6</v>
      </c>
    </row>
    <row r="600" spans="1:13" x14ac:dyDescent="0.25">
      <c r="A600" s="79">
        <v>45399</v>
      </c>
      <c r="B600" s="11">
        <v>0.125</v>
      </c>
      <c r="C600" s="22">
        <v>45399.125</v>
      </c>
      <c r="D600" s="12">
        <v>68.5</v>
      </c>
      <c r="E600" s="12">
        <v>74</v>
      </c>
      <c r="F600" s="12">
        <v>53.5</v>
      </c>
      <c r="G600" s="12" t="s">
        <v>6</v>
      </c>
      <c r="H600" s="12">
        <v>18.100000000000001</v>
      </c>
      <c r="I600" s="12">
        <v>23.1</v>
      </c>
      <c r="J600" s="12">
        <v>15.7</v>
      </c>
      <c r="K600" s="12" t="s">
        <v>6</v>
      </c>
      <c r="L600" s="12">
        <v>231</v>
      </c>
      <c r="M600" s="108" t="s">
        <v>6</v>
      </c>
    </row>
    <row r="601" spans="1:13" x14ac:dyDescent="0.25">
      <c r="A601" s="79">
        <v>45399</v>
      </c>
      <c r="B601" s="11">
        <v>0.16666666666666666</v>
      </c>
      <c r="C601" s="22">
        <v>45399.166666666664</v>
      </c>
      <c r="D601" s="12">
        <v>69.8</v>
      </c>
      <c r="E601" s="12">
        <v>74.099999999999994</v>
      </c>
      <c r="F601" s="12">
        <v>63.2</v>
      </c>
      <c r="G601" s="12" t="s">
        <v>6</v>
      </c>
      <c r="H601" s="12">
        <v>17.5</v>
      </c>
      <c r="I601" s="12">
        <v>19.5</v>
      </c>
      <c r="J601" s="12">
        <v>14.7</v>
      </c>
      <c r="K601" s="12" t="s">
        <v>6</v>
      </c>
      <c r="L601" s="12">
        <v>230</v>
      </c>
      <c r="M601" s="108" t="s">
        <v>6</v>
      </c>
    </row>
    <row r="602" spans="1:13" x14ac:dyDescent="0.25">
      <c r="A602" s="79">
        <v>45399</v>
      </c>
      <c r="B602" s="11">
        <v>0.20833333333333334</v>
      </c>
      <c r="C602" s="22">
        <v>45399.208333333336</v>
      </c>
      <c r="D602" s="12">
        <v>69.900000000000006</v>
      </c>
      <c r="E602" s="12">
        <v>75</v>
      </c>
      <c r="F602" s="12">
        <v>63.3</v>
      </c>
      <c r="G602" s="12" t="s">
        <v>6</v>
      </c>
      <c r="H602" s="12">
        <v>18.100000000000001</v>
      </c>
      <c r="I602" s="12">
        <v>20.7</v>
      </c>
      <c r="J602" s="12">
        <v>14.7</v>
      </c>
      <c r="K602" s="12" t="s">
        <v>6</v>
      </c>
      <c r="L602" s="12">
        <v>230</v>
      </c>
      <c r="M602" s="108" t="s">
        <v>6</v>
      </c>
    </row>
    <row r="603" spans="1:13" x14ac:dyDescent="0.25">
      <c r="A603" s="81">
        <v>45399</v>
      </c>
      <c r="B603" s="15">
        <v>0.25</v>
      </c>
      <c r="C603" s="20">
        <v>45399.25</v>
      </c>
      <c r="D603" s="16">
        <v>67.099999999999994</v>
      </c>
      <c r="E603" s="16">
        <v>74.8</v>
      </c>
      <c r="F603" s="16">
        <v>58.4</v>
      </c>
      <c r="G603" s="16" t="s">
        <v>6</v>
      </c>
      <c r="H603" s="16">
        <v>18</v>
      </c>
      <c r="I603" s="16">
        <v>23.8</v>
      </c>
      <c r="J603" s="16">
        <v>12.9</v>
      </c>
      <c r="K603" s="16" t="s">
        <v>6</v>
      </c>
      <c r="L603" s="16">
        <v>201</v>
      </c>
      <c r="M603" s="108" t="s">
        <v>6</v>
      </c>
    </row>
    <row r="604" spans="1:13" x14ac:dyDescent="0.25">
      <c r="A604" s="80">
        <v>45399</v>
      </c>
      <c r="B604" s="7">
        <v>0.375</v>
      </c>
      <c r="C604" s="21">
        <v>45399.375</v>
      </c>
      <c r="D604" s="8">
        <v>54.5</v>
      </c>
      <c r="E604" s="8">
        <v>69.900000000000006</v>
      </c>
      <c r="F604" s="8">
        <v>47.8</v>
      </c>
      <c r="G604" s="8" t="s">
        <v>6</v>
      </c>
      <c r="H604" s="8">
        <v>19.600000000000001</v>
      </c>
      <c r="I604" s="8">
        <v>21.9</v>
      </c>
      <c r="J604" s="8">
        <v>17.100000000000001</v>
      </c>
      <c r="K604" s="8" t="s">
        <v>6</v>
      </c>
      <c r="L604" s="8">
        <v>35</v>
      </c>
      <c r="M604" s="108" t="s">
        <v>6</v>
      </c>
    </row>
    <row r="605" spans="1:13" x14ac:dyDescent="0.25">
      <c r="A605" s="79">
        <v>45399</v>
      </c>
      <c r="B605" s="11">
        <v>0.41666666666666669</v>
      </c>
      <c r="C605" s="22">
        <v>45399.416666666664</v>
      </c>
      <c r="D605" s="12">
        <v>67.3</v>
      </c>
      <c r="E605" s="12">
        <v>75.099999999999994</v>
      </c>
      <c r="F605" s="12">
        <v>61</v>
      </c>
      <c r="G605" s="12" t="s">
        <v>6</v>
      </c>
      <c r="H605" s="12">
        <v>18.8</v>
      </c>
      <c r="I605" s="12">
        <v>31.4</v>
      </c>
      <c r="J605" s="12">
        <v>15.1</v>
      </c>
      <c r="K605" s="12" t="s">
        <v>6</v>
      </c>
      <c r="L605" s="12">
        <v>194</v>
      </c>
      <c r="M605" s="108" t="s">
        <v>6</v>
      </c>
    </row>
    <row r="606" spans="1:13" x14ac:dyDescent="0.25">
      <c r="A606" s="79">
        <v>45399</v>
      </c>
      <c r="B606" s="11">
        <v>0.66666666666666663</v>
      </c>
      <c r="C606" s="22">
        <v>45399.666666666664</v>
      </c>
      <c r="D606" s="12">
        <v>59.1</v>
      </c>
      <c r="E606" s="12">
        <v>69.7</v>
      </c>
      <c r="F606" s="12">
        <v>47</v>
      </c>
      <c r="G606" s="12" t="s">
        <v>6</v>
      </c>
      <c r="H606" s="12">
        <v>19.899999999999999</v>
      </c>
      <c r="I606" s="12">
        <v>28.8</v>
      </c>
      <c r="J606" s="12">
        <v>16.399999999999999</v>
      </c>
      <c r="K606" s="12" t="s">
        <v>6</v>
      </c>
      <c r="L606" s="12">
        <v>104</v>
      </c>
      <c r="M606" s="109" t="s">
        <v>6</v>
      </c>
    </row>
    <row r="607" spans="1:13" x14ac:dyDescent="0.25">
      <c r="A607" s="79">
        <v>45399</v>
      </c>
      <c r="B607" s="11">
        <v>0.70833333333333337</v>
      </c>
      <c r="C607" s="22">
        <v>45399.708333333336</v>
      </c>
      <c r="D607" s="12">
        <v>65.7</v>
      </c>
      <c r="E607" s="12">
        <v>70.8</v>
      </c>
      <c r="F607" s="12">
        <v>57</v>
      </c>
      <c r="G607" s="12" t="s">
        <v>6</v>
      </c>
      <c r="H607" s="12">
        <v>18.100000000000001</v>
      </c>
      <c r="I607" s="12">
        <v>21.4</v>
      </c>
      <c r="J607" s="12">
        <v>12.9</v>
      </c>
      <c r="K607" s="12" t="s">
        <v>6</v>
      </c>
      <c r="L607" s="12">
        <v>147</v>
      </c>
      <c r="M607" s="109" t="s">
        <v>6</v>
      </c>
    </row>
    <row r="608" spans="1:13" x14ac:dyDescent="0.25">
      <c r="A608" s="79">
        <v>45399</v>
      </c>
      <c r="B608" s="11">
        <v>0.95833333333333337</v>
      </c>
      <c r="C608" s="22">
        <v>45399.958333333336</v>
      </c>
      <c r="D608" s="12">
        <v>72.3</v>
      </c>
      <c r="E608" s="12">
        <v>75.400000000000006</v>
      </c>
      <c r="F608" s="12">
        <v>55.8</v>
      </c>
      <c r="G608" s="12" t="s">
        <v>6</v>
      </c>
      <c r="H608" s="12">
        <v>21.9</v>
      </c>
      <c r="I608" s="12">
        <v>25.7</v>
      </c>
      <c r="J608" s="12">
        <v>16.100000000000001</v>
      </c>
      <c r="K608" s="12" t="s">
        <v>6</v>
      </c>
      <c r="L608" s="12">
        <v>122</v>
      </c>
      <c r="M608" s="109" t="s">
        <v>6</v>
      </c>
    </row>
    <row r="609" spans="1:13" x14ac:dyDescent="0.25">
      <c r="A609" s="79">
        <v>45400</v>
      </c>
      <c r="B609" s="11">
        <v>0</v>
      </c>
      <c r="C609" s="22">
        <v>45400</v>
      </c>
      <c r="D609" s="12">
        <v>69.599999999999994</v>
      </c>
      <c r="E609" s="12">
        <v>74</v>
      </c>
      <c r="F609" s="12">
        <v>65</v>
      </c>
      <c r="G609" s="12" t="s">
        <v>6</v>
      </c>
      <c r="H609" s="12">
        <v>18.5</v>
      </c>
      <c r="I609" s="12">
        <v>22.5</v>
      </c>
      <c r="J609" s="12">
        <v>12.7</v>
      </c>
      <c r="K609" s="12" t="s">
        <v>6</v>
      </c>
      <c r="L609" s="12">
        <v>230</v>
      </c>
      <c r="M609" s="109" t="s">
        <v>6</v>
      </c>
    </row>
    <row r="610" spans="1:13" x14ac:dyDescent="0.25">
      <c r="A610" s="79">
        <v>45400</v>
      </c>
      <c r="B610" s="11">
        <v>4.1666666666666664E-2</v>
      </c>
      <c r="C610" s="22">
        <v>45400.041666666664</v>
      </c>
      <c r="D610" s="12">
        <v>69.3</v>
      </c>
      <c r="E610" s="12">
        <v>76.099999999999994</v>
      </c>
      <c r="F610" s="12">
        <v>62.4</v>
      </c>
      <c r="G610" s="12" t="s">
        <v>6</v>
      </c>
      <c r="H610" s="12">
        <v>19</v>
      </c>
      <c r="I610" s="12">
        <v>24.6</v>
      </c>
      <c r="J610" s="12">
        <v>14.7</v>
      </c>
      <c r="K610" s="12" t="s">
        <v>6</v>
      </c>
      <c r="L610" s="12">
        <v>224</v>
      </c>
      <c r="M610" s="109" t="s">
        <v>6</v>
      </c>
    </row>
    <row r="611" spans="1:13" x14ac:dyDescent="0.25">
      <c r="A611" s="79">
        <v>45400</v>
      </c>
      <c r="B611" s="11">
        <v>8.3333333333333329E-2</v>
      </c>
      <c r="C611" s="22">
        <v>45400.083333333336</v>
      </c>
      <c r="D611" s="12">
        <v>70.2</v>
      </c>
      <c r="E611" s="12">
        <v>75.8</v>
      </c>
      <c r="F611" s="12">
        <v>64.599999999999994</v>
      </c>
      <c r="G611" s="12" t="s">
        <v>6</v>
      </c>
      <c r="H611" s="12">
        <v>18.600000000000001</v>
      </c>
      <c r="I611" s="12">
        <v>22.6</v>
      </c>
      <c r="J611" s="12">
        <v>16.2</v>
      </c>
      <c r="K611" s="12" t="s">
        <v>6</v>
      </c>
      <c r="L611" s="12">
        <v>124</v>
      </c>
      <c r="M611" s="109" t="s">
        <v>6</v>
      </c>
    </row>
    <row r="612" spans="1:13" x14ac:dyDescent="0.25">
      <c r="A612" s="81">
        <v>45400</v>
      </c>
      <c r="B612" s="15">
        <v>0.33333333333333331</v>
      </c>
      <c r="C612" s="20">
        <v>45400.333333333336</v>
      </c>
      <c r="D612" s="16">
        <v>61.2</v>
      </c>
      <c r="E612" s="16">
        <v>62.5</v>
      </c>
      <c r="F612" s="16">
        <v>59.9</v>
      </c>
      <c r="G612" s="16" t="s">
        <v>6</v>
      </c>
      <c r="H612" s="16">
        <v>10.7</v>
      </c>
      <c r="I612" s="16">
        <v>10.9</v>
      </c>
      <c r="J612" s="16">
        <v>10.5</v>
      </c>
      <c r="K612" s="16" t="s">
        <v>6</v>
      </c>
      <c r="L612" s="16">
        <v>2</v>
      </c>
      <c r="M612" s="109" t="s">
        <v>6</v>
      </c>
    </row>
    <row r="613" spans="1:13" x14ac:dyDescent="0.25">
      <c r="A613" s="80">
        <v>45400</v>
      </c>
      <c r="B613" s="7">
        <v>0.58333333333333337</v>
      </c>
      <c r="C613" s="21">
        <v>45400.583333333336</v>
      </c>
      <c r="D613" s="8">
        <v>57.9</v>
      </c>
      <c r="E613" s="8">
        <v>65.8</v>
      </c>
      <c r="F613" s="8">
        <v>48.4</v>
      </c>
      <c r="G613" s="8" t="s">
        <v>6</v>
      </c>
      <c r="H613" s="8">
        <v>20</v>
      </c>
      <c r="I613" s="8">
        <v>31</v>
      </c>
      <c r="J613" s="8">
        <v>13.3</v>
      </c>
      <c r="K613" s="8" t="s">
        <v>6</v>
      </c>
      <c r="L613" s="8">
        <v>134</v>
      </c>
      <c r="M613" s="110" t="s">
        <v>6</v>
      </c>
    </row>
    <row r="614" spans="1:13" x14ac:dyDescent="0.25">
      <c r="A614" s="79">
        <v>45400</v>
      </c>
      <c r="B614" s="11">
        <v>0.625</v>
      </c>
      <c r="C614" s="22">
        <v>45400.625</v>
      </c>
      <c r="D614" s="12">
        <v>66.900000000000006</v>
      </c>
      <c r="E614" s="12">
        <v>72.5</v>
      </c>
      <c r="F614" s="12">
        <v>53.7</v>
      </c>
      <c r="G614" s="12" t="s">
        <v>6</v>
      </c>
      <c r="H614" s="12">
        <v>17.8</v>
      </c>
      <c r="I614" s="12">
        <v>20.3</v>
      </c>
      <c r="J614" s="12">
        <v>16</v>
      </c>
      <c r="K614" s="12" t="s">
        <v>6</v>
      </c>
      <c r="L614" s="12">
        <v>226</v>
      </c>
      <c r="M614" s="110" t="s">
        <v>6</v>
      </c>
    </row>
    <row r="615" spans="1:13" x14ac:dyDescent="0.25">
      <c r="A615" s="79">
        <v>45400</v>
      </c>
      <c r="B615" s="11">
        <v>0.66666666666666663</v>
      </c>
      <c r="C615" s="22">
        <v>45400.666666666664</v>
      </c>
      <c r="D615" s="12">
        <v>64.3</v>
      </c>
      <c r="E615" s="12">
        <v>70.5</v>
      </c>
      <c r="F615" s="12">
        <v>55.4</v>
      </c>
      <c r="G615" s="12" t="s">
        <v>6</v>
      </c>
      <c r="H615" s="12">
        <v>19.100000000000001</v>
      </c>
      <c r="I615" s="12">
        <v>23</v>
      </c>
      <c r="J615" s="12">
        <v>16.600000000000001</v>
      </c>
      <c r="K615" s="12" t="s">
        <v>6</v>
      </c>
      <c r="L615" s="12">
        <v>199</v>
      </c>
      <c r="M615" s="110" t="s">
        <v>6</v>
      </c>
    </row>
    <row r="616" spans="1:13" x14ac:dyDescent="0.25">
      <c r="A616" s="79">
        <v>45400</v>
      </c>
      <c r="B616" s="11">
        <v>0.70833333333333337</v>
      </c>
      <c r="C616" s="22">
        <v>45400.708333333336</v>
      </c>
      <c r="D616" s="12">
        <v>69.3</v>
      </c>
      <c r="E616" s="12">
        <v>71.8</v>
      </c>
      <c r="F616" s="12">
        <v>64.7</v>
      </c>
      <c r="G616" s="12" t="s">
        <v>6</v>
      </c>
      <c r="H616" s="12">
        <v>18.5</v>
      </c>
      <c r="I616" s="12">
        <v>21</v>
      </c>
      <c r="J616" s="12">
        <v>16</v>
      </c>
      <c r="K616" s="12" t="s">
        <v>6</v>
      </c>
      <c r="L616" s="12">
        <v>67</v>
      </c>
      <c r="M616" s="110" t="s">
        <v>6</v>
      </c>
    </row>
    <row r="617" spans="1:13" x14ac:dyDescent="0.25">
      <c r="A617" s="79">
        <v>45400</v>
      </c>
      <c r="B617" s="11">
        <v>0.75</v>
      </c>
      <c r="C617" s="22">
        <v>45400.75</v>
      </c>
      <c r="D617" s="12">
        <v>65.3</v>
      </c>
      <c r="E617" s="12">
        <v>69.8</v>
      </c>
      <c r="F617" s="12">
        <v>61</v>
      </c>
      <c r="G617" s="12" t="s">
        <v>6</v>
      </c>
      <c r="H617" s="12">
        <v>21.1</v>
      </c>
      <c r="I617" s="12">
        <v>23.5</v>
      </c>
      <c r="J617" s="12">
        <v>19.399999999999999</v>
      </c>
      <c r="K617" s="12" t="s">
        <v>6</v>
      </c>
      <c r="L617" s="12">
        <v>32</v>
      </c>
      <c r="M617" s="110" t="s">
        <v>6</v>
      </c>
    </row>
    <row r="618" spans="1:13" x14ac:dyDescent="0.25">
      <c r="A618" s="79">
        <v>45400</v>
      </c>
      <c r="B618" s="11">
        <v>0.79166666666666663</v>
      </c>
      <c r="C618" s="22">
        <v>45400.791666666664</v>
      </c>
      <c r="D618" s="12">
        <v>61.7</v>
      </c>
      <c r="E618" s="12">
        <v>62.8</v>
      </c>
      <c r="F618" s="12">
        <v>60.6</v>
      </c>
      <c r="G618" s="12" t="s">
        <v>6</v>
      </c>
      <c r="H618" s="12">
        <v>8.1</v>
      </c>
      <c r="I618" s="12">
        <v>8.3000000000000007</v>
      </c>
      <c r="J618" s="12">
        <v>7.8</v>
      </c>
      <c r="K618" s="12" t="s">
        <v>6</v>
      </c>
      <c r="L618" s="12">
        <v>2</v>
      </c>
      <c r="M618" s="110" t="s">
        <v>6</v>
      </c>
    </row>
    <row r="619" spans="1:13" x14ac:dyDescent="0.25">
      <c r="A619" s="79">
        <v>45400</v>
      </c>
      <c r="B619" s="11">
        <v>0.875</v>
      </c>
      <c r="C619" s="22">
        <v>45400.875</v>
      </c>
      <c r="D619" s="12">
        <v>60.3</v>
      </c>
      <c r="E619" s="12">
        <v>68</v>
      </c>
      <c r="F619" s="12">
        <v>45.2</v>
      </c>
      <c r="G619" s="12" t="s">
        <v>6</v>
      </c>
      <c r="H619" s="12">
        <v>19.8</v>
      </c>
      <c r="I619" s="12">
        <v>24.8</v>
      </c>
      <c r="J619" s="12">
        <v>8.6</v>
      </c>
      <c r="K619" s="12" t="s">
        <v>6</v>
      </c>
      <c r="L619" s="12">
        <v>105</v>
      </c>
      <c r="M619" s="110" t="s">
        <v>6</v>
      </c>
    </row>
    <row r="620" spans="1:13" x14ac:dyDescent="0.25">
      <c r="A620" s="79">
        <v>45400</v>
      </c>
      <c r="B620" s="11">
        <v>0.91666666666666663</v>
      </c>
      <c r="C620" s="22">
        <v>45400.916666666664</v>
      </c>
      <c r="D620" s="12">
        <v>68.2</v>
      </c>
      <c r="E620" s="12">
        <v>73.900000000000006</v>
      </c>
      <c r="F620" s="12">
        <v>53.8</v>
      </c>
      <c r="G620" s="12" t="s">
        <v>6</v>
      </c>
      <c r="H620" s="12">
        <v>19.8</v>
      </c>
      <c r="I620" s="12">
        <v>24.4</v>
      </c>
      <c r="J620" s="12">
        <v>16.600000000000001</v>
      </c>
      <c r="K620" s="12" t="s">
        <v>6</v>
      </c>
      <c r="L620" s="12">
        <v>193</v>
      </c>
      <c r="M620" s="110" t="s">
        <v>6</v>
      </c>
    </row>
    <row r="621" spans="1:13" x14ac:dyDescent="0.25">
      <c r="A621" s="79">
        <v>45400</v>
      </c>
      <c r="B621" s="11">
        <v>0.95833333333333337</v>
      </c>
      <c r="C621" s="22">
        <v>45400.958333333336</v>
      </c>
      <c r="D621" s="12">
        <v>65.900000000000006</v>
      </c>
      <c r="E621" s="12">
        <v>75.900000000000006</v>
      </c>
      <c r="F621" s="12">
        <v>48</v>
      </c>
      <c r="G621" s="12" t="s">
        <v>6</v>
      </c>
      <c r="H621" s="12">
        <v>19.600000000000001</v>
      </c>
      <c r="I621" s="12">
        <v>23.6</v>
      </c>
      <c r="J621" s="12">
        <v>14.8</v>
      </c>
      <c r="K621" s="12" t="s">
        <v>6</v>
      </c>
      <c r="L621" s="12">
        <v>223</v>
      </c>
      <c r="M621" s="110" t="s">
        <v>6</v>
      </c>
    </row>
    <row r="622" spans="1:13" x14ac:dyDescent="0.25">
      <c r="A622" s="79">
        <v>45401</v>
      </c>
      <c r="B622" s="11">
        <v>0</v>
      </c>
      <c r="C622" s="22">
        <v>45401</v>
      </c>
      <c r="D622" s="12">
        <v>68.8</v>
      </c>
      <c r="E622" s="12">
        <v>75.7</v>
      </c>
      <c r="F622" s="12">
        <v>60.2</v>
      </c>
      <c r="G622" s="12" t="s">
        <v>6</v>
      </c>
      <c r="H622" s="12">
        <v>20.2</v>
      </c>
      <c r="I622" s="12">
        <v>27.2</v>
      </c>
      <c r="J622" s="12">
        <v>15</v>
      </c>
      <c r="K622" s="12" t="s">
        <v>6</v>
      </c>
      <c r="L622" s="12">
        <v>204</v>
      </c>
      <c r="M622" s="110" t="s">
        <v>6</v>
      </c>
    </row>
    <row r="623" spans="1:13" x14ac:dyDescent="0.25">
      <c r="A623" s="79">
        <v>45401</v>
      </c>
      <c r="B623" s="11">
        <v>4.1666666666666664E-2</v>
      </c>
      <c r="C623" s="22">
        <v>45401.041666666664</v>
      </c>
      <c r="D623" s="12">
        <v>69.099999999999994</v>
      </c>
      <c r="E623" s="12">
        <v>77.400000000000006</v>
      </c>
      <c r="F623" s="12">
        <v>57.3</v>
      </c>
      <c r="G623" s="12" t="s">
        <v>6</v>
      </c>
      <c r="H623" s="12">
        <v>19.7</v>
      </c>
      <c r="I623" s="12">
        <v>24.7</v>
      </c>
      <c r="J623" s="12">
        <v>14.5</v>
      </c>
      <c r="K623" s="12" t="s">
        <v>6</v>
      </c>
      <c r="L623" s="12">
        <v>225</v>
      </c>
      <c r="M623" s="110" t="s">
        <v>6</v>
      </c>
    </row>
    <row r="624" spans="1:13" x14ac:dyDescent="0.25">
      <c r="A624" s="79">
        <v>45401</v>
      </c>
      <c r="B624" s="11">
        <v>8.3333333333333329E-2</v>
      </c>
      <c r="C624" s="22">
        <v>45401.083333333336</v>
      </c>
      <c r="D624" s="12">
        <v>71.400000000000006</v>
      </c>
      <c r="E624" s="12">
        <v>76</v>
      </c>
      <c r="F624" s="12">
        <v>62.6</v>
      </c>
      <c r="G624" s="12" t="s">
        <v>6</v>
      </c>
      <c r="H624" s="12">
        <v>19.7</v>
      </c>
      <c r="I624" s="12">
        <v>24.3</v>
      </c>
      <c r="J624" s="12">
        <v>14.2</v>
      </c>
      <c r="K624" s="12" t="s">
        <v>6</v>
      </c>
      <c r="L624" s="12">
        <v>228</v>
      </c>
      <c r="M624" s="110" t="s">
        <v>6</v>
      </c>
    </row>
    <row r="625" spans="1:13" x14ac:dyDescent="0.25">
      <c r="A625" s="79">
        <v>45401</v>
      </c>
      <c r="B625" s="11">
        <v>0.125</v>
      </c>
      <c r="C625" s="22">
        <v>45401.125</v>
      </c>
      <c r="D625" s="12">
        <v>67</v>
      </c>
      <c r="E625" s="12">
        <v>75.599999999999994</v>
      </c>
      <c r="F625" s="12">
        <v>50.5</v>
      </c>
      <c r="G625" s="12" t="s">
        <v>6</v>
      </c>
      <c r="H625" s="12">
        <v>19.899999999999999</v>
      </c>
      <c r="I625" s="12">
        <v>25</v>
      </c>
      <c r="J625" s="12">
        <v>17.399999999999999</v>
      </c>
      <c r="K625" s="12" t="s">
        <v>6</v>
      </c>
      <c r="L625" s="12">
        <v>193</v>
      </c>
      <c r="M625" s="110" t="s">
        <v>6</v>
      </c>
    </row>
    <row r="626" spans="1:13" x14ac:dyDescent="0.25">
      <c r="A626" s="79">
        <v>45401</v>
      </c>
      <c r="B626" s="11">
        <v>0.16666666666666666</v>
      </c>
      <c r="C626" s="22">
        <v>45401.166666666664</v>
      </c>
      <c r="D626" s="12">
        <v>68.2</v>
      </c>
      <c r="E626" s="12">
        <v>75.099999999999994</v>
      </c>
      <c r="F626" s="12">
        <v>56.9</v>
      </c>
      <c r="G626" s="12" t="s">
        <v>6</v>
      </c>
      <c r="H626" s="12">
        <v>19</v>
      </c>
      <c r="I626" s="12">
        <v>23</v>
      </c>
      <c r="J626" s="12">
        <v>12.7</v>
      </c>
      <c r="K626" s="12" t="s">
        <v>6</v>
      </c>
      <c r="L626" s="12">
        <v>213</v>
      </c>
      <c r="M626" s="110" t="s">
        <v>6</v>
      </c>
    </row>
    <row r="627" spans="1:13" x14ac:dyDescent="0.25">
      <c r="A627" s="79">
        <v>45401</v>
      </c>
      <c r="B627" s="11">
        <v>0.20833333333333334</v>
      </c>
      <c r="C627" s="22">
        <v>45401.208333333336</v>
      </c>
      <c r="D627" s="12">
        <v>64.8</v>
      </c>
      <c r="E627" s="12">
        <v>73.099999999999994</v>
      </c>
      <c r="F627" s="12">
        <v>58</v>
      </c>
      <c r="G627" s="12" t="s">
        <v>6</v>
      </c>
      <c r="H627" s="12">
        <v>19.2</v>
      </c>
      <c r="I627" s="12">
        <v>27.9</v>
      </c>
      <c r="J627" s="12">
        <v>15</v>
      </c>
      <c r="K627" s="12" t="s">
        <v>6</v>
      </c>
      <c r="L627" s="12">
        <v>129</v>
      </c>
      <c r="M627" s="110" t="s">
        <v>6</v>
      </c>
    </row>
    <row r="628" spans="1:13" x14ac:dyDescent="0.25">
      <c r="A628" s="79">
        <v>45401</v>
      </c>
      <c r="B628" s="11">
        <v>0.29166666666666669</v>
      </c>
      <c r="C628" s="22">
        <v>45401.291666666664</v>
      </c>
      <c r="D628" s="12">
        <v>66.7</v>
      </c>
      <c r="E628" s="12">
        <v>71.7</v>
      </c>
      <c r="F628" s="12">
        <v>50.3</v>
      </c>
      <c r="G628" s="12" t="s">
        <v>6</v>
      </c>
      <c r="H628" s="12">
        <v>18.600000000000001</v>
      </c>
      <c r="I628" s="12">
        <v>27.6</v>
      </c>
      <c r="J628" s="12">
        <v>14.5</v>
      </c>
      <c r="K628" s="12" t="s">
        <v>6</v>
      </c>
      <c r="L628" s="12">
        <v>205</v>
      </c>
      <c r="M628" s="110" t="s">
        <v>6</v>
      </c>
    </row>
    <row r="629" spans="1:13" x14ac:dyDescent="0.25">
      <c r="A629" s="81">
        <v>45401</v>
      </c>
      <c r="B629" s="15">
        <v>0.33333333333333331</v>
      </c>
      <c r="C629" s="20">
        <v>45401.333333333336</v>
      </c>
      <c r="D629" s="16">
        <v>65.8</v>
      </c>
      <c r="E629" s="16">
        <v>70.400000000000006</v>
      </c>
      <c r="F629" s="16">
        <v>61.1</v>
      </c>
      <c r="G629" s="16" t="s">
        <v>6</v>
      </c>
      <c r="H629" s="16">
        <v>17.7</v>
      </c>
      <c r="I629" s="16">
        <v>20.7</v>
      </c>
      <c r="J629" s="16">
        <v>15</v>
      </c>
      <c r="K629" s="16" t="s">
        <v>6</v>
      </c>
      <c r="L629" s="16">
        <v>113</v>
      </c>
      <c r="M629" s="110" t="s">
        <v>6</v>
      </c>
    </row>
    <row r="630" spans="1:13" x14ac:dyDescent="0.25">
      <c r="A630" s="80">
        <v>45401</v>
      </c>
      <c r="B630" s="7">
        <v>0.41666666666666669</v>
      </c>
      <c r="C630" s="21">
        <v>45401.416666666664</v>
      </c>
      <c r="D630" s="8">
        <v>65.3</v>
      </c>
      <c r="E630" s="8">
        <v>79.599999999999994</v>
      </c>
      <c r="F630" s="8">
        <v>48.7</v>
      </c>
      <c r="G630" s="8" t="s">
        <v>6</v>
      </c>
      <c r="H630" s="8">
        <v>19.100000000000001</v>
      </c>
      <c r="I630" s="8">
        <v>23.9</v>
      </c>
      <c r="J630" s="8">
        <v>16.100000000000001</v>
      </c>
      <c r="K630" s="8" t="s">
        <v>6</v>
      </c>
      <c r="L630" s="8">
        <v>120</v>
      </c>
      <c r="M630" s="110" t="s">
        <v>6</v>
      </c>
    </row>
    <row r="631" spans="1:13" x14ac:dyDescent="0.25">
      <c r="A631" s="79">
        <v>45401</v>
      </c>
      <c r="B631" s="11">
        <v>0.45833333333333331</v>
      </c>
      <c r="C631" s="22">
        <v>45401.458333333336</v>
      </c>
      <c r="D631" s="12">
        <v>70.7</v>
      </c>
      <c r="E631" s="12">
        <v>82.4</v>
      </c>
      <c r="F631" s="12">
        <v>65.8</v>
      </c>
      <c r="G631" s="12" t="s">
        <v>6</v>
      </c>
      <c r="H631" s="12">
        <v>18.100000000000001</v>
      </c>
      <c r="I631" s="12">
        <v>23.9</v>
      </c>
      <c r="J631" s="12">
        <v>15.1</v>
      </c>
      <c r="K631" s="12" t="s">
        <v>6</v>
      </c>
      <c r="L631" s="12">
        <v>170</v>
      </c>
      <c r="M631" s="110" t="s">
        <v>6</v>
      </c>
    </row>
    <row r="632" spans="1:13" x14ac:dyDescent="0.25">
      <c r="A632" s="79">
        <v>45401</v>
      </c>
      <c r="B632" s="11">
        <v>0.5</v>
      </c>
      <c r="C632" s="22">
        <v>45401.5</v>
      </c>
      <c r="D632" s="12">
        <v>77.5</v>
      </c>
      <c r="E632" s="12">
        <v>89.8</v>
      </c>
      <c r="F632" s="12">
        <v>66.599999999999994</v>
      </c>
      <c r="G632" s="12" t="s">
        <v>6</v>
      </c>
      <c r="H632" s="12">
        <v>18.8</v>
      </c>
      <c r="I632" s="12">
        <v>24.8</v>
      </c>
      <c r="J632" s="12">
        <v>15.7</v>
      </c>
      <c r="K632" s="12" t="s">
        <v>6</v>
      </c>
      <c r="L632" s="12">
        <v>172</v>
      </c>
      <c r="M632" s="111" t="s">
        <v>6</v>
      </c>
    </row>
    <row r="633" spans="1:13" x14ac:dyDescent="0.25">
      <c r="A633" s="79">
        <v>45401</v>
      </c>
      <c r="B633" s="11">
        <v>0.54166666666666663</v>
      </c>
      <c r="C633" s="22">
        <v>45401.541666666664</v>
      </c>
      <c r="D633" s="12">
        <v>70.099999999999994</v>
      </c>
      <c r="E633" s="12">
        <v>70.900000000000006</v>
      </c>
      <c r="F633" s="12">
        <v>68.099999999999994</v>
      </c>
      <c r="G633" s="12" t="s">
        <v>6</v>
      </c>
      <c r="H633" s="12">
        <v>18.3</v>
      </c>
      <c r="I633" s="12">
        <v>20.8</v>
      </c>
      <c r="J633" s="12">
        <v>16.3</v>
      </c>
      <c r="K633" s="12" t="s">
        <v>6</v>
      </c>
      <c r="L633" s="12">
        <v>11</v>
      </c>
      <c r="M633" s="111" t="s">
        <v>6</v>
      </c>
    </row>
    <row r="634" spans="1:13" x14ac:dyDescent="0.25">
      <c r="A634" s="79">
        <v>45401</v>
      </c>
      <c r="B634" s="11">
        <v>0.75</v>
      </c>
      <c r="C634" s="22">
        <v>45401.75</v>
      </c>
      <c r="D634" s="12">
        <v>80.099999999999994</v>
      </c>
      <c r="E634" s="12">
        <v>80.099999999999994</v>
      </c>
      <c r="F634" s="12">
        <v>80.099999999999994</v>
      </c>
      <c r="G634" s="12" t="s">
        <v>6</v>
      </c>
      <c r="H634" s="12">
        <v>22.2</v>
      </c>
      <c r="I634" s="12">
        <v>22.2</v>
      </c>
      <c r="J634" s="12">
        <v>22.2</v>
      </c>
      <c r="K634" s="12" t="s">
        <v>6</v>
      </c>
      <c r="L634" s="12">
        <v>1</v>
      </c>
      <c r="M634" s="111" t="s">
        <v>6</v>
      </c>
    </row>
    <row r="635" spans="1:13" x14ac:dyDescent="0.25">
      <c r="A635" s="79">
        <v>45401</v>
      </c>
      <c r="B635" s="11">
        <v>0.79166666666666663</v>
      </c>
      <c r="C635" s="22">
        <v>45401.791666666664</v>
      </c>
      <c r="D635" s="12">
        <v>80.099999999999994</v>
      </c>
      <c r="E635" s="12">
        <v>80.099999999999994</v>
      </c>
      <c r="F635" s="12">
        <v>80.099999999999994</v>
      </c>
      <c r="G635" s="12" t="s">
        <v>6</v>
      </c>
      <c r="H635" s="12">
        <v>22.3</v>
      </c>
      <c r="I635" s="12">
        <v>22.6</v>
      </c>
      <c r="J635" s="12">
        <v>22</v>
      </c>
      <c r="K635" s="12" t="s">
        <v>6</v>
      </c>
      <c r="L635" s="12">
        <v>2</v>
      </c>
      <c r="M635" s="111" t="s">
        <v>6</v>
      </c>
    </row>
    <row r="636" spans="1:13" x14ac:dyDescent="0.25">
      <c r="A636" s="79">
        <v>45401</v>
      </c>
      <c r="B636" s="11">
        <v>0.83333333333333337</v>
      </c>
      <c r="C636" s="22">
        <v>45401.833333333336</v>
      </c>
      <c r="D636" s="12">
        <v>69.5</v>
      </c>
      <c r="E636" s="12">
        <v>79.099999999999994</v>
      </c>
      <c r="F636" s="12">
        <v>61.5</v>
      </c>
      <c r="G636" s="12" t="s">
        <v>6</v>
      </c>
      <c r="H636" s="12">
        <v>20</v>
      </c>
      <c r="I636" s="12">
        <v>23.5</v>
      </c>
      <c r="J636" s="12">
        <v>16.899999999999999</v>
      </c>
      <c r="K636" s="12" t="s">
        <v>6</v>
      </c>
      <c r="L636" s="12">
        <v>116</v>
      </c>
      <c r="M636" s="111" t="s">
        <v>6</v>
      </c>
    </row>
    <row r="637" spans="1:13" x14ac:dyDescent="0.25">
      <c r="A637" s="79">
        <v>45401</v>
      </c>
      <c r="B637" s="11">
        <v>0.875</v>
      </c>
      <c r="C637" s="22">
        <v>45401.875</v>
      </c>
      <c r="D637" s="12">
        <v>70.5</v>
      </c>
      <c r="E637" s="12">
        <v>79.7</v>
      </c>
      <c r="F637" s="12">
        <v>56.2</v>
      </c>
      <c r="G637" s="12" t="s">
        <v>6</v>
      </c>
      <c r="H637" s="12">
        <v>22</v>
      </c>
      <c r="I637" s="12">
        <v>27.9</v>
      </c>
      <c r="J637" s="12">
        <v>17.3</v>
      </c>
      <c r="K637" s="12" t="s">
        <v>6</v>
      </c>
      <c r="L637" s="12">
        <v>156</v>
      </c>
      <c r="M637" s="111" t="s">
        <v>6</v>
      </c>
    </row>
    <row r="638" spans="1:13" x14ac:dyDescent="0.25">
      <c r="A638" s="79">
        <v>45401</v>
      </c>
      <c r="B638" s="11">
        <v>0.91666666666666663</v>
      </c>
      <c r="C638" s="22">
        <v>45401.916666666664</v>
      </c>
      <c r="D638" s="12">
        <v>73.7</v>
      </c>
      <c r="E638" s="12">
        <v>76.599999999999994</v>
      </c>
      <c r="F638" s="12">
        <v>63.8</v>
      </c>
      <c r="G638" s="12" t="s">
        <v>6</v>
      </c>
      <c r="H638" s="12">
        <v>22.3</v>
      </c>
      <c r="I638" s="12">
        <v>23.3</v>
      </c>
      <c r="J638" s="12">
        <v>20.5</v>
      </c>
      <c r="K638" s="12" t="s">
        <v>6</v>
      </c>
      <c r="L638" s="12">
        <v>22</v>
      </c>
      <c r="M638" s="111" t="s">
        <v>6</v>
      </c>
    </row>
    <row r="639" spans="1:13" x14ac:dyDescent="0.25">
      <c r="A639" s="79">
        <v>45402</v>
      </c>
      <c r="B639" s="11">
        <v>4.1666666666666664E-2</v>
      </c>
      <c r="C639" s="22">
        <v>45402.041666666664</v>
      </c>
      <c r="D639" s="12">
        <v>69.900000000000006</v>
      </c>
      <c r="E639" s="12">
        <v>74.8</v>
      </c>
      <c r="F639" s="12">
        <v>62</v>
      </c>
      <c r="G639" s="12" t="s">
        <v>6</v>
      </c>
      <c r="H639" s="12">
        <v>20.2</v>
      </c>
      <c r="I639" s="12">
        <v>24.6</v>
      </c>
      <c r="J639" s="12">
        <v>16</v>
      </c>
      <c r="K639" s="12" t="s">
        <v>6</v>
      </c>
      <c r="L639" s="12">
        <v>114</v>
      </c>
      <c r="M639" s="111" t="s">
        <v>6</v>
      </c>
    </row>
    <row r="640" spans="1:13" x14ac:dyDescent="0.25">
      <c r="A640" s="79">
        <v>45402</v>
      </c>
      <c r="B640" s="11">
        <v>8.3333333333333329E-2</v>
      </c>
      <c r="C640" s="22">
        <v>45402.083333333336</v>
      </c>
      <c r="D640" s="12">
        <v>68.099999999999994</v>
      </c>
      <c r="E640" s="12">
        <v>73.900000000000006</v>
      </c>
      <c r="F640" s="12">
        <v>58.9</v>
      </c>
      <c r="G640" s="12" t="s">
        <v>6</v>
      </c>
      <c r="H640" s="12">
        <v>20.399999999999999</v>
      </c>
      <c r="I640" s="12">
        <v>25.2</v>
      </c>
      <c r="J640" s="12">
        <v>14.2</v>
      </c>
      <c r="K640" s="12" t="s">
        <v>6</v>
      </c>
      <c r="L640" s="12">
        <v>206</v>
      </c>
      <c r="M640" s="111" t="s">
        <v>6</v>
      </c>
    </row>
    <row r="641" spans="1:13" x14ac:dyDescent="0.25">
      <c r="A641" s="79">
        <v>45402</v>
      </c>
      <c r="B641" s="11">
        <v>0.125</v>
      </c>
      <c r="C641" s="22">
        <v>45402.125</v>
      </c>
      <c r="D641" s="12">
        <v>70.3</v>
      </c>
      <c r="E641" s="12">
        <v>75</v>
      </c>
      <c r="F641" s="12">
        <v>63.5</v>
      </c>
      <c r="G641" s="12" t="s">
        <v>6</v>
      </c>
      <c r="H641" s="12">
        <v>19</v>
      </c>
      <c r="I641" s="12">
        <v>24.2</v>
      </c>
      <c r="J641" s="12">
        <v>14.6</v>
      </c>
      <c r="K641" s="12" t="s">
        <v>6</v>
      </c>
      <c r="L641" s="12">
        <v>221</v>
      </c>
      <c r="M641" s="111" t="s">
        <v>6</v>
      </c>
    </row>
    <row r="642" spans="1:13" x14ac:dyDescent="0.25">
      <c r="A642" s="79">
        <v>45402</v>
      </c>
      <c r="B642" s="11">
        <v>0.16666666666666666</v>
      </c>
      <c r="C642" s="22">
        <v>45402.166666666664</v>
      </c>
      <c r="D642" s="12">
        <v>69.8</v>
      </c>
      <c r="E642" s="12">
        <v>77.400000000000006</v>
      </c>
      <c r="F642" s="12">
        <v>53.7</v>
      </c>
      <c r="G642" s="12" t="s">
        <v>6</v>
      </c>
      <c r="H642" s="12">
        <v>20</v>
      </c>
      <c r="I642" s="12">
        <v>24.2</v>
      </c>
      <c r="J642" s="12">
        <v>14</v>
      </c>
      <c r="K642" s="12" t="s">
        <v>6</v>
      </c>
      <c r="L642" s="12">
        <v>189</v>
      </c>
      <c r="M642" s="111" t="s">
        <v>6</v>
      </c>
    </row>
    <row r="643" spans="1:13" x14ac:dyDescent="0.25">
      <c r="A643" s="79">
        <v>45402</v>
      </c>
      <c r="B643" s="11">
        <v>0.20833333333333334</v>
      </c>
      <c r="C643" s="22">
        <v>45402.208333333336</v>
      </c>
      <c r="D643" s="12">
        <v>72.7</v>
      </c>
      <c r="E643" s="12">
        <v>75.2</v>
      </c>
      <c r="F643" s="12">
        <v>66</v>
      </c>
      <c r="G643" s="12" t="s">
        <v>6</v>
      </c>
      <c r="H643" s="12">
        <v>18.5</v>
      </c>
      <c r="I643" s="12">
        <v>24.3</v>
      </c>
      <c r="J643" s="12">
        <v>13.2</v>
      </c>
      <c r="K643" s="12" t="s">
        <v>6</v>
      </c>
      <c r="L643" s="12">
        <v>230</v>
      </c>
      <c r="M643" s="111" t="s">
        <v>6</v>
      </c>
    </row>
    <row r="644" spans="1:13" x14ac:dyDescent="0.25">
      <c r="A644" s="81">
        <v>45402</v>
      </c>
      <c r="B644" s="15">
        <v>0.25</v>
      </c>
      <c r="C644" s="20">
        <v>45402.25</v>
      </c>
      <c r="D644" s="16">
        <v>72</v>
      </c>
      <c r="E644" s="16">
        <v>78.099999999999994</v>
      </c>
      <c r="F644" s="16">
        <v>64.2</v>
      </c>
      <c r="G644" s="16" t="s">
        <v>6</v>
      </c>
      <c r="H644" s="16">
        <v>19.600000000000001</v>
      </c>
      <c r="I644" s="16">
        <v>23.6</v>
      </c>
      <c r="J644" s="16">
        <v>16.5</v>
      </c>
      <c r="K644" s="16" t="s">
        <v>6</v>
      </c>
      <c r="L644" s="16">
        <v>162</v>
      </c>
      <c r="M644" s="111" t="s">
        <v>6</v>
      </c>
    </row>
    <row r="645" spans="1:13" x14ac:dyDescent="0.25">
      <c r="A645" s="80">
        <v>45402</v>
      </c>
      <c r="B645" s="7">
        <v>0.5</v>
      </c>
      <c r="C645" s="21">
        <v>45402.5</v>
      </c>
      <c r="D645" s="8">
        <v>65.400000000000006</v>
      </c>
      <c r="E645" s="8">
        <v>71.7</v>
      </c>
      <c r="F645" s="8">
        <v>61.7</v>
      </c>
      <c r="G645" s="8" t="s">
        <v>6</v>
      </c>
      <c r="H645" s="8">
        <v>19.8</v>
      </c>
      <c r="I645" s="8">
        <v>20.8</v>
      </c>
      <c r="J645" s="8">
        <v>18.2</v>
      </c>
      <c r="K645" s="8" t="s">
        <v>6</v>
      </c>
      <c r="L645" s="8">
        <v>34</v>
      </c>
      <c r="M645" s="111" t="s">
        <v>6</v>
      </c>
    </row>
    <row r="646" spans="1:13" x14ac:dyDescent="0.25">
      <c r="A646" s="79">
        <v>45402</v>
      </c>
      <c r="B646" s="11">
        <v>0.54166666666666663</v>
      </c>
      <c r="C646" s="22">
        <v>45402.541666666664</v>
      </c>
      <c r="D646" s="12">
        <v>65.400000000000006</v>
      </c>
      <c r="E646" s="12">
        <v>73.099999999999994</v>
      </c>
      <c r="F646" s="12">
        <v>56.8</v>
      </c>
      <c r="G646" s="12" t="s">
        <v>6</v>
      </c>
      <c r="H646" s="12">
        <v>16.899999999999999</v>
      </c>
      <c r="I646" s="12">
        <v>23.6</v>
      </c>
      <c r="J646" s="12">
        <v>13.3</v>
      </c>
      <c r="K646" s="12" t="s">
        <v>6</v>
      </c>
      <c r="L646" s="12">
        <v>211</v>
      </c>
      <c r="M646" s="111" t="s">
        <v>6</v>
      </c>
    </row>
    <row r="647" spans="1:13" x14ac:dyDescent="0.25">
      <c r="A647" s="79">
        <v>45402</v>
      </c>
      <c r="B647" s="11">
        <v>0.58333333333333337</v>
      </c>
      <c r="C647" s="22">
        <v>45402.583333333336</v>
      </c>
      <c r="D647" s="12">
        <v>66.3</v>
      </c>
      <c r="E647" s="12">
        <v>73.3</v>
      </c>
      <c r="F647" s="12">
        <v>60.3</v>
      </c>
      <c r="G647" s="12" t="s">
        <v>6</v>
      </c>
      <c r="H647" s="12">
        <v>17</v>
      </c>
      <c r="I647" s="12">
        <v>22.8</v>
      </c>
      <c r="J647" s="12">
        <v>14.5</v>
      </c>
      <c r="K647" s="12" t="s">
        <v>6</v>
      </c>
      <c r="L647" s="12">
        <v>227</v>
      </c>
      <c r="M647" s="111" t="s">
        <v>6</v>
      </c>
    </row>
    <row r="648" spans="1:13" x14ac:dyDescent="0.25">
      <c r="A648" s="79">
        <v>45402</v>
      </c>
      <c r="B648" s="11">
        <v>0.625</v>
      </c>
      <c r="C648" s="22">
        <v>45402.625</v>
      </c>
      <c r="D648" s="12">
        <v>65.400000000000006</v>
      </c>
      <c r="E648" s="12">
        <v>69.400000000000006</v>
      </c>
      <c r="F648" s="12">
        <v>61.5</v>
      </c>
      <c r="G648" s="12" t="s">
        <v>6</v>
      </c>
      <c r="H648" s="12">
        <v>16.399999999999999</v>
      </c>
      <c r="I648" s="12">
        <v>18.8</v>
      </c>
      <c r="J648" s="12">
        <v>14.1</v>
      </c>
      <c r="K648" s="12" t="s">
        <v>6</v>
      </c>
      <c r="L648" s="12">
        <v>74</v>
      </c>
      <c r="M648" s="111" t="s">
        <v>6</v>
      </c>
    </row>
    <row r="649" spans="1:13" x14ac:dyDescent="0.25">
      <c r="A649" s="79">
        <v>45402</v>
      </c>
      <c r="B649" s="11">
        <v>0.66666666666666663</v>
      </c>
      <c r="C649" s="22">
        <v>45402.666666666664</v>
      </c>
      <c r="D649" s="12">
        <v>57.2</v>
      </c>
      <c r="E649" s="12">
        <v>64.099999999999994</v>
      </c>
      <c r="F649" s="12">
        <v>53.2</v>
      </c>
      <c r="G649" s="12" t="s">
        <v>6</v>
      </c>
      <c r="H649" s="12">
        <v>20.7</v>
      </c>
      <c r="I649" s="12">
        <v>24.6</v>
      </c>
      <c r="J649" s="12">
        <v>17.2</v>
      </c>
      <c r="K649" s="12" t="s">
        <v>6</v>
      </c>
      <c r="L649" s="12">
        <v>32</v>
      </c>
      <c r="M649" s="111" t="s">
        <v>6</v>
      </c>
    </row>
    <row r="650" spans="1:13" x14ac:dyDescent="0.25">
      <c r="A650" s="79">
        <v>45402</v>
      </c>
      <c r="B650" s="11">
        <v>0.70833333333333337</v>
      </c>
      <c r="C650" s="22">
        <v>45402.708333333336</v>
      </c>
      <c r="D650" s="12">
        <v>62.1</v>
      </c>
      <c r="E650" s="12">
        <v>69</v>
      </c>
      <c r="F650" s="12">
        <v>53.3</v>
      </c>
      <c r="G650" s="12" t="s">
        <v>6</v>
      </c>
      <c r="H650" s="12">
        <v>16.3</v>
      </c>
      <c r="I650" s="12">
        <v>20</v>
      </c>
      <c r="J650" s="12">
        <v>13.9</v>
      </c>
      <c r="K650" s="12" t="s">
        <v>6</v>
      </c>
      <c r="L650" s="12">
        <v>181</v>
      </c>
      <c r="M650" s="111" t="s">
        <v>6</v>
      </c>
    </row>
    <row r="651" spans="1:13" x14ac:dyDescent="0.25">
      <c r="A651" s="79">
        <v>45402</v>
      </c>
      <c r="B651" s="11">
        <v>0.875</v>
      </c>
      <c r="C651" s="22">
        <v>45402.875</v>
      </c>
      <c r="D651" s="12">
        <v>73.099999999999994</v>
      </c>
      <c r="E651" s="12">
        <v>73.400000000000006</v>
      </c>
      <c r="F651" s="12">
        <v>72.8</v>
      </c>
      <c r="G651" s="12" t="s">
        <v>6</v>
      </c>
      <c r="H651" s="12">
        <v>19.399999999999999</v>
      </c>
      <c r="I651" s="12">
        <v>23.6</v>
      </c>
      <c r="J651" s="12">
        <v>11.5</v>
      </c>
      <c r="K651" s="12" t="s">
        <v>6</v>
      </c>
      <c r="L651" s="12">
        <v>3</v>
      </c>
      <c r="M651" s="111" t="s">
        <v>6</v>
      </c>
    </row>
    <row r="652" spans="1:13" x14ac:dyDescent="0.25">
      <c r="A652" s="79">
        <v>45403</v>
      </c>
      <c r="B652" s="11">
        <v>0.125</v>
      </c>
      <c r="C652" s="22">
        <v>45403.125</v>
      </c>
      <c r="D652" s="12">
        <v>69.2</v>
      </c>
      <c r="E652" s="12">
        <v>80</v>
      </c>
      <c r="F652" s="12">
        <v>53.6</v>
      </c>
      <c r="G652" s="12" t="s">
        <v>6</v>
      </c>
      <c r="H652" s="12">
        <v>18.2</v>
      </c>
      <c r="I652" s="12">
        <v>20.8</v>
      </c>
      <c r="J652" s="12">
        <v>8.5</v>
      </c>
      <c r="K652" s="12" t="s">
        <v>6</v>
      </c>
      <c r="L652" s="12">
        <v>55</v>
      </c>
      <c r="M652" s="111" t="s">
        <v>6</v>
      </c>
    </row>
    <row r="653" spans="1:13" x14ac:dyDescent="0.25">
      <c r="A653" s="79">
        <v>45403</v>
      </c>
      <c r="B653" s="11">
        <v>0.16666666666666666</v>
      </c>
      <c r="C653" s="22">
        <v>45403.166666666664</v>
      </c>
      <c r="D653" s="12">
        <v>70.2</v>
      </c>
      <c r="E653" s="12">
        <v>74.2</v>
      </c>
      <c r="F653" s="12">
        <v>64.5</v>
      </c>
      <c r="G653" s="12" t="s">
        <v>6</v>
      </c>
      <c r="H653" s="12">
        <v>16.899999999999999</v>
      </c>
      <c r="I653" s="12">
        <v>19.100000000000001</v>
      </c>
      <c r="J653" s="12">
        <v>15.2</v>
      </c>
      <c r="K653" s="12" t="s">
        <v>6</v>
      </c>
      <c r="L653" s="12">
        <v>215</v>
      </c>
      <c r="M653" s="111" t="s">
        <v>6</v>
      </c>
    </row>
    <row r="654" spans="1:13" x14ac:dyDescent="0.25">
      <c r="A654" s="79">
        <v>45403</v>
      </c>
      <c r="B654" s="11">
        <v>0.20833333333333334</v>
      </c>
      <c r="C654" s="22">
        <v>45403.208333333336</v>
      </c>
      <c r="D654" s="12">
        <v>68.3</v>
      </c>
      <c r="E654" s="12">
        <v>75.099999999999994</v>
      </c>
      <c r="F654" s="12">
        <v>62.8</v>
      </c>
      <c r="G654" s="12" t="s">
        <v>6</v>
      </c>
      <c r="H654" s="12">
        <v>17.2</v>
      </c>
      <c r="I654" s="12">
        <v>20.7</v>
      </c>
      <c r="J654" s="12">
        <v>15</v>
      </c>
      <c r="K654" s="12" t="s">
        <v>6</v>
      </c>
      <c r="L654" s="12">
        <v>210</v>
      </c>
      <c r="M654" s="111" t="s">
        <v>6</v>
      </c>
    </row>
    <row r="655" spans="1:13" x14ac:dyDescent="0.25">
      <c r="A655" s="81">
        <v>45403</v>
      </c>
      <c r="B655" s="15">
        <v>0.25</v>
      </c>
      <c r="C655" s="20">
        <v>45403.25</v>
      </c>
      <c r="D655" s="16">
        <v>69.400000000000006</v>
      </c>
      <c r="E655" s="16">
        <v>77.400000000000006</v>
      </c>
      <c r="F655" s="16">
        <v>63.6</v>
      </c>
      <c r="G655" s="16" t="s">
        <v>6</v>
      </c>
      <c r="H655" s="16">
        <v>17</v>
      </c>
      <c r="I655" s="16">
        <v>20.7</v>
      </c>
      <c r="J655" s="16">
        <v>13</v>
      </c>
      <c r="K655" s="16" t="s">
        <v>6</v>
      </c>
      <c r="L655" s="16">
        <v>141</v>
      </c>
      <c r="M655" s="111" t="s">
        <v>6</v>
      </c>
    </row>
    <row r="656" spans="1:13" x14ac:dyDescent="0.25">
      <c r="A656" s="80">
        <v>45404</v>
      </c>
      <c r="B656" s="7">
        <v>0.20833333333333334</v>
      </c>
      <c r="C656" s="21">
        <v>45404.208333333336</v>
      </c>
      <c r="D656" s="8">
        <v>67.099999999999994</v>
      </c>
      <c r="E656" s="8">
        <v>72.7</v>
      </c>
      <c r="F656" s="8">
        <v>60</v>
      </c>
      <c r="G656" s="8" t="s">
        <v>6</v>
      </c>
      <c r="H656" s="8">
        <v>19.2</v>
      </c>
      <c r="I656" s="8">
        <v>23.3</v>
      </c>
      <c r="J656" s="8">
        <v>16.100000000000001</v>
      </c>
      <c r="K656" s="8" t="s">
        <v>6</v>
      </c>
      <c r="L656" s="8">
        <v>40</v>
      </c>
      <c r="M656" s="112" t="s">
        <v>6</v>
      </c>
    </row>
    <row r="657" spans="1:13" x14ac:dyDescent="0.25">
      <c r="A657" s="79">
        <v>45404</v>
      </c>
      <c r="B657" s="11">
        <v>0.25</v>
      </c>
      <c r="C657" s="22">
        <v>45404.25</v>
      </c>
      <c r="D657" s="12">
        <v>62.9</v>
      </c>
      <c r="E657" s="12">
        <v>67.7</v>
      </c>
      <c r="F657" s="12">
        <v>50.1</v>
      </c>
      <c r="G657" s="12" t="s">
        <v>6</v>
      </c>
      <c r="H657" s="12">
        <v>18.5</v>
      </c>
      <c r="I657" s="12">
        <v>27</v>
      </c>
      <c r="J657" s="12">
        <v>13.6</v>
      </c>
      <c r="K657" s="12" t="s">
        <v>6</v>
      </c>
      <c r="L657" s="12">
        <v>182</v>
      </c>
      <c r="M657" s="112" t="s">
        <v>6</v>
      </c>
    </row>
    <row r="658" spans="1:13" x14ac:dyDescent="0.25">
      <c r="A658" s="79">
        <v>45404</v>
      </c>
      <c r="B658" s="11">
        <v>0.29166666666666669</v>
      </c>
      <c r="C658" s="22">
        <v>45404.291666666664</v>
      </c>
      <c r="D658" s="12">
        <v>67.900000000000006</v>
      </c>
      <c r="E658" s="12">
        <v>74.8</v>
      </c>
      <c r="F658" s="12">
        <v>62.5</v>
      </c>
      <c r="G658" s="12" t="s">
        <v>6</v>
      </c>
      <c r="H658" s="12">
        <v>17.100000000000001</v>
      </c>
      <c r="I658" s="12">
        <v>20.7</v>
      </c>
      <c r="J658" s="12">
        <v>14.1</v>
      </c>
      <c r="K658" s="12" t="s">
        <v>6</v>
      </c>
      <c r="L658" s="12">
        <v>166</v>
      </c>
      <c r="M658" s="112" t="s">
        <v>6</v>
      </c>
    </row>
    <row r="659" spans="1:13" x14ac:dyDescent="0.25">
      <c r="A659" s="81">
        <v>45404</v>
      </c>
      <c r="B659" s="15">
        <v>0.33333333333333331</v>
      </c>
      <c r="C659" s="20">
        <v>45404.333333333336</v>
      </c>
      <c r="D659" s="16">
        <v>66.5</v>
      </c>
      <c r="E659" s="16">
        <v>73.8</v>
      </c>
      <c r="F659" s="16">
        <v>61.7</v>
      </c>
      <c r="G659" s="16" t="s">
        <v>6</v>
      </c>
      <c r="H659" s="16">
        <v>17.2</v>
      </c>
      <c r="I659" s="16">
        <v>23.8</v>
      </c>
      <c r="J659" s="16">
        <v>8.6</v>
      </c>
      <c r="K659" s="16" t="s">
        <v>6</v>
      </c>
      <c r="L659" s="16">
        <v>101</v>
      </c>
      <c r="M659" s="112" t="s">
        <v>6</v>
      </c>
    </row>
    <row r="660" spans="1:13" x14ac:dyDescent="0.25">
      <c r="A660" s="80">
        <v>45404</v>
      </c>
      <c r="B660" s="7">
        <v>0.83333333333333337</v>
      </c>
      <c r="C660" s="21">
        <v>45404.833333333336</v>
      </c>
      <c r="D660" s="8">
        <v>64.599999999999994</v>
      </c>
      <c r="E660" s="8">
        <v>64.599999999999994</v>
      </c>
      <c r="F660" s="8">
        <v>64.599999999999994</v>
      </c>
      <c r="G660" s="8" t="s">
        <v>6</v>
      </c>
      <c r="H660" s="8">
        <v>13.5</v>
      </c>
      <c r="I660" s="8">
        <v>13.5</v>
      </c>
      <c r="J660" s="8">
        <v>13.5</v>
      </c>
      <c r="K660" s="8" t="s">
        <v>6</v>
      </c>
      <c r="L660" s="8">
        <v>1</v>
      </c>
      <c r="M660" s="113" t="s">
        <v>6</v>
      </c>
    </row>
    <row r="661" spans="1:13" x14ac:dyDescent="0.25">
      <c r="A661" s="79">
        <v>45405</v>
      </c>
      <c r="B661" s="11">
        <v>0.20833333333333334</v>
      </c>
      <c r="C661" s="22">
        <v>45405.208333333336</v>
      </c>
      <c r="D661" s="12">
        <v>68.2</v>
      </c>
      <c r="E661" s="12">
        <v>73.400000000000006</v>
      </c>
      <c r="F661" s="12">
        <v>61.7</v>
      </c>
      <c r="G661" s="12" t="s">
        <v>6</v>
      </c>
      <c r="H661" s="12">
        <v>19.5</v>
      </c>
      <c r="I661" s="12">
        <v>26.6</v>
      </c>
      <c r="J661" s="12">
        <v>15.4</v>
      </c>
      <c r="K661" s="12" t="s">
        <v>6</v>
      </c>
      <c r="L661" s="12">
        <v>201</v>
      </c>
      <c r="M661" s="113" t="s">
        <v>6</v>
      </c>
    </row>
    <row r="662" spans="1:13" x14ac:dyDescent="0.25">
      <c r="A662" s="79">
        <v>45405</v>
      </c>
      <c r="B662" s="11">
        <v>0.25</v>
      </c>
      <c r="C662" s="22">
        <v>45405.25</v>
      </c>
      <c r="D662" s="12">
        <v>65.099999999999994</v>
      </c>
      <c r="E662" s="12">
        <v>69.5</v>
      </c>
      <c r="F662" s="12">
        <v>57.4</v>
      </c>
      <c r="G662" s="12" t="s">
        <v>6</v>
      </c>
      <c r="H662" s="12">
        <v>16.899999999999999</v>
      </c>
      <c r="I662" s="12">
        <v>22.2</v>
      </c>
      <c r="J662" s="12">
        <v>14.4</v>
      </c>
      <c r="K662" s="12" t="s">
        <v>6</v>
      </c>
      <c r="L662" s="12">
        <v>231</v>
      </c>
      <c r="M662" s="113" t="s">
        <v>6</v>
      </c>
    </row>
    <row r="663" spans="1:13" x14ac:dyDescent="0.25">
      <c r="A663" s="81">
        <v>45405</v>
      </c>
      <c r="B663" s="15">
        <v>0.29166666666666669</v>
      </c>
      <c r="C663" s="20">
        <v>45405.291666666664</v>
      </c>
      <c r="D663" s="16">
        <v>67.099999999999994</v>
      </c>
      <c r="E663" s="16">
        <v>74.5</v>
      </c>
      <c r="F663" s="16">
        <v>62.3</v>
      </c>
      <c r="G663" s="16" t="s">
        <v>6</v>
      </c>
      <c r="H663" s="16">
        <v>16.5</v>
      </c>
      <c r="I663" s="16">
        <v>20.100000000000001</v>
      </c>
      <c r="J663" s="16">
        <v>13.9</v>
      </c>
      <c r="K663" s="16" t="s">
        <v>6</v>
      </c>
      <c r="L663" s="16">
        <v>136</v>
      </c>
      <c r="M663" s="113" t="s">
        <v>6</v>
      </c>
    </row>
    <row r="664" spans="1:13" x14ac:dyDescent="0.25">
      <c r="A664" s="80">
        <v>45405</v>
      </c>
      <c r="B664" s="7">
        <v>0.375</v>
      </c>
      <c r="C664" s="21">
        <v>45405.375</v>
      </c>
      <c r="D664" s="8">
        <v>61</v>
      </c>
      <c r="E664" s="8">
        <v>62.6</v>
      </c>
      <c r="F664" s="8">
        <v>60</v>
      </c>
      <c r="G664" s="8" t="s">
        <v>6</v>
      </c>
      <c r="H664" s="8">
        <v>14.9</v>
      </c>
      <c r="I664" s="8">
        <v>16.899999999999999</v>
      </c>
      <c r="J664" s="8">
        <v>12.6</v>
      </c>
      <c r="K664" s="8" t="s">
        <v>6</v>
      </c>
      <c r="L664" s="8">
        <v>6</v>
      </c>
      <c r="M664" s="113" t="s">
        <v>6</v>
      </c>
    </row>
    <row r="665" spans="1:13" x14ac:dyDescent="0.25">
      <c r="A665" s="79">
        <v>45405</v>
      </c>
      <c r="B665" s="11">
        <v>0.83333333333333337</v>
      </c>
      <c r="C665" s="22">
        <v>45405.833333333336</v>
      </c>
      <c r="D665" s="12">
        <v>59.8</v>
      </c>
      <c r="E665" s="12">
        <v>59.8</v>
      </c>
      <c r="F665" s="12">
        <v>59.8</v>
      </c>
      <c r="G665" s="12" t="s">
        <v>6</v>
      </c>
      <c r="H665" s="12">
        <v>16.2</v>
      </c>
      <c r="I665" s="12">
        <v>16.2</v>
      </c>
      <c r="J665" s="12">
        <v>16.2</v>
      </c>
      <c r="K665" s="12" t="s">
        <v>6</v>
      </c>
      <c r="L665" s="12">
        <v>1</v>
      </c>
      <c r="M665" s="114" t="s">
        <v>6</v>
      </c>
    </row>
    <row r="666" spans="1:13" x14ac:dyDescent="0.25">
      <c r="A666" s="81">
        <v>45405</v>
      </c>
      <c r="B666" s="15">
        <v>0.91666666666666663</v>
      </c>
      <c r="C666" s="20">
        <v>45405.916666666664</v>
      </c>
      <c r="D666" s="16">
        <v>73.2</v>
      </c>
      <c r="E666" s="16">
        <v>73.2</v>
      </c>
      <c r="F666" s="16">
        <v>73.2</v>
      </c>
      <c r="G666" s="16" t="s">
        <v>6</v>
      </c>
      <c r="H666" s="16">
        <v>11.2</v>
      </c>
      <c r="I666" s="16">
        <v>11.2</v>
      </c>
      <c r="J666" s="16">
        <v>11.2</v>
      </c>
      <c r="K666" s="16" t="s">
        <v>6</v>
      </c>
      <c r="L666" s="16">
        <v>1</v>
      </c>
      <c r="M666" s="114" t="s">
        <v>6</v>
      </c>
    </row>
    <row r="667" spans="1:13" x14ac:dyDescent="0.25">
      <c r="A667" s="80">
        <v>45406</v>
      </c>
      <c r="B667" s="7">
        <v>0.41666666666666669</v>
      </c>
      <c r="C667" s="21">
        <v>45406.416666666664</v>
      </c>
      <c r="D667" s="8">
        <v>64.400000000000006</v>
      </c>
      <c r="E667" s="8">
        <v>72.900000000000006</v>
      </c>
      <c r="F667" s="8">
        <v>50.4</v>
      </c>
      <c r="G667" s="8" t="s">
        <v>6</v>
      </c>
      <c r="H667" s="8">
        <v>15.6</v>
      </c>
      <c r="I667" s="8">
        <v>23.1</v>
      </c>
      <c r="J667" s="8">
        <v>9.3000000000000007</v>
      </c>
      <c r="K667" s="8" t="s">
        <v>6</v>
      </c>
      <c r="L667" s="8">
        <v>7</v>
      </c>
      <c r="M667" s="115" t="s">
        <v>6</v>
      </c>
    </row>
    <row r="668" spans="1:13" x14ac:dyDescent="0.25">
      <c r="A668" s="79">
        <v>45406</v>
      </c>
      <c r="B668" s="11">
        <v>0.45833333333333331</v>
      </c>
      <c r="C668" s="22">
        <v>45406.458333333336</v>
      </c>
      <c r="D668" s="12">
        <v>62.6</v>
      </c>
      <c r="E668" s="12">
        <v>74.599999999999994</v>
      </c>
      <c r="F668" s="12">
        <v>50</v>
      </c>
      <c r="G668" s="12" t="s">
        <v>6</v>
      </c>
      <c r="H668" s="12">
        <v>18.100000000000001</v>
      </c>
      <c r="I668" s="12">
        <v>23.5</v>
      </c>
      <c r="J668" s="12">
        <v>12.7</v>
      </c>
      <c r="K668" s="12" t="s">
        <v>6</v>
      </c>
      <c r="L668" s="12">
        <v>143</v>
      </c>
      <c r="M668" s="115" t="s">
        <v>6</v>
      </c>
    </row>
    <row r="669" spans="1:13" x14ac:dyDescent="0.25">
      <c r="A669" s="79">
        <v>45406</v>
      </c>
      <c r="B669" s="11">
        <v>0.5</v>
      </c>
      <c r="C669" s="22">
        <v>45406.5</v>
      </c>
      <c r="D669" s="12">
        <v>66.2</v>
      </c>
      <c r="E669" s="12">
        <v>73.900000000000006</v>
      </c>
      <c r="F669" s="12">
        <v>49.9</v>
      </c>
      <c r="G669" s="12" t="s">
        <v>6</v>
      </c>
      <c r="H669" s="12">
        <v>20.399999999999999</v>
      </c>
      <c r="I669" s="12">
        <v>36.1</v>
      </c>
      <c r="J669" s="12">
        <v>15.3</v>
      </c>
      <c r="K669" s="12" t="s">
        <v>6</v>
      </c>
      <c r="L669" s="12">
        <v>135</v>
      </c>
      <c r="M669" s="115" t="s">
        <v>6</v>
      </c>
    </row>
    <row r="670" spans="1:13" x14ac:dyDescent="0.25">
      <c r="A670" s="79">
        <v>45406</v>
      </c>
      <c r="B670" s="11">
        <v>0.54166666666666663</v>
      </c>
      <c r="C670" s="22">
        <v>45406.541666666664</v>
      </c>
      <c r="D670" s="12">
        <v>66.3</v>
      </c>
      <c r="E670" s="12">
        <v>71</v>
      </c>
      <c r="F670" s="12">
        <v>60.5</v>
      </c>
      <c r="G670" s="12" t="s">
        <v>6</v>
      </c>
      <c r="H670" s="12">
        <v>17.2</v>
      </c>
      <c r="I670" s="12">
        <v>26.8</v>
      </c>
      <c r="J670" s="12">
        <v>15.2</v>
      </c>
      <c r="K670" s="12" t="s">
        <v>6</v>
      </c>
      <c r="L670" s="12">
        <v>221</v>
      </c>
      <c r="M670" s="115" t="s">
        <v>6</v>
      </c>
    </row>
    <row r="671" spans="1:13" x14ac:dyDescent="0.25">
      <c r="A671" s="79">
        <v>45406</v>
      </c>
      <c r="B671" s="11">
        <v>0.58333333333333337</v>
      </c>
      <c r="C671" s="22">
        <v>45406.583333333336</v>
      </c>
      <c r="D671" s="12">
        <v>65.599999999999994</v>
      </c>
      <c r="E671" s="12">
        <v>70.599999999999994</v>
      </c>
      <c r="F671" s="12">
        <v>59.8</v>
      </c>
      <c r="G671" s="12" t="s">
        <v>6</v>
      </c>
      <c r="H671" s="12">
        <v>16.2</v>
      </c>
      <c r="I671" s="12">
        <v>18.8</v>
      </c>
      <c r="J671" s="12">
        <v>14.4</v>
      </c>
      <c r="K671" s="12" t="s">
        <v>6</v>
      </c>
      <c r="L671" s="12">
        <v>226</v>
      </c>
      <c r="M671" s="115" t="s">
        <v>6</v>
      </c>
    </row>
    <row r="672" spans="1:13" x14ac:dyDescent="0.25">
      <c r="A672" s="79">
        <v>45406</v>
      </c>
      <c r="B672" s="11">
        <v>0.625</v>
      </c>
      <c r="C672" s="22">
        <v>45406.625</v>
      </c>
      <c r="D672" s="12">
        <v>64.3</v>
      </c>
      <c r="E672" s="12">
        <v>70.400000000000006</v>
      </c>
      <c r="F672" s="12">
        <v>56.3</v>
      </c>
      <c r="G672" s="12" t="s">
        <v>6</v>
      </c>
      <c r="H672" s="12">
        <v>16.8</v>
      </c>
      <c r="I672" s="12">
        <v>25</v>
      </c>
      <c r="J672" s="12">
        <v>14.5</v>
      </c>
      <c r="K672" s="12" t="s">
        <v>6</v>
      </c>
      <c r="L672" s="12">
        <v>222</v>
      </c>
      <c r="M672" s="115" t="s">
        <v>6</v>
      </c>
    </row>
    <row r="673" spans="1:13" x14ac:dyDescent="0.25">
      <c r="A673" s="79">
        <v>45406</v>
      </c>
      <c r="B673" s="11">
        <v>0.66666666666666663</v>
      </c>
      <c r="C673" s="22">
        <v>45406.666666666664</v>
      </c>
      <c r="D673" s="12">
        <v>64.400000000000006</v>
      </c>
      <c r="E673" s="12">
        <v>71.099999999999994</v>
      </c>
      <c r="F673" s="12">
        <v>57.4</v>
      </c>
      <c r="G673" s="12" t="s">
        <v>6</v>
      </c>
      <c r="H673" s="12">
        <v>16.2</v>
      </c>
      <c r="I673" s="12">
        <v>18.899999999999999</v>
      </c>
      <c r="J673" s="12">
        <v>14</v>
      </c>
      <c r="K673" s="12" t="s">
        <v>6</v>
      </c>
      <c r="L673" s="12">
        <v>78</v>
      </c>
      <c r="M673" s="115" t="s">
        <v>6</v>
      </c>
    </row>
    <row r="674" spans="1:13" x14ac:dyDescent="0.25">
      <c r="A674" s="79">
        <v>45406</v>
      </c>
      <c r="B674" s="11">
        <v>0.70833333333333337</v>
      </c>
      <c r="C674" s="22">
        <v>45406.708333333336</v>
      </c>
      <c r="D674" s="12">
        <v>66.7</v>
      </c>
      <c r="E674" s="12">
        <v>66.7</v>
      </c>
      <c r="F674" s="12">
        <v>66.599999999999994</v>
      </c>
      <c r="G674" s="12" t="s">
        <v>6</v>
      </c>
      <c r="H674" s="12">
        <v>13.6</v>
      </c>
      <c r="I674" s="12">
        <v>13.8</v>
      </c>
      <c r="J674" s="12">
        <v>13.4</v>
      </c>
      <c r="K674" s="12" t="s">
        <v>6</v>
      </c>
      <c r="L674" s="12">
        <v>2</v>
      </c>
      <c r="M674" s="115" t="s">
        <v>6</v>
      </c>
    </row>
    <row r="675" spans="1:13" x14ac:dyDescent="0.25">
      <c r="A675" s="79">
        <v>45406</v>
      </c>
      <c r="B675" s="11">
        <v>0.75</v>
      </c>
      <c r="C675" s="22">
        <v>45406.75</v>
      </c>
      <c r="D675" s="12">
        <v>66.2</v>
      </c>
      <c r="E675" s="12">
        <v>67</v>
      </c>
      <c r="F675" s="12">
        <v>64.900000000000006</v>
      </c>
      <c r="G675" s="12" t="s">
        <v>6</v>
      </c>
      <c r="H675" s="12">
        <v>15.4</v>
      </c>
      <c r="I675" s="12">
        <v>25.3</v>
      </c>
      <c r="J675" s="12">
        <v>10.199999999999999</v>
      </c>
      <c r="K675" s="12" t="s">
        <v>6</v>
      </c>
      <c r="L675" s="12">
        <v>4</v>
      </c>
      <c r="M675" s="115" t="s">
        <v>6</v>
      </c>
    </row>
    <row r="676" spans="1:13" x14ac:dyDescent="0.25">
      <c r="A676" s="79">
        <v>45407</v>
      </c>
      <c r="B676" s="11">
        <v>0</v>
      </c>
      <c r="C676" s="22">
        <v>45407</v>
      </c>
      <c r="D676" s="12">
        <v>70.2</v>
      </c>
      <c r="E676" s="12">
        <v>70.2</v>
      </c>
      <c r="F676" s="12">
        <v>70.2</v>
      </c>
      <c r="G676" s="12" t="s">
        <v>6</v>
      </c>
      <c r="H676" s="12">
        <v>11.1</v>
      </c>
      <c r="I676" s="12">
        <v>11.1</v>
      </c>
      <c r="J676" s="12">
        <v>11.1</v>
      </c>
      <c r="K676" s="12" t="s">
        <v>6</v>
      </c>
      <c r="L676" s="12">
        <v>1</v>
      </c>
      <c r="M676" s="115" t="s">
        <v>6</v>
      </c>
    </row>
    <row r="677" spans="1:13" x14ac:dyDescent="0.25">
      <c r="A677" s="79">
        <v>45407</v>
      </c>
      <c r="B677" s="11">
        <v>0.125</v>
      </c>
      <c r="C677" s="22">
        <v>45407.125</v>
      </c>
      <c r="D677" s="12">
        <v>66.5</v>
      </c>
      <c r="E677" s="12">
        <v>66.5</v>
      </c>
      <c r="F677" s="12">
        <v>66.5</v>
      </c>
      <c r="G677" s="12" t="s">
        <v>6</v>
      </c>
      <c r="H677" s="12">
        <v>12.6</v>
      </c>
      <c r="I677" s="12">
        <v>12.6</v>
      </c>
      <c r="J677" s="12">
        <v>12.6</v>
      </c>
      <c r="K677" s="12" t="s">
        <v>6</v>
      </c>
      <c r="L677" s="12">
        <v>1</v>
      </c>
      <c r="M677" s="115" t="s">
        <v>6</v>
      </c>
    </row>
    <row r="678" spans="1:13" x14ac:dyDescent="0.25">
      <c r="A678" s="79">
        <v>45407</v>
      </c>
      <c r="B678" s="11">
        <v>0.16666666666666666</v>
      </c>
      <c r="C678" s="22">
        <v>45407.166666666664</v>
      </c>
      <c r="D678" s="12">
        <v>66.599999999999994</v>
      </c>
      <c r="E678" s="12">
        <v>70.599999999999994</v>
      </c>
      <c r="F678" s="12">
        <v>57.3</v>
      </c>
      <c r="G678" s="12" t="s">
        <v>6</v>
      </c>
      <c r="H678" s="12">
        <v>19.100000000000001</v>
      </c>
      <c r="I678" s="12">
        <v>20.7</v>
      </c>
      <c r="J678" s="12">
        <v>8.1999999999999993</v>
      </c>
      <c r="K678" s="12" t="s">
        <v>6</v>
      </c>
      <c r="L678" s="12">
        <v>42</v>
      </c>
      <c r="M678" s="115" t="s">
        <v>6</v>
      </c>
    </row>
    <row r="679" spans="1:13" x14ac:dyDescent="0.25">
      <c r="A679" s="79">
        <v>45407</v>
      </c>
      <c r="B679" s="11">
        <v>0.20833333333333334</v>
      </c>
      <c r="C679" s="22">
        <v>45407.208333333336</v>
      </c>
      <c r="D679" s="12">
        <v>66.5</v>
      </c>
      <c r="E679" s="12">
        <v>75.7</v>
      </c>
      <c r="F679" s="12">
        <v>52.2</v>
      </c>
      <c r="G679" s="12" t="s">
        <v>6</v>
      </c>
      <c r="H679" s="12">
        <v>18.5</v>
      </c>
      <c r="I679" s="12">
        <v>22.4</v>
      </c>
      <c r="J679" s="12">
        <v>15.8</v>
      </c>
      <c r="K679" s="12" t="s">
        <v>6</v>
      </c>
      <c r="L679" s="12">
        <v>230</v>
      </c>
      <c r="M679" s="115" t="s">
        <v>6</v>
      </c>
    </row>
    <row r="680" spans="1:13" x14ac:dyDescent="0.25">
      <c r="A680" s="79">
        <v>45407</v>
      </c>
      <c r="B680" s="11">
        <v>0.25</v>
      </c>
      <c r="C680" s="22">
        <v>45407.25</v>
      </c>
      <c r="D680" s="12">
        <v>66.8</v>
      </c>
      <c r="E680" s="12">
        <v>72.400000000000006</v>
      </c>
      <c r="F680" s="12">
        <v>59.8</v>
      </c>
      <c r="G680" s="12" t="s">
        <v>6</v>
      </c>
      <c r="H680" s="12">
        <v>18</v>
      </c>
      <c r="I680" s="12">
        <v>23</v>
      </c>
      <c r="J680" s="12">
        <v>15.9</v>
      </c>
      <c r="K680" s="12" t="s">
        <v>6</v>
      </c>
      <c r="L680" s="12">
        <v>157</v>
      </c>
      <c r="M680" s="115" t="s">
        <v>6</v>
      </c>
    </row>
    <row r="681" spans="1:13" x14ac:dyDescent="0.25">
      <c r="A681" s="81">
        <v>45407</v>
      </c>
      <c r="B681" s="15">
        <v>0.29166666666666669</v>
      </c>
      <c r="C681" s="20">
        <v>45407.291666666664</v>
      </c>
      <c r="D681" s="16">
        <v>65.099999999999994</v>
      </c>
      <c r="E681" s="16">
        <v>70.400000000000006</v>
      </c>
      <c r="F681" s="16">
        <v>53.1</v>
      </c>
      <c r="G681" s="16" t="s">
        <v>6</v>
      </c>
      <c r="H681" s="16">
        <v>18.3</v>
      </c>
      <c r="I681" s="16">
        <v>21</v>
      </c>
      <c r="J681" s="16">
        <v>15.6</v>
      </c>
      <c r="K681" s="16" t="s">
        <v>6</v>
      </c>
      <c r="L681" s="16">
        <v>172</v>
      </c>
      <c r="M681" s="115" t="s">
        <v>6</v>
      </c>
    </row>
    <row r="682" spans="1:13" x14ac:dyDescent="0.25">
      <c r="A682" s="80">
        <v>45407</v>
      </c>
      <c r="B682" s="7">
        <v>0.66666666666666663</v>
      </c>
      <c r="C682" s="21">
        <v>45407.666666666664</v>
      </c>
      <c r="D682" s="8">
        <v>58.7</v>
      </c>
      <c r="E682" s="8">
        <v>65.599999999999994</v>
      </c>
      <c r="F682" s="8">
        <v>50.6</v>
      </c>
      <c r="G682" s="8" t="s">
        <v>6</v>
      </c>
      <c r="H682" s="8">
        <v>20.3</v>
      </c>
      <c r="I682" s="8">
        <v>23.6</v>
      </c>
      <c r="J682" s="8">
        <v>17.399999999999999</v>
      </c>
      <c r="K682" s="8" t="s">
        <v>6</v>
      </c>
      <c r="L682" s="8">
        <v>94</v>
      </c>
      <c r="M682" s="116" t="s">
        <v>6</v>
      </c>
    </row>
    <row r="683" spans="1:13" x14ac:dyDescent="0.25">
      <c r="A683" s="79">
        <v>45407</v>
      </c>
      <c r="B683" s="11">
        <v>0.95833333333333337</v>
      </c>
      <c r="C683" s="22">
        <v>45407.958333333336</v>
      </c>
      <c r="D683" s="12">
        <v>55</v>
      </c>
      <c r="E683" s="12">
        <v>68.2</v>
      </c>
      <c r="F683" s="12">
        <v>50</v>
      </c>
      <c r="G683" s="12" t="s">
        <v>6</v>
      </c>
      <c r="H683" s="12">
        <v>21.9</v>
      </c>
      <c r="I683" s="12">
        <v>25.1</v>
      </c>
      <c r="J683" s="12">
        <v>19.600000000000001</v>
      </c>
      <c r="K683" s="12" t="s">
        <v>6</v>
      </c>
      <c r="L683" s="12">
        <v>58</v>
      </c>
      <c r="M683" s="116" t="s">
        <v>6</v>
      </c>
    </row>
    <row r="684" spans="1:13" x14ac:dyDescent="0.25">
      <c r="A684" s="79">
        <v>45408</v>
      </c>
      <c r="B684" s="11">
        <v>0</v>
      </c>
      <c r="C684" s="22">
        <v>45408</v>
      </c>
      <c r="D684" s="12">
        <v>64.599999999999994</v>
      </c>
      <c r="E684" s="12">
        <v>69.3</v>
      </c>
      <c r="F684" s="12">
        <v>52.1</v>
      </c>
      <c r="G684" s="12" t="s">
        <v>6</v>
      </c>
      <c r="H684" s="12">
        <v>19.899999999999999</v>
      </c>
      <c r="I684" s="12">
        <v>24.3</v>
      </c>
      <c r="J684" s="12">
        <v>15.6</v>
      </c>
      <c r="K684" s="12" t="s">
        <v>6</v>
      </c>
      <c r="L684" s="12">
        <v>127</v>
      </c>
      <c r="M684" s="116" t="s">
        <v>6</v>
      </c>
    </row>
    <row r="685" spans="1:13" x14ac:dyDescent="0.25">
      <c r="A685" s="79">
        <v>45408</v>
      </c>
      <c r="B685" s="11">
        <v>4.1666666666666664E-2</v>
      </c>
      <c r="C685" s="22">
        <v>45408.041666666664</v>
      </c>
      <c r="D685" s="12">
        <v>67.7</v>
      </c>
      <c r="E685" s="12">
        <v>67.8</v>
      </c>
      <c r="F685" s="12">
        <v>67.599999999999994</v>
      </c>
      <c r="G685" s="12" t="s">
        <v>6</v>
      </c>
      <c r="H685" s="12">
        <v>15</v>
      </c>
      <c r="I685" s="12">
        <v>20.100000000000001</v>
      </c>
      <c r="J685" s="12">
        <v>9.9</v>
      </c>
      <c r="K685" s="12" t="s">
        <v>6</v>
      </c>
      <c r="L685" s="12">
        <v>2</v>
      </c>
      <c r="M685" s="116" t="s">
        <v>6</v>
      </c>
    </row>
    <row r="686" spans="1:13" x14ac:dyDescent="0.25">
      <c r="A686" s="79">
        <v>45408</v>
      </c>
      <c r="B686" s="11">
        <v>0.16666666666666666</v>
      </c>
      <c r="C686" s="22">
        <v>45408.166666666664</v>
      </c>
      <c r="D686" s="12">
        <v>67.2</v>
      </c>
      <c r="E686" s="12">
        <v>68.2</v>
      </c>
      <c r="F686" s="12">
        <v>66.2</v>
      </c>
      <c r="G686" s="12" t="s">
        <v>6</v>
      </c>
      <c r="H686" s="12">
        <v>13</v>
      </c>
      <c r="I686" s="12">
        <v>13</v>
      </c>
      <c r="J686" s="12">
        <v>13</v>
      </c>
      <c r="K686" s="12" t="s">
        <v>6</v>
      </c>
      <c r="L686" s="12">
        <v>2</v>
      </c>
      <c r="M686" s="116" t="s">
        <v>6</v>
      </c>
    </row>
    <row r="687" spans="1:13" x14ac:dyDescent="0.25">
      <c r="A687" s="79">
        <v>45408</v>
      </c>
      <c r="B687" s="11">
        <v>0.20833333333333334</v>
      </c>
      <c r="C687" s="22">
        <v>45408.208333333336</v>
      </c>
      <c r="D687" s="12">
        <v>70</v>
      </c>
      <c r="E687" s="12">
        <v>70.099999999999994</v>
      </c>
      <c r="F687" s="12">
        <v>69.900000000000006</v>
      </c>
      <c r="G687" s="12" t="s">
        <v>6</v>
      </c>
      <c r="H687" s="12">
        <v>11.2</v>
      </c>
      <c r="I687" s="12">
        <v>11.4</v>
      </c>
      <c r="J687" s="12">
        <v>10.9</v>
      </c>
      <c r="K687" s="12" t="s">
        <v>6</v>
      </c>
      <c r="L687" s="12">
        <v>2</v>
      </c>
      <c r="M687" s="116" t="s">
        <v>6</v>
      </c>
    </row>
    <row r="688" spans="1:13" x14ac:dyDescent="0.25">
      <c r="A688" s="79">
        <v>45408</v>
      </c>
      <c r="B688" s="11">
        <v>0.25</v>
      </c>
      <c r="C688" s="22">
        <v>45408.25</v>
      </c>
      <c r="D688" s="12">
        <v>67.599999999999994</v>
      </c>
      <c r="E688" s="12">
        <v>72.7</v>
      </c>
      <c r="F688" s="12">
        <v>62.4</v>
      </c>
      <c r="G688" s="12" t="s">
        <v>6</v>
      </c>
      <c r="H688" s="12">
        <v>21.2</v>
      </c>
      <c r="I688" s="12">
        <v>24.2</v>
      </c>
      <c r="J688" s="12">
        <v>14.7</v>
      </c>
      <c r="K688" s="12" t="s">
        <v>6</v>
      </c>
      <c r="L688" s="12">
        <v>14</v>
      </c>
      <c r="M688" s="116" t="s">
        <v>6</v>
      </c>
    </row>
    <row r="689" spans="1:13" x14ac:dyDescent="0.25">
      <c r="A689" s="81">
        <v>45408</v>
      </c>
      <c r="B689" s="15">
        <v>0.29166666666666669</v>
      </c>
      <c r="C689" s="20">
        <v>45408.291666666664</v>
      </c>
      <c r="D689" s="16">
        <v>61.5</v>
      </c>
      <c r="E689" s="16">
        <v>70</v>
      </c>
      <c r="F689" s="16">
        <v>57.7</v>
      </c>
      <c r="G689" s="16" t="s">
        <v>6</v>
      </c>
      <c r="H689" s="16">
        <v>20.399999999999999</v>
      </c>
      <c r="I689" s="16">
        <v>28.9</v>
      </c>
      <c r="J689" s="16">
        <v>11.6</v>
      </c>
      <c r="K689" s="16" t="s">
        <v>6</v>
      </c>
      <c r="L689" s="16">
        <v>50</v>
      </c>
      <c r="M689" s="116" t="s">
        <v>6</v>
      </c>
    </row>
    <row r="690" spans="1:13" x14ac:dyDescent="0.25">
      <c r="A690" s="80">
        <v>45408</v>
      </c>
      <c r="B690" s="7">
        <v>0.41666666666666669</v>
      </c>
      <c r="C690" s="21">
        <v>45408.416666666664</v>
      </c>
      <c r="D690" s="8">
        <v>60.2</v>
      </c>
      <c r="E690" s="8">
        <v>66.2</v>
      </c>
      <c r="F690" s="8">
        <v>56.7</v>
      </c>
      <c r="G690" s="8" t="s">
        <v>6</v>
      </c>
      <c r="H690" s="8">
        <v>20</v>
      </c>
      <c r="I690" s="8">
        <v>22.5</v>
      </c>
      <c r="J690" s="8">
        <v>18.100000000000001</v>
      </c>
      <c r="K690" s="8" t="s">
        <v>6</v>
      </c>
      <c r="L690" s="8">
        <v>26</v>
      </c>
      <c r="M690" s="117" t="s">
        <v>6</v>
      </c>
    </row>
    <row r="691" spans="1:13" x14ac:dyDescent="0.25">
      <c r="A691" s="79">
        <v>45408</v>
      </c>
      <c r="B691" s="11">
        <v>0.45833333333333331</v>
      </c>
      <c r="C691" s="22">
        <v>45408.458333333336</v>
      </c>
      <c r="D691" s="12">
        <v>57.9</v>
      </c>
      <c r="E691" s="12">
        <v>58.2</v>
      </c>
      <c r="F691" s="12">
        <v>57.7</v>
      </c>
      <c r="G691" s="12" t="s">
        <v>6</v>
      </c>
      <c r="H691" s="12">
        <v>21.1</v>
      </c>
      <c r="I691" s="12">
        <v>21.4</v>
      </c>
      <c r="J691" s="12">
        <v>20.7</v>
      </c>
      <c r="K691" s="12" t="s">
        <v>6</v>
      </c>
      <c r="L691" s="12">
        <v>3</v>
      </c>
      <c r="M691" s="117" t="s">
        <v>6</v>
      </c>
    </row>
    <row r="692" spans="1:13" x14ac:dyDescent="0.25">
      <c r="A692" s="81">
        <v>45409</v>
      </c>
      <c r="B692" s="15">
        <v>0.20833333333333334</v>
      </c>
      <c r="C692" s="20">
        <v>45409.208333333336</v>
      </c>
      <c r="D692" s="16">
        <v>50.5</v>
      </c>
      <c r="E692" s="16">
        <v>51.5</v>
      </c>
      <c r="F692" s="16">
        <v>49.1</v>
      </c>
      <c r="G692" s="16" t="s">
        <v>6</v>
      </c>
      <c r="H692" s="16">
        <v>18.3</v>
      </c>
      <c r="I692" s="16">
        <v>22.1</v>
      </c>
      <c r="J692" s="16">
        <v>13.3</v>
      </c>
      <c r="K692" s="16" t="s">
        <v>6</v>
      </c>
      <c r="L692" s="16">
        <v>20</v>
      </c>
      <c r="M692" s="117" t="s">
        <v>6</v>
      </c>
    </row>
    <row r="693" spans="1:13" x14ac:dyDescent="0.25">
      <c r="A693" s="80">
        <v>45410</v>
      </c>
      <c r="B693" s="7">
        <v>0.16666666666666666</v>
      </c>
      <c r="C693" s="21">
        <v>45410.166666666664</v>
      </c>
      <c r="D693" s="8">
        <v>58.5</v>
      </c>
      <c r="E693" s="8">
        <v>67</v>
      </c>
      <c r="F693" s="8">
        <v>49.9</v>
      </c>
      <c r="G693" s="8" t="s">
        <v>6</v>
      </c>
      <c r="H693" s="8">
        <v>19</v>
      </c>
      <c r="I693" s="8">
        <v>24.1</v>
      </c>
      <c r="J693" s="8">
        <v>9.1</v>
      </c>
      <c r="K693" s="8" t="s">
        <v>6</v>
      </c>
      <c r="L693" s="8">
        <v>84</v>
      </c>
      <c r="M693" s="117" t="s">
        <v>6</v>
      </c>
    </row>
    <row r="694" spans="1:13" x14ac:dyDescent="0.25">
      <c r="A694" s="79">
        <v>45410</v>
      </c>
      <c r="B694" s="11">
        <v>0.20833333333333334</v>
      </c>
      <c r="C694" s="22">
        <v>45410.208333333336</v>
      </c>
      <c r="D694" s="12">
        <v>63.3</v>
      </c>
      <c r="E694" s="12">
        <v>68.900000000000006</v>
      </c>
      <c r="F694" s="12">
        <v>53.8</v>
      </c>
      <c r="G694" s="12" t="s">
        <v>6</v>
      </c>
      <c r="H694" s="12">
        <v>19.2</v>
      </c>
      <c r="I694" s="12">
        <v>26.5</v>
      </c>
      <c r="J694" s="12">
        <v>16</v>
      </c>
      <c r="K694" s="12" t="s">
        <v>6</v>
      </c>
      <c r="L694" s="12">
        <v>180</v>
      </c>
      <c r="M694" s="117" t="s">
        <v>6</v>
      </c>
    </row>
    <row r="695" spans="1:13" x14ac:dyDescent="0.25">
      <c r="A695" s="79">
        <v>45410</v>
      </c>
      <c r="B695" s="11">
        <v>0.25</v>
      </c>
      <c r="C695" s="22">
        <v>45410.25</v>
      </c>
      <c r="D695" s="12">
        <v>74.400000000000006</v>
      </c>
      <c r="E695" s="12">
        <v>75.599999999999994</v>
      </c>
      <c r="F695" s="12">
        <v>73.3</v>
      </c>
      <c r="G695" s="12" t="s">
        <v>6</v>
      </c>
      <c r="H695" s="12">
        <v>12.3</v>
      </c>
      <c r="I695" s="12">
        <v>12.4</v>
      </c>
      <c r="J695" s="12">
        <v>12.2</v>
      </c>
      <c r="K695" s="12" t="s">
        <v>6</v>
      </c>
      <c r="L695" s="12">
        <v>2</v>
      </c>
      <c r="M695" s="117" t="s">
        <v>6</v>
      </c>
    </row>
    <row r="696" spans="1:13" x14ac:dyDescent="0.25">
      <c r="A696" s="79">
        <v>45411</v>
      </c>
      <c r="B696" s="11">
        <v>4.1666666666666664E-2</v>
      </c>
      <c r="C696" s="22">
        <v>45411.041666666664</v>
      </c>
      <c r="D696" s="12">
        <v>66.599999999999994</v>
      </c>
      <c r="E696" s="12">
        <v>74.3</v>
      </c>
      <c r="F696" s="12">
        <v>52.3</v>
      </c>
      <c r="G696" s="12" t="s">
        <v>6</v>
      </c>
      <c r="H696" s="12">
        <v>20.2</v>
      </c>
      <c r="I696" s="12">
        <v>22.7</v>
      </c>
      <c r="J696" s="12">
        <v>15.9</v>
      </c>
      <c r="K696" s="12" t="s">
        <v>6</v>
      </c>
      <c r="L696" s="12">
        <v>50</v>
      </c>
      <c r="M696" s="117" t="s">
        <v>6</v>
      </c>
    </row>
    <row r="697" spans="1:13" x14ac:dyDescent="0.25">
      <c r="A697" s="79">
        <v>45411</v>
      </c>
      <c r="B697" s="11">
        <v>8.3333333333333329E-2</v>
      </c>
      <c r="C697" s="22">
        <v>45411.083333333336</v>
      </c>
      <c r="D697" s="12">
        <v>65.900000000000006</v>
      </c>
      <c r="E697" s="12">
        <v>67.900000000000006</v>
      </c>
      <c r="F697" s="12">
        <v>64</v>
      </c>
      <c r="G697" s="12" t="s">
        <v>6</v>
      </c>
      <c r="H697" s="12">
        <v>18.2</v>
      </c>
      <c r="I697" s="12">
        <v>19</v>
      </c>
      <c r="J697" s="12">
        <v>17.399999999999999</v>
      </c>
      <c r="K697" s="12" t="s">
        <v>6</v>
      </c>
      <c r="L697" s="12">
        <v>10</v>
      </c>
      <c r="M697" s="117" t="s">
        <v>6</v>
      </c>
    </row>
    <row r="698" spans="1:13" x14ac:dyDescent="0.25">
      <c r="A698" s="81">
        <v>45411</v>
      </c>
      <c r="B698" s="15">
        <v>0.29166666666666669</v>
      </c>
      <c r="C698" s="20">
        <v>45411.291666666664</v>
      </c>
      <c r="D698" s="16">
        <v>60.2</v>
      </c>
      <c r="E698" s="16">
        <v>66.400000000000006</v>
      </c>
      <c r="F698" s="16">
        <v>48.4</v>
      </c>
      <c r="G698" s="16" t="s">
        <v>6</v>
      </c>
      <c r="H698" s="16">
        <v>17.8</v>
      </c>
      <c r="I698" s="16">
        <v>25.3</v>
      </c>
      <c r="J698" s="16">
        <v>14.5</v>
      </c>
      <c r="K698" s="16" t="s">
        <v>6</v>
      </c>
      <c r="L698" s="16">
        <v>112</v>
      </c>
      <c r="M698" s="117" t="s">
        <v>6</v>
      </c>
    </row>
    <row r="699" spans="1:13" x14ac:dyDescent="0.25">
      <c r="A699" s="118">
        <v>45411</v>
      </c>
      <c r="B699" s="68">
        <v>0.79166666666666663</v>
      </c>
      <c r="C699" s="64">
        <v>45411.791666666664</v>
      </c>
      <c r="D699" s="65">
        <v>68.3</v>
      </c>
      <c r="E699" s="65">
        <v>71.7</v>
      </c>
      <c r="F699" s="65">
        <v>64.900000000000006</v>
      </c>
      <c r="G699" s="65" t="s">
        <v>6</v>
      </c>
      <c r="H699" s="65">
        <v>8.5</v>
      </c>
      <c r="I699" s="65">
        <v>9.1999999999999993</v>
      </c>
      <c r="J699" s="65">
        <v>7.8</v>
      </c>
      <c r="K699" s="65" t="s">
        <v>6</v>
      </c>
      <c r="L699" s="65">
        <v>2</v>
      </c>
      <c r="M699" s="119" t="s">
        <v>6</v>
      </c>
    </row>
    <row r="700" spans="1:13" x14ac:dyDescent="0.25">
      <c r="A700" s="80">
        <v>45412</v>
      </c>
      <c r="B700" s="7">
        <v>0.66666666666666663</v>
      </c>
      <c r="C700" s="21">
        <v>45412.666666666664</v>
      </c>
      <c r="D700" s="8">
        <v>75.3</v>
      </c>
      <c r="E700" s="8">
        <v>75.3</v>
      </c>
      <c r="F700" s="8">
        <v>75.3</v>
      </c>
      <c r="G700" s="8" t="s">
        <v>6</v>
      </c>
      <c r="H700" s="8">
        <v>9.9</v>
      </c>
      <c r="I700" s="8">
        <v>9.9</v>
      </c>
      <c r="J700" s="8">
        <v>9.9</v>
      </c>
      <c r="K700" s="8" t="s">
        <v>6</v>
      </c>
      <c r="L700" s="8">
        <v>1</v>
      </c>
      <c r="M700" s="120" t="s">
        <v>6</v>
      </c>
    </row>
    <row r="701" spans="1:13" x14ac:dyDescent="0.25">
      <c r="A701" s="81">
        <v>45413</v>
      </c>
      <c r="B701" s="15">
        <v>0.16666666666666666</v>
      </c>
      <c r="C701" s="20">
        <v>45413.166666666664</v>
      </c>
      <c r="D701" s="16">
        <v>64.3</v>
      </c>
      <c r="E701" s="16">
        <v>70.400000000000006</v>
      </c>
      <c r="F701" s="16">
        <v>58.1</v>
      </c>
      <c r="G701" s="16" t="s">
        <v>6</v>
      </c>
      <c r="H701" s="16">
        <v>20</v>
      </c>
      <c r="I701" s="16">
        <v>23.4</v>
      </c>
      <c r="J701" s="16">
        <v>12.1</v>
      </c>
      <c r="K701" s="16" t="s">
        <v>6</v>
      </c>
      <c r="L701" s="16">
        <v>154</v>
      </c>
      <c r="M701" s="120" t="s">
        <v>6</v>
      </c>
    </row>
    <row r="702" spans="1:13" x14ac:dyDescent="0.25">
      <c r="A702" s="80">
        <v>45413</v>
      </c>
      <c r="B702" s="7">
        <v>0.625</v>
      </c>
      <c r="C702" s="21">
        <v>45413.625</v>
      </c>
      <c r="D702" s="8">
        <v>64.099999999999994</v>
      </c>
      <c r="E702" s="8">
        <v>64.099999999999994</v>
      </c>
      <c r="F702" s="8">
        <v>64.099999999999994</v>
      </c>
      <c r="G702" s="8" t="s">
        <v>6</v>
      </c>
      <c r="H702" s="8">
        <v>11.5</v>
      </c>
      <c r="I702" s="8">
        <v>11.5</v>
      </c>
      <c r="J702" s="8">
        <v>11.5</v>
      </c>
      <c r="K702" s="8" t="s">
        <v>6</v>
      </c>
      <c r="L702" s="8">
        <v>1</v>
      </c>
      <c r="M702" s="121" t="s">
        <v>6</v>
      </c>
    </row>
    <row r="703" spans="1:13" x14ac:dyDescent="0.25">
      <c r="A703" s="81">
        <v>45413</v>
      </c>
      <c r="B703" s="15">
        <v>0.66666666666666663</v>
      </c>
      <c r="C703" s="20">
        <v>45413.666666666664</v>
      </c>
      <c r="D703" s="16">
        <v>73.099999999999994</v>
      </c>
      <c r="E703" s="16">
        <v>73.099999999999994</v>
      </c>
      <c r="F703" s="16">
        <v>73.099999999999994</v>
      </c>
      <c r="G703" s="16" t="s">
        <v>6</v>
      </c>
      <c r="H703" s="16">
        <v>13.2</v>
      </c>
      <c r="I703" s="16">
        <v>13.2</v>
      </c>
      <c r="J703" s="16">
        <v>13.2</v>
      </c>
      <c r="K703" s="16" t="s">
        <v>6</v>
      </c>
      <c r="L703" s="16">
        <v>1</v>
      </c>
      <c r="M703" s="121" t="s">
        <v>6</v>
      </c>
    </row>
    <row r="704" spans="1:13" x14ac:dyDescent="0.25">
      <c r="A704" s="118">
        <v>45414</v>
      </c>
      <c r="B704" s="68">
        <v>0.91666666666666663</v>
      </c>
      <c r="C704" s="64">
        <v>45414.916666666664</v>
      </c>
      <c r="D704" s="65">
        <v>66.8</v>
      </c>
      <c r="E704" s="65">
        <v>66.8</v>
      </c>
      <c r="F704" s="65">
        <v>66.8</v>
      </c>
      <c r="G704" s="65" t="s">
        <v>6</v>
      </c>
      <c r="H704" s="65">
        <v>9.9</v>
      </c>
      <c r="I704" s="65">
        <v>9.9</v>
      </c>
      <c r="J704" s="65">
        <v>9.9</v>
      </c>
      <c r="K704" s="65" t="s">
        <v>6</v>
      </c>
      <c r="L704" s="65">
        <v>1</v>
      </c>
      <c r="M704" s="122" t="s">
        <v>6</v>
      </c>
    </row>
    <row r="705" spans="1:13" x14ac:dyDescent="0.25">
      <c r="A705" s="80">
        <v>45415</v>
      </c>
      <c r="B705" s="7">
        <v>0.58333333333333337</v>
      </c>
      <c r="C705" s="21">
        <v>45415.583333333336</v>
      </c>
      <c r="D705" s="8">
        <v>64.599999999999994</v>
      </c>
      <c r="E705" s="8">
        <v>67.5</v>
      </c>
      <c r="F705" s="8">
        <v>61.7</v>
      </c>
      <c r="G705" s="8" t="s">
        <v>6</v>
      </c>
      <c r="H705" s="8">
        <v>9.6999999999999993</v>
      </c>
      <c r="I705" s="8">
        <v>9.6999999999999993</v>
      </c>
      <c r="J705" s="8">
        <v>9.6999999999999993</v>
      </c>
      <c r="K705" s="8" t="s">
        <v>6</v>
      </c>
      <c r="L705" s="8">
        <v>2</v>
      </c>
      <c r="M705" s="123" t="s">
        <v>6</v>
      </c>
    </row>
    <row r="706" spans="1:13" x14ac:dyDescent="0.25">
      <c r="A706" s="79">
        <v>45415</v>
      </c>
      <c r="B706" s="11">
        <v>0.95833333333333337</v>
      </c>
      <c r="C706" s="22">
        <v>45415.958333333336</v>
      </c>
      <c r="D706" s="12">
        <v>71.900000000000006</v>
      </c>
      <c r="E706" s="12">
        <v>72.400000000000006</v>
      </c>
      <c r="F706" s="12">
        <v>71.400000000000006</v>
      </c>
      <c r="G706" s="12" t="s">
        <v>6</v>
      </c>
      <c r="H706" s="12">
        <v>11.9</v>
      </c>
      <c r="I706" s="12">
        <v>12.1</v>
      </c>
      <c r="J706" s="12">
        <v>11.7</v>
      </c>
      <c r="K706" s="12" t="s">
        <v>6</v>
      </c>
      <c r="L706" s="12">
        <v>2</v>
      </c>
      <c r="M706" s="123" t="s">
        <v>6</v>
      </c>
    </row>
    <row r="707" spans="1:13" x14ac:dyDescent="0.25">
      <c r="A707" s="81">
        <v>45416</v>
      </c>
      <c r="B707" s="15">
        <v>4.1666666666666664E-2</v>
      </c>
      <c r="C707" s="20">
        <v>45416.041666666664</v>
      </c>
      <c r="D707" s="16">
        <v>71.400000000000006</v>
      </c>
      <c r="E707" s="16">
        <v>75.400000000000006</v>
      </c>
      <c r="F707" s="16">
        <v>67.400000000000006</v>
      </c>
      <c r="G707" s="16" t="s">
        <v>6</v>
      </c>
      <c r="H707" s="16">
        <v>9.9</v>
      </c>
      <c r="I707" s="16">
        <v>12</v>
      </c>
      <c r="J707" s="16">
        <v>8.8000000000000007</v>
      </c>
      <c r="K707" s="16" t="s">
        <v>6</v>
      </c>
      <c r="L707" s="16">
        <v>3</v>
      </c>
      <c r="M707" s="123" t="s">
        <v>6</v>
      </c>
    </row>
    <row r="708" spans="1:13" x14ac:dyDescent="0.25">
      <c r="A708" s="80">
        <v>45416</v>
      </c>
      <c r="B708" s="7">
        <v>0.5</v>
      </c>
      <c r="C708" s="21">
        <v>45416.5</v>
      </c>
      <c r="D708" s="8">
        <v>69.099999999999994</v>
      </c>
      <c r="E708" s="8">
        <v>70</v>
      </c>
      <c r="F708" s="8">
        <v>68.2</v>
      </c>
      <c r="G708" s="8" t="s">
        <v>6</v>
      </c>
      <c r="H708" s="8">
        <v>8.6999999999999993</v>
      </c>
      <c r="I708" s="8">
        <v>9</v>
      </c>
      <c r="J708" s="8">
        <v>8.4</v>
      </c>
      <c r="K708" s="8" t="s">
        <v>6</v>
      </c>
      <c r="L708" s="8">
        <v>2</v>
      </c>
      <c r="M708" s="123" t="s">
        <v>6</v>
      </c>
    </row>
    <row r="709" spans="1:13" x14ac:dyDescent="0.25">
      <c r="A709" s="79">
        <v>45416</v>
      </c>
      <c r="B709" s="11">
        <v>0.91666666666666663</v>
      </c>
      <c r="C709" s="22">
        <v>45416.916666666664</v>
      </c>
      <c r="D709" s="12">
        <v>60.4</v>
      </c>
      <c r="E709" s="12">
        <v>60.4</v>
      </c>
      <c r="F709" s="12">
        <v>60.4</v>
      </c>
      <c r="G709" s="12" t="s">
        <v>6</v>
      </c>
      <c r="H709" s="12">
        <v>19.8</v>
      </c>
      <c r="I709" s="12">
        <v>19.8</v>
      </c>
      <c r="J709" s="12">
        <v>19.8</v>
      </c>
      <c r="K709" s="12" t="s">
        <v>6</v>
      </c>
      <c r="L709" s="12">
        <v>1</v>
      </c>
      <c r="M709" s="123" t="s">
        <v>6</v>
      </c>
    </row>
    <row r="710" spans="1:13" x14ac:dyDescent="0.25">
      <c r="A710" s="79">
        <v>45417</v>
      </c>
      <c r="B710" s="11">
        <v>0</v>
      </c>
      <c r="C710" s="22">
        <v>45417</v>
      </c>
      <c r="D710" s="12">
        <v>58.9</v>
      </c>
      <c r="E710" s="12">
        <v>65.5</v>
      </c>
      <c r="F710" s="12">
        <v>49.2</v>
      </c>
      <c r="G710" s="12" t="s">
        <v>6</v>
      </c>
      <c r="H710" s="12">
        <v>21.6</v>
      </c>
      <c r="I710" s="12">
        <v>32.700000000000003</v>
      </c>
      <c r="J710" s="12">
        <v>18.100000000000001</v>
      </c>
      <c r="K710" s="12" t="s">
        <v>6</v>
      </c>
      <c r="L710" s="12">
        <v>173</v>
      </c>
      <c r="M710" s="123" t="s">
        <v>6</v>
      </c>
    </row>
    <row r="711" spans="1:13" x14ac:dyDescent="0.25">
      <c r="A711" s="79">
        <v>45417</v>
      </c>
      <c r="B711" s="11">
        <v>4.1666666666666664E-2</v>
      </c>
      <c r="C711" s="22">
        <v>45417.041666666664</v>
      </c>
      <c r="D711" s="12">
        <v>59.2</v>
      </c>
      <c r="E711" s="12">
        <v>66.3</v>
      </c>
      <c r="F711" s="12">
        <v>54.2</v>
      </c>
      <c r="G711" s="12" t="s">
        <v>6</v>
      </c>
      <c r="H711" s="12">
        <v>19.2</v>
      </c>
      <c r="I711" s="12">
        <v>24.8</v>
      </c>
      <c r="J711" s="12">
        <v>15.1</v>
      </c>
      <c r="K711" s="12" t="s">
        <v>6</v>
      </c>
      <c r="L711" s="12">
        <v>208</v>
      </c>
      <c r="M711" s="123" t="s">
        <v>6</v>
      </c>
    </row>
    <row r="712" spans="1:13" x14ac:dyDescent="0.25">
      <c r="A712" s="79">
        <v>45417</v>
      </c>
      <c r="B712" s="11">
        <v>8.3333333333333329E-2</v>
      </c>
      <c r="C712" s="22">
        <v>45417.083333333336</v>
      </c>
      <c r="D712" s="12">
        <v>60.4</v>
      </c>
      <c r="E712" s="12">
        <v>74.3</v>
      </c>
      <c r="F712" s="12">
        <v>53.9</v>
      </c>
      <c r="G712" s="12" t="s">
        <v>6</v>
      </c>
      <c r="H712" s="12">
        <v>19.8</v>
      </c>
      <c r="I712" s="12">
        <v>25</v>
      </c>
      <c r="J712" s="12">
        <v>14.9</v>
      </c>
      <c r="K712" s="12" t="s">
        <v>6</v>
      </c>
      <c r="L712" s="12">
        <v>213</v>
      </c>
      <c r="M712" s="123" t="s">
        <v>6</v>
      </c>
    </row>
    <row r="713" spans="1:13" x14ac:dyDescent="0.25">
      <c r="A713" s="79">
        <v>45417</v>
      </c>
      <c r="B713" s="11">
        <v>0.125</v>
      </c>
      <c r="C713" s="22">
        <v>45417.125</v>
      </c>
      <c r="D713" s="12">
        <v>64.099999999999994</v>
      </c>
      <c r="E713" s="12">
        <v>71.7</v>
      </c>
      <c r="F713" s="12">
        <v>56.6</v>
      </c>
      <c r="G713" s="12" t="s">
        <v>6</v>
      </c>
      <c r="H713" s="12">
        <v>20</v>
      </c>
      <c r="I713" s="12">
        <v>26</v>
      </c>
      <c r="J713" s="12">
        <v>14.8</v>
      </c>
      <c r="K713" s="12" t="s">
        <v>6</v>
      </c>
      <c r="L713" s="12">
        <v>176</v>
      </c>
      <c r="M713" s="123" t="s">
        <v>6</v>
      </c>
    </row>
    <row r="714" spans="1:13" x14ac:dyDescent="0.25">
      <c r="A714" s="79">
        <v>45417</v>
      </c>
      <c r="B714" s="11">
        <v>0.16666666666666666</v>
      </c>
      <c r="C714" s="22">
        <v>45417.166666666664</v>
      </c>
      <c r="D714" s="12">
        <v>59.6</v>
      </c>
      <c r="E714" s="12">
        <v>70</v>
      </c>
      <c r="F714" s="12">
        <v>53.4</v>
      </c>
      <c r="G714" s="12" t="s">
        <v>6</v>
      </c>
      <c r="H714" s="12">
        <v>19.100000000000001</v>
      </c>
      <c r="I714" s="12">
        <v>25</v>
      </c>
      <c r="J714" s="12">
        <v>15.9</v>
      </c>
      <c r="K714" s="12" t="s">
        <v>6</v>
      </c>
      <c r="L714" s="12">
        <v>188</v>
      </c>
      <c r="M714" s="123" t="s">
        <v>6</v>
      </c>
    </row>
    <row r="715" spans="1:13" x14ac:dyDescent="0.25">
      <c r="A715" s="79">
        <v>45417</v>
      </c>
      <c r="B715" s="11">
        <v>0.20833333333333334</v>
      </c>
      <c r="C715" s="22">
        <v>45417.208333333336</v>
      </c>
      <c r="D715" s="12">
        <v>65.8</v>
      </c>
      <c r="E715" s="12">
        <v>72</v>
      </c>
      <c r="F715" s="12">
        <v>57.1</v>
      </c>
      <c r="G715" s="12" t="s">
        <v>6</v>
      </c>
      <c r="H715" s="12">
        <v>18</v>
      </c>
      <c r="I715" s="12">
        <v>19.7</v>
      </c>
      <c r="J715" s="12">
        <v>15.7</v>
      </c>
      <c r="K715" s="12" t="s">
        <v>6</v>
      </c>
      <c r="L715" s="12">
        <v>104</v>
      </c>
      <c r="M715" s="123" t="s">
        <v>6</v>
      </c>
    </row>
    <row r="716" spans="1:13" x14ac:dyDescent="0.25">
      <c r="A716" s="79">
        <v>45417</v>
      </c>
      <c r="B716" s="11">
        <v>0.25</v>
      </c>
      <c r="C716" s="22">
        <v>45417.25</v>
      </c>
      <c r="D716" s="12">
        <v>63.7</v>
      </c>
      <c r="E716" s="12">
        <v>72.8</v>
      </c>
      <c r="F716" s="12">
        <v>57.2</v>
      </c>
      <c r="G716" s="12" t="s">
        <v>6</v>
      </c>
      <c r="H716" s="12">
        <v>19.5</v>
      </c>
      <c r="I716" s="12">
        <v>24.4</v>
      </c>
      <c r="J716" s="12">
        <v>16.100000000000001</v>
      </c>
      <c r="K716" s="12" t="s">
        <v>6</v>
      </c>
      <c r="L716" s="12">
        <v>70</v>
      </c>
      <c r="M716" s="123" t="s">
        <v>6</v>
      </c>
    </row>
    <row r="717" spans="1:13" x14ac:dyDescent="0.25">
      <c r="A717" s="79">
        <v>45417</v>
      </c>
      <c r="B717" s="11">
        <v>0.29166666666666669</v>
      </c>
      <c r="C717" s="22">
        <v>45417.291666666664</v>
      </c>
      <c r="D717" s="12">
        <v>65.599999999999994</v>
      </c>
      <c r="E717" s="12">
        <v>65.599999999999994</v>
      </c>
      <c r="F717" s="12">
        <v>65.599999999999994</v>
      </c>
      <c r="G717" s="12" t="s">
        <v>6</v>
      </c>
      <c r="H717" s="12">
        <v>17.100000000000001</v>
      </c>
      <c r="I717" s="12">
        <v>17.100000000000001</v>
      </c>
      <c r="J717" s="12">
        <v>17.100000000000001</v>
      </c>
      <c r="K717" s="12" t="s">
        <v>6</v>
      </c>
      <c r="L717" s="12">
        <v>1</v>
      </c>
      <c r="M717" s="123" t="s">
        <v>6</v>
      </c>
    </row>
    <row r="718" spans="1:13" x14ac:dyDescent="0.25">
      <c r="A718" s="81">
        <v>45417</v>
      </c>
      <c r="B718" s="15">
        <v>0.33333333333333331</v>
      </c>
      <c r="C718" s="20">
        <v>45417.333333333336</v>
      </c>
      <c r="D718" s="16">
        <v>65.099999999999994</v>
      </c>
      <c r="E718" s="16">
        <v>66.400000000000006</v>
      </c>
      <c r="F718" s="16">
        <v>63.6</v>
      </c>
      <c r="G718" s="16" t="s">
        <v>6</v>
      </c>
      <c r="H718" s="16">
        <v>16.5</v>
      </c>
      <c r="I718" s="16">
        <v>17.3</v>
      </c>
      <c r="J718" s="16">
        <v>16.100000000000001</v>
      </c>
      <c r="K718" s="16" t="s">
        <v>6</v>
      </c>
      <c r="L718" s="16">
        <v>8</v>
      </c>
      <c r="M718" s="123" t="s">
        <v>6</v>
      </c>
    </row>
    <row r="719" spans="1:13" x14ac:dyDescent="0.25">
      <c r="A719" s="80">
        <v>45417</v>
      </c>
      <c r="B719" s="7">
        <v>0.875</v>
      </c>
      <c r="C719" s="21">
        <v>45417.875</v>
      </c>
      <c r="D719" s="8">
        <v>71</v>
      </c>
      <c r="E719" s="8">
        <v>71</v>
      </c>
      <c r="F719" s="8">
        <v>71</v>
      </c>
      <c r="G719" s="8" t="s">
        <v>6</v>
      </c>
      <c r="H719" s="8">
        <v>12</v>
      </c>
      <c r="I719" s="8">
        <v>12</v>
      </c>
      <c r="J719" s="8">
        <v>12</v>
      </c>
      <c r="K719" s="8" t="s">
        <v>6</v>
      </c>
      <c r="L719" s="8">
        <v>1</v>
      </c>
      <c r="M719" s="124" t="s">
        <v>6</v>
      </c>
    </row>
    <row r="720" spans="1:13" x14ac:dyDescent="0.25">
      <c r="A720" s="79">
        <v>45417</v>
      </c>
      <c r="B720" s="11">
        <v>0.91666666666666663</v>
      </c>
      <c r="C720" s="22">
        <v>45417.916666666664</v>
      </c>
      <c r="D720" s="12">
        <v>65.900000000000006</v>
      </c>
      <c r="E720" s="12">
        <v>67.7</v>
      </c>
      <c r="F720" s="12">
        <v>64.099999999999994</v>
      </c>
      <c r="G720" s="12" t="s">
        <v>6</v>
      </c>
      <c r="H720" s="12">
        <v>8.5</v>
      </c>
      <c r="I720" s="12">
        <v>8.6999999999999993</v>
      </c>
      <c r="J720" s="12">
        <v>8.3000000000000007</v>
      </c>
      <c r="K720" s="12" t="s">
        <v>6</v>
      </c>
      <c r="L720" s="12">
        <v>2</v>
      </c>
      <c r="M720" s="124" t="s">
        <v>6</v>
      </c>
    </row>
    <row r="721" spans="1:13" x14ac:dyDescent="0.25">
      <c r="A721" s="81">
        <v>45418</v>
      </c>
      <c r="B721" s="15">
        <v>0</v>
      </c>
      <c r="C721" s="20">
        <v>45418</v>
      </c>
      <c r="D721" s="16">
        <v>68.7</v>
      </c>
      <c r="E721" s="16">
        <v>69.599999999999994</v>
      </c>
      <c r="F721" s="16">
        <v>67.7</v>
      </c>
      <c r="G721" s="16" t="s">
        <v>6</v>
      </c>
      <c r="H721" s="16">
        <v>8</v>
      </c>
      <c r="I721" s="16">
        <v>8.3000000000000007</v>
      </c>
      <c r="J721" s="16">
        <v>7.7</v>
      </c>
      <c r="K721" s="16" t="s">
        <v>6</v>
      </c>
      <c r="L721" s="16">
        <v>2</v>
      </c>
      <c r="M721" s="124" t="s">
        <v>6</v>
      </c>
    </row>
    <row r="722" spans="1:13" x14ac:dyDescent="0.25">
      <c r="A722" s="80">
        <v>45418</v>
      </c>
      <c r="B722" s="7">
        <v>0.66666666666666663</v>
      </c>
      <c r="C722" s="21">
        <v>45418.666666666664</v>
      </c>
      <c r="D722" s="8">
        <v>72.400000000000006</v>
      </c>
      <c r="E722" s="8">
        <v>74.099999999999994</v>
      </c>
      <c r="F722" s="8">
        <v>70.8</v>
      </c>
      <c r="G722" s="8" t="s">
        <v>6</v>
      </c>
      <c r="H722" s="8">
        <v>8.9</v>
      </c>
      <c r="I722" s="8">
        <v>8.9</v>
      </c>
      <c r="J722" s="8">
        <v>8.8000000000000007</v>
      </c>
      <c r="K722" s="8" t="s">
        <v>6</v>
      </c>
      <c r="L722" s="8">
        <v>2</v>
      </c>
      <c r="M722" s="125" t="s">
        <v>6</v>
      </c>
    </row>
    <row r="723" spans="1:13" x14ac:dyDescent="0.25">
      <c r="A723" s="79">
        <v>45418</v>
      </c>
      <c r="B723" s="11">
        <v>0.75</v>
      </c>
      <c r="C723" s="22">
        <v>45418.75</v>
      </c>
      <c r="D723" s="12">
        <v>70.3</v>
      </c>
      <c r="E723" s="12">
        <v>70.400000000000006</v>
      </c>
      <c r="F723" s="12">
        <v>70.3</v>
      </c>
      <c r="G723" s="12" t="s">
        <v>6</v>
      </c>
      <c r="H723" s="12">
        <v>7.9</v>
      </c>
      <c r="I723" s="12">
        <v>8</v>
      </c>
      <c r="J723" s="12">
        <v>7.8</v>
      </c>
      <c r="K723" s="12" t="s">
        <v>6</v>
      </c>
      <c r="L723" s="12">
        <v>2</v>
      </c>
      <c r="M723" s="125" t="s">
        <v>6</v>
      </c>
    </row>
    <row r="724" spans="1:13" x14ac:dyDescent="0.25">
      <c r="A724" s="79">
        <v>45418</v>
      </c>
      <c r="B724" s="11">
        <v>0.875</v>
      </c>
      <c r="C724" s="22">
        <v>45418.875</v>
      </c>
      <c r="D724" s="12">
        <v>71.900000000000006</v>
      </c>
      <c r="E724" s="12">
        <v>72.099999999999994</v>
      </c>
      <c r="F724" s="12">
        <v>71.7</v>
      </c>
      <c r="G724" s="12" t="s">
        <v>6</v>
      </c>
      <c r="H724" s="12">
        <v>19.600000000000001</v>
      </c>
      <c r="I724" s="12">
        <v>19.899999999999999</v>
      </c>
      <c r="J724" s="12">
        <v>19.399999999999999</v>
      </c>
      <c r="K724" s="12" t="s">
        <v>6</v>
      </c>
      <c r="L724" s="12">
        <v>2</v>
      </c>
      <c r="M724" s="125" t="s">
        <v>6</v>
      </c>
    </row>
    <row r="725" spans="1:13" x14ac:dyDescent="0.25">
      <c r="A725" s="81">
        <v>45419</v>
      </c>
      <c r="B725" s="15">
        <v>0.33333333333333331</v>
      </c>
      <c r="C725" s="20">
        <v>45419.333333333336</v>
      </c>
      <c r="D725" s="16">
        <v>69.599999999999994</v>
      </c>
      <c r="E725" s="16">
        <v>69.599999999999994</v>
      </c>
      <c r="F725" s="16">
        <v>69.599999999999994</v>
      </c>
      <c r="G725" s="16" t="s">
        <v>6</v>
      </c>
      <c r="H725" s="16">
        <v>8.3000000000000007</v>
      </c>
      <c r="I725" s="16">
        <v>8.3000000000000007</v>
      </c>
      <c r="J725" s="16">
        <v>8.3000000000000007</v>
      </c>
      <c r="K725" s="16" t="s">
        <v>6</v>
      </c>
      <c r="L725" s="16">
        <v>1</v>
      </c>
      <c r="M725" s="125" t="s">
        <v>6</v>
      </c>
    </row>
    <row r="726" spans="1:13" x14ac:dyDescent="0.25">
      <c r="A726" s="118">
        <v>45419</v>
      </c>
      <c r="B726" s="68">
        <v>0.66666666666666663</v>
      </c>
      <c r="C726" s="64">
        <v>45419.666666666664</v>
      </c>
      <c r="D726" s="65">
        <v>74.099999999999994</v>
      </c>
      <c r="E726" s="65">
        <v>74.7</v>
      </c>
      <c r="F726" s="65">
        <v>73.400000000000006</v>
      </c>
      <c r="G726" s="65" t="s">
        <v>6</v>
      </c>
      <c r="H726" s="65">
        <v>7.9</v>
      </c>
      <c r="I726" s="65">
        <v>8.1999999999999993</v>
      </c>
      <c r="J726" s="65">
        <v>7.7</v>
      </c>
      <c r="K726" s="65" t="s">
        <v>6</v>
      </c>
      <c r="L726" s="65">
        <v>2</v>
      </c>
      <c r="M726" s="126" t="s">
        <v>6</v>
      </c>
    </row>
    <row r="727" spans="1:13" x14ac:dyDescent="0.25">
      <c r="A727" s="80">
        <v>45420</v>
      </c>
      <c r="B727" s="7">
        <v>0.91666666666666663</v>
      </c>
      <c r="C727" s="21">
        <v>45420.916666666664</v>
      </c>
      <c r="D727" s="8">
        <v>64.900000000000006</v>
      </c>
      <c r="E727" s="8">
        <v>64.900000000000006</v>
      </c>
      <c r="F727" s="8">
        <v>64.900000000000006</v>
      </c>
      <c r="G727" s="8" t="s">
        <v>6</v>
      </c>
      <c r="H727" s="8">
        <v>14.2</v>
      </c>
      <c r="I727" s="8">
        <v>14.2</v>
      </c>
      <c r="J727" s="8">
        <v>14.2</v>
      </c>
      <c r="K727" s="8" t="s">
        <v>6</v>
      </c>
      <c r="L727" s="8">
        <v>1</v>
      </c>
      <c r="M727" s="127" t="s">
        <v>6</v>
      </c>
    </row>
    <row r="728" spans="1:13" x14ac:dyDescent="0.25">
      <c r="A728" s="79">
        <v>45421</v>
      </c>
      <c r="B728" s="11">
        <v>0.20833333333333334</v>
      </c>
      <c r="C728" s="22">
        <v>45421.208333333336</v>
      </c>
      <c r="D728" s="12">
        <v>62.9</v>
      </c>
      <c r="E728" s="12">
        <v>62.9</v>
      </c>
      <c r="F728" s="12">
        <v>62.9</v>
      </c>
      <c r="G728" s="12" t="s">
        <v>6</v>
      </c>
      <c r="H728" s="12">
        <v>13.2</v>
      </c>
      <c r="I728" s="12">
        <v>13.2</v>
      </c>
      <c r="J728" s="12">
        <v>13.2</v>
      </c>
      <c r="K728" s="12" t="s">
        <v>6</v>
      </c>
      <c r="L728" s="12">
        <v>1</v>
      </c>
      <c r="M728" s="127" t="s">
        <v>6</v>
      </c>
    </row>
    <row r="729" spans="1:13" x14ac:dyDescent="0.25">
      <c r="A729" s="79">
        <v>45421</v>
      </c>
      <c r="B729" s="11">
        <v>0.25</v>
      </c>
      <c r="C729" s="22">
        <v>45421.25</v>
      </c>
      <c r="D729" s="12">
        <v>67.7</v>
      </c>
      <c r="E729" s="12">
        <v>67.7</v>
      </c>
      <c r="F729" s="12">
        <v>67.7</v>
      </c>
      <c r="G729" s="12" t="s">
        <v>6</v>
      </c>
      <c r="H729" s="12">
        <v>14.2</v>
      </c>
      <c r="I729" s="12">
        <v>14.2</v>
      </c>
      <c r="J729" s="12">
        <v>14.2</v>
      </c>
      <c r="K729" s="12" t="s">
        <v>6</v>
      </c>
      <c r="L729" s="12">
        <v>1</v>
      </c>
      <c r="M729" s="127" t="s">
        <v>6</v>
      </c>
    </row>
    <row r="730" spans="1:13" x14ac:dyDescent="0.25">
      <c r="A730" s="81">
        <v>45421</v>
      </c>
      <c r="B730" s="15">
        <v>0.29166666666666669</v>
      </c>
      <c r="C730" s="20">
        <v>45421.291666666664</v>
      </c>
      <c r="D730" s="16">
        <v>72</v>
      </c>
      <c r="E730" s="16">
        <v>72</v>
      </c>
      <c r="F730" s="16">
        <v>72</v>
      </c>
      <c r="G730" s="16" t="s">
        <v>6</v>
      </c>
      <c r="H730" s="16">
        <v>20.2</v>
      </c>
      <c r="I730" s="16">
        <v>20.2</v>
      </c>
      <c r="J730" s="16">
        <v>20.2</v>
      </c>
      <c r="K730" s="16" t="s">
        <v>6</v>
      </c>
      <c r="L730" s="16">
        <v>1</v>
      </c>
      <c r="M730" s="127" t="s">
        <v>6</v>
      </c>
    </row>
    <row r="731" spans="1:13" x14ac:dyDescent="0.25">
      <c r="A731" s="80">
        <v>45421</v>
      </c>
      <c r="B731" s="7">
        <v>0.83333333333333337</v>
      </c>
      <c r="C731" s="21">
        <v>45421.833333333336</v>
      </c>
      <c r="D731" s="8">
        <v>73.900000000000006</v>
      </c>
      <c r="E731" s="8">
        <v>74</v>
      </c>
      <c r="F731" s="8">
        <v>73.7</v>
      </c>
      <c r="G731" s="8" t="s">
        <v>6</v>
      </c>
      <c r="H731" s="8">
        <v>27.8</v>
      </c>
      <c r="I731" s="8">
        <v>28.2</v>
      </c>
      <c r="J731" s="8">
        <v>27.1</v>
      </c>
      <c r="K731" s="8" t="s">
        <v>6</v>
      </c>
      <c r="L731" s="8">
        <v>3</v>
      </c>
      <c r="M731" s="128" t="s">
        <v>6</v>
      </c>
    </row>
    <row r="732" spans="1:13" x14ac:dyDescent="0.25">
      <c r="A732" s="81">
        <v>45421</v>
      </c>
      <c r="B732" s="15">
        <v>0.875</v>
      </c>
      <c r="C732" s="20">
        <v>45421.875</v>
      </c>
      <c r="D732" s="16">
        <v>70.2</v>
      </c>
      <c r="E732" s="16">
        <v>75</v>
      </c>
      <c r="F732" s="16">
        <v>67</v>
      </c>
      <c r="G732" s="16" t="s">
        <v>6</v>
      </c>
      <c r="H732" s="16">
        <v>13.1</v>
      </c>
      <c r="I732" s="16">
        <v>15.1</v>
      </c>
      <c r="J732" s="16">
        <v>12.1</v>
      </c>
      <c r="K732" s="16" t="s">
        <v>6</v>
      </c>
      <c r="L732" s="16">
        <v>28</v>
      </c>
      <c r="M732" s="128" t="s">
        <v>6</v>
      </c>
    </row>
    <row r="733" spans="1:13" x14ac:dyDescent="0.25">
      <c r="A733" s="118">
        <v>45425</v>
      </c>
      <c r="B733" s="68">
        <v>0.83333333333333337</v>
      </c>
      <c r="C733" s="64">
        <v>45425.833333333336</v>
      </c>
      <c r="D733" s="65">
        <v>59.5</v>
      </c>
      <c r="E733" s="65">
        <v>60.2</v>
      </c>
      <c r="F733" s="65">
        <v>58.9</v>
      </c>
      <c r="G733" s="65" t="s">
        <v>6</v>
      </c>
      <c r="H733" s="65">
        <v>8.8000000000000007</v>
      </c>
      <c r="I733" s="65">
        <v>8.8000000000000007</v>
      </c>
      <c r="J733" s="65">
        <v>8.8000000000000007</v>
      </c>
      <c r="K733" s="65" t="s">
        <v>6</v>
      </c>
      <c r="L733" s="65">
        <v>2</v>
      </c>
      <c r="M733" s="129" t="s">
        <v>6</v>
      </c>
    </row>
    <row r="734" spans="1:13" x14ac:dyDescent="0.25">
      <c r="A734" s="118">
        <v>45430</v>
      </c>
      <c r="B734" s="68">
        <v>0.75</v>
      </c>
      <c r="C734" s="64">
        <v>45430.75</v>
      </c>
      <c r="D734" s="65">
        <v>65</v>
      </c>
      <c r="E734" s="65">
        <v>65.599999999999994</v>
      </c>
      <c r="F734" s="65">
        <v>64.400000000000006</v>
      </c>
      <c r="G734" s="65" t="s">
        <v>6</v>
      </c>
      <c r="H734" s="65">
        <v>8.3000000000000007</v>
      </c>
      <c r="I734" s="65">
        <v>8.6</v>
      </c>
      <c r="J734" s="65">
        <v>8</v>
      </c>
      <c r="K734" s="65" t="s">
        <v>6</v>
      </c>
      <c r="L734" s="65">
        <v>2</v>
      </c>
      <c r="M734" s="130" t="s">
        <v>6</v>
      </c>
    </row>
    <row r="735" spans="1:13" x14ac:dyDescent="0.25">
      <c r="A735" s="118">
        <v>45432</v>
      </c>
      <c r="B735" s="68">
        <v>0.75</v>
      </c>
      <c r="C735" s="64">
        <v>45432.75</v>
      </c>
      <c r="D735" s="65">
        <v>55.5</v>
      </c>
      <c r="E735" s="65">
        <v>55.5</v>
      </c>
      <c r="F735" s="65">
        <v>55.5</v>
      </c>
      <c r="G735" s="65" t="s">
        <v>6</v>
      </c>
      <c r="H735" s="65">
        <v>8.9</v>
      </c>
      <c r="I735" s="65">
        <v>9</v>
      </c>
      <c r="J735" s="65">
        <v>8.9</v>
      </c>
      <c r="K735" s="65" t="s">
        <v>6</v>
      </c>
      <c r="L735" s="65">
        <v>2</v>
      </c>
      <c r="M735" s="131" t="s">
        <v>6</v>
      </c>
    </row>
    <row r="736" spans="1:13" x14ac:dyDescent="0.25">
      <c r="A736" s="80">
        <v>45434</v>
      </c>
      <c r="B736" s="7">
        <v>0.875</v>
      </c>
      <c r="C736" s="21">
        <v>45434.875</v>
      </c>
      <c r="D736" s="8">
        <v>54.5</v>
      </c>
      <c r="E736" s="8">
        <v>69.7</v>
      </c>
      <c r="F736" s="8">
        <v>47.7</v>
      </c>
      <c r="G736" s="8" t="s">
        <v>6</v>
      </c>
      <c r="H736" s="8">
        <v>22.1</v>
      </c>
      <c r="I736" s="8">
        <v>25</v>
      </c>
      <c r="J736" s="8">
        <v>14.9</v>
      </c>
      <c r="K736" s="8" t="s">
        <v>6</v>
      </c>
      <c r="L736" s="8">
        <v>64</v>
      </c>
      <c r="M736" s="132" t="s">
        <v>6</v>
      </c>
    </row>
    <row r="737" spans="1:13" x14ac:dyDescent="0.25">
      <c r="A737" s="79">
        <v>45434</v>
      </c>
      <c r="B737" s="11">
        <v>0.91666666666666663</v>
      </c>
      <c r="C737" s="22">
        <v>45434.916666666664</v>
      </c>
      <c r="D737" s="12">
        <v>64.5</v>
      </c>
      <c r="E737" s="12">
        <v>74.599999999999994</v>
      </c>
      <c r="F737" s="12">
        <v>49.7</v>
      </c>
      <c r="G737" s="12" t="s">
        <v>6</v>
      </c>
      <c r="H737" s="12">
        <v>19.899999999999999</v>
      </c>
      <c r="I737" s="12">
        <v>25</v>
      </c>
      <c r="J737" s="12">
        <v>15.7</v>
      </c>
      <c r="K737" s="12" t="s">
        <v>6</v>
      </c>
      <c r="L737" s="12">
        <v>222</v>
      </c>
      <c r="M737" s="132" t="s">
        <v>6</v>
      </c>
    </row>
    <row r="738" spans="1:13" x14ac:dyDescent="0.25">
      <c r="A738" s="79">
        <v>45434</v>
      </c>
      <c r="B738" s="11">
        <v>0.95833333333333337</v>
      </c>
      <c r="C738" s="22">
        <v>45434.958333333336</v>
      </c>
      <c r="D738" s="12">
        <v>67.400000000000006</v>
      </c>
      <c r="E738" s="12">
        <v>74.400000000000006</v>
      </c>
      <c r="F738" s="12">
        <v>57</v>
      </c>
      <c r="G738" s="12" t="s">
        <v>6</v>
      </c>
      <c r="H738" s="12">
        <v>18.399999999999999</v>
      </c>
      <c r="I738" s="12">
        <v>21.2</v>
      </c>
      <c r="J738" s="12">
        <v>15</v>
      </c>
      <c r="K738" s="12" t="s">
        <v>6</v>
      </c>
      <c r="L738" s="12">
        <v>227</v>
      </c>
      <c r="M738" s="132" t="s">
        <v>6</v>
      </c>
    </row>
    <row r="739" spans="1:13" x14ac:dyDescent="0.25">
      <c r="A739" s="79">
        <v>45435</v>
      </c>
      <c r="B739" s="11">
        <v>0</v>
      </c>
      <c r="C739" s="22">
        <v>45435</v>
      </c>
      <c r="D739" s="12">
        <v>65.900000000000006</v>
      </c>
      <c r="E739" s="12">
        <v>71.2</v>
      </c>
      <c r="F739" s="12">
        <v>60.1</v>
      </c>
      <c r="G739" s="12" t="s">
        <v>6</v>
      </c>
      <c r="H739" s="12">
        <v>18.600000000000001</v>
      </c>
      <c r="I739" s="12">
        <v>33.200000000000003</v>
      </c>
      <c r="J739" s="12">
        <v>14.9</v>
      </c>
      <c r="K739" s="12" t="s">
        <v>6</v>
      </c>
      <c r="L739" s="12">
        <v>226</v>
      </c>
      <c r="M739" s="132" t="s">
        <v>6</v>
      </c>
    </row>
    <row r="740" spans="1:13" x14ac:dyDescent="0.25">
      <c r="A740" s="79">
        <v>45435</v>
      </c>
      <c r="B740" s="11">
        <v>4.1666666666666664E-2</v>
      </c>
      <c r="C740" s="22">
        <v>45435.041666666664</v>
      </c>
      <c r="D740" s="12">
        <v>63.1</v>
      </c>
      <c r="E740" s="12">
        <v>70.7</v>
      </c>
      <c r="F740" s="12">
        <v>51.5</v>
      </c>
      <c r="G740" s="12" t="s">
        <v>6</v>
      </c>
      <c r="H740" s="12">
        <v>19.2</v>
      </c>
      <c r="I740" s="12">
        <v>23.4</v>
      </c>
      <c r="J740" s="12">
        <v>15.9</v>
      </c>
      <c r="K740" s="12" t="s">
        <v>6</v>
      </c>
      <c r="L740" s="12">
        <v>189</v>
      </c>
      <c r="M740" s="132" t="s">
        <v>6</v>
      </c>
    </row>
    <row r="741" spans="1:13" x14ac:dyDescent="0.25">
      <c r="A741" s="79">
        <v>45435</v>
      </c>
      <c r="B741" s="11">
        <v>8.3333333333333329E-2</v>
      </c>
      <c r="C741" s="22">
        <v>45435.083333333336</v>
      </c>
      <c r="D741" s="12">
        <v>67.099999999999994</v>
      </c>
      <c r="E741" s="12">
        <v>73.8</v>
      </c>
      <c r="F741" s="12">
        <v>58.8</v>
      </c>
      <c r="G741" s="12" t="s">
        <v>6</v>
      </c>
      <c r="H741" s="12">
        <v>18.600000000000001</v>
      </c>
      <c r="I741" s="12">
        <v>21.6</v>
      </c>
      <c r="J741" s="12">
        <v>16.5</v>
      </c>
      <c r="K741" s="12" t="s">
        <v>6</v>
      </c>
      <c r="L741" s="12">
        <v>228</v>
      </c>
      <c r="M741" s="132" t="s">
        <v>6</v>
      </c>
    </row>
    <row r="742" spans="1:13" x14ac:dyDescent="0.25">
      <c r="A742" s="79">
        <v>45435</v>
      </c>
      <c r="B742" s="11">
        <v>0.125</v>
      </c>
      <c r="C742" s="22">
        <v>45435.125</v>
      </c>
      <c r="D742" s="12">
        <v>66.7</v>
      </c>
      <c r="E742" s="12">
        <v>70.8</v>
      </c>
      <c r="F742" s="12">
        <v>58.8</v>
      </c>
      <c r="G742" s="12" t="s">
        <v>6</v>
      </c>
      <c r="H742" s="12">
        <v>18.899999999999999</v>
      </c>
      <c r="I742" s="12">
        <v>32.700000000000003</v>
      </c>
      <c r="J742" s="12">
        <v>16.3</v>
      </c>
      <c r="K742" s="12" t="s">
        <v>6</v>
      </c>
      <c r="L742" s="12">
        <v>221</v>
      </c>
      <c r="M742" s="132" t="s">
        <v>6</v>
      </c>
    </row>
    <row r="743" spans="1:13" x14ac:dyDescent="0.25">
      <c r="A743" s="79">
        <v>45435</v>
      </c>
      <c r="B743" s="11">
        <v>0.16666666666666666</v>
      </c>
      <c r="C743" s="22">
        <v>45435.166666666664</v>
      </c>
      <c r="D743" s="12">
        <v>67.900000000000006</v>
      </c>
      <c r="E743" s="12">
        <v>73</v>
      </c>
      <c r="F743" s="12">
        <v>61.9</v>
      </c>
      <c r="G743" s="12" t="s">
        <v>6</v>
      </c>
      <c r="H743" s="12">
        <v>18.399999999999999</v>
      </c>
      <c r="I743" s="12">
        <v>21.4</v>
      </c>
      <c r="J743" s="12">
        <v>15.9</v>
      </c>
      <c r="K743" s="12" t="s">
        <v>6</v>
      </c>
      <c r="L743" s="12">
        <v>224</v>
      </c>
      <c r="M743" s="132" t="s">
        <v>6</v>
      </c>
    </row>
    <row r="744" spans="1:13" x14ac:dyDescent="0.25">
      <c r="A744" s="79">
        <v>45435</v>
      </c>
      <c r="B744" s="11">
        <v>0.20833333333333334</v>
      </c>
      <c r="C744" s="22">
        <v>45435.208333333336</v>
      </c>
      <c r="D744" s="12">
        <v>66.599999999999994</v>
      </c>
      <c r="E744" s="12">
        <v>70.599999999999994</v>
      </c>
      <c r="F744" s="12">
        <v>61.7</v>
      </c>
      <c r="G744" s="12" t="s">
        <v>6</v>
      </c>
      <c r="H744" s="12">
        <v>18.5</v>
      </c>
      <c r="I744" s="12">
        <v>25</v>
      </c>
      <c r="J744" s="12">
        <v>16</v>
      </c>
      <c r="K744" s="12" t="s">
        <v>6</v>
      </c>
      <c r="L744" s="12">
        <v>229</v>
      </c>
      <c r="M744" s="132" t="s">
        <v>6</v>
      </c>
    </row>
    <row r="745" spans="1:13" x14ac:dyDescent="0.25">
      <c r="A745" s="79">
        <v>45435</v>
      </c>
      <c r="B745" s="11">
        <v>0.25</v>
      </c>
      <c r="C745" s="22">
        <v>45435.25</v>
      </c>
      <c r="D745" s="12">
        <v>65.400000000000006</v>
      </c>
      <c r="E745" s="12">
        <v>71</v>
      </c>
      <c r="F745" s="12">
        <v>58.6</v>
      </c>
      <c r="G745" s="12" t="s">
        <v>6</v>
      </c>
      <c r="H745" s="12">
        <v>20.100000000000001</v>
      </c>
      <c r="I745" s="12">
        <v>36.700000000000003</v>
      </c>
      <c r="J745" s="12">
        <v>15.1</v>
      </c>
      <c r="K745" s="12" t="s">
        <v>6</v>
      </c>
      <c r="L745" s="12">
        <v>220</v>
      </c>
      <c r="M745" s="132" t="s">
        <v>6</v>
      </c>
    </row>
    <row r="746" spans="1:13" x14ac:dyDescent="0.25">
      <c r="A746" s="81">
        <v>45435</v>
      </c>
      <c r="B746" s="15">
        <v>0.29166666666666669</v>
      </c>
      <c r="C746" s="20">
        <v>45435.291666666664</v>
      </c>
      <c r="D746" s="16">
        <v>62.8</v>
      </c>
      <c r="E746" s="16">
        <v>65.099999999999994</v>
      </c>
      <c r="F746" s="16">
        <v>60.4</v>
      </c>
      <c r="G746" s="16" t="s">
        <v>6</v>
      </c>
      <c r="H746" s="16">
        <v>19.399999999999999</v>
      </c>
      <c r="I746" s="16">
        <v>21.3</v>
      </c>
      <c r="J746" s="16">
        <v>17</v>
      </c>
      <c r="K746" s="16" t="s">
        <v>6</v>
      </c>
      <c r="L746" s="16">
        <v>34</v>
      </c>
      <c r="M746" s="132" t="s">
        <v>6</v>
      </c>
    </row>
    <row r="747" spans="1:13" x14ac:dyDescent="0.25">
      <c r="A747" s="80">
        <v>45435</v>
      </c>
      <c r="B747" s="7">
        <v>0.91666666666666663</v>
      </c>
      <c r="C747" s="21">
        <v>45435.916666666664</v>
      </c>
      <c r="D747" s="8">
        <v>59.8</v>
      </c>
      <c r="E747" s="8">
        <v>66.099999999999994</v>
      </c>
      <c r="F747" s="8">
        <v>49.9</v>
      </c>
      <c r="G747" s="8" t="s">
        <v>6</v>
      </c>
      <c r="H747" s="8">
        <v>20.8</v>
      </c>
      <c r="I747" s="8">
        <v>23.7</v>
      </c>
      <c r="J747" s="8">
        <v>18.3</v>
      </c>
      <c r="K747" s="8" t="s">
        <v>6</v>
      </c>
      <c r="L747" s="8">
        <v>43</v>
      </c>
      <c r="M747" s="133" t="s">
        <v>6</v>
      </c>
    </row>
    <row r="748" spans="1:13" x14ac:dyDescent="0.25">
      <c r="A748" s="79">
        <v>45435</v>
      </c>
      <c r="B748" s="11">
        <v>0.95833333333333337</v>
      </c>
      <c r="C748" s="22">
        <v>45435.958333333336</v>
      </c>
      <c r="D748" s="12">
        <v>55.4</v>
      </c>
      <c r="E748" s="12">
        <v>61.3</v>
      </c>
      <c r="F748" s="12">
        <v>48</v>
      </c>
      <c r="G748" s="12" t="s">
        <v>6</v>
      </c>
      <c r="H748" s="12">
        <v>18.3</v>
      </c>
      <c r="I748" s="12">
        <v>25.1</v>
      </c>
      <c r="J748" s="12">
        <v>14.8</v>
      </c>
      <c r="K748" s="12" t="s">
        <v>6</v>
      </c>
      <c r="L748" s="12">
        <v>231</v>
      </c>
      <c r="M748" s="133" t="s">
        <v>6</v>
      </c>
    </row>
    <row r="749" spans="1:13" x14ac:dyDescent="0.25">
      <c r="A749" s="79">
        <v>45436</v>
      </c>
      <c r="B749" s="11">
        <v>0</v>
      </c>
      <c r="C749" s="22">
        <v>45436</v>
      </c>
      <c r="D749" s="12">
        <v>60.3</v>
      </c>
      <c r="E749" s="12">
        <v>67.599999999999994</v>
      </c>
      <c r="F749" s="12">
        <v>54.1</v>
      </c>
      <c r="G749" s="12" t="s">
        <v>6</v>
      </c>
      <c r="H749" s="12">
        <v>18.100000000000001</v>
      </c>
      <c r="I749" s="12">
        <v>22.4</v>
      </c>
      <c r="J749" s="12">
        <v>16.3</v>
      </c>
      <c r="K749" s="12" t="s">
        <v>6</v>
      </c>
      <c r="L749" s="12">
        <v>223</v>
      </c>
      <c r="M749" s="133" t="s">
        <v>6</v>
      </c>
    </row>
    <row r="750" spans="1:13" x14ac:dyDescent="0.25">
      <c r="A750" s="79">
        <v>45436</v>
      </c>
      <c r="B750" s="11">
        <v>4.1666666666666664E-2</v>
      </c>
      <c r="C750" s="22">
        <v>45436.041666666664</v>
      </c>
      <c r="D750" s="12">
        <v>58.8</v>
      </c>
      <c r="E750" s="12">
        <v>65.099999999999994</v>
      </c>
      <c r="F750" s="12">
        <v>53.8</v>
      </c>
      <c r="G750" s="12" t="s">
        <v>6</v>
      </c>
      <c r="H750" s="12">
        <v>17.2</v>
      </c>
      <c r="I750" s="12">
        <v>21.1</v>
      </c>
      <c r="J750" s="12">
        <v>15.2</v>
      </c>
      <c r="K750" s="12" t="s">
        <v>6</v>
      </c>
      <c r="L750" s="12">
        <v>231</v>
      </c>
      <c r="M750" s="133" t="s">
        <v>6</v>
      </c>
    </row>
    <row r="751" spans="1:13" x14ac:dyDescent="0.25">
      <c r="A751" s="79">
        <v>45436</v>
      </c>
      <c r="B751" s="11">
        <v>8.3333333333333329E-2</v>
      </c>
      <c r="C751" s="22">
        <v>45436.083333333336</v>
      </c>
      <c r="D751" s="12">
        <v>60</v>
      </c>
      <c r="E751" s="12">
        <v>65.099999999999994</v>
      </c>
      <c r="F751" s="12">
        <v>55.8</v>
      </c>
      <c r="G751" s="12" t="s">
        <v>6</v>
      </c>
      <c r="H751" s="12">
        <v>17.8</v>
      </c>
      <c r="I751" s="12">
        <v>20.399999999999999</v>
      </c>
      <c r="J751" s="12">
        <v>15.4</v>
      </c>
      <c r="K751" s="12" t="s">
        <v>6</v>
      </c>
      <c r="L751" s="12">
        <v>230</v>
      </c>
      <c r="M751" s="133" t="s">
        <v>6</v>
      </c>
    </row>
    <row r="752" spans="1:13" x14ac:dyDescent="0.25">
      <c r="A752" s="79">
        <v>45436</v>
      </c>
      <c r="B752" s="11">
        <v>0.125</v>
      </c>
      <c r="C752" s="22">
        <v>45436.125</v>
      </c>
      <c r="D752" s="12">
        <v>59.9</v>
      </c>
      <c r="E752" s="12">
        <v>67.400000000000006</v>
      </c>
      <c r="F752" s="12">
        <v>55.3</v>
      </c>
      <c r="G752" s="12" t="s">
        <v>6</v>
      </c>
      <c r="H752" s="12">
        <v>18</v>
      </c>
      <c r="I752" s="12">
        <v>20</v>
      </c>
      <c r="J752" s="12">
        <v>15.8</v>
      </c>
      <c r="K752" s="12" t="s">
        <v>6</v>
      </c>
      <c r="L752" s="12">
        <v>230</v>
      </c>
      <c r="M752" s="133" t="s">
        <v>6</v>
      </c>
    </row>
    <row r="753" spans="1:13" x14ac:dyDescent="0.25">
      <c r="A753" s="79">
        <v>45436</v>
      </c>
      <c r="B753" s="11">
        <v>0.16666666666666666</v>
      </c>
      <c r="C753" s="22">
        <v>45436.166666666664</v>
      </c>
      <c r="D753" s="12">
        <v>60.7</v>
      </c>
      <c r="E753" s="12">
        <v>65.5</v>
      </c>
      <c r="F753" s="12">
        <v>55</v>
      </c>
      <c r="G753" s="12" t="s">
        <v>6</v>
      </c>
      <c r="H753" s="12">
        <v>18</v>
      </c>
      <c r="I753" s="12">
        <v>20.100000000000001</v>
      </c>
      <c r="J753" s="12">
        <v>15.9</v>
      </c>
      <c r="K753" s="12" t="s">
        <v>6</v>
      </c>
      <c r="L753" s="12">
        <v>228</v>
      </c>
      <c r="M753" s="133" t="s">
        <v>6</v>
      </c>
    </row>
    <row r="754" spans="1:13" x14ac:dyDescent="0.25">
      <c r="A754" s="79">
        <v>45436</v>
      </c>
      <c r="B754" s="11">
        <v>0.20833333333333334</v>
      </c>
      <c r="C754" s="22">
        <v>45436.208333333336</v>
      </c>
      <c r="D754" s="12">
        <v>63.4</v>
      </c>
      <c r="E754" s="12">
        <v>70.8</v>
      </c>
      <c r="F754" s="12">
        <v>57.9</v>
      </c>
      <c r="G754" s="12" t="s">
        <v>6</v>
      </c>
      <c r="H754" s="12">
        <v>18.399999999999999</v>
      </c>
      <c r="I754" s="12">
        <v>36.200000000000003</v>
      </c>
      <c r="J754" s="12">
        <v>15.4</v>
      </c>
      <c r="K754" s="12" t="s">
        <v>6</v>
      </c>
      <c r="L754" s="12">
        <v>231</v>
      </c>
      <c r="M754" s="133" t="s">
        <v>6</v>
      </c>
    </row>
    <row r="755" spans="1:13" x14ac:dyDescent="0.25">
      <c r="A755" s="79">
        <v>45436</v>
      </c>
      <c r="B755" s="11">
        <v>0.25</v>
      </c>
      <c r="C755" s="22">
        <v>45436.25</v>
      </c>
      <c r="D755" s="12">
        <v>59.5</v>
      </c>
      <c r="E755" s="12">
        <v>65.5</v>
      </c>
      <c r="F755" s="12">
        <v>54.2</v>
      </c>
      <c r="G755" s="12" t="s">
        <v>6</v>
      </c>
      <c r="H755" s="12">
        <v>18.2</v>
      </c>
      <c r="I755" s="12">
        <v>28.8</v>
      </c>
      <c r="J755" s="12">
        <v>16</v>
      </c>
      <c r="K755" s="12" t="s">
        <v>6</v>
      </c>
      <c r="L755" s="12">
        <v>231</v>
      </c>
      <c r="M755" s="133" t="s">
        <v>6</v>
      </c>
    </row>
    <row r="756" spans="1:13" x14ac:dyDescent="0.25">
      <c r="A756" s="81">
        <v>45436</v>
      </c>
      <c r="B756" s="15">
        <v>0.29166666666666669</v>
      </c>
      <c r="C756" s="20">
        <v>45436.291666666664</v>
      </c>
      <c r="D756" s="16">
        <v>57.3</v>
      </c>
      <c r="E756" s="16">
        <v>61</v>
      </c>
      <c r="F756" s="16">
        <v>54</v>
      </c>
      <c r="G756" s="16" t="s">
        <v>6</v>
      </c>
      <c r="H756" s="16">
        <v>17.899999999999999</v>
      </c>
      <c r="I756" s="16">
        <v>22.1</v>
      </c>
      <c r="J756" s="16">
        <v>14.1</v>
      </c>
      <c r="K756" s="16" t="s">
        <v>6</v>
      </c>
      <c r="L756" s="16">
        <v>153</v>
      </c>
      <c r="M756" s="133" t="s">
        <v>6</v>
      </c>
    </row>
    <row r="757" spans="1:13" x14ac:dyDescent="0.25">
      <c r="A757" s="80">
        <v>45436</v>
      </c>
      <c r="B757" s="7">
        <v>0.91666666666666663</v>
      </c>
      <c r="C757" s="21">
        <v>45436.916666666664</v>
      </c>
      <c r="D757" s="8">
        <v>62</v>
      </c>
      <c r="E757" s="8">
        <v>66</v>
      </c>
      <c r="F757" s="8">
        <v>53.4</v>
      </c>
      <c r="G757" s="8" t="s">
        <v>6</v>
      </c>
      <c r="H757" s="8">
        <v>22.1</v>
      </c>
      <c r="I757" s="8">
        <v>27.9</v>
      </c>
      <c r="J757" s="8">
        <v>18.7</v>
      </c>
      <c r="K757" s="8" t="s">
        <v>6</v>
      </c>
      <c r="L757" s="8">
        <v>118</v>
      </c>
      <c r="M757" s="134" t="s">
        <v>6</v>
      </c>
    </row>
    <row r="758" spans="1:13" x14ac:dyDescent="0.25">
      <c r="A758" s="79">
        <v>45436</v>
      </c>
      <c r="B758" s="11">
        <v>0.95833333333333337</v>
      </c>
      <c r="C758" s="22">
        <v>45436.958333333336</v>
      </c>
      <c r="D758" s="12">
        <v>64.099999999999994</v>
      </c>
      <c r="E758" s="12">
        <v>69</v>
      </c>
      <c r="F758" s="12">
        <v>56</v>
      </c>
      <c r="G758" s="12" t="s">
        <v>6</v>
      </c>
      <c r="H758" s="12">
        <v>19.399999999999999</v>
      </c>
      <c r="I758" s="12">
        <v>23.6</v>
      </c>
      <c r="J758" s="12">
        <v>16</v>
      </c>
      <c r="K758" s="12" t="s">
        <v>6</v>
      </c>
      <c r="L758" s="12">
        <v>228</v>
      </c>
      <c r="M758" s="134" t="s">
        <v>6</v>
      </c>
    </row>
    <row r="759" spans="1:13" x14ac:dyDescent="0.25">
      <c r="A759" s="79">
        <v>45437</v>
      </c>
      <c r="B759" s="11">
        <v>0</v>
      </c>
      <c r="C759" s="22">
        <v>45437</v>
      </c>
      <c r="D759" s="12">
        <v>63.3</v>
      </c>
      <c r="E759" s="12">
        <v>70.7</v>
      </c>
      <c r="F759" s="12">
        <v>55.9</v>
      </c>
      <c r="G759" s="12" t="s">
        <v>6</v>
      </c>
      <c r="H759" s="12">
        <v>19.2</v>
      </c>
      <c r="I759" s="12">
        <v>25.2</v>
      </c>
      <c r="J759" s="12">
        <v>16.5</v>
      </c>
      <c r="K759" s="12" t="s">
        <v>6</v>
      </c>
      <c r="L759" s="12">
        <v>229</v>
      </c>
      <c r="M759" s="134" t="s">
        <v>6</v>
      </c>
    </row>
    <row r="760" spans="1:13" x14ac:dyDescent="0.25">
      <c r="A760" s="81">
        <v>45437</v>
      </c>
      <c r="B760" s="15">
        <v>4.1666666666666664E-2</v>
      </c>
      <c r="C760" s="20">
        <v>45437.041666666664</v>
      </c>
      <c r="D760" s="16">
        <v>64.3</v>
      </c>
      <c r="E760" s="16">
        <v>69.3</v>
      </c>
      <c r="F760" s="16">
        <v>56.1</v>
      </c>
      <c r="G760" s="16" t="s">
        <v>6</v>
      </c>
      <c r="H760" s="16">
        <v>19.600000000000001</v>
      </c>
      <c r="I760" s="16">
        <v>23.8</v>
      </c>
      <c r="J760" s="16">
        <v>16.7</v>
      </c>
      <c r="K760" s="16" t="s">
        <v>6</v>
      </c>
      <c r="L760" s="16">
        <v>197</v>
      </c>
      <c r="M760" s="134" t="s">
        <v>6</v>
      </c>
    </row>
    <row r="761" spans="1:13" x14ac:dyDescent="0.25">
      <c r="A761" s="80">
        <v>45437</v>
      </c>
      <c r="B761" s="7">
        <v>0.70833333333333337</v>
      </c>
      <c r="C761" s="21">
        <v>45437.708333333336</v>
      </c>
      <c r="D761" s="8">
        <v>65.2</v>
      </c>
      <c r="E761" s="8">
        <v>65.2</v>
      </c>
      <c r="F761" s="8">
        <v>65.2</v>
      </c>
      <c r="G761" s="8" t="s">
        <v>6</v>
      </c>
      <c r="H761" s="8">
        <v>8</v>
      </c>
      <c r="I761" s="8">
        <v>8</v>
      </c>
      <c r="J761" s="8">
        <v>8</v>
      </c>
      <c r="K761" s="8" t="s">
        <v>6</v>
      </c>
      <c r="L761" s="8">
        <v>1</v>
      </c>
      <c r="M761" s="134" t="s">
        <v>6</v>
      </c>
    </row>
    <row r="762" spans="1:13" x14ac:dyDescent="0.25">
      <c r="A762" s="79">
        <v>45437</v>
      </c>
      <c r="B762" s="11">
        <v>0.875</v>
      </c>
      <c r="C762" s="22">
        <v>45437.875</v>
      </c>
      <c r="D762" s="12">
        <v>65.2</v>
      </c>
      <c r="E762" s="12">
        <v>70.400000000000006</v>
      </c>
      <c r="F762" s="12">
        <v>55.7</v>
      </c>
      <c r="G762" s="12" t="s">
        <v>6</v>
      </c>
      <c r="H762" s="12">
        <v>22.8</v>
      </c>
      <c r="I762" s="12">
        <v>27.5</v>
      </c>
      <c r="J762" s="12">
        <v>19.899999999999999</v>
      </c>
      <c r="K762" s="12" t="s">
        <v>6</v>
      </c>
      <c r="L762" s="12">
        <v>52</v>
      </c>
      <c r="M762" s="134" t="s">
        <v>6</v>
      </c>
    </row>
    <row r="763" spans="1:13" x14ac:dyDescent="0.25">
      <c r="A763" s="79">
        <v>45437</v>
      </c>
      <c r="B763" s="11">
        <v>0.91666666666666663</v>
      </c>
      <c r="C763" s="22">
        <v>45437.916666666664</v>
      </c>
      <c r="D763" s="12">
        <v>65.900000000000006</v>
      </c>
      <c r="E763" s="12">
        <v>71</v>
      </c>
      <c r="F763" s="12">
        <v>58.7</v>
      </c>
      <c r="G763" s="12" t="s">
        <v>6</v>
      </c>
      <c r="H763" s="12">
        <v>19.899999999999999</v>
      </c>
      <c r="I763" s="12">
        <v>24.5</v>
      </c>
      <c r="J763" s="12">
        <v>17</v>
      </c>
      <c r="K763" s="12" t="s">
        <v>6</v>
      </c>
      <c r="L763" s="12">
        <v>220</v>
      </c>
      <c r="M763" s="134" t="s">
        <v>6</v>
      </c>
    </row>
    <row r="764" spans="1:13" x14ac:dyDescent="0.25">
      <c r="A764" s="79">
        <v>45437</v>
      </c>
      <c r="B764" s="11">
        <v>0.95833333333333337</v>
      </c>
      <c r="C764" s="22">
        <v>45437.958333333336</v>
      </c>
      <c r="D764" s="12">
        <v>60.2</v>
      </c>
      <c r="E764" s="12">
        <v>67.099999999999994</v>
      </c>
      <c r="F764" s="12">
        <v>50.8</v>
      </c>
      <c r="G764" s="12" t="s">
        <v>6</v>
      </c>
      <c r="H764" s="12">
        <v>19.600000000000001</v>
      </c>
      <c r="I764" s="12">
        <v>26.1</v>
      </c>
      <c r="J764" s="12">
        <v>16.3</v>
      </c>
      <c r="K764" s="12" t="s">
        <v>6</v>
      </c>
      <c r="L764" s="12">
        <v>208</v>
      </c>
      <c r="M764" s="134" t="s">
        <v>6</v>
      </c>
    </row>
    <row r="765" spans="1:13" x14ac:dyDescent="0.25">
      <c r="A765" s="79">
        <v>45438</v>
      </c>
      <c r="B765" s="11">
        <v>0</v>
      </c>
      <c r="C765" s="22">
        <v>45438</v>
      </c>
      <c r="D765" s="12">
        <v>58.5</v>
      </c>
      <c r="E765" s="12">
        <v>65.599999999999994</v>
      </c>
      <c r="F765" s="12">
        <v>48.9</v>
      </c>
      <c r="G765" s="12" t="s">
        <v>6</v>
      </c>
      <c r="H765" s="12">
        <v>20.399999999999999</v>
      </c>
      <c r="I765" s="12">
        <v>28.4</v>
      </c>
      <c r="J765" s="12">
        <v>16.399999999999999</v>
      </c>
      <c r="K765" s="12" t="s">
        <v>6</v>
      </c>
      <c r="L765" s="12">
        <v>228</v>
      </c>
      <c r="M765" s="134" t="s">
        <v>6</v>
      </c>
    </row>
    <row r="766" spans="1:13" x14ac:dyDescent="0.25">
      <c r="A766" s="79">
        <v>45438</v>
      </c>
      <c r="B766" s="11">
        <v>4.1666666666666664E-2</v>
      </c>
      <c r="C766" s="22">
        <v>45438.041666666664</v>
      </c>
      <c r="D766" s="12">
        <v>62.1</v>
      </c>
      <c r="E766" s="12">
        <v>66.400000000000006</v>
      </c>
      <c r="F766" s="12">
        <v>57.3</v>
      </c>
      <c r="G766" s="12" t="s">
        <v>6</v>
      </c>
      <c r="H766" s="12">
        <v>17.7</v>
      </c>
      <c r="I766" s="12">
        <v>23.2</v>
      </c>
      <c r="J766" s="12">
        <v>15.6</v>
      </c>
      <c r="K766" s="12" t="s">
        <v>6</v>
      </c>
      <c r="L766" s="12">
        <v>230</v>
      </c>
      <c r="M766" s="134" t="s">
        <v>6</v>
      </c>
    </row>
    <row r="767" spans="1:13" x14ac:dyDescent="0.25">
      <c r="A767" s="79">
        <v>45438</v>
      </c>
      <c r="B767" s="11">
        <v>8.3333333333333329E-2</v>
      </c>
      <c r="C767" s="22">
        <v>45438.083333333336</v>
      </c>
      <c r="D767" s="12">
        <v>62</v>
      </c>
      <c r="E767" s="12">
        <v>67.099999999999994</v>
      </c>
      <c r="F767" s="12">
        <v>53.9</v>
      </c>
      <c r="G767" s="12" t="s">
        <v>6</v>
      </c>
      <c r="H767" s="12">
        <v>17.399999999999999</v>
      </c>
      <c r="I767" s="12">
        <v>19.100000000000001</v>
      </c>
      <c r="J767" s="12">
        <v>15.2</v>
      </c>
      <c r="K767" s="12" t="s">
        <v>6</v>
      </c>
      <c r="L767" s="12">
        <v>230</v>
      </c>
      <c r="M767" s="134" t="s">
        <v>6</v>
      </c>
    </row>
    <row r="768" spans="1:13" x14ac:dyDescent="0.25">
      <c r="A768" s="79">
        <v>45438</v>
      </c>
      <c r="B768" s="11">
        <v>0.125</v>
      </c>
      <c r="C768" s="22">
        <v>45438.125</v>
      </c>
      <c r="D768" s="12">
        <v>63.1</v>
      </c>
      <c r="E768" s="12">
        <v>69.599999999999994</v>
      </c>
      <c r="F768" s="12">
        <v>55.4</v>
      </c>
      <c r="G768" s="12" t="s">
        <v>6</v>
      </c>
      <c r="H768" s="12">
        <v>17.600000000000001</v>
      </c>
      <c r="I768" s="12">
        <v>20.100000000000001</v>
      </c>
      <c r="J768" s="12">
        <v>14.6</v>
      </c>
      <c r="K768" s="12" t="s">
        <v>6</v>
      </c>
      <c r="L768" s="12">
        <v>229</v>
      </c>
      <c r="M768" s="134" t="s">
        <v>6</v>
      </c>
    </row>
    <row r="769" spans="1:13" x14ac:dyDescent="0.25">
      <c r="A769" s="79">
        <v>45438</v>
      </c>
      <c r="B769" s="11">
        <v>0.16666666666666666</v>
      </c>
      <c r="C769" s="22">
        <v>45438.166666666664</v>
      </c>
      <c r="D769" s="12">
        <v>60.3</v>
      </c>
      <c r="E769" s="12">
        <v>65.7</v>
      </c>
      <c r="F769" s="12">
        <v>53.8</v>
      </c>
      <c r="G769" s="12" t="s">
        <v>6</v>
      </c>
      <c r="H769" s="12">
        <v>18.899999999999999</v>
      </c>
      <c r="I769" s="12">
        <v>31.9</v>
      </c>
      <c r="J769" s="12">
        <v>16.5</v>
      </c>
      <c r="K769" s="12" t="s">
        <v>6</v>
      </c>
      <c r="L769" s="12">
        <v>222</v>
      </c>
      <c r="M769" s="134" t="s">
        <v>6</v>
      </c>
    </row>
    <row r="770" spans="1:13" x14ac:dyDescent="0.25">
      <c r="A770" s="79">
        <v>45438</v>
      </c>
      <c r="B770" s="11">
        <v>0.20833333333333334</v>
      </c>
      <c r="C770" s="22">
        <v>45438.208333333336</v>
      </c>
      <c r="D770" s="12">
        <v>62.2</v>
      </c>
      <c r="E770" s="12">
        <v>66.5</v>
      </c>
      <c r="F770" s="12">
        <v>55.2</v>
      </c>
      <c r="G770" s="12" t="s">
        <v>6</v>
      </c>
      <c r="H770" s="12">
        <v>17.399999999999999</v>
      </c>
      <c r="I770" s="12">
        <v>23.2</v>
      </c>
      <c r="J770" s="12">
        <v>14.9</v>
      </c>
      <c r="K770" s="12" t="s">
        <v>6</v>
      </c>
      <c r="L770" s="12">
        <v>228</v>
      </c>
      <c r="M770" s="134" t="s">
        <v>6</v>
      </c>
    </row>
    <row r="771" spans="1:13" x14ac:dyDescent="0.25">
      <c r="A771" s="79">
        <v>45438</v>
      </c>
      <c r="B771" s="11">
        <v>0.25</v>
      </c>
      <c r="C771" s="22">
        <v>45438.25</v>
      </c>
      <c r="D771" s="12">
        <v>60.5</v>
      </c>
      <c r="E771" s="12">
        <v>68.099999999999994</v>
      </c>
      <c r="F771" s="12">
        <v>55.9</v>
      </c>
      <c r="G771" s="12" t="s">
        <v>6</v>
      </c>
      <c r="H771" s="12">
        <v>17.3</v>
      </c>
      <c r="I771" s="12">
        <v>18.8</v>
      </c>
      <c r="J771" s="12">
        <v>15.6</v>
      </c>
      <c r="K771" s="12" t="s">
        <v>6</v>
      </c>
      <c r="L771" s="12">
        <v>224</v>
      </c>
      <c r="M771" s="134" t="s">
        <v>6</v>
      </c>
    </row>
    <row r="772" spans="1:13" x14ac:dyDescent="0.25">
      <c r="A772" s="81">
        <v>45438</v>
      </c>
      <c r="B772" s="15">
        <v>0.29166666666666669</v>
      </c>
      <c r="C772" s="20">
        <v>45438.291666666664</v>
      </c>
      <c r="D772" s="16">
        <v>58.5</v>
      </c>
      <c r="E772" s="16">
        <v>61.2</v>
      </c>
      <c r="F772" s="16">
        <v>55.6</v>
      </c>
      <c r="G772" s="16" t="s">
        <v>6</v>
      </c>
      <c r="H772" s="16">
        <v>17.2</v>
      </c>
      <c r="I772" s="16">
        <v>19</v>
      </c>
      <c r="J772" s="16">
        <v>15.8</v>
      </c>
      <c r="K772" s="16" t="s">
        <v>6</v>
      </c>
      <c r="L772" s="16">
        <v>64</v>
      </c>
      <c r="M772" s="134" t="s">
        <v>6</v>
      </c>
    </row>
    <row r="773" spans="1:13" x14ac:dyDescent="0.25">
      <c r="A773" s="80">
        <v>45438</v>
      </c>
      <c r="B773" s="7">
        <v>0.83333333333333337</v>
      </c>
      <c r="C773" s="21">
        <v>45438.833333333336</v>
      </c>
      <c r="D773" s="8">
        <v>57.4</v>
      </c>
      <c r="E773" s="8">
        <v>64.8</v>
      </c>
      <c r="F773" s="8">
        <v>54.1</v>
      </c>
      <c r="G773" s="8" t="s">
        <v>6</v>
      </c>
      <c r="H773" s="8">
        <v>24.1</v>
      </c>
      <c r="I773" s="8">
        <v>28</v>
      </c>
      <c r="J773" s="8">
        <v>16.8</v>
      </c>
      <c r="K773" s="8" t="s">
        <v>6</v>
      </c>
      <c r="L773" s="8">
        <v>62</v>
      </c>
      <c r="M773" s="134" t="s">
        <v>6</v>
      </c>
    </row>
    <row r="774" spans="1:13" x14ac:dyDescent="0.25">
      <c r="A774" s="79">
        <v>45438</v>
      </c>
      <c r="B774" s="11">
        <v>0.875</v>
      </c>
      <c r="C774" s="22">
        <v>45438.875</v>
      </c>
      <c r="D774" s="12">
        <v>65.7</v>
      </c>
      <c r="E774" s="12">
        <v>70.099999999999994</v>
      </c>
      <c r="F774" s="12">
        <v>60.5</v>
      </c>
      <c r="G774" s="12" t="s">
        <v>6</v>
      </c>
      <c r="H774" s="12">
        <v>21.3</v>
      </c>
      <c r="I774" s="12">
        <v>27.2</v>
      </c>
      <c r="J774" s="12">
        <v>16.8</v>
      </c>
      <c r="K774" s="12" t="s">
        <v>6</v>
      </c>
      <c r="L774" s="12">
        <v>227</v>
      </c>
      <c r="M774" s="134" t="s">
        <v>6</v>
      </c>
    </row>
    <row r="775" spans="1:13" x14ac:dyDescent="0.25">
      <c r="A775" s="79">
        <v>45438</v>
      </c>
      <c r="B775" s="11">
        <v>0.91666666666666663</v>
      </c>
      <c r="C775" s="22">
        <v>45438.916666666664</v>
      </c>
      <c r="D775" s="12">
        <v>62.8</v>
      </c>
      <c r="E775" s="12">
        <v>68.3</v>
      </c>
      <c r="F775" s="12">
        <v>58.2</v>
      </c>
      <c r="G775" s="12" t="s">
        <v>6</v>
      </c>
      <c r="H775" s="12">
        <v>19</v>
      </c>
      <c r="I775" s="12">
        <v>25.2</v>
      </c>
      <c r="J775" s="12">
        <v>13.7</v>
      </c>
      <c r="K775" s="12" t="s">
        <v>6</v>
      </c>
      <c r="L775" s="12">
        <v>223</v>
      </c>
      <c r="M775" s="134" t="s">
        <v>6</v>
      </c>
    </row>
    <row r="776" spans="1:13" x14ac:dyDescent="0.25">
      <c r="A776" s="79">
        <v>45438</v>
      </c>
      <c r="B776" s="11">
        <v>0.95833333333333337</v>
      </c>
      <c r="C776" s="22">
        <v>45438.958333333336</v>
      </c>
      <c r="D776" s="12">
        <v>59.4</v>
      </c>
      <c r="E776" s="12">
        <v>67.900000000000006</v>
      </c>
      <c r="F776" s="12">
        <v>47.6</v>
      </c>
      <c r="G776" s="12" t="s">
        <v>6</v>
      </c>
      <c r="H776" s="12">
        <v>21.3</v>
      </c>
      <c r="I776" s="12">
        <v>27.8</v>
      </c>
      <c r="J776" s="12">
        <v>17.399999999999999</v>
      </c>
      <c r="K776" s="12" t="s">
        <v>6</v>
      </c>
      <c r="L776" s="12">
        <v>212</v>
      </c>
      <c r="M776" s="134" t="s">
        <v>6</v>
      </c>
    </row>
    <row r="777" spans="1:13" x14ac:dyDescent="0.25">
      <c r="A777" s="79">
        <v>45439</v>
      </c>
      <c r="B777" s="11">
        <v>0</v>
      </c>
      <c r="C777" s="22">
        <v>45439</v>
      </c>
      <c r="D777" s="12">
        <v>62.8</v>
      </c>
      <c r="E777" s="12">
        <v>69.3</v>
      </c>
      <c r="F777" s="12">
        <v>57.5</v>
      </c>
      <c r="G777" s="12" t="s">
        <v>6</v>
      </c>
      <c r="H777" s="12">
        <v>19.8</v>
      </c>
      <c r="I777" s="12">
        <v>24.4</v>
      </c>
      <c r="J777" s="12">
        <v>16.600000000000001</v>
      </c>
      <c r="K777" s="12" t="s">
        <v>6</v>
      </c>
      <c r="L777" s="12">
        <v>222</v>
      </c>
      <c r="M777" s="134" t="s">
        <v>6</v>
      </c>
    </row>
    <row r="778" spans="1:13" x14ac:dyDescent="0.25">
      <c r="A778" s="79">
        <v>45439</v>
      </c>
      <c r="B778" s="11">
        <v>4.1666666666666664E-2</v>
      </c>
      <c r="C778" s="22">
        <v>45439.041666666664</v>
      </c>
      <c r="D778" s="12">
        <v>61.8</v>
      </c>
      <c r="E778" s="12">
        <v>67.599999999999994</v>
      </c>
      <c r="F778" s="12">
        <v>56.2</v>
      </c>
      <c r="G778" s="12" t="s">
        <v>6</v>
      </c>
      <c r="H778" s="12">
        <v>19.899999999999999</v>
      </c>
      <c r="I778" s="12">
        <v>23.8</v>
      </c>
      <c r="J778" s="12">
        <v>16.2</v>
      </c>
      <c r="K778" s="12" t="s">
        <v>6</v>
      </c>
      <c r="L778" s="12">
        <v>221</v>
      </c>
      <c r="M778" s="134" t="s">
        <v>6</v>
      </c>
    </row>
    <row r="779" spans="1:13" x14ac:dyDescent="0.25">
      <c r="A779" s="79">
        <v>45439</v>
      </c>
      <c r="B779" s="11">
        <v>8.3333333333333329E-2</v>
      </c>
      <c r="C779" s="22">
        <v>45439.083333333336</v>
      </c>
      <c r="D779" s="12">
        <v>63.6</v>
      </c>
      <c r="E779" s="12">
        <v>68.2</v>
      </c>
      <c r="F779" s="12">
        <v>56.6</v>
      </c>
      <c r="G779" s="12" t="s">
        <v>6</v>
      </c>
      <c r="H779" s="12">
        <v>18.8</v>
      </c>
      <c r="I779" s="12">
        <v>27.1</v>
      </c>
      <c r="J779" s="12">
        <v>15.4</v>
      </c>
      <c r="K779" s="12" t="s">
        <v>6</v>
      </c>
      <c r="L779" s="12">
        <v>230</v>
      </c>
      <c r="M779" s="134" t="s">
        <v>6</v>
      </c>
    </row>
    <row r="780" spans="1:13" x14ac:dyDescent="0.25">
      <c r="A780" s="79">
        <v>45439</v>
      </c>
      <c r="B780" s="11">
        <v>0.125</v>
      </c>
      <c r="C780" s="22">
        <v>45439.125</v>
      </c>
      <c r="D780" s="12">
        <v>62.6</v>
      </c>
      <c r="E780" s="12">
        <v>65.900000000000006</v>
      </c>
      <c r="F780" s="12">
        <v>58</v>
      </c>
      <c r="G780" s="12" t="s">
        <v>6</v>
      </c>
      <c r="H780" s="12">
        <v>18.399999999999999</v>
      </c>
      <c r="I780" s="12">
        <v>25.4</v>
      </c>
      <c r="J780" s="12">
        <v>16</v>
      </c>
      <c r="K780" s="12" t="s">
        <v>6</v>
      </c>
      <c r="L780" s="12">
        <v>227</v>
      </c>
      <c r="M780" s="134" t="s">
        <v>6</v>
      </c>
    </row>
    <row r="781" spans="1:13" x14ac:dyDescent="0.25">
      <c r="A781" s="79">
        <v>45439</v>
      </c>
      <c r="B781" s="11">
        <v>0.16666666666666666</v>
      </c>
      <c r="C781" s="22">
        <v>45439.166666666664</v>
      </c>
      <c r="D781" s="12">
        <v>63</v>
      </c>
      <c r="E781" s="12">
        <v>67.599999999999994</v>
      </c>
      <c r="F781" s="12">
        <v>59.2</v>
      </c>
      <c r="G781" s="12" t="s">
        <v>6</v>
      </c>
      <c r="H781" s="12">
        <v>17.600000000000001</v>
      </c>
      <c r="I781" s="12">
        <v>19.600000000000001</v>
      </c>
      <c r="J781" s="12">
        <v>14.5</v>
      </c>
      <c r="K781" s="12" t="s">
        <v>6</v>
      </c>
      <c r="L781" s="12">
        <v>218</v>
      </c>
      <c r="M781" s="134" t="s">
        <v>6</v>
      </c>
    </row>
    <row r="782" spans="1:13" x14ac:dyDescent="0.25">
      <c r="A782" s="79">
        <v>45439</v>
      </c>
      <c r="B782" s="11">
        <v>0.20833333333333334</v>
      </c>
      <c r="C782" s="22">
        <v>45439.208333333336</v>
      </c>
      <c r="D782" s="12">
        <v>62.1</v>
      </c>
      <c r="E782" s="12">
        <v>67.900000000000006</v>
      </c>
      <c r="F782" s="12">
        <v>56</v>
      </c>
      <c r="G782" s="12" t="s">
        <v>6</v>
      </c>
      <c r="H782" s="12">
        <v>17.2</v>
      </c>
      <c r="I782" s="12">
        <v>19.3</v>
      </c>
      <c r="J782" s="12">
        <v>15.3</v>
      </c>
      <c r="K782" s="12" t="s">
        <v>6</v>
      </c>
      <c r="L782" s="12">
        <v>225</v>
      </c>
      <c r="M782" s="134" t="s">
        <v>6</v>
      </c>
    </row>
    <row r="783" spans="1:13" x14ac:dyDescent="0.25">
      <c r="A783" s="79">
        <v>45439</v>
      </c>
      <c r="B783" s="11">
        <v>0.25</v>
      </c>
      <c r="C783" s="22">
        <v>45439.25</v>
      </c>
      <c r="D783" s="12">
        <v>62.2</v>
      </c>
      <c r="E783" s="12">
        <v>68.900000000000006</v>
      </c>
      <c r="F783" s="12">
        <v>56.5</v>
      </c>
      <c r="G783" s="12" t="s">
        <v>6</v>
      </c>
      <c r="H783" s="12">
        <v>17.2</v>
      </c>
      <c r="I783" s="12">
        <v>25.9</v>
      </c>
      <c r="J783" s="12">
        <v>14</v>
      </c>
      <c r="K783" s="12" t="s">
        <v>6</v>
      </c>
      <c r="L783" s="12">
        <v>225</v>
      </c>
      <c r="M783" s="134" t="s">
        <v>6</v>
      </c>
    </row>
    <row r="784" spans="1:13" x14ac:dyDescent="0.25">
      <c r="A784" s="81">
        <v>45439</v>
      </c>
      <c r="B784" s="15">
        <v>0.29166666666666669</v>
      </c>
      <c r="C784" s="20">
        <v>45439.291666666664</v>
      </c>
      <c r="D784" s="16">
        <v>65.099999999999994</v>
      </c>
      <c r="E784" s="16">
        <v>70.3</v>
      </c>
      <c r="F784" s="16">
        <v>58.6</v>
      </c>
      <c r="G784" s="16" t="s">
        <v>6</v>
      </c>
      <c r="H784" s="16">
        <v>18.5</v>
      </c>
      <c r="I784" s="16">
        <v>33.1</v>
      </c>
      <c r="J784" s="16">
        <v>14.9</v>
      </c>
      <c r="K784" s="16" t="s">
        <v>6</v>
      </c>
      <c r="L784" s="16">
        <v>118</v>
      </c>
      <c r="M784" s="134" t="s">
        <v>6</v>
      </c>
    </row>
    <row r="785" spans="1:13" x14ac:dyDescent="0.25">
      <c r="A785" s="80">
        <v>45439</v>
      </c>
      <c r="B785" s="7">
        <v>0.91666666666666663</v>
      </c>
      <c r="C785" s="21">
        <v>45439.916666666664</v>
      </c>
      <c r="D785" s="8">
        <v>62.9</v>
      </c>
      <c r="E785" s="8">
        <v>65.900000000000006</v>
      </c>
      <c r="F785" s="8">
        <v>58.2</v>
      </c>
      <c r="G785" s="8" t="s">
        <v>6</v>
      </c>
      <c r="H785" s="8">
        <v>21.7</v>
      </c>
      <c r="I785" s="8">
        <v>23.7</v>
      </c>
      <c r="J785" s="8">
        <v>17.399999999999999</v>
      </c>
      <c r="K785" s="8" t="s">
        <v>6</v>
      </c>
      <c r="L785" s="8">
        <v>69</v>
      </c>
      <c r="M785" s="135" t="s">
        <v>6</v>
      </c>
    </row>
    <row r="786" spans="1:13" x14ac:dyDescent="0.25">
      <c r="A786" s="79">
        <v>45439</v>
      </c>
      <c r="B786" s="11">
        <v>0.95833333333333337</v>
      </c>
      <c r="C786" s="22">
        <v>45439.958333333336</v>
      </c>
      <c r="D786" s="12">
        <v>62.6</v>
      </c>
      <c r="E786" s="12">
        <v>70.099999999999994</v>
      </c>
      <c r="F786" s="12">
        <v>57.8</v>
      </c>
      <c r="G786" s="12" t="s">
        <v>6</v>
      </c>
      <c r="H786" s="12">
        <v>19.100000000000001</v>
      </c>
      <c r="I786" s="12">
        <v>22.2</v>
      </c>
      <c r="J786" s="12">
        <v>15.8</v>
      </c>
      <c r="K786" s="12" t="s">
        <v>6</v>
      </c>
      <c r="L786" s="12">
        <v>230</v>
      </c>
      <c r="M786" s="135" t="s">
        <v>6</v>
      </c>
    </row>
    <row r="787" spans="1:13" x14ac:dyDescent="0.25">
      <c r="A787" s="79">
        <v>45440</v>
      </c>
      <c r="B787" s="11">
        <v>0</v>
      </c>
      <c r="C787" s="22">
        <v>45440</v>
      </c>
      <c r="D787" s="12">
        <v>61.7</v>
      </c>
      <c r="E787" s="12">
        <v>68.400000000000006</v>
      </c>
      <c r="F787" s="12">
        <v>56.5</v>
      </c>
      <c r="G787" s="12" t="s">
        <v>6</v>
      </c>
      <c r="H787" s="12">
        <v>18.5</v>
      </c>
      <c r="I787" s="12">
        <v>24.7</v>
      </c>
      <c r="J787" s="12">
        <v>15.6</v>
      </c>
      <c r="K787" s="12" t="s">
        <v>6</v>
      </c>
      <c r="L787" s="12">
        <v>223</v>
      </c>
      <c r="M787" s="135" t="s">
        <v>6</v>
      </c>
    </row>
    <row r="788" spans="1:13" x14ac:dyDescent="0.25">
      <c r="A788" s="79">
        <v>45440</v>
      </c>
      <c r="B788" s="11">
        <v>4.1666666666666664E-2</v>
      </c>
      <c r="C788" s="22">
        <v>45440.041666666664</v>
      </c>
      <c r="D788" s="12">
        <v>63.2</v>
      </c>
      <c r="E788" s="12">
        <v>68.7</v>
      </c>
      <c r="F788" s="12">
        <v>56.5</v>
      </c>
      <c r="G788" s="12" t="s">
        <v>6</v>
      </c>
      <c r="H788" s="12">
        <v>19.5</v>
      </c>
      <c r="I788" s="12">
        <v>25.7</v>
      </c>
      <c r="J788" s="12">
        <v>16.8</v>
      </c>
      <c r="K788" s="12" t="s">
        <v>6</v>
      </c>
      <c r="L788" s="12">
        <v>223</v>
      </c>
      <c r="M788" s="135" t="s">
        <v>6</v>
      </c>
    </row>
    <row r="789" spans="1:13" x14ac:dyDescent="0.25">
      <c r="A789" s="79">
        <v>45440</v>
      </c>
      <c r="B789" s="11">
        <v>8.3333333333333329E-2</v>
      </c>
      <c r="C789" s="22">
        <v>45440.083333333336</v>
      </c>
      <c r="D789" s="12">
        <v>63</v>
      </c>
      <c r="E789" s="12">
        <v>71.400000000000006</v>
      </c>
      <c r="F789" s="12">
        <v>53.3</v>
      </c>
      <c r="G789" s="12" t="s">
        <v>6</v>
      </c>
      <c r="H789" s="12">
        <v>20</v>
      </c>
      <c r="I789" s="12">
        <v>25.2</v>
      </c>
      <c r="J789" s="12">
        <v>17</v>
      </c>
      <c r="K789" s="12" t="s">
        <v>6</v>
      </c>
      <c r="L789" s="12">
        <v>173</v>
      </c>
      <c r="M789" s="135" t="s">
        <v>6</v>
      </c>
    </row>
    <row r="790" spans="1:13" x14ac:dyDescent="0.25">
      <c r="A790" s="79">
        <v>45440</v>
      </c>
      <c r="B790" s="11">
        <v>0.125</v>
      </c>
      <c r="C790" s="22">
        <v>45440.125</v>
      </c>
      <c r="D790" s="12">
        <v>63.3</v>
      </c>
      <c r="E790" s="12">
        <v>66.8</v>
      </c>
      <c r="F790" s="12">
        <v>58.1</v>
      </c>
      <c r="G790" s="12" t="s">
        <v>6</v>
      </c>
      <c r="H790" s="12">
        <v>19.5</v>
      </c>
      <c r="I790" s="12">
        <v>31.3</v>
      </c>
      <c r="J790" s="12">
        <v>13.8</v>
      </c>
      <c r="K790" s="12" t="s">
        <v>6</v>
      </c>
      <c r="L790" s="12">
        <v>227</v>
      </c>
      <c r="M790" s="135" t="s">
        <v>6</v>
      </c>
    </row>
    <row r="791" spans="1:13" x14ac:dyDescent="0.25">
      <c r="A791" s="79">
        <v>45440</v>
      </c>
      <c r="B791" s="11">
        <v>0.16666666666666666</v>
      </c>
      <c r="C791" s="22">
        <v>45440.166666666664</v>
      </c>
      <c r="D791" s="12">
        <v>63</v>
      </c>
      <c r="E791" s="12">
        <v>74.2</v>
      </c>
      <c r="F791" s="12">
        <v>55.7</v>
      </c>
      <c r="G791" s="12" t="s">
        <v>6</v>
      </c>
      <c r="H791" s="12">
        <v>17.399999999999999</v>
      </c>
      <c r="I791" s="12">
        <v>21.7</v>
      </c>
      <c r="J791" s="12">
        <v>14.5</v>
      </c>
      <c r="K791" s="12" t="s">
        <v>6</v>
      </c>
      <c r="L791" s="12">
        <v>227</v>
      </c>
      <c r="M791" s="135" t="s">
        <v>6</v>
      </c>
    </row>
    <row r="792" spans="1:13" x14ac:dyDescent="0.25">
      <c r="A792" s="79">
        <v>45440</v>
      </c>
      <c r="B792" s="11">
        <v>0.20833333333333334</v>
      </c>
      <c r="C792" s="22">
        <v>45440.208333333336</v>
      </c>
      <c r="D792" s="12">
        <v>63.8</v>
      </c>
      <c r="E792" s="12">
        <v>71.599999999999994</v>
      </c>
      <c r="F792" s="12">
        <v>55.1</v>
      </c>
      <c r="G792" s="12" t="s">
        <v>6</v>
      </c>
      <c r="H792" s="12">
        <v>16.3</v>
      </c>
      <c r="I792" s="12">
        <v>19.3</v>
      </c>
      <c r="J792" s="12">
        <v>14.3</v>
      </c>
      <c r="K792" s="12" t="s">
        <v>6</v>
      </c>
      <c r="L792" s="12">
        <v>231</v>
      </c>
      <c r="M792" s="135" t="s">
        <v>6</v>
      </c>
    </row>
    <row r="793" spans="1:13" x14ac:dyDescent="0.25">
      <c r="A793" s="79">
        <v>45440</v>
      </c>
      <c r="B793" s="11">
        <v>0.25</v>
      </c>
      <c r="C793" s="22">
        <v>45440.25</v>
      </c>
      <c r="D793" s="12">
        <v>61.3</v>
      </c>
      <c r="E793" s="12">
        <v>67.599999999999994</v>
      </c>
      <c r="F793" s="12">
        <v>54.4</v>
      </c>
      <c r="G793" s="12" t="s">
        <v>6</v>
      </c>
      <c r="H793" s="12">
        <v>17.2</v>
      </c>
      <c r="I793" s="12">
        <v>23.5</v>
      </c>
      <c r="J793" s="12">
        <v>14.2</v>
      </c>
      <c r="K793" s="12" t="s">
        <v>6</v>
      </c>
      <c r="L793" s="12">
        <v>231</v>
      </c>
      <c r="M793" s="135" t="s">
        <v>6</v>
      </c>
    </row>
    <row r="794" spans="1:13" x14ac:dyDescent="0.25">
      <c r="A794" s="81">
        <v>45440</v>
      </c>
      <c r="B794" s="15">
        <v>0.29166666666666669</v>
      </c>
      <c r="C794" s="20">
        <v>45440.291666666664</v>
      </c>
      <c r="D794" s="16">
        <v>61</v>
      </c>
      <c r="E794" s="16">
        <v>65.8</v>
      </c>
      <c r="F794" s="16">
        <v>55.5</v>
      </c>
      <c r="G794" s="16" t="s">
        <v>6</v>
      </c>
      <c r="H794" s="16">
        <v>17.8</v>
      </c>
      <c r="I794" s="16">
        <v>20.7</v>
      </c>
      <c r="J794" s="16">
        <v>16.100000000000001</v>
      </c>
      <c r="K794" s="16" t="s">
        <v>6</v>
      </c>
      <c r="L794" s="16">
        <v>33</v>
      </c>
      <c r="M794" s="135" t="s">
        <v>6</v>
      </c>
    </row>
    <row r="795" spans="1:13" x14ac:dyDescent="0.25">
      <c r="A795" s="80">
        <v>45440</v>
      </c>
      <c r="B795" s="7">
        <v>0.95833333333333337</v>
      </c>
      <c r="C795" s="21">
        <v>45440.958333333336</v>
      </c>
      <c r="D795" s="8">
        <v>64.7</v>
      </c>
      <c r="E795" s="8">
        <v>70.599999999999994</v>
      </c>
      <c r="F795" s="8">
        <v>54.5</v>
      </c>
      <c r="G795" s="8" t="s">
        <v>6</v>
      </c>
      <c r="H795" s="8">
        <v>20.100000000000001</v>
      </c>
      <c r="I795" s="8">
        <v>30</v>
      </c>
      <c r="J795" s="8">
        <v>16.8</v>
      </c>
      <c r="K795" s="8" t="s">
        <v>6</v>
      </c>
      <c r="L795" s="8">
        <v>99</v>
      </c>
      <c r="M795" s="136" t="s">
        <v>6</v>
      </c>
    </row>
    <row r="796" spans="1:13" x14ac:dyDescent="0.25">
      <c r="A796" s="79">
        <v>45441</v>
      </c>
      <c r="B796" s="11">
        <v>0</v>
      </c>
      <c r="C796" s="22">
        <v>45441</v>
      </c>
      <c r="D796" s="12">
        <v>61.5</v>
      </c>
      <c r="E796" s="12">
        <v>66.3</v>
      </c>
      <c r="F796" s="12">
        <v>50.9</v>
      </c>
      <c r="G796" s="12" t="s">
        <v>6</v>
      </c>
      <c r="H796" s="12">
        <v>18.7</v>
      </c>
      <c r="I796" s="12">
        <v>26.7</v>
      </c>
      <c r="J796" s="12">
        <v>15.5</v>
      </c>
      <c r="K796" s="12" t="s">
        <v>6</v>
      </c>
      <c r="L796" s="12">
        <v>229</v>
      </c>
      <c r="M796" s="136" t="s">
        <v>6</v>
      </c>
    </row>
    <row r="797" spans="1:13" x14ac:dyDescent="0.25">
      <c r="A797" s="79">
        <v>45441</v>
      </c>
      <c r="B797" s="11">
        <v>4.1666666666666664E-2</v>
      </c>
      <c r="C797" s="22">
        <v>45441.041666666664</v>
      </c>
      <c r="D797" s="12">
        <v>59.9</v>
      </c>
      <c r="E797" s="12">
        <v>68.900000000000006</v>
      </c>
      <c r="F797" s="12">
        <v>49.8</v>
      </c>
      <c r="G797" s="12" t="s">
        <v>6</v>
      </c>
      <c r="H797" s="12">
        <v>18.5</v>
      </c>
      <c r="I797" s="12">
        <v>22</v>
      </c>
      <c r="J797" s="12">
        <v>15.7</v>
      </c>
      <c r="K797" s="12" t="s">
        <v>6</v>
      </c>
      <c r="L797" s="12">
        <v>222</v>
      </c>
      <c r="M797" s="136" t="s">
        <v>6</v>
      </c>
    </row>
    <row r="798" spans="1:13" x14ac:dyDescent="0.25">
      <c r="A798" s="79">
        <v>45441</v>
      </c>
      <c r="B798" s="11">
        <v>8.3333333333333329E-2</v>
      </c>
      <c r="C798" s="22">
        <v>45441.083333333336</v>
      </c>
      <c r="D798" s="12">
        <v>63.2</v>
      </c>
      <c r="E798" s="12">
        <v>71.2</v>
      </c>
      <c r="F798" s="12">
        <v>56.4</v>
      </c>
      <c r="G798" s="12" t="s">
        <v>6</v>
      </c>
      <c r="H798" s="12">
        <v>17.899999999999999</v>
      </c>
      <c r="I798" s="12">
        <v>19.7</v>
      </c>
      <c r="J798" s="12">
        <v>15.3</v>
      </c>
      <c r="K798" s="12" t="s">
        <v>6</v>
      </c>
      <c r="L798" s="12">
        <v>230</v>
      </c>
      <c r="M798" s="136" t="s">
        <v>6</v>
      </c>
    </row>
    <row r="799" spans="1:13" x14ac:dyDescent="0.25">
      <c r="A799" s="79">
        <v>45441</v>
      </c>
      <c r="B799" s="11">
        <v>0.125</v>
      </c>
      <c r="C799" s="22">
        <v>45441.125</v>
      </c>
      <c r="D799" s="12">
        <v>65.8</v>
      </c>
      <c r="E799" s="12">
        <v>70.599999999999994</v>
      </c>
      <c r="F799" s="12">
        <v>61.2</v>
      </c>
      <c r="G799" s="12" t="s">
        <v>6</v>
      </c>
      <c r="H799" s="12">
        <v>18.3</v>
      </c>
      <c r="I799" s="12">
        <v>22.9</v>
      </c>
      <c r="J799" s="12">
        <v>15.2</v>
      </c>
      <c r="K799" s="12" t="s">
        <v>6</v>
      </c>
      <c r="L799" s="12">
        <v>230</v>
      </c>
      <c r="M799" s="136" t="s">
        <v>6</v>
      </c>
    </row>
    <row r="800" spans="1:13" x14ac:dyDescent="0.25">
      <c r="A800" s="79">
        <v>45441</v>
      </c>
      <c r="B800" s="11">
        <v>0.16666666666666666</v>
      </c>
      <c r="C800" s="22">
        <v>45441.166666666664</v>
      </c>
      <c r="D800" s="12">
        <v>65.099999999999994</v>
      </c>
      <c r="E800" s="12">
        <v>71.8</v>
      </c>
      <c r="F800" s="12">
        <v>61</v>
      </c>
      <c r="G800" s="12" t="s">
        <v>6</v>
      </c>
      <c r="H800" s="12">
        <v>19</v>
      </c>
      <c r="I800" s="12">
        <v>24</v>
      </c>
      <c r="J800" s="12">
        <v>16.100000000000001</v>
      </c>
      <c r="K800" s="12" t="s">
        <v>6</v>
      </c>
      <c r="L800" s="12">
        <v>229</v>
      </c>
      <c r="M800" s="136" t="s">
        <v>6</v>
      </c>
    </row>
    <row r="801" spans="1:13" x14ac:dyDescent="0.25">
      <c r="A801" s="79">
        <v>45441</v>
      </c>
      <c r="B801" s="11">
        <v>0.20833333333333334</v>
      </c>
      <c r="C801" s="22">
        <v>45441.208333333336</v>
      </c>
      <c r="D801" s="12">
        <v>66</v>
      </c>
      <c r="E801" s="12">
        <v>72.400000000000006</v>
      </c>
      <c r="F801" s="12">
        <v>60</v>
      </c>
      <c r="G801" s="12" t="s">
        <v>6</v>
      </c>
      <c r="H801" s="12">
        <v>17.5</v>
      </c>
      <c r="I801" s="12">
        <v>20.9</v>
      </c>
      <c r="J801" s="12">
        <v>14.7</v>
      </c>
      <c r="K801" s="12" t="s">
        <v>6</v>
      </c>
      <c r="L801" s="12">
        <v>231</v>
      </c>
      <c r="M801" s="136" t="s">
        <v>6</v>
      </c>
    </row>
    <row r="802" spans="1:13" x14ac:dyDescent="0.25">
      <c r="A802" s="79">
        <v>45441</v>
      </c>
      <c r="B802" s="11">
        <v>0.25</v>
      </c>
      <c r="C802" s="22">
        <v>45441.25</v>
      </c>
      <c r="D802" s="12">
        <v>66.599999999999994</v>
      </c>
      <c r="E802" s="12">
        <v>77.900000000000006</v>
      </c>
      <c r="F802" s="12">
        <v>58.6</v>
      </c>
      <c r="G802" s="12" t="s">
        <v>6</v>
      </c>
      <c r="H802" s="12">
        <v>16.8</v>
      </c>
      <c r="I802" s="12">
        <v>21.7</v>
      </c>
      <c r="J802" s="12">
        <v>14.4</v>
      </c>
      <c r="K802" s="12" t="s">
        <v>6</v>
      </c>
      <c r="L802" s="12">
        <v>225</v>
      </c>
      <c r="M802" s="136" t="s">
        <v>6</v>
      </c>
    </row>
    <row r="803" spans="1:13" x14ac:dyDescent="0.25">
      <c r="A803" s="79">
        <v>45441</v>
      </c>
      <c r="B803" s="11">
        <v>0.29166666666666669</v>
      </c>
      <c r="C803" s="22">
        <v>45441.291666666664</v>
      </c>
      <c r="D803" s="12">
        <v>63.9</v>
      </c>
      <c r="E803" s="12">
        <v>71.400000000000006</v>
      </c>
      <c r="F803" s="12">
        <v>56.9</v>
      </c>
      <c r="G803" s="12" t="s">
        <v>6</v>
      </c>
      <c r="H803" s="12">
        <v>17.2</v>
      </c>
      <c r="I803" s="12">
        <v>22.2</v>
      </c>
      <c r="J803" s="12">
        <v>15.4</v>
      </c>
      <c r="K803" s="12" t="s">
        <v>6</v>
      </c>
      <c r="L803" s="12">
        <v>223</v>
      </c>
      <c r="M803" s="136" t="s">
        <v>6</v>
      </c>
    </row>
    <row r="804" spans="1:13" x14ac:dyDescent="0.25">
      <c r="A804" s="81">
        <v>45441</v>
      </c>
      <c r="B804" s="15">
        <v>0.33333333333333331</v>
      </c>
      <c r="C804" s="20">
        <v>45441.333333333336</v>
      </c>
      <c r="D804" s="16">
        <v>61.1</v>
      </c>
      <c r="E804" s="16">
        <v>65.8</v>
      </c>
      <c r="F804" s="16">
        <v>56.9</v>
      </c>
      <c r="G804" s="16" t="s">
        <v>6</v>
      </c>
      <c r="H804" s="16">
        <v>17.5</v>
      </c>
      <c r="I804" s="16">
        <v>21.1</v>
      </c>
      <c r="J804" s="16">
        <v>13.2</v>
      </c>
      <c r="K804" s="16" t="s">
        <v>6</v>
      </c>
      <c r="L804" s="16">
        <v>63</v>
      </c>
      <c r="M804" s="136" t="s">
        <v>6</v>
      </c>
    </row>
    <row r="805" spans="1:13" x14ac:dyDescent="0.25">
      <c r="A805" s="80">
        <v>45441</v>
      </c>
      <c r="B805" s="7">
        <v>0.91666666666666663</v>
      </c>
      <c r="C805" s="21">
        <v>45441.916666666664</v>
      </c>
      <c r="D805" s="8">
        <v>65.3</v>
      </c>
      <c r="E805" s="8">
        <v>66.8</v>
      </c>
      <c r="F805" s="8">
        <v>63</v>
      </c>
      <c r="G805" s="8" t="s">
        <v>6</v>
      </c>
      <c r="H805" s="8">
        <v>22</v>
      </c>
      <c r="I805" s="8">
        <v>23.5</v>
      </c>
      <c r="J805" s="8">
        <v>20.2</v>
      </c>
      <c r="K805" s="8" t="s">
        <v>6</v>
      </c>
      <c r="L805" s="8">
        <v>6</v>
      </c>
      <c r="M805" s="137" t="s">
        <v>6</v>
      </c>
    </row>
    <row r="806" spans="1:13" x14ac:dyDescent="0.25">
      <c r="A806" s="79">
        <v>45441</v>
      </c>
      <c r="B806" s="11">
        <v>0.95833333333333337</v>
      </c>
      <c r="C806" s="22">
        <v>45441.958333333336</v>
      </c>
      <c r="D806" s="12">
        <v>65.2</v>
      </c>
      <c r="E806" s="12">
        <v>71.099999999999994</v>
      </c>
      <c r="F806" s="12">
        <v>57.5</v>
      </c>
      <c r="G806" s="12" t="s">
        <v>6</v>
      </c>
      <c r="H806" s="12">
        <v>20.3</v>
      </c>
      <c r="I806" s="12">
        <v>24</v>
      </c>
      <c r="J806" s="12">
        <v>17.5</v>
      </c>
      <c r="K806" s="12" t="s">
        <v>6</v>
      </c>
      <c r="L806" s="12">
        <v>224</v>
      </c>
      <c r="M806" s="137" t="s">
        <v>6</v>
      </c>
    </row>
    <row r="807" spans="1:13" x14ac:dyDescent="0.25">
      <c r="A807" s="79">
        <v>45442</v>
      </c>
      <c r="B807" s="11">
        <v>0</v>
      </c>
      <c r="C807" s="22">
        <v>45442</v>
      </c>
      <c r="D807" s="12">
        <v>67.5</v>
      </c>
      <c r="E807" s="12">
        <v>74.2</v>
      </c>
      <c r="F807" s="12">
        <v>61.8</v>
      </c>
      <c r="G807" s="12" t="s">
        <v>6</v>
      </c>
      <c r="H807" s="12">
        <v>19</v>
      </c>
      <c r="I807" s="12">
        <v>21.9</v>
      </c>
      <c r="J807" s="12">
        <v>15.4</v>
      </c>
      <c r="K807" s="12" t="s">
        <v>6</v>
      </c>
      <c r="L807" s="12">
        <v>222</v>
      </c>
      <c r="M807" s="137" t="s">
        <v>6</v>
      </c>
    </row>
    <row r="808" spans="1:13" x14ac:dyDescent="0.25">
      <c r="A808" s="79">
        <v>45442</v>
      </c>
      <c r="B808" s="11">
        <v>4.1666666666666664E-2</v>
      </c>
      <c r="C808" s="22">
        <v>45442.041666666664</v>
      </c>
      <c r="D808" s="12">
        <v>67.599999999999994</v>
      </c>
      <c r="E808" s="12">
        <v>73.099999999999994</v>
      </c>
      <c r="F808" s="12">
        <v>61.7</v>
      </c>
      <c r="G808" s="12" t="s">
        <v>6</v>
      </c>
      <c r="H808" s="12">
        <v>20</v>
      </c>
      <c r="I808" s="12">
        <v>23.7</v>
      </c>
      <c r="J808" s="12">
        <v>14.1</v>
      </c>
      <c r="K808" s="12" t="s">
        <v>6</v>
      </c>
      <c r="L808" s="12">
        <v>220</v>
      </c>
      <c r="M808" s="137" t="s">
        <v>6</v>
      </c>
    </row>
    <row r="809" spans="1:13" x14ac:dyDescent="0.25">
      <c r="A809" s="79">
        <v>45442</v>
      </c>
      <c r="B809" s="11">
        <v>8.3333333333333329E-2</v>
      </c>
      <c r="C809" s="22">
        <v>45442.083333333336</v>
      </c>
      <c r="D809" s="12">
        <v>67.3</v>
      </c>
      <c r="E809" s="12">
        <v>75.400000000000006</v>
      </c>
      <c r="F809" s="12">
        <v>59.3</v>
      </c>
      <c r="G809" s="12" t="s">
        <v>6</v>
      </c>
      <c r="H809" s="12">
        <v>18.8</v>
      </c>
      <c r="I809" s="12">
        <v>22.3</v>
      </c>
      <c r="J809" s="12">
        <v>16.3</v>
      </c>
      <c r="K809" s="12" t="s">
        <v>6</v>
      </c>
      <c r="L809" s="12">
        <v>230</v>
      </c>
      <c r="M809" s="137" t="s">
        <v>6</v>
      </c>
    </row>
    <row r="810" spans="1:13" x14ac:dyDescent="0.25">
      <c r="A810" s="79">
        <v>45442</v>
      </c>
      <c r="B810" s="11">
        <v>0.125</v>
      </c>
      <c r="C810" s="22">
        <v>45442.125</v>
      </c>
      <c r="D810" s="12">
        <v>67.099999999999994</v>
      </c>
      <c r="E810" s="12">
        <v>75.599999999999994</v>
      </c>
      <c r="F810" s="12">
        <v>61.9</v>
      </c>
      <c r="G810" s="12" t="s">
        <v>6</v>
      </c>
      <c r="H810" s="12">
        <v>18.399999999999999</v>
      </c>
      <c r="I810" s="12">
        <v>21.1</v>
      </c>
      <c r="J810" s="12">
        <v>15.8</v>
      </c>
      <c r="K810" s="12" t="s">
        <v>6</v>
      </c>
      <c r="L810" s="12">
        <v>230</v>
      </c>
      <c r="M810" s="137" t="s">
        <v>6</v>
      </c>
    </row>
    <row r="811" spans="1:13" x14ac:dyDescent="0.25">
      <c r="A811" s="81">
        <v>45442</v>
      </c>
      <c r="B811" s="15">
        <v>0.16666666666666666</v>
      </c>
      <c r="C811" s="20">
        <v>45442.166666666664</v>
      </c>
      <c r="D811" s="16">
        <v>67.5</v>
      </c>
      <c r="E811" s="16">
        <v>75.400000000000006</v>
      </c>
      <c r="F811" s="16">
        <v>63.2</v>
      </c>
      <c r="G811" s="16" t="s">
        <v>6</v>
      </c>
      <c r="H811" s="16">
        <v>21.2</v>
      </c>
      <c r="I811" s="16">
        <v>23.9</v>
      </c>
      <c r="J811" s="16">
        <v>18</v>
      </c>
      <c r="K811" s="16" t="s">
        <v>6</v>
      </c>
      <c r="L811" s="16">
        <v>63</v>
      </c>
      <c r="M811" s="137" t="s">
        <v>6</v>
      </c>
    </row>
    <row r="812" spans="1:13" x14ac:dyDescent="0.25">
      <c r="A812" s="80">
        <v>45442</v>
      </c>
      <c r="B812" s="7">
        <v>0.75</v>
      </c>
      <c r="C812" s="21">
        <v>45442.75</v>
      </c>
      <c r="D812" s="8">
        <v>55.3</v>
      </c>
      <c r="E812" s="8">
        <v>55.3</v>
      </c>
      <c r="F812" s="8">
        <v>55.3</v>
      </c>
      <c r="G812" s="8" t="s">
        <v>6</v>
      </c>
      <c r="H812" s="8">
        <v>12.8</v>
      </c>
      <c r="I812" s="8">
        <v>12.9</v>
      </c>
      <c r="J812" s="8">
        <v>12.6</v>
      </c>
      <c r="K812" s="8" t="s">
        <v>6</v>
      </c>
      <c r="L812" s="8">
        <v>2</v>
      </c>
      <c r="M812" s="138" t="s">
        <v>6</v>
      </c>
    </row>
    <row r="813" spans="1:13" x14ac:dyDescent="0.25">
      <c r="A813" s="79">
        <v>45442</v>
      </c>
      <c r="B813" s="11">
        <v>0.91666666666666663</v>
      </c>
      <c r="C813" s="22">
        <v>45442.916666666664</v>
      </c>
      <c r="D813" s="12">
        <v>59.9</v>
      </c>
      <c r="E813" s="12">
        <v>66.3</v>
      </c>
      <c r="F813" s="12">
        <v>53.8</v>
      </c>
      <c r="G813" s="12" t="s">
        <v>6</v>
      </c>
      <c r="H813" s="12">
        <v>21</v>
      </c>
      <c r="I813" s="12">
        <v>24.7</v>
      </c>
      <c r="J813" s="12">
        <v>12.5</v>
      </c>
      <c r="K813" s="12" t="s">
        <v>6</v>
      </c>
      <c r="L813" s="12">
        <v>80</v>
      </c>
      <c r="M813" s="138" t="s">
        <v>6</v>
      </c>
    </row>
    <row r="814" spans="1:13" x14ac:dyDescent="0.25">
      <c r="A814" s="79">
        <v>45442</v>
      </c>
      <c r="B814" s="11">
        <v>0.95833333333333337</v>
      </c>
      <c r="C814" s="22">
        <v>45442.958333333336</v>
      </c>
      <c r="D814" s="12">
        <v>64</v>
      </c>
      <c r="E814" s="12">
        <v>67.2</v>
      </c>
      <c r="F814" s="12">
        <v>59.8</v>
      </c>
      <c r="G814" s="12" t="s">
        <v>6</v>
      </c>
      <c r="H814" s="12">
        <v>18.600000000000001</v>
      </c>
      <c r="I814" s="12">
        <v>22.6</v>
      </c>
      <c r="J814" s="12">
        <v>16.899999999999999</v>
      </c>
      <c r="K814" s="12" t="s">
        <v>6</v>
      </c>
      <c r="L814" s="12">
        <v>226</v>
      </c>
      <c r="M814" s="138" t="s">
        <v>6</v>
      </c>
    </row>
    <row r="815" spans="1:13" x14ac:dyDescent="0.25">
      <c r="A815" s="79">
        <v>45443</v>
      </c>
      <c r="B815" s="11">
        <v>0</v>
      </c>
      <c r="C815" s="22">
        <v>45443</v>
      </c>
      <c r="D815" s="12">
        <v>62.3</v>
      </c>
      <c r="E815" s="12">
        <v>66.7</v>
      </c>
      <c r="F815" s="12">
        <v>55.3</v>
      </c>
      <c r="G815" s="12" t="s">
        <v>6</v>
      </c>
      <c r="H815" s="12">
        <v>17.7</v>
      </c>
      <c r="I815" s="12">
        <v>20.399999999999999</v>
      </c>
      <c r="J815" s="12">
        <v>13.7</v>
      </c>
      <c r="K815" s="12" t="s">
        <v>6</v>
      </c>
      <c r="L815" s="12">
        <v>225</v>
      </c>
      <c r="M815" s="138" t="s">
        <v>6</v>
      </c>
    </row>
    <row r="816" spans="1:13" x14ac:dyDescent="0.25">
      <c r="A816" s="79">
        <v>45443</v>
      </c>
      <c r="B816" s="11">
        <v>4.1666666666666664E-2</v>
      </c>
      <c r="C816" s="22">
        <v>45443.041666666664</v>
      </c>
      <c r="D816" s="12">
        <v>65.5</v>
      </c>
      <c r="E816" s="12">
        <v>70.8</v>
      </c>
      <c r="F816" s="12">
        <v>61.4</v>
      </c>
      <c r="G816" s="12" t="s">
        <v>6</v>
      </c>
      <c r="H816" s="12">
        <v>17.8</v>
      </c>
      <c r="I816" s="12">
        <v>20.9</v>
      </c>
      <c r="J816" s="12">
        <v>12.9</v>
      </c>
      <c r="K816" s="12" t="s">
        <v>6</v>
      </c>
      <c r="L816" s="12">
        <v>228</v>
      </c>
      <c r="M816" s="138" t="s">
        <v>6</v>
      </c>
    </row>
    <row r="817" spans="1:13" x14ac:dyDescent="0.25">
      <c r="A817" s="79">
        <v>45443</v>
      </c>
      <c r="B817" s="11">
        <v>8.3333333333333329E-2</v>
      </c>
      <c r="C817" s="22">
        <v>45443.083333333336</v>
      </c>
      <c r="D817" s="12">
        <v>64.900000000000006</v>
      </c>
      <c r="E817" s="12">
        <v>69.900000000000006</v>
      </c>
      <c r="F817" s="12">
        <v>57.9</v>
      </c>
      <c r="G817" s="12" t="s">
        <v>6</v>
      </c>
      <c r="H817" s="12">
        <v>18.5</v>
      </c>
      <c r="I817" s="12">
        <v>21.6</v>
      </c>
      <c r="J817" s="12">
        <v>15.3</v>
      </c>
      <c r="K817" s="12" t="s">
        <v>6</v>
      </c>
      <c r="L817" s="12">
        <v>230</v>
      </c>
      <c r="M817" s="138" t="s">
        <v>6</v>
      </c>
    </row>
    <row r="818" spans="1:13" x14ac:dyDescent="0.25">
      <c r="A818" s="79">
        <v>45443</v>
      </c>
      <c r="B818" s="11">
        <v>0.125</v>
      </c>
      <c r="C818" s="22">
        <v>45443.125</v>
      </c>
      <c r="D818" s="12">
        <v>63.7</v>
      </c>
      <c r="E818" s="12">
        <v>69.3</v>
      </c>
      <c r="F818" s="12">
        <v>56.4</v>
      </c>
      <c r="G818" s="12" t="s">
        <v>6</v>
      </c>
      <c r="H818" s="12">
        <v>18.8</v>
      </c>
      <c r="I818" s="12">
        <v>22.8</v>
      </c>
      <c r="J818" s="12">
        <v>15</v>
      </c>
      <c r="K818" s="12" t="s">
        <v>6</v>
      </c>
      <c r="L818" s="12">
        <v>223</v>
      </c>
      <c r="M818" s="138" t="s">
        <v>6</v>
      </c>
    </row>
    <row r="819" spans="1:13" x14ac:dyDescent="0.25">
      <c r="A819" s="79">
        <v>45443</v>
      </c>
      <c r="B819" s="11">
        <v>0.16666666666666666</v>
      </c>
      <c r="C819" s="22">
        <v>45443.166666666664</v>
      </c>
      <c r="D819" s="12">
        <v>62.7</v>
      </c>
      <c r="E819" s="12">
        <v>70.400000000000006</v>
      </c>
      <c r="F819" s="12">
        <v>57.6</v>
      </c>
      <c r="G819" s="12" t="s">
        <v>6</v>
      </c>
      <c r="H819" s="12">
        <v>18.100000000000001</v>
      </c>
      <c r="I819" s="12">
        <v>23.8</v>
      </c>
      <c r="J819" s="12">
        <v>15.1</v>
      </c>
      <c r="K819" s="12" t="s">
        <v>6</v>
      </c>
      <c r="L819" s="12">
        <v>227</v>
      </c>
      <c r="M819" s="138" t="s">
        <v>6</v>
      </c>
    </row>
    <row r="820" spans="1:13" x14ac:dyDescent="0.25">
      <c r="A820" s="79">
        <v>45443</v>
      </c>
      <c r="B820" s="11">
        <v>0.20833333333333334</v>
      </c>
      <c r="C820" s="22">
        <v>45443.208333333336</v>
      </c>
      <c r="D820" s="12">
        <v>64.8</v>
      </c>
      <c r="E820" s="12">
        <v>69.8</v>
      </c>
      <c r="F820" s="12">
        <v>60.1</v>
      </c>
      <c r="G820" s="12" t="s">
        <v>6</v>
      </c>
      <c r="H820" s="12">
        <v>17.399999999999999</v>
      </c>
      <c r="I820" s="12">
        <v>20</v>
      </c>
      <c r="J820" s="12">
        <v>16</v>
      </c>
      <c r="K820" s="12" t="s">
        <v>6</v>
      </c>
      <c r="L820" s="12">
        <v>230</v>
      </c>
      <c r="M820" s="138" t="s">
        <v>6</v>
      </c>
    </row>
    <row r="821" spans="1:13" x14ac:dyDescent="0.25">
      <c r="A821" s="79">
        <v>45443</v>
      </c>
      <c r="B821" s="11">
        <v>0.25</v>
      </c>
      <c r="C821" s="22">
        <v>45443.25</v>
      </c>
      <c r="D821" s="12">
        <v>63.1</v>
      </c>
      <c r="E821" s="12">
        <v>69.400000000000006</v>
      </c>
      <c r="F821" s="12">
        <v>59.4</v>
      </c>
      <c r="G821" s="12" t="s">
        <v>6</v>
      </c>
      <c r="H821" s="12">
        <v>17.3</v>
      </c>
      <c r="I821" s="12">
        <v>23.2</v>
      </c>
      <c r="J821" s="12">
        <v>13.3</v>
      </c>
      <c r="K821" s="12" t="s">
        <v>6</v>
      </c>
      <c r="L821" s="12">
        <v>210</v>
      </c>
      <c r="M821" s="138" t="s">
        <v>6</v>
      </c>
    </row>
    <row r="822" spans="1:13" x14ac:dyDescent="0.25">
      <c r="A822" s="81">
        <v>45443</v>
      </c>
      <c r="B822" s="15">
        <v>0.29166666666666669</v>
      </c>
      <c r="C822" s="20">
        <v>45443.291666666664</v>
      </c>
      <c r="D822" s="16">
        <v>61.3</v>
      </c>
      <c r="E822" s="16">
        <v>62.8</v>
      </c>
      <c r="F822" s="16">
        <v>59.6</v>
      </c>
      <c r="G822" s="16" t="s">
        <v>6</v>
      </c>
      <c r="H822" s="16">
        <v>20.8</v>
      </c>
      <c r="I822" s="16">
        <v>23.1</v>
      </c>
      <c r="J822" s="16">
        <v>18.3</v>
      </c>
      <c r="K822" s="16" t="s">
        <v>6</v>
      </c>
      <c r="L822" s="16">
        <v>25</v>
      </c>
      <c r="M822" s="138" t="s">
        <v>6</v>
      </c>
    </row>
    <row r="823" spans="1:13" x14ac:dyDescent="0.25">
      <c r="A823" s="80">
        <v>45443</v>
      </c>
      <c r="B823" s="7">
        <v>0.875</v>
      </c>
      <c r="C823" s="21">
        <v>45443.875</v>
      </c>
      <c r="D823" s="8">
        <v>65.8</v>
      </c>
      <c r="E823" s="8">
        <v>69.2</v>
      </c>
      <c r="F823" s="8">
        <v>60.5</v>
      </c>
      <c r="G823" s="8" t="s">
        <v>6</v>
      </c>
      <c r="H823" s="8">
        <v>22.1</v>
      </c>
      <c r="I823" s="8">
        <v>23.6</v>
      </c>
      <c r="J823" s="8">
        <v>20.7</v>
      </c>
      <c r="K823" s="8" t="s">
        <v>6</v>
      </c>
      <c r="L823" s="8">
        <v>17</v>
      </c>
      <c r="M823" s="139" t="s">
        <v>6</v>
      </c>
    </row>
    <row r="824" spans="1:13" x14ac:dyDescent="0.25">
      <c r="A824" s="79">
        <v>45443</v>
      </c>
      <c r="B824" s="11">
        <v>0.91666666666666663</v>
      </c>
      <c r="C824" s="22">
        <v>45443.916666666664</v>
      </c>
      <c r="D824" s="12">
        <v>62.8</v>
      </c>
      <c r="E824" s="12">
        <v>68</v>
      </c>
      <c r="F824" s="12">
        <v>57.1</v>
      </c>
      <c r="G824" s="12" t="s">
        <v>6</v>
      </c>
      <c r="H824" s="12">
        <v>19.2</v>
      </c>
      <c r="I824" s="12">
        <v>22.2</v>
      </c>
      <c r="J824" s="12">
        <v>16.2</v>
      </c>
      <c r="K824" s="12" t="s">
        <v>6</v>
      </c>
      <c r="L824" s="12">
        <v>231</v>
      </c>
      <c r="M824" s="139" t="s">
        <v>6</v>
      </c>
    </row>
    <row r="825" spans="1:13" x14ac:dyDescent="0.25">
      <c r="A825" s="79">
        <v>45443</v>
      </c>
      <c r="B825" s="11">
        <v>0.95833333333333337</v>
      </c>
      <c r="C825" s="22">
        <v>45443.958333333336</v>
      </c>
      <c r="D825" s="12">
        <v>60.4</v>
      </c>
      <c r="E825" s="12">
        <v>66.099999999999994</v>
      </c>
      <c r="F825" s="12">
        <v>54.8</v>
      </c>
      <c r="G825" s="12" t="s">
        <v>6</v>
      </c>
      <c r="H825" s="12">
        <v>17.7</v>
      </c>
      <c r="I825" s="12">
        <v>22</v>
      </c>
      <c r="J825" s="12">
        <v>14.6</v>
      </c>
      <c r="K825" s="12" t="s">
        <v>6</v>
      </c>
      <c r="L825" s="12">
        <v>223</v>
      </c>
      <c r="M825" s="139" t="s">
        <v>6</v>
      </c>
    </row>
    <row r="826" spans="1:13" x14ac:dyDescent="0.25">
      <c r="A826" s="79">
        <v>45444</v>
      </c>
      <c r="B826" s="11">
        <v>0</v>
      </c>
      <c r="C826" s="22">
        <v>45444</v>
      </c>
      <c r="D826" s="12">
        <v>60.1</v>
      </c>
      <c r="E826" s="12">
        <v>65.2</v>
      </c>
      <c r="F826" s="12">
        <v>55.3</v>
      </c>
      <c r="G826" s="12" t="s">
        <v>6</v>
      </c>
      <c r="H826" s="12">
        <v>16.8</v>
      </c>
      <c r="I826" s="12">
        <v>19.600000000000001</v>
      </c>
      <c r="J826" s="12">
        <v>14.3</v>
      </c>
      <c r="K826" s="12" t="s">
        <v>6</v>
      </c>
      <c r="L826" s="12">
        <v>229</v>
      </c>
      <c r="M826" s="139" t="s">
        <v>6</v>
      </c>
    </row>
    <row r="827" spans="1:13" x14ac:dyDescent="0.25">
      <c r="A827" s="79">
        <v>45444</v>
      </c>
      <c r="B827" s="11">
        <v>4.1666666666666664E-2</v>
      </c>
      <c r="C827" s="22">
        <v>45444.041666666664</v>
      </c>
      <c r="D827" s="12">
        <v>60.6</v>
      </c>
      <c r="E827" s="12">
        <v>66.900000000000006</v>
      </c>
      <c r="F827" s="12">
        <v>55.4</v>
      </c>
      <c r="G827" s="12" t="s">
        <v>6</v>
      </c>
      <c r="H827" s="12">
        <v>17.899999999999999</v>
      </c>
      <c r="I827" s="12">
        <v>21.2</v>
      </c>
      <c r="J827" s="12">
        <v>15.8</v>
      </c>
      <c r="K827" s="12" t="s">
        <v>6</v>
      </c>
      <c r="L827" s="12">
        <v>231</v>
      </c>
      <c r="M827" s="139" t="s">
        <v>6</v>
      </c>
    </row>
    <row r="828" spans="1:13" x14ac:dyDescent="0.25">
      <c r="A828" s="79">
        <v>45444</v>
      </c>
      <c r="B828" s="11">
        <v>8.3333333333333329E-2</v>
      </c>
      <c r="C828" s="22">
        <v>45444.083333333336</v>
      </c>
      <c r="D828" s="12">
        <v>58.7</v>
      </c>
      <c r="E828" s="12">
        <v>63.6</v>
      </c>
      <c r="F828" s="12">
        <v>55</v>
      </c>
      <c r="G828" s="12" t="s">
        <v>6</v>
      </c>
      <c r="H828" s="12">
        <v>17.399999999999999</v>
      </c>
      <c r="I828" s="12">
        <v>19.7</v>
      </c>
      <c r="J828" s="12">
        <v>14.9</v>
      </c>
      <c r="K828" s="12" t="s">
        <v>6</v>
      </c>
      <c r="L828" s="12">
        <v>229</v>
      </c>
      <c r="M828" s="139" t="s">
        <v>6</v>
      </c>
    </row>
    <row r="829" spans="1:13" x14ac:dyDescent="0.25">
      <c r="A829" s="79">
        <v>45444</v>
      </c>
      <c r="B829" s="11">
        <v>0.125</v>
      </c>
      <c r="C829" s="22">
        <v>45444.125</v>
      </c>
      <c r="D829" s="12">
        <v>58.3</v>
      </c>
      <c r="E829" s="12">
        <v>63.5</v>
      </c>
      <c r="F829" s="12">
        <v>53.6</v>
      </c>
      <c r="G829" s="12" t="s">
        <v>6</v>
      </c>
      <c r="H829" s="12">
        <v>17.3</v>
      </c>
      <c r="I829" s="12">
        <v>22</v>
      </c>
      <c r="J829" s="12">
        <v>14.7</v>
      </c>
      <c r="K829" s="12" t="s">
        <v>6</v>
      </c>
      <c r="L829" s="12">
        <v>228</v>
      </c>
      <c r="M829" s="139" t="s">
        <v>6</v>
      </c>
    </row>
    <row r="830" spans="1:13" x14ac:dyDescent="0.25">
      <c r="A830" s="79">
        <v>45444</v>
      </c>
      <c r="B830" s="11">
        <v>0.16666666666666666</v>
      </c>
      <c r="C830" s="22">
        <v>45444.166666666664</v>
      </c>
      <c r="D830" s="12">
        <v>62.5</v>
      </c>
      <c r="E830" s="12">
        <v>70.599999999999994</v>
      </c>
      <c r="F830" s="12">
        <v>57.1</v>
      </c>
      <c r="G830" s="12" t="s">
        <v>6</v>
      </c>
      <c r="H830" s="12">
        <v>17.7</v>
      </c>
      <c r="I830" s="12">
        <v>22.7</v>
      </c>
      <c r="J830" s="12">
        <v>14.2</v>
      </c>
      <c r="K830" s="12" t="s">
        <v>6</v>
      </c>
      <c r="L830" s="12">
        <v>223</v>
      </c>
      <c r="M830" s="139" t="s">
        <v>6</v>
      </c>
    </row>
    <row r="831" spans="1:13" x14ac:dyDescent="0.25">
      <c r="A831" s="79">
        <v>45444</v>
      </c>
      <c r="B831" s="11">
        <v>0.20833333333333334</v>
      </c>
      <c r="C831" s="22">
        <v>45444.208333333336</v>
      </c>
      <c r="D831" s="12">
        <v>67.3</v>
      </c>
      <c r="E831" s="12">
        <v>74.5</v>
      </c>
      <c r="F831" s="12">
        <v>59.8</v>
      </c>
      <c r="G831" s="12" t="s">
        <v>6</v>
      </c>
      <c r="H831" s="12">
        <v>19.100000000000001</v>
      </c>
      <c r="I831" s="12">
        <v>31.4</v>
      </c>
      <c r="J831" s="12">
        <v>14.8</v>
      </c>
      <c r="K831" s="12" t="s">
        <v>6</v>
      </c>
      <c r="L831" s="12">
        <v>161</v>
      </c>
      <c r="M831" s="139" t="s">
        <v>6</v>
      </c>
    </row>
    <row r="832" spans="1:13" x14ac:dyDescent="0.25">
      <c r="A832" s="79">
        <v>45444</v>
      </c>
      <c r="B832" s="11">
        <v>0.25</v>
      </c>
      <c r="C832" s="22">
        <v>45444.25</v>
      </c>
      <c r="D832" s="12">
        <v>59.6</v>
      </c>
      <c r="E832" s="12">
        <v>65.2</v>
      </c>
      <c r="F832" s="12">
        <v>53.7</v>
      </c>
      <c r="G832" s="12" t="s">
        <v>6</v>
      </c>
      <c r="H832" s="12">
        <v>16.8</v>
      </c>
      <c r="I832" s="12">
        <v>26.7</v>
      </c>
      <c r="J832" s="12">
        <v>14.1</v>
      </c>
      <c r="K832" s="12" t="s">
        <v>6</v>
      </c>
      <c r="L832" s="12">
        <v>230</v>
      </c>
      <c r="M832" s="139" t="s">
        <v>6</v>
      </c>
    </row>
    <row r="833" spans="1:13" x14ac:dyDescent="0.25">
      <c r="A833" s="81">
        <v>45444</v>
      </c>
      <c r="B833" s="15">
        <v>0.29166666666666669</v>
      </c>
      <c r="C833" s="20">
        <v>45444.291666666664</v>
      </c>
      <c r="D833" s="16">
        <v>60.6</v>
      </c>
      <c r="E833" s="16">
        <v>65.099999999999994</v>
      </c>
      <c r="F833" s="16">
        <v>54.9</v>
      </c>
      <c r="G833" s="16" t="s">
        <v>6</v>
      </c>
      <c r="H833" s="16">
        <v>17.399999999999999</v>
      </c>
      <c r="I833" s="16">
        <v>22.1</v>
      </c>
      <c r="J833" s="16">
        <v>15.1</v>
      </c>
      <c r="K833" s="16" t="s">
        <v>6</v>
      </c>
      <c r="L833" s="16">
        <v>189</v>
      </c>
      <c r="M833" s="139" t="s">
        <v>6</v>
      </c>
    </row>
    <row r="834" spans="1:13" x14ac:dyDescent="0.25">
      <c r="A834" s="80">
        <v>45444</v>
      </c>
      <c r="B834" s="7">
        <v>0.875</v>
      </c>
      <c r="C834" s="21">
        <v>45444.875</v>
      </c>
      <c r="D834" s="8">
        <v>66.5</v>
      </c>
      <c r="E834" s="8">
        <v>74.2</v>
      </c>
      <c r="F834" s="8">
        <v>53.7</v>
      </c>
      <c r="G834" s="8" t="s">
        <v>6</v>
      </c>
      <c r="H834" s="8">
        <v>21.3</v>
      </c>
      <c r="I834" s="8">
        <v>25.3</v>
      </c>
      <c r="J834" s="8">
        <v>16.600000000000001</v>
      </c>
      <c r="K834" s="8" t="s">
        <v>6</v>
      </c>
      <c r="L834" s="8">
        <v>122</v>
      </c>
      <c r="M834" s="139" t="s">
        <v>6</v>
      </c>
    </row>
    <row r="835" spans="1:13" x14ac:dyDescent="0.25">
      <c r="A835" s="79">
        <v>45444</v>
      </c>
      <c r="B835" s="11">
        <v>0.91666666666666663</v>
      </c>
      <c r="C835" s="22">
        <v>45444.916666666664</v>
      </c>
      <c r="D835" s="12">
        <v>67.099999999999994</v>
      </c>
      <c r="E835" s="12">
        <v>74</v>
      </c>
      <c r="F835" s="12">
        <v>61</v>
      </c>
      <c r="G835" s="12" t="s">
        <v>6</v>
      </c>
      <c r="H835" s="12">
        <v>18.600000000000001</v>
      </c>
      <c r="I835" s="12">
        <v>21.2</v>
      </c>
      <c r="J835" s="12">
        <v>15</v>
      </c>
      <c r="K835" s="12" t="s">
        <v>6</v>
      </c>
      <c r="L835" s="12">
        <v>231</v>
      </c>
      <c r="M835" s="139" t="s">
        <v>6</v>
      </c>
    </row>
    <row r="836" spans="1:13" x14ac:dyDescent="0.25">
      <c r="A836" s="79">
        <v>45444</v>
      </c>
      <c r="B836" s="11">
        <v>0.95833333333333337</v>
      </c>
      <c r="C836" s="22">
        <v>45444.958333333336</v>
      </c>
      <c r="D836" s="12">
        <v>65.8</v>
      </c>
      <c r="E836" s="12">
        <v>70.599999999999994</v>
      </c>
      <c r="F836" s="12">
        <v>59.4</v>
      </c>
      <c r="G836" s="12" t="s">
        <v>6</v>
      </c>
      <c r="H836" s="12">
        <v>18.3</v>
      </c>
      <c r="I836" s="12">
        <v>22.7</v>
      </c>
      <c r="J836" s="12">
        <v>14.8</v>
      </c>
      <c r="K836" s="12" t="s">
        <v>6</v>
      </c>
      <c r="L836" s="12">
        <v>227</v>
      </c>
      <c r="M836" s="139" t="s">
        <v>6</v>
      </c>
    </row>
    <row r="837" spans="1:13" x14ac:dyDescent="0.25">
      <c r="A837" s="79">
        <v>45445</v>
      </c>
      <c r="B837" s="11">
        <v>0</v>
      </c>
      <c r="C837" s="22">
        <v>45445</v>
      </c>
      <c r="D837" s="12">
        <v>64.900000000000006</v>
      </c>
      <c r="E837" s="12">
        <v>70.5</v>
      </c>
      <c r="F837" s="12">
        <v>59.9</v>
      </c>
      <c r="G837" s="12" t="s">
        <v>6</v>
      </c>
      <c r="H837" s="12">
        <v>18.3</v>
      </c>
      <c r="I837" s="12">
        <v>22.2</v>
      </c>
      <c r="J837" s="12">
        <v>15.2</v>
      </c>
      <c r="K837" s="12" t="s">
        <v>6</v>
      </c>
      <c r="L837" s="12">
        <v>228</v>
      </c>
      <c r="M837" s="139" t="s">
        <v>6</v>
      </c>
    </row>
    <row r="838" spans="1:13" x14ac:dyDescent="0.25">
      <c r="A838" s="79">
        <v>45445</v>
      </c>
      <c r="B838" s="11">
        <v>4.1666666666666664E-2</v>
      </c>
      <c r="C838" s="22">
        <v>45445.041666666664</v>
      </c>
      <c r="D838" s="12">
        <v>59.5</v>
      </c>
      <c r="E838" s="12">
        <v>66.599999999999994</v>
      </c>
      <c r="F838" s="12">
        <v>49.5</v>
      </c>
      <c r="G838" s="12" t="s">
        <v>6</v>
      </c>
      <c r="H838" s="12">
        <v>18.8</v>
      </c>
      <c r="I838" s="12">
        <v>23.8</v>
      </c>
      <c r="J838" s="12">
        <v>15.8</v>
      </c>
      <c r="K838" s="12" t="s">
        <v>6</v>
      </c>
      <c r="L838" s="12">
        <v>203</v>
      </c>
      <c r="M838" s="139" t="s">
        <v>6</v>
      </c>
    </row>
    <row r="839" spans="1:13" x14ac:dyDescent="0.25">
      <c r="A839" s="79">
        <v>45445</v>
      </c>
      <c r="B839" s="11">
        <v>8.3333333333333329E-2</v>
      </c>
      <c r="C839" s="22">
        <v>45445.083333333336</v>
      </c>
      <c r="D839" s="12">
        <v>65</v>
      </c>
      <c r="E839" s="12">
        <v>70.900000000000006</v>
      </c>
      <c r="F839" s="12">
        <v>54.9</v>
      </c>
      <c r="G839" s="12" t="s">
        <v>6</v>
      </c>
      <c r="H839" s="12">
        <v>19.100000000000001</v>
      </c>
      <c r="I839" s="12">
        <v>22.4</v>
      </c>
      <c r="J839" s="12">
        <v>16.899999999999999</v>
      </c>
      <c r="K839" s="12" t="s">
        <v>6</v>
      </c>
      <c r="L839" s="12">
        <v>225</v>
      </c>
      <c r="M839" s="139" t="s">
        <v>6</v>
      </c>
    </row>
    <row r="840" spans="1:13" x14ac:dyDescent="0.25">
      <c r="A840" s="79">
        <v>45445</v>
      </c>
      <c r="B840" s="11">
        <v>0.125</v>
      </c>
      <c r="C840" s="22">
        <v>45445.125</v>
      </c>
      <c r="D840" s="12">
        <v>64.7</v>
      </c>
      <c r="E840" s="12">
        <v>69.3</v>
      </c>
      <c r="F840" s="12">
        <v>57.2</v>
      </c>
      <c r="G840" s="12" t="s">
        <v>6</v>
      </c>
      <c r="H840" s="12">
        <v>17.2</v>
      </c>
      <c r="I840" s="12">
        <v>19.7</v>
      </c>
      <c r="J840" s="12">
        <v>15.2</v>
      </c>
      <c r="K840" s="12" t="s">
        <v>6</v>
      </c>
      <c r="L840" s="12">
        <v>220</v>
      </c>
      <c r="M840" s="139" t="s">
        <v>6</v>
      </c>
    </row>
    <row r="841" spans="1:13" x14ac:dyDescent="0.25">
      <c r="A841" s="79">
        <v>45445</v>
      </c>
      <c r="B841" s="11">
        <v>0.16666666666666666</v>
      </c>
      <c r="C841" s="22">
        <v>45445.166666666664</v>
      </c>
      <c r="D841" s="12">
        <v>65.900000000000006</v>
      </c>
      <c r="E841" s="12">
        <v>71.2</v>
      </c>
      <c r="F841" s="12">
        <v>61.7</v>
      </c>
      <c r="G841" s="12" t="s">
        <v>6</v>
      </c>
      <c r="H841" s="12">
        <v>17.2</v>
      </c>
      <c r="I841" s="12">
        <v>27.4</v>
      </c>
      <c r="J841" s="12">
        <v>14</v>
      </c>
      <c r="K841" s="12" t="s">
        <v>6</v>
      </c>
      <c r="L841" s="12">
        <v>228</v>
      </c>
      <c r="M841" s="139" t="s">
        <v>6</v>
      </c>
    </row>
    <row r="842" spans="1:13" x14ac:dyDescent="0.25">
      <c r="A842" s="79">
        <v>45445</v>
      </c>
      <c r="B842" s="11">
        <v>0.20833333333333334</v>
      </c>
      <c r="C842" s="22">
        <v>45445.208333333336</v>
      </c>
      <c r="D842" s="12">
        <v>64.3</v>
      </c>
      <c r="E842" s="12">
        <v>72.3</v>
      </c>
      <c r="F842" s="12">
        <v>58</v>
      </c>
      <c r="G842" s="12" t="s">
        <v>6</v>
      </c>
      <c r="H842" s="12">
        <v>17.399999999999999</v>
      </c>
      <c r="I842" s="12">
        <v>20</v>
      </c>
      <c r="J842" s="12">
        <v>15.2</v>
      </c>
      <c r="K842" s="12" t="s">
        <v>6</v>
      </c>
      <c r="L842" s="12">
        <v>229</v>
      </c>
      <c r="M842" s="139" t="s">
        <v>6</v>
      </c>
    </row>
    <row r="843" spans="1:13" x14ac:dyDescent="0.25">
      <c r="A843" s="79">
        <v>45445</v>
      </c>
      <c r="B843" s="11">
        <v>0.25</v>
      </c>
      <c r="C843" s="22">
        <v>45445.25</v>
      </c>
      <c r="D843" s="12">
        <v>65.599999999999994</v>
      </c>
      <c r="E843" s="12">
        <v>71.900000000000006</v>
      </c>
      <c r="F843" s="12">
        <v>59.5</v>
      </c>
      <c r="G843" s="12" t="s">
        <v>6</v>
      </c>
      <c r="H843" s="12">
        <v>17.8</v>
      </c>
      <c r="I843" s="12">
        <v>22</v>
      </c>
      <c r="J843" s="12">
        <v>15.8</v>
      </c>
      <c r="K843" s="12" t="s">
        <v>6</v>
      </c>
      <c r="L843" s="12">
        <v>231</v>
      </c>
      <c r="M843" s="139" t="s">
        <v>6</v>
      </c>
    </row>
    <row r="844" spans="1:13" x14ac:dyDescent="0.25">
      <c r="A844" s="81">
        <v>45445</v>
      </c>
      <c r="B844" s="15">
        <v>0.29166666666666669</v>
      </c>
      <c r="C844" s="20">
        <v>45445.291666666664</v>
      </c>
      <c r="D844" s="16">
        <v>62.9</v>
      </c>
      <c r="E844" s="16">
        <v>66.7</v>
      </c>
      <c r="F844" s="16">
        <v>58.1</v>
      </c>
      <c r="G844" s="16" t="s">
        <v>6</v>
      </c>
      <c r="H844" s="16">
        <v>18</v>
      </c>
      <c r="I844" s="16">
        <v>22</v>
      </c>
      <c r="J844" s="16">
        <v>16</v>
      </c>
      <c r="K844" s="16" t="s">
        <v>6</v>
      </c>
      <c r="L844" s="16">
        <v>178</v>
      </c>
      <c r="M844" s="139" t="s">
        <v>6</v>
      </c>
    </row>
    <row r="845" spans="1:13" x14ac:dyDescent="0.25">
      <c r="A845" s="80">
        <v>45446</v>
      </c>
      <c r="B845" s="7">
        <v>0.16666666666666666</v>
      </c>
      <c r="C845" s="21">
        <v>45446.166666666664</v>
      </c>
      <c r="D845" s="8">
        <v>64.400000000000006</v>
      </c>
      <c r="E845" s="8">
        <v>71</v>
      </c>
      <c r="F845" s="8">
        <v>54</v>
      </c>
      <c r="G845" s="8" t="s">
        <v>6</v>
      </c>
      <c r="H845" s="8">
        <v>21.6</v>
      </c>
      <c r="I845" s="8">
        <v>27.7</v>
      </c>
      <c r="J845" s="8">
        <v>17.7</v>
      </c>
      <c r="K845" s="8" t="s">
        <v>6</v>
      </c>
      <c r="L845" s="8">
        <v>100</v>
      </c>
      <c r="M845" s="140" t="s">
        <v>6</v>
      </c>
    </row>
    <row r="846" spans="1:13" x14ac:dyDescent="0.25">
      <c r="A846" s="79">
        <v>45446</v>
      </c>
      <c r="B846" s="11">
        <v>0.20833333333333334</v>
      </c>
      <c r="C846" s="22">
        <v>45446.208333333336</v>
      </c>
      <c r="D846" s="12">
        <v>64.8</v>
      </c>
      <c r="E846" s="12">
        <v>71.599999999999994</v>
      </c>
      <c r="F846" s="12">
        <v>57</v>
      </c>
      <c r="G846" s="12" t="s">
        <v>6</v>
      </c>
      <c r="H846" s="12">
        <v>18.100000000000001</v>
      </c>
      <c r="I846" s="12">
        <v>20.9</v>
      </c>
      <c r="J846" s="12">
        <v>15.3</v>
      </c>
      <c r="K846" s="12" t="s">
        <v>6</v>
      </c>
      <c r="L846" s="12">
        <v>219</v>
      </c>
      <c r="M846" s="140" t="s">
        <v>6</v>
      </c>
    </row>
    <row r="847" spans="1:13" x14ac:dyDescent="0.25">
      <c r="A847" s="81">
        <v>45446</v>
      </c>
      <c r="B847" s="15">
        <v>0.25</v>
      </c>
      <c r="C847" s="20">
        <v>45446.25</v>
      </c>
      <c r="D847" s="16">
        <v>64.900000000000006</v>
      </c>
      <c r="E847" s="16">
        <v>69.2</v>
      </c>
      <c r="F847" s="16">
        <v>59.9</v>
      </c>
      <c r="G847" s="16" t="s">
        <v>6</v>
      </c>
      <c r="H847" s="16">
        <v>17.399999999999999</v>
      </c>
      <c r="I847" s="16">
        <v>19.7</v>
      </c>
      <c r="J847" s="16">
        <v>16.3</v>
      </c>
      <c r="K847" s="16" t="s">
        <v>6</v>
      </c>
      <c r="L847" s="16">
        <v>81</v>
      </c>
      <c r="M847" s="140" t="s">
        <v>6</v>
      </c>
    </row>
    <row r="848" spans="1:13" x14ac:dyDescent="0.25">
      <c r="A848" s="80">
        <v>45447</v>
      </c>
      <c r="B848" s="7">
        <v>0.16666666666666666</v>
      </c>
      <c r="C848" s="21">
        <v>45447.166666666664</v>
      </c>
      <c r="D848" s="8">
        <v>61.8</v>
      </c>
      <c r="E848" s="8">
        <v>68.8</v>
      </c>
      <c r="F848" s="8">
        <v>52.9</v>
      </c>
      <c r="G848" s="8" t="s">
        <v>6</v>
      </c>
      <c r="H848" s="8">
        <v>19.2</v>
      </c>
      <c r="I848" s="8">
        <v>24.4</v>
      </c>
      <c r="J848" s="8">
        <v>17.3</v>
      </c>
      <c r="K848" s="8" t="s">
        <v>6</v>
      </c>
      <c r="L848" s="8">
        <v>198</v>
      </c>
      <c r="M848" s="141" t="s">
        <v>6</v>
      </c>
    </row>
    <row r="849" spans="1:13" x14ac:dyDescent="0.25">
      <c r="A849" s="79">
        <v>45447</v>
      </c>
      <c r="B849" s="11">
        <v>0.20833333333333334</v>
      </c>
      <c r="C849" s="22">
        <v>45447.208333333336</v>
      </c>
      <c r="D849" s="12">
        <v>63.3</v>
      </c>
      <c r="E849" s="12">
        <v>69.8</v>
      </c>
      <c r="F849" s="12">
        <v>57</v>
      </c>
      <c r="G849" s="12" t="s">
        <v>6</v>
      </c>
      <c r="H849" s="12">
        <v>17.899999999999999</v>
      </c>
      <c r="I849" s="12">
        <v>21.5</v>
      </c>
      <c r="J849" s="12">
        <v>15.5</v>
      </c>
      <c r="K849" s="12" t="s">
        <v>6</v>
      </c>
      <c r="L849" s="12">
        <v>228</v>
      </c>
      <c r="M849" s="141" t="s">
        <v>6</v>
      </c>
    </row>
    <row r="850" spans="1:13" x14ac:dyDescent="0.25">
      <c r="A850" s="79">
        <v>45447</v>
      </c>
      <c r="B850" s="11">
        <v>0.25</v>
      </c>
      <c r="C850" s="22">
        <v>45447.25</v>
      </c>
      <c r="D850" s="12">
        <v>64.900000000000006</v>
      </c>
      <c r="E850" s="12">
        <v>71.5</v>
      </c>
      <c r="F850" s="12">
        <v>59.2</v>
      </c>
      <c r="G850" s="12" t="s">
        <v>6</v>
      </c>
      <c r="H850" s="12">
        <v>17.2</v>
      </c>
      <c r="I850" s="12">
        <v>19.8</v>
      </c>
      <c r="J850" s="12">
        <v>14.8</v>
      </c>
      <c r="K850" s="12" t="s">
        <v>6</v>
      </c>
      <c r="L850" s="12">
        <v>230</v>
      </c>
      <c r="M850" s="141" t="s">
        <v>6</v>
      </c>
    </row>
    <row r="851" spans="1:13" x14ac:dyDescent="0.25">
      <c r="A851" s="81">
        <v>45447</v>
      </c>
      <c r="B851" s="15">
        <v>0.29166666666666669</v>
      </c>
      <c r="C851" s="20">
        <v>45447.291666666664</v>
      </c>
      <c r="D851" s="16">
        <v>66.900000000000006</v>
      </c>
      <c r="E851" s="16">
        <v>72.5</v>
      </c>
      <c r="F851" s="16">
        <v>62</v>
      </c>
      <c r="G851" s="16" t="s">
        <v>6</v>
      </c>
      <c r="H851" s="16">
        <v>16.600000000000001</v>
      </c>
      <c r="I851" s="16">
        <v>19.3</v>
      </c>
      <c r="J851" s="16">
        <v>13.7</v>
      </c>
      <c r="K851" s="16" t="s">
        <v>6</v>
      </c>
      <c r="L851" s="16">
        <v>99</v>
      </c>
      <c r="M851" s="141" t="s">
        <v>6</v>
      </c>
    </row>
    <row r="852" spans="1:13" x14ac:dyDescent="0.25">
      <c r="A852" s="80">
        <v>45447</v>
      </c>
      <c r="B852" s="7">
        <v>0.58333333333333337</v>
      </c>
      <c r="C852" s="21">
        <v>45447.583333333336</v>
      </c>
      <c r="D852" s="8">
        <v>65.5</v>
      </c>
      <c r="E852" s="8">
        <v>66.7</v>
      </c>
      <c r="F852" s="8">
        <v>64.2</v>
      </c>
      <c r="G852" s="8" t="s">
        <v>6</v>
      </c>
      <c r="H852" s="8">
        <v>13.2</v>
      </c>
      <c r="I852" s="8">
        <v>13.5</v>
      </c>
      <c r="J852" s="8">
        <v>12.8</v>
      </c>
      <c r="K852" s="8" t="s">
        <v>6</v>
      </c>
      <c r="L852" s="8">
        <v>2</v>
      </c>
      <c r="M852" s="142" t="s">
        <v>6</v>
      </c>
    </row>
    <row r="853" spans="1:13" x14ac:dyDescent="0.25">
      <c r="A853" s="79">
        <v>45447</v>
      </c>
      <c r="B853" s="11">
        <v>0.625</v>
      </c>
      <c r="C853" s="22">
        <v>45447.625</v>
      </c>
      <c r="D853" s="12">
        <v>73</v>
      </c>
      <c r="E853" s="12">
        <v>73</v>
      </c>
      <c r="F853" s="12">
        <v>73</v>
      </c>
      <c r="G853" s="12" t="s">
        <v>6</v>
      </c>
      <c r="H853" s="12">
        <v>14.8</v>
      </c>
      <c r="I853" s="12">
        <v>14.8</v>
      </c>
      <c r="J853" s="12">
        <v>14.8</v>
      </c>
      <c r="K853" s="12" t="s">
        <v>6</v>
      </c>
      <c r="L853" s="12">
        <v>1</v>
      </c>
      <c r="M853" s="142" t="s">
        <v>6</v>
      </c>
    </row>
    <row r="854" spans="1:13" x14ac:dyDescent="0.25">
      <c r="A854" s="79">
        <v>45447</v>
      </c>
      <c r="B854" s="11">
        <v>0.66666666666666663</v>
      </c>
      <c r="C854" s="22">
        <v>45447.666666666664</v>
      </c>
      <c r="D854" s="12">
        <v>79.8</v>
      </c>
      <c r="E854" s="12">
        <v>79.8</v>
      </c>
      <c r="F854" s="12">
        <v>79.8</v>
      </c>
      <c r="G854" s="12" t="s">
        <v>6</v>
      </c>
      <c r="H854" s="12">
        <v>13</v>
      </c>
      <c r="I854" s="12">
        <v>13</v>
      </c>
      <c r="J854" s="12">
        <v>13</v>
      </c>
      <c r="K854" s="12" t="s">
        <v>6</v>
      </c>
      <c r="L854" s="12">
        <v>1</v>
      </c>
      <c r="M854" s="142" t="s">
        <v>6</v>
      </c>
    </row>
    <row r="855" spans="1:13" x14ac:dyDescent="0.25">
      <c r="A855" s="79">
        <v>45447</v>
      </c>
      <c r="B855" s="11">
        <v>0.875</v>
      </c>
      <c r="C855" s="22">
        <v>45447.875</v>
      </c>
      <c r="D855" s="12">
        <v>63.7</v>
      </c>
      <c r="E855" s="12">
        <v>65.5</v>
      </c>
      <c r="F855" s="12">
        <v>62.3</v>
      </c>
      <c r="G855" s="12" t="s">
        <v>6</v>
      </c>
      <c r="H855" s="12">
        <v>21.6</v>
      </c>
      <c r="I855" s="12">
        <v>22.8</v>
      </c>
      <c r="J855" s="12">
        <v>20</v>
      </c>
      <c r="K855" s="12" t="s">
        <v>6</v>
      </c>
      <c r="L855" s="12">
        <v>22</v>
      </c>
      <c r="M855" s="142" t="s">
        <v>6</v>
      </c>
    </row>
    <row r="856" spans="1:13" x14ac:dyDescent="0.25">
      <c r="A856" s="81">
        <v>45448</v>
      </c>
      <c r="B856" s="15">
        <v>0.25</v>
      </c>
      <c r="C856" s="20">
        <v>45448.25</v>
      </c>
      <c r="D856" s="16">
        <v>72.900000000000006</v>
      </c>
      <c r="E856" s="16">
        <v>74</v>
      </c>
      <c r="F856" s="16">
        <v>72</v>
      </c>
      <c r="G856" s="16" t="s">
        <v>6</v>
      </c>
      <c r="H856" s="16">
        <v>16.7</v>
      </c>
      <c r="I856" s="16">
        <v>19.399999999999999</v>
      </c>
      <c r="J856" s="16">
        <v>10.7</v>
      </c>
      <c r="K856" s="16" t="s">
        <v>6</v>
      </c>
      <c r="L856" s="16">
        <v>13</v>
      </c>
      <c r="M856" s="142" t="s">
        <v>6</v>
      </c>
    </row>
    <row r="857" spans="1:13" x14ac:dyDescent="0.25">
      <c r="A857" s="80">
        <v>45448</v>
      </c>
      <c r="B857" s="7">
        <v>0.375</v>
      </c>
      <c r="C857" s="21">
        <v>45448.375</v>
      </c>
      <c r="D857" s="8">
        <v>75.3</v>
      </c>
      <c r="E857" s="8">
        <v>75.3</v>
      </c>
      <c r="F857" s="8">
        <v>75.3</v>
      </c>
      <c r="G857" s="8" t="s">
        <v>6</v>
      </c>
      <c r="H857" s="8">
        <v>11.6</v>
      </c>
      <c r="I857" s="8">
        <v>11.6</v>
      </c>
      <c r="J857" s="8">
        <v>11.6</v>
      </c>
      <c r="K857" s="8" t="s">
        <v>6</v>
      </c>
      <c r="L857" s="8">
        <v>1</v>
      </c>
      <c r="M857" s="142" t="s">
        <v>6</v>
      </c>
    </row>
    <row r="858" spans="1:13" x14ac:dyDescent="0.25">
      <c r="A858" s="79">
        <v>45448</v>
      </c>
      <c r="B858" s="11">
        <v>0.45833333333333331</v>
      </c>
      <c r="C858" s="22">
        <v>45448.458333333336</v>
      </c>
      <c r="D858" s="12">
        <v>70.3</v>
      </c>
      <c r="E858" s="12">
        <v>70.5</v>
      </c>
      <c r="F858" s="12">
        <v>70.099999999999994</v>
      </c>
      <c r="G858" s="12" t="s">
        <v>6</v>
      </c>
      <c r="H858" s="12">
        <v>8.4</v>
      </c>
      <c r="I858" s="12">
        <v>8.5</v>
      </c>
      <c r="J858" s="12">
        <v>8.4</v>
      </c>
      <c r="K858" s="12" t="s">
        <v>6</v>
      </c>
      <c r="L858" s="12">
        <v>2</v>
      </c>
      <c r="M858" s="142" t="s">
        <v>6</v>
      </c>
    </row>
    <row r="859" spans="1:13" x14ac:dyDescent="0.25">
      <c r="A859" s="79">
        <v>45448</v>
      </c>
      <c r="B859" s="11">
        <v>0.54166666666666663</v>
      </c>
      <c r="C859" s="22">
        <v>45448.541666666664</v>
      </c>
      <c r="D859" s="12">
        <v>60.5</v>
      </c>
      <c r="E859" s="12">
        <v>65.3</v>
      </c>
      <c r="F859" s="12">
        <v>55.6</v>
      </c>
      <c r="G859" s="12" t="s">
        <v>6</v>
      </c>
      <c r="H859" s="12">
        <v>17.899999999999999</v>
      </c>
      <c r="I859" s="12">
        <v>17.899999999999999</v>
      </c>
      <c r="J859" s="12">
        <v>17.899999999999999</v>
      </c>
      <c r="K859" s="12" t="s">
        <v>6</v>
      </c>
      <c r="L859" s="12">
        <v>2</v>
      </c>
      <c r="M859" s="143" t="s">
        <v>6</v>
      </c>
    </row>
    <row r="860" spans="1:13" x14ac:dyDescent="0.25">
      <c r="A860" s="79">
        <v>45448</v>
      </c>
      <c r="B860" s="11">
        <v>0.58333333333333337</v>
      </c>
      <c r="C860" s="22">
        <v>45448.583333333336</v>
      </c>
      <c r="D860" s="12">
        <v>66.099999999999994</v>
      </c>
      <c r="E860" s="12">
        <v>71.099999999999994</v>
      </c>
      <c r="F860" s="12">
        <v>61.9</v>
      </c>
      <c r="G860" s="12" t="s">
        <v>6</v>
      </c>
      <c r="H860" s="12">
        <v>12.8</v>
      </c>
      <c r="I860" s="12">
        <v>16.5</v>
      </c>
      <c r="J860" s="12">
        <v>8.9</v>
      </c>
      <c r="K860" s="12" t="s">
        <v>6</v>
      </c>
      <c r="L860" s="12">
        <v>4</v>
      </c>
      <c r="M860" s="143" t="s">
        <v>6</v>
      </c>
    </row>
    <row r="861" spans="1:13" x14ac:dyDescent="0.25">
      <c r="A861" s="79">
        <v>45448</v>
      </c>
      <c r="B861" s="11">
        <v>0.75</v>
      </c>
      <c r="C861" s="22">
        <v>45448.75</v>
      </c>
      <c r="D861" s="12">
        <v>71.400000000000006</v>
      </c>
      <c r="E861" s="12">
        <v>71.400000000000006</v>
      </c>
      <c r="F861" s="12">
        <v>71.400000000000006</v>
      </c>
      <c r="G861" s="12" t="s">
        <v>6</v>
      </c>
      <c r="H861" s="12">
        <v>9.6</v>
      </c>
      <c r="I861" s="12">
        <v>9.6</v>
      </c>
      <c r="J861" s="12">
        <v>9.6</v>
      </c>
      <c r="K861" s="12" t="s">
        <v>6</v>
      </c>
      <c r="L861" s="12">
        <v>1</v>
      </c>
      <c r="M861" s="143" t="s">
        <v>6</v>
      </c>
    </row>
    <row r="862" spans="1:13" x14ac:dyDescent="0.25">
      <c r="A862" s="79">
        <v>45448</v>
      </c>
      <c r="B862" s="11">
        <v>0.79166666666666663</v>
      </c>
      <c r="C862" s="22">
        <v>45448.791666666664</v>
      </c>
      <c r="D862" s="12">
        <v>71.099999999999994</v>
      </c>
      <c r="E862" s="12">
        <v>71.900000000000006</v>
      </c>
      <c r="F862" s="12">
        <v>70.2</v>
      </c>
      <c r="G862" s="12" t="s">
        <v>6</v>
      </c>
      <c r="H862" s="12">
        <v>19.8</v>
      </c>
      <c r="I862" s="12">
        <v>20</v>
      </c>
      <c r="J862" s="12">
        <v>19.600000000000001</v>
      </c>
      <c r="K862" s="12" t="s">
        <v>6</v>
      </c>
      <c r="L862" s="12">
        <v>2</v>
      </c>
      <c r="M862" s="143" t="s">
        <v>6</v>
      </c>
    </row>
    <row r="863" spans="1:13" x14ac:dyDescent="0.25">
      <c r="A863" s="79">
        <v>45448</v>
      </c>
      <c r="B863" s="11">
        <v>0.91666666666666663</v>
      </c>
      <c r="C863" s="22">
        <v>45448.916666666664</v>
      </c>
      <c r="D863" s="12">
        <v>65.2</v>
      </c>
      <c r="E863" s="12">
        <v>70.7</v>
      </c>
      <c r="F863" s="12">
        <v>50.2</v>
      </c>
      <c r="G863" s="12" t="s">
        <v>6</v>
      </c>
      <c r="H863" s="12">
        <v>20.100000000000001</v>
      </c>
      <c r="I863" s="12">
        <v>25</v>
      </c>
      <c r="J863" s="12">
        <v>10.7</v>
      </c>
      <c r="K863" s="12" t="s">
        <v>6</v>
      </c>
      <c r="L863" s="12">
        <v>126</v>
      </c>
      <c r="M863" s="143" t="s">
        <v>6</v>
      </c>
    </row>
    <row r="864" spans="1:13" x14ac:dyDescent="0.25">
      <c r="A864" s="79">
        <v>45448</v>
      </c>
      <c r="B864" s="11">
        <v>0.95833333333333337</v>
      </c>
      <c r="C864" s="22">
        <v>45448.958333333336</v>
      </c>
      <c r="D864" s="12">
        <v>67.8</v>
      </c>
      <c r="E864" s="12">
        <v>71.400000000000006</v>
      </c>
      <c r="F864" s="12">
        <v>60.8</v>
      </c>
      <c r="G864" s="12" t="s">
        <v>6</v>
      </c>
      <c r="H864" s="12">
        <v>18.899999999999999</v>
      </c>
      <c r="I864" s="12">
        <v>21.7</v>
      </c>
      <c r="J864" s="12">
        <v>15.9</v>
      </c>
      <c r="K864" s="12" t="s">
        <v>6</v>
      </c>
      <c r="L864" s="12">
        <v>216</v>
      </c>
      <c r="M864" s="143" t="s">
        <v>6</v>
      </c>
    </row>
    <row r="865" spans="1:13" x14ac:dyDescent="0.25">
      <c r="A865" s="79">
        <v>45449</v>
      </c>
      <c r="B865" s="11">
        <v>0</v>
      </c>
      <c r="C865" s="22">
        <v>45449</v>
      </c>
      <c r="D865" s="12">
        <v>63.8</v>
      </c>
      <c r="E865" s="12">
        <v>69.5</v>
      </c>
      <c r="F865" s="12">
        <v>53.8</v>
      </c>
      <c r="G865" s="12" t="s">
        <v>6</v>
      </c>
      <c r="H865" s="12">
        <v>18.8</v>
      </c>
      <c r="I865" s="12">
        <v>22.6</v>
      </c>
      <c r="J865" s="12">
        <v>15.8</v>
      </c>
      <c r="K865" s="12" t="s">
        <v>6</v>
      </c>
      <c r="L865" s="12">
        <v>223</v>
      </c>
      <c r="M865" s="143" t="s">
        <v>6</v>
      </c>
    </row>
    <row r="866" spans="1:13" x14ac:dyDescent="0.25">
      <c r="A866" s="79">
        <v>45449</v>
      </c>
      <c r="B866" s="11">
        <v>4.1666666666666664E-2</v>
      </c>
      <c r="C866" s="22">
        <v>45449.041666666664</v>
      </c>
      <c r="D866" s="12">
        <v>62.3</v>
      </c>
      <c r="E866" s="12">
        <v>68.5</v>
      </c>
      <c r="F866" s="12">
        <v>54.2</v>
      </c>
      <c r="G866" s="12" t="s">
        <v>6</v>
      </c>
      <c r="H866" s="12">
        <v>20</v>
      </c>
      <c r="I866" s="12">
        <v>25.2</v>
      </c>
      <c r="J866" s="12">
        <v>15.9</v>
      </c>
      <c r="K866" s="12" t="s">
        <v>6</v>
      </c>
      <c r="L866" s="12">
        <v>226</v>
      </c>
      <c r="M866" s="143" t="s">
        <v>6</v>
      </c>
    </row>
    <row r="867" spans="1:13" x14ac:dyDescent="0.25">
      <c r="A867" s="79">
        <v>45449</v>
      </c>
      <c r="B867" s="11">
        <v>8.3333333333333329E-2</v>
      </c>
      <c r="C867" s="22">
        <v>45449.083333333336</v>
      </c>
      <c r="D867" s="12">
        <v>65.3</v>
      </c>
      <c r="E867" s="12">
        <v>71</v>
      </c>
      <c r="F867" s="12">
        <v>58.2</v>
      </c>
      <c r="G867" s="12" t="s">
        <v>6</v>
      </c>
      <c r="H867" s="12">
        <v>19.3</v>
      </c>
      <c r="I867" s="12">
        <v>24</v>
      </c>
      <c r="J867" s="12">
        <v>16</v>
      </c>
      <c r="K867" s="12" t="s">
        <v>6</v>
      </c>
      <c r="L867" s="12">
        <v>211</v>
      </c>
      <c r="M867" s="143" t="s">
        <v>6</v>
      </c>
    </row>
    <row r="868" spans="1:13" x14ac:dyDescent="0.25">
      <c r="A868" s="79">
        <v>45449</v>
      </c>
      <c r="B868" s="11">
        <v>0.125</v>
      </c>
      <c r="C868" s="22">
        <v>45449.125</v>
      </c>
      <c r="D868" s="12">
        <v>66.2</v>
      </c>
      <c r="E868" s="12">
        <v>78</v>
      </c>
      <c r="F868" s="12">
        <v>60.8</v>
      </c>
      <c r="G868" s="12" t="s">
        <v>6</v>
      </c>
      <c r="H868" s="12">
        <v>19.100000000000001</v>
      </c>
      <c r="I868" s="12">
        <v>23.6</v>
      </c>
      <c r="J868" s="12">
        <v>17</v>
      </c>
      <c r="K868" s="12" t="s">
        <v>6</v>
      </c>
      <c r="L868" s="12">
        <v>214</v>
      </c>
      <c r="M868" s="143" t="s">
        <v>6</v>
      </c>
    </row>
    <row r="869" spans="1:13" x14ac:dyDescent="0.25">
      <c r="A869" s="79">
        <v>45449</v>
      </c>
      <c r="B869" s="11">
        <v>0.16666666666666666</v>
      </c>
      <c r="C869" s="22">
        <v>45449.166666666664</v>
      </c>
      <c r="D869" s="12">
        <v>65.7</v>
      </c>
      <c r="E869" s="12">
        <v>73</v>
      </c>
      <c r="F869" s="12">
        <v>60.2</v>
      </c>
      <c r="G869" s="12" t="s">
        <v>6</v>
      </c>
      <c r="H869" s="12">
        <v>19.100000000000001</v>
      </c>
      <c r="I869" s="12">
        <v>22.6</v>
      </c>
      <c r="J869" s="12">
        <v>16.7</v>
      </c>
      <c r="K869" s="12" t="s">
        <v>6</v>
      </c>
      <c r="L869" s="12">
        <v>199</v>
      </c>
      <c r="M869" s="143" t="s">
        <v>6</v>
      </c>
    </row>
    <row r="870" spans="1:13" x14ac:dyDescent="0.25">
      <c r="A870" s="79">
        <v>45449</v>
      </c>
      <c r="B870" s="11">
        <v>0.20833333333333334</v>
      </c>
      <c r="C870" s="22">
        <v>45449.208333333336</v>
      </c>
      <c r="D870" s="12">
        <v>65</v>
      </c>
      <c r="E870" s="12">
        <v>71.400000000000006</v>
      </c>
      <c r="F870" s="12">
        <v>58.5</v>
      </c>
      <c r="G870" s="12" t="s">
        <v>6</v>
      </c>
      <c r="H870" s="12">
        <v>18.2</v>
      </c>
      <c r="I870" s="12">
        <v>21.1</v>
      </c>
      <c r="J870" s="12">
        <v>15.5</v>
      </c>
      <c r="K870" s="12" t="s">
        <v>6</v>
      </c>
      <c r="L870" s="12">
        <v>105</v>
      </c>
      <c r="M870" s="143" t="s">
        <v>6</v>
      </c>
    </row>
    <row r="871" spans="1:13" x14ac:dyDescent="0.25">
      <c r="A871" s="79">
        <v>45449</v>
      </c>
      <c r="B871" s="11">
        <v>0.25</v>
      </c>
      <c r="C871" s="22">
        <v>45449.25</v>
      </c>
      <c r="D871" s="12">
        <v>68.2</v>
      </c>
      <c r="E871" s="12">
        <v>79.7</v>
      </c>
      <c r="F871" s="12">
        <v>58.4</v>
      </c>
      <c r="G871" s="12" t="s">
        <v>6</v>
      </c>
      <c r="H871" s="12">
        <v>19.100000000000001</v>
      </c>
      <c r="I871" s="12">
        <v>23.3</v>
      </c>
      <c r="J871" s="12">
        <v>15.4</v>
      </c>
      <c r="K871" s="12" t="s">
        <v>6</v>
      </c>
      <c r="L871" s="12">
        <v>185</v>
      </c>
      <c r="M871" s="143" t="s">
        <v>6</v>
      </c>
    </row>
    <row r="872" spans="1:13" x14ac:dyDescent="0.25">
      <c r="A872" s="81">
        <v>45449</v>
      </c>
      <c r="B872" s="15">
        <v>0.33333333333333331</v>
      </c>
      <c r="C872" s="20">
        <v>45449.333333333336</v>
      </c>
      <c r="D872" s="16">
        <v>68.7</v>
      </c>
      <c r="E872" s="16">
        <v>68.900000000000006</v>
      </c>
      <c r="F872" s="16">
        <v>68.5</v>
      </c>
      <c r="G872" s="16" t="s">
        <v>6</v>
      </c>
      <c r="H872" s="16">
        <v>12.8</v>
      </c>
      <c r="I872" s="16">
        <v>12.8</v>
      </c>
      <c r="J872" s="16">
        <v>12.7</v>
      </c>
      <c r="K872" s="16" t="s">
        <v>6</v>
      </c>
      <c r="L872" s="16">
        <v>2</v>
      </c>
      <c r="M872" s="143" t="s">
        <v>6</v>
      </c>
    </row>
    <row r="873" spans="1:13" x14ac:dyDescent="0.25">
      <c r="A873" s="80">
        <v>45449</v>
      </c>
      <c r="B873" s="7">
        <v>0.41666666666666669</v>
      </c>
      <c r="C873" s="21">
        <v>45449.416666666664</v>
      </c>
      <c r="D873" s="8">
        <v>64.5</v>
      </c>
      <c r="E873" s="8">
        <v>65.400000000000006</v>
      </c>
      <c r="F873" s="8">
        <v>63.5</v>
      </c>
      <c r="G873" s="8" t="s">
        <v>6</v>
      </c>
      <c r="H873" s="8">
        <v>13.7</v>
      </c>
      <c r="I873" s="8">
        <v>19.399999999999999</v>
      </c>
      <c r="J873" s="8">
        <v>8.4</v>
      </c>
      <c r="K873" s="8" t="s">
        <v>6</v>
      </c>
      <c r="L873" s="8">
        <v>4</v>
      </c>
      <c r="M873" s="143" t="s">
        <v>6</v>
      </c>
    </row>
    <row r="874" spans="1:13" x14ac:dyDescent="0.25">
      <c r="A874" s="79">
        <v>45449</v>
      </c>
      <c r="B874" s="11">
        <v>0.5</v>
      </c>
      <c r="C874" s="22">
        <v>45449.5</v>
      </c>
      <c r="D874" s="12">
        <v>60.5</v>
      </c>
      <c r="E874" s="12">
        <v>60.5</v>
      </c>
      <c r="F874" s="12">
        <v>60.5</v>
      </c>
      <c r="G874" s="12" t="s">
        <v>6</v>
      </c>
      <c r="H874" s="12">
        <v>18.399999999999999</v>
      </c>
      <c r="I874" s="12">
        <v>18.5</v>
      </c>
      <c r="J874" s="12">
        <v>18.399999999999999</v>
      </c>
      <c r="K874" s="12" t="s">
        <v>6</v>
      </c>
      <c r="L874" s="12">
        <v>2</v>
      </c>
      <c r="M874" s="143" t="s">
        <v>6</v>
      </c>
    </row>
    <row r="875" spans="1:13" x14ac:dyDescent="0.25">
      <c r="A875" s="79">
        <v>45449</v>
      </c>
      <c r="B875" s="11">
        <v>0.625</v>
      </c>
      <c r="C875" s="22">
        <v>45449.625</v>
      </c>
      <c r="D875" s="12">
        <v>74.7</v>
      </c>
      <c r="E875" s="12">
        <v>74.7</v>
      </c>
      <c r="F875" s="12">
        <v>74.7</v>
      </c>
      <c r="G875" s="12" t="s">
        <v>6</v>
      </c>
      <c r="H875" s="12">
        <v>11.7</v>
      </c>
      <c r="I875" s="12">
        <v>11.7</v>
      </c>
      <c r="J875" s="12">
        <v>11.7</v>
      </c>
      <c r="K875" s="12" t="s">
        <v>6</v>
      </c>
      <c r="L875" s="12">
        <v>1</v>
      </c>
      <c r="M875" s="144" t="s">
        <v>6</v>
      </c>
    </row>
    <row r="876" spans="1:13" x14ac:dyDescent="0.25">
      <c r="A876" s="79">
        <v>45449</v>
      </c>
      <c r="B876" s="11">
        <v>0.66666666666666663</v>
      </c>
      <c r="C876" s="22">
        <v>45449.666666666664</v>
      </c>
      <c r="D876" s="12">
        <v>55.6</v>
      </c>
      <c r="E876" s="12">
        <v>55.6</v>
      </c>
      <c r="F876" s="12">
        <v>55.6</v>
      </c>
      <c r="G876" s="12" t="s">
        <v>6</v>
      </c>
      <c r="H876" s="12">
        <v>16.100000000000001</v>
      </c>
      <c r="I876" s="12">
        <v>16.100000000000001</v>
      </c>
      <c r="J876" s="12">
        <v>16.100000000000001</v>
      </c>
      <c r="K876" s="12" t="s">
        <v>6</v>
      </c>
      <c r="L876" s="12">
        <v>1</v>
      </c>
      <c r="M876" s="144" t="s">
        <v>6</v>
      </c>
    </row>
    <row r="877" spans="1:13" x14ac:dyDescent="0.25">
      <c r="A877" s="79">
        <v>45449</v>
      </c>
      <c r="B877" s="11">
        <v>0.70833333333333337</v>
      </c>
      <c r="C877" s="22">
        <v>45449.708333333336</v>
      </c>
      <c r="D877" s="12">
        <v>60</v>
      </c>
      <c r="E877" s="12">
        <v>60</v>
      </c>
      <c r="F877" s="12">
        <v>60</v>
      </c>
      <c r="G877" s="12" t="s">
        <v>6</v>
      </c>
      <c r="H877" s="12">
        <v>19.7</v>
      </c>
      <c r="I877" s="12">
        <v>19.7</v>
      </c>
      <c r="J877" s="12">
        <v>19.7</v>
      </c>
      <c r="K877" s="12" t="s">
        <v>6</v>
      </c>
      <c r="L877" s="12">
        <v>1</v>
      </c>
      <c r="M877" s="144" t="s">
        <v>6</v>
      </c>
    </row>
    <row r="878" spans="1:13" x14ac:dyDescent="0.25">
      <c r="A878" s="79">
        <v>45449</v>
      </c>
      <c r="B878" s="11">
        <v>0.95833333333333337</v>
      </c>
      <c r="C878" s="22">
        <v>45449.958333333336</v>
      </c>
      <c r="D878" s="12">
        <v>60</v>
      </c>
      <c r="E878" s="12">
        <v>64.7</v>
      </c>
      <c r="F878" s="12">
        <v>51.2</v>
      </c>
      <c r="G878" s="12" t="s">
        <v>6</v>
      </c>
      <c r="H878" s="12">
        <v>20.6</v>
      </c>
      <c r="I878" s="12">
        <v>26.1</v>
      </c>
      <c r="J878" s="12">
        <v>18.100000000000001</v>
      </c>
      <c r="K878" s="12" t="s">
        <v>6</v>
      </c>
      <c r="L878" s="12">
        <v>226</v>
      </c>
      <c r="M878" s="144" t="s">
        <v>6</v>
      </c>
    </row>
    <row r="879" spans="1:13" x14ac:dyDescent="0.25">
      <c r="A879" s="79">
        <v>45450</v>
      </c>
      <c r="B879" s="11">
        <v>0</v>
      </c>
      <c r="C879" s="22">
        <v>45450</v>
      </c>
      <c r="D879" s="12">
        <v>58.9</v>
      </c>
      <c r="E879" s="12">
        <v>64.900000000000006</v>
      </c>
      <c r="F879" s="12">
        <v>50.3</v>
      </c>
      <c r="G879" s="12" t="s">
        <v>6</v>
      </c>
      <c r="H879" s="12">
        <v>18.7</v>
      </c>
      <c r="I879" s="12">
        <v>22</v>
      </c>
      <c r="J879" s="12">
        <v>15.8</v>
      </c>
      <c r="K879" s="12" t="s">
        <v>6</v>
      </c>
      <c r="L879" s="12">
        <v>229</v>
      </c>
      <c r="M879" s="144" t="s">
        <v>6</v>
      </c>
    </row>
    <row r="880" spans="1:13" x14ac:dyDescent="0.25">
      <c r="A880" s="79">
        <v>45450</v>
      </c>
      <c r="B880" s="11">
        <v>4.1666666666666664E-2</v>
      </c>
      <c r="C880" s="22">
        <v>45450.041666666664</v>
      </c>
      <c r="D880" s="12">
        <v>61.8</v>
      </c>
      <c r="E880" s="12">
        <v>66.5</v>
      </c>
      <c r="F880" s="12">
        <v>57.9</v>
      </c>
      <c r="G880" s="12" t="s">
        <v>6</v>
      </c>
      <c r="H880" s="12">
        <v>17.899999999999999</v>
      </c>
      <c r="I880" s="12">
        <v>19.600000000000001</v>
      </c>
      <c r="J880" s="12">
        <v>13.6</v>
      </c>
      <c r="K880" s="12" t="s">
        <v>6</v>
      </c>
      <c r="L880" s="12">
        <v>227</v>
      </c>
      <c r="M880" s="144" t="s">
        <v>6</v>
      </c>
    </row>
    <row r="881" spans="1:13" x14ac:dyDescent="0.25">
      <c r="A881" s="79">
        <v>45450</v>
      </c>
      <c r="B881" s="11">
        <v>8.3333333333333329E-2</v>
      </c>
      <c r="C881" s="22">
        <v>45450.083333333336</v>
      </c>
      <c r="D881" s="12">
        <v>62</v>
      </c>
      <c r="E881" s="12">
        <v>65.3</v>
      </c>
      <c r="F881" s="12">
        <v>55.5</v>
      </c>
      <c r="G881" s="12" t="s">
        <v>6</v>
      </c>
      <c r="H881" s="12">
        <v>18.7</v>
      </c>
      <c r="I881" s="12">
        <v>20.5</v>
      </c>
      <c r="J881" s="12">
        <v>16.600000000000001</v>
      </c>
      <c r="K881" s="12" t="s">
        <v>6</v>
      </c>
      <c r="L881" s="12">
        <v>227</v>
      </c>
      <c r="M881" s="144" t="s">
        <v>6</v>
      </c>
    </row>
    <row r="882" spans="1:13" x14ac:dyDescent="0.25">
      <c r="A882" s="79">
        <v>45450</v>
      </c>
      <c r="B882" s="11">
        <v>0.125</v>
      </c>
      <c r="C882" s="22">
        <v>45450.125</v>
      </c>
      <c r="D882" s="12">
        <v>58.7</v>
      </c>
      <c r="E882" s="12">
        <v>63.6</v>
      </c>
      <c r="F882" s="12">
        <v>51.2</v>
      </c>
      <c r="G882" s="12" t="s">
        <v>6</v>
      </c>
      <c r="H882" s="12">
        <v>18.399999999999999</v>
      </c>
      <c r="I882" s="12">
        <v>23.8</v>
      </c>
      <c r="J882" s="12">
        <v>15.1</v>
      </c>
      <c r="K882" s="12" t="s">
        <v>6</v>
      </c>
      <c r="L882" s="12">
        <v>229</v>
      </c>
      <c r="M882" s="144" t="s">
        <v>6</v>
      </c>
    </row>
    <row r="883" spans="1:13" x14ac:dyDescent="0.25">
      <c r="A883" s="79">
        <v>45450</v>
      </c>
      <c r="B883" s="11">
        <v>0.16666666666666666</v>
      </c>
      <c r="C883" s="22">
        <v>45450.166666666664</v>
      </c>
      <c r="D883" s="12">
        <v>59.4</v>
      </c>
      <c r="E883" s="12">
        <v>61.9</v>
      </c>
      <c r="F883" s="12">
        <v>54.5</v>
      </c>
      <c r="G883" s="12" t="s">
        <v>6</v>
      </c>
      <c r="H883" s="12">
        <v>18.100000000000001</v>
      </c>
      <c r="I883" s="12">
        <v>22.5</v>
      </c>
      <c r="J883" s="12">
        <v>15.7</v>
      </c>
      <c r="K883" s="12" t="s">
        <v>6</v>
      </c>
      <c r="L883" s="12">
        <v>212</v>
      </c>
      <c r="M883" s="144" t="s">
        <v>6</v>
      </c>
    </row>
    <row r="884" spans="1:13" x14ac:dyDescent="0.25">
      <c r="A884" s="79">
        <v>45450</v>
      </c>
      <c r="B884" s="11">
        <v>0.20833333333333334</v>
      </c>
      <c r="C884" s="22">
        <v>45450.208333333336</v>
      </c>
      <c r="D884" s="12">
        <v>60.2</v>
      </c>
      <c r="E884" s="12">
        <v>63.1</v>
      </c>
      <c r="F884" s="12">
        <v>57</v>
      </c>
      <c r="G884" s="12" t="s">
        <v>6</v>
      </c>
      <c r="H884" s="12">
        <v>17.600000000000001</v>
      </c>
      <c r="I884" s="12">
        <v>33.700000000000003</v>
      </c>
      <c r="J884" s="12">
        <v>14.8</v>
      </c>
      <c r="K884" s="12" t="s">
        <v>6</v>
      </c>
      <c r="L884" s="12">
        <v>229</v>
      </c>
      <c r="M884" s="144" t="s">
        <v>6</v>
      </c>
    </row>
    <row r="885" spans="1:13" x14ac:dyDescent="0.25">
      <c r="A885" s="79">
        <v>45450</v>
      </c>
      <c r="B885" s="11">
        <v>0.25</v>
      </c>
      <c r="C885" s="22">
        <v>45450.25</v>
      </c>
      <c r="D885" s="12">
        <v>62</v>
      </c>
      <c r="E885" s="12">
        <v>69.8</v>
      </c>
      <c r="F885" s="12">
        <v>55.3</v>
      </c>
      <c r="G885" s="12" t="s">
        <v>6</v>
      </c>
      <c r="H885" s="12">
        <v>17.899999999999999</v>
      </c>
      <c r="I885" s="12">
        <v>21.8</v>
      </c>
      <c r="J885" s="12">
        <v>14.7</v>
      </c>
      <c r="K885" s="12" t="s">
        <v>6</v>
      </c>
      <c r="L885" s="12">
        <v>231</v>
      </c>
      <c r="M885" s="144" t="s">
        <v>6</v>
      </c>
    </row>
    <row r="886" spans="1:13" x14ac:dyDescent="0.25">
      <c r="A886" s="81">
        <v>45450</v>
      </c>
      <c r="B886" s="15">
        <v>0.29166666666666669</v>
      </c>
      <c r="C886" s="20">
        <v>45450.291666666664</v>
      </c>
      <c r="D886" s="16">
        <v>69.099999999999994</v>
      </c>
      <c r="E886" s="16">
        <v>70.099999999999994</v>
      </c>
      <c r="F886" s="16">
        <v>68.8</v>
      </c>
      <c r="G886" s="16" t="s">
        <v>6</v>
      </c>
      <c r="H886" s="16">
        <v>18.600000000000001</v>
      </c>
      <c r="I886" s="16">
        <v>19.100000000000001</v>
      </c>
      <c r="J886" s="16">
        <v>18</v>
      </c>
      <c r="K886" s="16" t="s">
        <v>6</v>
      </c>
      <c r="L886" s="16">
        <v>7</v>
      </c>
      <c r="M886" s="144" t="s">
        <v>6</v>
      </c>
    </row>
    <row r="887" spans="1:13" x14ac:dyDescent="0.25">
      <c r="A887" s="80">
        <v>45450</v>
      </c>
      <c r="B887" s="7">
        <v>0.95833333333333337</v>
      </c>
      <c r="C887" s="21">
        <v>45450.958333333336</v>
      </c>
      <c r="D887" s="8">
        <v>60.9</v>
      </c>
      <c r="E887" s="8">
        <v>66.099999999999994</v>
      </c>
      <c r="F887" s="8">
        <v>49.8</v>
      </c>
      <c r="G887" s="8" t="s">
        <v>6</v>
      </c>
      <c r="H887" s="8">
        <v>20.3</v>
      </c>
      <c r="I887" s="8">
        <v>24.9</v>
      </c>
      <c r="J887" s="8">
        <v>16.2</v>
      </c>
      <c r="K887" s="8" t="s">
        <v>6</v>
      </c>
      <c r="L887" s="8">
        <v>167</v>
      </c>
      <c r="M887" s="145" t="s">
        <v>6</v>
      </c>
    </row>
    <row r="888" spans="1:13" x14ac:dyDescent="0.25">
      <c r="A888" s="79">
        <v>45451</v>
      </c>
      <c r="B888" s="11">
        <v>0</v>
      </c>
      <c r="C888" s="22">
        <v>45451</v>
      </c>
      <c r="D888" s="12">
        <v>59.7</v>
      </c>
      <c r="E888" s="12">
        <v>66.599999999999994</v>
      </c>
      <c r="F888" s="12">
        <v>54.6</v>
      </c>
      <c r="G888" s="12" t="s">
        <v>6</v>
      </c>
      <c r="H888" s="12">
        <v>18.3</v>
      </c>
      <c r="I888" s="12">
        <v>22.1</v>
      </c>
      <c r="J888" s="12">
        <v>15.6</v>
      </c>
      <c r="K888" s="12" t="s">
        <v>6</v>
      </c>
      <c r="L888" s="12">
        <v>150</v>
      </c>
      <c r="M888" s="145" t="s">
        <v>6</v>
      </c>
    </row>
    <row r="889" spans="1:13" x14ac:dyDescent="0.25">
      <c r="A889" s="79">
        <v>45451</v>
      </c>
      <c r="B889" s="11">
        <v>4.1666666666666664E-2</v>
      </c>
      <c r="C889" s="22">
        <v>45451.041666666664</v>
      </c>
      <c r="D889" s="12">
        <v>61.2</v>
      </c>
      <c r="E889" s="12">
        <v>68.599999999999994</v>
      </c>
      <c r="F889" s="12">
        <v>53.7</v>
      </c>
      <c r="G889" s="12" t="s">
        <v>6</v>
      </c>
      <c r="H889" s="12">
        <v>17.899999999999999</v>
      </c>
      <c r="I889" s="12">
        <v>24.9</v>
      </c>
      <c r="J889" s="12">
        <v>15.4</v>
      </c>
      <c r="K889" s="12" t="s">
        <v>6</v>
      </c>
      <c r="L889" s="12">
        <v>229</v>
      </c>
      <c r="M889" s="145" t="s">
        <v>6</v>
      </c>
    </row>
    <row r="890" spans="1:13" x14ac:dyDescent="0.25">
      <c r="A890" s="79">
        <v>45451</v>
      </c>
      <c r="B890" s="11">
        <v>8.3333333333333329E-2</v>
      </c>
      <c r="C890" s="22">
        <v>45451.083333333336</v>
      </c>
      <c r="D890" s="12">
        <v>64.5</v>
      </c>
      <c r="E890" s="12">
        <v>69.900000000000006</v>
      </c>
      <c r="F890" s="12">
        <v>59.6</v>
      </c>
      <c r="G890" s="12" t="s">
        <v>6</v>
      </c>
      <c r="H890" s="12">
        <v>17.8</v>
      </c>
      <c r="I890" s="12">
        <v>28.9</v>
      </c>
      <c r="J890" s="12">
        <v>15.9</v>
      </c>
      <c r="K890" s="12" t="s">
        <v>6</v>
      </c>
      <c r="L890" s="12">
        <v>229</v>
      </c>
      <c r="M890" s="145" t="s">
        <v>6</v>
      </c>
    </row>
    <row r="891" spans="1:13" x14ac:dyDescent="0.25">
      <c r="A891" s="79">
        <v>45451</v>
      </c>
      <c r="B891" s="11">
        <v>0.125</v>
      </c>
      <c r="C891" s="22">
        <v>45451.125</v>
      </c>
      <c r="D891" s="12">
        <v>65.5</v>
      </c>
      <c r="E891" s="12">
        <v>70.599999999999994</v>
      </c>
      <c r="F891" s="12">
        <v>60.6</v>
      </c>
      <c r="G891" s="12" t="s">
        <v>6</v>
      </c>
      <c r="H891" s="12">
        <v>18</v>
      </c>
      <c r="I891" s="12">
        <v>21.4</v>
      </c>
      <c r="J891" s="12">
        <v>15.5</v>
      </c>
      <c r="K891" s="12" t="s">
        <v>6</v>
      </c>
      <c r="L891" s="12">
        <v>232</v>
      </c>
      <c r="M891" s="145" t="s">
        <v>6</v>
      </c>
    </row>
    <row r="892" spans="1:13" x14ac:dyDescent="0.25">
      <c r="A892" s="79">
        <v>45451</v>
      </c>
      <c r="B892" s="11">
        <v>0.16666666666666666</v>
      </c>
      <c r="C892" s="22">
        <v>45451.166666666664</v>
      </c>
      <c r="D892" s="12">
        <v>65.7</v>
      </c>
      <c r="E892" s="12">
        <v>71.5</v>
      </c>
      <c r="F892" s="12">
        <v>56.8</v>
      </c>
      <c r="G892" s="12" t="s">
        <v>6</v>
      </c>
      <c r="H892" s="12">
        <v>17.8</v>
      </c>
      <c r="I892" s="12">
        <v>20.7</v>
      </c>
      <c r="J892" s="12">
        <v>15.5</v>
      </c>
      <c r="K892" s="12" t="s">
        <v>6</v>
      </c>
      <c r="L892" s="12">
        <v>231</v>
      </c>
      <c r="M892" s="145" t="s">
        <v>6</v>
      </c>
    </row>
    <row r="893" spans="1:13" x14ac:dyDescent="0.25">
      <c r="A893" s="79">
        <v>45451</v>
      </c>
      <c r="B893" s="11">
        <v>0.20833333333333334</v>
      </c>
      <c r="C893" s="22">
        <v>45451.208333333336</v>
      </c>
      <c r="D893" s="12">
        <v>62.3</v>
      </c>
      <c r="E893" s="12">
        <v>68.3</v>
      </c>
      <c r="F893" s="12">
        <v>55.4</v>
      </c>
      <c r="G893" s="12" t="s">
        <v>6</v>
      </c>
      <c r="H893" s="12">
        <v>18.7</v>
      </c>
      <c r="I893" s="12">
        <v>24.6</v>
      </c>
      <c r="J893" s="12">
        <v>16.2</v>
      </c>
      <c r="K893" s="12" t="s">
        <v>6</v>
      </c>
      <c r="L893" s="12">
        <v>225</v>
      </c>
      <c r="M893" s="145" t="s">
        <v>6</v>
      </c>
    </row>
    <row r="894" spans="1:13" x14ac:dyDescent="0.25">
      <c r="A894" s="81">
        <v>45451</v>
      </c>
      <c r="B894" s="15">
        <v>0.25</v>
      </c>
      <c r="C894" s="20">
        <v>45451.25</v>
      </c>
      <c r="D894" s="16">
        <v>65.599999999999994</v>
      </c>
      <c r="E894" s="16">
        <v>67.599999999999994</v>
      </c>
      <c r="F894" s="16">
        <v>63.8</v>
      </c>
      <c r="G894" s="16" t="s">
        <v>6</v>
      </c>
      <c r="H894" s="16">
        <v>19.8</v>
      </c>
      <c r="I894" s="16">
        <v>21</v>
      </c>
      <c r="J894" s="16">
        <v>17.600000000000001</v>
      </c>
      <c r="K894" s="16" t="s">
        <v>6</v>
      </c>
      <c r="L894" s="16">
        <v>21</v>
      </c>
      <c r="M894" s="145" t="s">
        <v>6</v>
      </c>
    </row>
    <row r="895" spans="1:13" x14ac:dyDescent="0.25">
      <c r="A895" s="80">
        <v>45451</v>
      </c>
      <c r="B895" s="7">
        <v>0.95833333333333337</v>
      </c>
      <c r="C895" s="21">
        <v>45451.958333333336</v>
      </c>
      <c r="D895" s="8">
        <v>69.2</v>
      </c>
      <c r="E895" s="8">
        <v>80.099999999999994</v>
      </c>
      <c r="F895" s="8">
        <v>51.6</v>
      </c>
      <c r="G895" s="8" t="s">
        <v>6</v>
      </c>
      <c r="H895" s="8">
        <v>23.2</v>
      </c>
      <c r="I895" s="8">
        <v>27.8</v>
      </c>
      <c r="J895" s="8">
        <v>19</v>
      </c>
      <c r="K895" s="8" t="s">
        <v>6</v>
      </c>
      <c r="L895" s="8">
        <v>117</v>
      </c>
      <c r="M895" s="145" t="s">
        <v>6</v>
      </c>
    </row>
    <row r="896" spans="1:13" x14ac:dyDescent="0.25">
      <c r="A896" s="79">
        <v>45452</v>
      </c>
      <c r="B896" s="11">
        <v>0</v>
      </c>
      <c r="C896" s="22">
        <v>45452</v>
      </c>
      <c r="D896" s="12">
        <v>77.7</v>
      </c>
      <c r="E896" s="12">
        <v>87.3</v>
      </c>
      <c r="F896" s="12">
        <v>66.3</v>
      </c>
      <c r="G896" s="12" t="s">
        <v>6</v>
      </c>
      <c r="H896" s="12">
        <v>18.8</v>
      </c>
      <c r="I896" s="12">
        <v>23.9</v>
      </c>
      <c r="J896" s="12">
        <v>14.5</v>
      </c>
      <c r="K896" s="12" t="s">
        <v>6</v>
      </c>
      <c r="L896" s="12">
        <v>222</v>
      </c>
      <c r="M896" s="145" t="s">
        <v>6</v>
      </c>
    </row>
    <row r="897" spans="1:13" x14ac:dyDescent="0.25">
      <c r="A897" s="81">
        <v>45452</v>
      </c>
      <c r="B897" s="15">
        <v>4.1666666666666664E-2</v>
      </c>
      <c r="C897" s="20">
        <v>45452.041666666664</v>
      </c>
      <c r="D897" s="16">
        <v>73.2</v>
      </c>
      <c r="E897" s="16">
        <v>78.599999999999994</v>
      </c>
      <c r="F897" s="16">
        <v>63.8</v>
      </c>
      <c r="G897" s="16" t="s">
        <v>6</v>
      </c>
      <c r="H897" s="16">
        <v>18.3</v>
      </c>
      <c r="I897" s="16">
        <v>22.4</v>
      </c>
      <c r="J897" s="16">
        <v>15.7</v>
      </c>
      <c r="K897" s="16" t="s">
        <v>6</v>
      </c>
      <c r="L897" s="16">
        <v>82</v>
      </c>
      <c r="M897" s="145" t="s">
        <v>6</v>
      </c>
    </row>
    <row r="898" spans="1:13" x14ac:dyDescent="0.25">
      <c r="A898" s="80">
        <v>45452</v>
      </c>
      <c r="B898" s="7">
        <v>0.875</v>
      </c>
      <c r="C898" s="21">
        <v>45452.875</v>
      </c>
      <c r="D898" s="8">
        <v>60.1</v>
      </c>
      <c r="E898" s="8">
        <v>65.599999999999994</v>
      </c>
      <c r="F898" s="8">
        <v>47</v>
      </c>
      <c r="G898" s="8" t="s">
        <v>6</v>
      </c>
      <c r="H898" s="8">
        <v>20.7</v>
      </c>
      <c r="I898" s="8">
        <v>25.1</v>
      </c>
      <c r="J898" s="8">
        <v>16.899999999999999</v>
      </c>
      <c r="K898" s="8" t="s">
        <v>6</v>
      </c>
      <c r="L898" s="8">
        <v>178</v>
      </c>
      <c r="M898" s="145" t="s">
        <v>6</v>
      </c>
    </row>
    <row r="899" spans="1:13" x14ac:dyDescent="0.25">
      <c r="A899" s="79">
        <v>45452</v>
      </c>
      <c r="B899" s="11">
        <v>0.91666666666666663</v>
      </c>
      <c r="C899" s="22">
        <v>45452.916666666664</v>
      </c>
      <c r="D899" s="12">
        <v>63.9</v>
      </c>
      <c r="E899" s="12">
        <v>67.7</v>
      </c>
      <c r="F899" s="12">
        <v>52.9</v>
      </c>
      <c r="G899" s="12" t="s">
        <v>6</v>
      </c>
      <c r="H899" s="12">
        <v>19.8</v>
      </c>
      <c r="I899" s="12">
        <v>24.8</v>
      </c>
      <c r="J899" s="12">
        <v>16.7</v>
      </c>
      <c r="K899" s="12" t="s">
        <v>6</v>
      </c>
      <c r="L899" s="12">
        <v>231</v>
      </c>
      <c r="M899" s="145" t="s">
        <v>6</v>
      </c>
    </row>
    <row r="900" spans="1:13" x14ac:dyDescent="0.25">
      <c r="A900" s="79">
        <v>45452</v>
      </c>
      <c r="B900" s="11">
        <v>0.95833333333333337</v>
      </c>
      <c r="C900" s="22">
        <v>45452.958333333336</v>
      </c>
      <c r="D900" s="12">
        <v>63.8</v>
      </c>
      <c r="E900" s="12">
        <v>66.400000000000006</v>
      </c>
      <c r="F900" s="12">
        <v>58.4</v>
      </c>
      <c r="G900" s="12" t="s">
        <v>6</v>
      </c>
      <c r="H900" s="12">
        <v>18.2</v>
      </c>
      <c r="I900" s="12">
        <v>21.6</v>
      </c>
      <c r="J900" s="12">
        <v>16</v>
      </c>
      <c r="K900" s="12" t="s">
        <v>6</v>
      </c>
      <c r="L900" s="12">
        <v>228</v>
      </c>
      <c r="M900" s="145" t="s">
        <v>6</v>
      </c>
    </row>
    <row r="901" spans="1:13" x14ac:dyDescent="0.25">
      <c r="A901" s="79">
        <v>45453</v>
      </c>
      <c r="B901" s="11">
        <v>0</v>
      </c>
      <c r="C901" s="22">
        <v>45453</v>
      </c>
      <c r="D901" s="12">
        <v>61.8</v>
      </c>
      <c r="E901" s="12">
        <v>66.5</v>
      </c>
      <c r="F901" s="12">
        <v>56.1</v>
      </c>
      <c r="G901" s="12" t="s">
        <v>6</v>
      </c>
      <c r="H901" s="12">
        <v>19.5</v>
      </c>
      <c r="I901" s="12">
        <v>25</v>
      </c>
      <c r="J901" s="12">
        <v>15.5</v>
      </c>
      <c r="K901" s="12" t="s">
        <v>6</v>
      </c>
      <c r="L901" s="12">
        <v>212</v>
      </c>
      <c r="M901" s="145" t="s">
        <v>6</v>
      </c>
    </row>
    <row r="902" spans="1:13" x14ac:dyDescent="0.25">
      <c r="A902" s="79">
        <v>45453</v>
      </c>
      <c r="B902" s="11">
        <v>4.1666666666666664E-2</v>
      </c>
      <c r="C902" s="22">
        <v>45453.041666666664</v>
      </c>
      <c r="D902" s="12">
        <v>62.6</v>
      </c>
      <c r="E902" s="12">
        <v>66.099999999999994</v>
      </c>
      <c r="F902" s="12">
        <v>51.8</v>
      </c>
      <c r="G902" s="12" t="s">
        <v>6</v>
      </c>
      <c r="H902" s="12">
        <v>18.899999999999999</v>
      </c>
      <c r="I902" s="12">
        <v>22</v>
      </c>
      <c r="J902" s="12">
        <v>15.5</v>
      </c>
      <c r="K902" s="12" t="s">
        <v>6</v>
      </c>
      <c r="L902" s="12">
        <v>231</v>
      </c>
      <c r="M902" s="145" t="s">
        <v>6</v>
      </c>
    </row>
    <row r="903" spans="1:13" x14ac:dyDescent="0.25">
      <c r="A903" s="79">
        <v>45453</v>
      </c>
      <c r="B903" s="11">
        <v>8.3333333333333329E-2</v>
      </c>
      <c r="C903" s="22">
        <v>45453.083333333336</v>
      </c>
      <c r="D903" s="12">
        <v>64.2</v>
      </c>
      <c r="E903" s="12">
        <v>72</v>
      </c>
      <c r="F903" s="12">
        <v>60.6</v>
      </c>
      <c r="G903" s="12" t="s">
        <v>6</v>
      </c>
      <c r="H903" s="12">
        <v>18.3</v>
      </c>
      <c r="I903" s="12">
        <v>20.6</v>
      </c>
      <c r="J903" s="12">
        <v>16.399999999999999</v>
      </c>
      <c r="K903" s="12" t="s">
        <v>6</v>
      </c>
      <c r="L903" s="12">
        <v>223</v>
      </c>
      <c r="M903" s="145" t="s">
        <v>6</v>
      </c>
    </row>
    <row r="904" spans="1:13" x14ac:dyDescent="0.25">
      <c r="A904" s="81">
        <v>45453</v>
      </c>
      <c r="B904" s="15">
        <v>0.125</v>
      </c>
      <c r="C904" s="20">
        <v>45453.125</v>
      </c>
      <c r="D904" s="16">
        <v>63.4</v>
      </c>
      <c r="E904" s="16">
        <v>66.2</v>
      </c>
      <c r="F904" s="16">
        <v>58.4</v>
      </c>
      <c r="G904" s="16" t="s">
        <v>6</v>
      </c>
      <c r="H904" s="16">
        <v>19.5</v>
      </c>
      <c r="I904" s="16">
        <v>23.5</v>
      </c>
      <c r="J904" s="16">
        <v>16</v>
      </c>
      <c r="K904" s="16" t="s">
        <v>6</v>
      </c>
      <c r="L904" s="16">
        <v>144</v>
      </c>
      <c r="M904" s="145" t="s">
        <v>6</v>
      </c>
    </row>
    <row r="905" spans="1:13" x14ac:dyDescent="0.25">
      <c r="A905" s="80">
        <v>45453</v>
      </c>
      <c r="B905" s="7">
        <v>0.54166666666666663</v>
      </c>
      <c r="C905" s="21">
        <v>45453.541666666664</v>
      </c>
      <c r="D905" s="8">
        <v>62.6</v>
      </c>
      <c r="E905" s="8">
        <v>62.6</v>
      </c>
      <c r="F905" s="8">
        <v>62.6</v>
      </c>
      <c r="G905" s="8" t="s">
        <v>6</v>
      </c>
      <c r="H905" s="8">
        <v>19.399999999999999</v>
      </c>
      <c r="I905" s="8">
        <v>19.399999999999999</v>
      </c>
      <c r="J905" s="8">
        <v>19.399999999999999</v>
      </c>
      <c r="K905" s="8" t="s">
        <v>6</v>
      </c>
      <c r="L905" s="8">
        <v>1</v>
      </c>
      <c r="M905" s="146" t="s">
        <v>6</v>
      </c>
    </row>
    <row r="906" spans="1:13" x14ac:dyDescent="0.25">
      <c r="A906" s="79">
        <v>45453</v>
      </c>
      <c r="B906" s="11">
        <v>0.875</v>
      </c>
      <c r="C906" s="22">
        <v>45453.875</v>
      </c>
      <c r="D906" s="12">
        <v>57.5</v>
      </c>
      <c r="E906" s="12">
        <v>65.8</v>
      </c>
      <c r="F906" s="12">
        <v>47.5</v>
      </c>
      <c r="G906" s="12" t="s">
        <v>6</v>
      </c>
      <c r="H906" s="12">
        <v>20.7</v>
      </c>
      <c r="I906" s="12">
        <v>23.9</v>
      </c>
      <c r="J906" s="12">
        <v>16.100000000000001</v>
      </c>
      <c r="K906" s="12" t="s">
        <v>6</v>
      </c>
      <c r="L906" s="12">
        <v>93</v>
      </c>
      <c r="M906" s="146" t="s">
        <v>6</v>
      </c>
    </row>
    <row r="907" spans="1:13" x14ac:dyDescent="0.25">
      <c r="A907" s="79">
        <v>45453</v>
      </c>
      <c r="B907" s="11">
        <v>0.91666666666666663</v>
      </c>
      <c r="C907" s="22">
        <v>45453.916666666664</v>
      </c>
      <c r="D907" s="12">
        <v>60.9</v>
      </c>
      <c r="E907" s="12">
        <v>67</v>
      </c>
      <c r="F907" s="12">
        <v>47.1</v>
      </c>
      <c r="G907" s="12" t="s">
        <v>6</v>
      </c>
      <c r="H907" s="12">
        <v>18.899999999999999</v>
      </c>
      <c r="I907" s="12">
        <v>24.2</v>
      </c>
      <c r="J907" s="12">
        <v>16</v>
      </c>
      <c r="K907" s="12" t="s">
        <v>6</v>
      </c>
      <c r="L907" s="12">
        <v>225</v>
      </c>
      <c r="M907" s="146" t="s">
        <v>6</v>
      </c>
    </row>
    <row r="908" spans="1:13" x14ac:dyDescent="0.25">
      <c r="A908" s="79">
        <v>45453</v>
      </c>
      <c r="B908" s="11">
        <v>0.95833333333333337</v>
      </c>
      <c r="C908" s="22">
        <v>45453.958333333336</v>
      </c>
      <c r="D908" s="12">
        <v>63.7</v>
      </c>
      <c r="E908" s="12">
        <v>68.900000000000006</v>
      </c>
      <c r="F908" s="12">
        <v>60.1</v>
      </c>
      <c r="G908" s="12" t="s">
        <v>6</v>
      </c>
      <c r="H908" s="12">
        <v>17.899999999999999</v>
      </c>
      <c r="I908" s="12">
        <v>19.899999999999999</v>
      </c>
      <c r="J908" s="12">
        <v>14.5</v>
      </c>
      <c r="K908" s="12" t="s">
        <v>6</v>
      </c>
      <c r="L908" s="12">
        <v>213</v>
      </c>
      <c r="M908" s="146" t="s">
        <v>6</v>
      </c>
    </row>
    <row r="909" spans="1:13" x14ac:dyDescent="0.25">
      <c r="A909" s="79">
        <v>45454</v>
      </c>
      <c r="B909" s="11">
        <v>0</v>
      </c>
      <c r="C909" s="22">
        <v>45454</v>
      </c>
      <c r="D909" s="12">
        <v>63</v>
      </c>
      <c r="E909" s="12">
        <v>67.900000000000006</v>
      </c>
      <c r="F909" s="12">
        <v>60</v>
      </c>
      <c r="G909" s="12" t="s">
        <v>6</v>
      </c>
      <c r="H909" s="12">
        <v>17.7</v>
      </c>
      <c r="I909" s="12">
        <v>19.399999999999999</v>
      </c>
      <c r="J909" s="12">
        <v>15.4</v>
      </c>
      <c r="K909" s="12" t="s">
        <v>6</v>
      </c>
      <c r="L909" s="12">
        <v>231</v>
      </c>
      <c r="M909" s="146" t="s">
        <v>6</v>
      </c>
    </row>
    <row r="910" spans="1:13" x14ac:dyDescent="0.25">
      <c r="A910" s="79">
        <v>45454</v>
      </c>
      <c r="B910" s="11">
        <v>4.1666666666666664E-2</v>
      </c>
      <c r="C910" s="22">
        <v>45454.041666666664</v>
      </c>
      <c r="D910" s="12">
        <v>62.6</v>
      </c>
      <c r="E910" s="12">
        <v>70.099999999999994</v>
      </c>
      <c r="F910" s="12">
        <v>55.6</v>
      </c>
      <c r="G910" s="12" t="s">
        <v>6</v>
      </c>
      <c r="H910" s="12">
        <v>18.100000000000001</v>
      </c>
      <c r="I910" s="12">
        <v>20.399999999999999</v>
      </c>
      <c r="J910" s="12">
        <v>15.1</v>
      </c>
      <c r="K910" s="12" t="s">
        <v>6</v>
      </c>
      <c r="L910" s="12">
        <v>227</v>
      </c>
      <c r="M910" s="146" t="s">
        <v>6</v>
      </c>
    </row>
    <row r="911" spans="1:13" x14ac:dyDescent="0.25">
      <c r="A911" s="79">
        <v>45454</v>
      </c>
      <c r="B911" s="11">
        <v>8.3333333333333329E-2</v>
      </c>
      <c r="C911" s="22">
        <v>45454.083333333336</v>
      </c>
      <c r="D911" s="12">
        <v>62.8</v>
      </c>
      <c r="E911" s="12">
        <v>67.3</v>
      </c>
      <c r="F911" s="12">
        <v>56.2</v>
      </c>
      <c r="G911" s="12" t="s">
        <v>6</v>
      </c>
      <c r="H911" s="12">
        <v>18.600000000000001</v>
      </c>
      <c r="I911" s="12">
        <v>21.4</v>
      </c>
      <c r="J911" s="12">
        <v>15.6</v>
      </c>
      <c r="K911" s="12" t="s">
        <v>6</v>
      </c>
      <c r="L911" s="12">
        <v>225</v>
      </c>
      <c r="M911" s="146" t="s">
        <v>6</v>
      </c>
    </row>
    <row r="912" spans="1:13" x14ac:dyDescent="0.25">
      <c r="A912" s="79">
        <v>45454</v>
      </c>
      <c r="B912" s="11">
        <v>0.125</v>
      </c>
      <c r="C912" s="22">
        <v>45454.125</v>
      </c>
      <c r="D912" s="12">
        <v>62.4</v>
      </c>
      <c r="E912" s="12">
        <v>66.400000000000006</v>
      </c>
      <c r="F912" s="12">
        <v>56.4</v>
      </c>
      <c r="G912" s="12" t="s">
        <v>6</v>
      </c>
      <c r="H912" s="12">
        <v>19.2</v>
      </c>
      <c r="I912" s="12">
        <v>23.6</v>
      </c>
      <c r="J912" s="12">
        <v>16.399999999999999</v>
      </c>
      <c r="K912" s="12" t="s">
        <v>6</v>
      </c>
      <c r="L912" s="12">
        <v>231</v>
      </c>
      <c r="M912" s="146" t="s">
        <v>6</v>
      </c>
    </row>
    <row r="913" spans="1:13" x14ac:dyDescent="0.25">
      <c r="A913" s="79">
        <v>45454</v>
      </c>
      <c r="B913" s="11">
        <v>0.16666666666666666</v>
      </c>
      <c r="C913" s="22">
        <v>45454.166666666664</v>
      </c>
      <c r="D913" s="12">
        <v>63.3</v>
      </c>
      <c r="E913" s="12">
        <v>70.099999999999994</v>
      </c>
      <c r="F913" s="12">
        <v>55.9</v>
      </c>
      <c r="G913" s="12" t="s">
        <v>6</v>
      </c>
      <c r="H913" s="12">
        <v>17.8</v>
      </c>
      <c r="I913" s="12">
        <v>21.3</v>
      </c>
      <c r="J913" s="12">
        <v>16.100000000000001</v>
      </c>
      <c r="K913" s="12" t="s">
        <v>6</v>
      </c>
      <c r="L913" s="12">
        <v>231</v>
      </c>
      <c r="M913" s="146" t="s">
        <v>6</v>
      </c>
    </row>
    <row r="914" spans="1:13" x14ac:dyDescent="0.25">
      <c r="A914" s="79">
        <v>45454</v>
      </c>
      <c r="B914" s="11">
        <v>0.20833333333333334</v>
      </c>
      <c r="C914" s="22">
        <v>45454.208333333336</v>
      </c>
      <c r="D914" s="12">
        <v>64.900000000000006</v>
      </c>
      <c r="E914" s="12">
        <v>73.099999999999994</v>
      </c>
      <c r="F914" s="12">
        <v>57.1</v>
      </c>
      <c r="G914" s="12" t="s">
        <v>6</v>
      </c>
      <c r="H914" s="12">
        <v>17.2</v>
      </c>
      <c r="I914" s="12">
        <v>19.399999999999999</v>
      </c>
      <c r="J914" s="12">
        <v>14.9</v>
      </c>
      <c r="K914" s="12" t="s">
        <v>6</v>
      </c>
      <c r="L914" s="12">
        <v>228</v>
      </c>
      <c r="M914" s="146" t="s">
        <v>6</v>
      </c>
    </row>
    <row r="915" spans="1:13" x14ac:dyDescent="0.25">
      <c r="A915" s="81">
        <v>45454</v>
      </c>
      <c r="B915" s="15">
        <v>0.25</v>
      </c>
      <c r="C915" s="20">
        <v>45454.25</v>
      </c>
      <c r="D915" s="16">
        <v>64.599999999999994</v>
      </c>
      <c r="E915" s="16">
        <v>69.8</v>
      </c>
      <c r="F915" s="16">
        <v>60.7</v>
      </c>
      <c r="G915" s="16" t="s">
        <v>6</v>
      </c>
      <c r="H915" s="16">
        <v>17.3</v>
      </c>
      <c r="I915" s="16">
        <v>24.2</v>
      </c>
      <c r="J915" s="16">
        <v>14.9</v>
      </c>
      <c r="K915" s="16" t="s">
        <v>6</v>
      </c>
      <c r="L915" s="16">
        <v>106</v>
      </c>
      <c r="M915" s="146" t="s">
        <v>6</v>
      </c>
    </row>
    <row r="916" spans="1:13" x14ac:dyDescent="0.25">
      <c r="A916" s="80">
        <v>45454</v>
      </c>
      <c r="B916" s="7">
        <v>0.875</v>
      </c>
      <c r="C916" s="21">
        <v>45454.875</v>
      </c>
      <c r="D916" s="8">
        <v>62.9</v>
      </c>
      <c r="E916" s="8">
        <v>69.3</v>
      </c>
      <c r="F916" s="8">
        <v>52.6</v>
      </c>
      <c r="G916" s="8" t="s">
        <v>6</v>
      </c>
      <c r="H916" s="8">
        <v>21.4</v>
      </c>
      <c r="I916" s="8">
        <v>26.8</v>
      </c>
      <c r="J916" s="8">
        <v>14.2</v>
      </c>
      <c r="K916" s="8" t="s">
        <v>6</v>
      </c>
      <c r="L916" s="8">
        <v>133</v>
      </c>
      <c r="M916" s="147" t="s">
        <v>6</v>
      </c>
    </row>
    <row r="917" spans="1:13" x14ac:dyDescent="0.25">
      <c r="A917" s="79">
        <v>45454</v>
      </c>
      <c r="B917" s="11">
        <v>0.91666666666666663</v>
      </c>
      <c r="C917" s="22">
        <v>45454.916666666664</v>
      </c>
      <c r="D917" s="12">
        <v>64</v>
      </c>
      <c r="E917" s="12">
        <v>71.599999999999994</v>
      </c>
      <c r="F917" s="12">
        <v>58.1</v>
      </c>
      <c r="G917" s="12" t="s">
        <v>6</v>
      </c>
      <c r="H917" s="12">
        <v>18.8</v>
      </c>
      <c r="I917" s="12">
        <v>26.7</v>
      </c>
      <c r="J917" s="12">
        <v>15.5</v>
      </c>
      <c r="K917" s="12" t="s">
        <v>6</v>
      </c>
      <c r="L917" s="12">
        <v>231</v>
      </c>
      <c r="M917" s="147" t="s">
        <v>6</v>
      </c>
    </row>
    <row r="918" spans="1:13" x14ac:dyDescent="0.25">
      <c r="A918" s="79">
        <v>45454</v>
      </c>
      <c r="B918" s="11">
        <v>0.95833333333333337</v>
      </c>
      <c r="C918" s="22">
        <v>45454.958333333336</v>
      </c>
      <c r="D918" s="12">
        <v>60.5</v>
      </c>
      <c r="E918" s="12">
        <v>66.599999999999994</v>
      </c>
      <c r="F918" s="12">
        <v>54.1</v>
      </c>
      <c r="G918" s="12" t="s">
        <v>6</v>
      </c>
      <c r="H918" s="12">
        <v>17.8</v>
      </c>
      <c r="I918" s="12">
        <v>21.7</v>
      </c>
      <c r="J918" s="12">
        <v>15.5</v>
      </c>
      <c r="K918" s="12" t="s">
        <v>6</v>
      </c>
      <c r="L918" s="12">
        <v>230</v>
      </c>
      <c r="M918" s="147" t="s">
        <v>6</v>
      </c>
    </row>
    <row r="919" spans="1:13" x14ac:dyDescent="0.25">
      <c r="A919" s="79">
        <v>45455</v>
      </c>
      <c r="B919" s="11">
        <v>0</v>
      </c>
      <c r="C919" s="22">
        <v>45455</v>
      </c>
      <c r="D919" s="12">
        <v>61.3</v>
      </c>
      <c r="E919" s="12">
        <v>66.099999999999994</v>
      </c>
      <c r="F919" s="12">
        <v>56.3</v>
      </c>
      <c r="G919" s="12" t="s">
        <v>6</v>
      </c>
      <c r="H919" s="12">
        <v>17.600000000000001</v>
      </c>
      <c r="I919" s="12">
        <v>19.399999999999999</v>
      </c>
      <c r="J919" s="12">
        <v>15.3</v>
      </c>
      <c r="K919" s="12" t="s">
        <v>6</v>
      </c>
      <c r="L919" s="12">
        <v>226</v>
      </c>
      <c r="M919" s="147" t="s">
        <v>6</v>
      </c>
    </row>
    <row r="920" spans="1:13" x14ac:dyDescent="0.25">
      <c r="A920" s="79">
        <v>45455</v>
      </c>
      <c r="B920" s="11">
        <v>4.1666666666666664E-2</v>
      </c>
      <c r="C920" s="22">
        <v>45455.041666666664</v>
      </c>
      <c r="D920" s="12">
        <v>63.1</v>
      </c>
      <c r="E920" s="12">
        <v>67.900000000000006</v>
      </c>
      <c r="F920" s="12">
        <v>59.4</v>
      </c>
      <c r="G920" s="12" t="s">
        <v>6</v>
      </c>
      <c r="H920" s="12">
        <v>18</v>
      </c>
      <c r="I920" s="12">
        <v>21.3</v>
      </c>
      <c r="J920" s="12">
        <v>15.9</v>
      </c>
      <c r="K920" s="12" t="s">
        <v>6</v>
      </c>
      <c r="L920" s="12">
        <v>224</v>
      </c>
      <c r="M920" s="147" t="s">
        <v>6</v>
      </c>
    </row>
    <row r="921" spans="1:13" x14ac:dyDescent="0.25">
      <c r="A921" s="79">
        <v>45455</v>
      </c>
      <c r="B921" s="11">
        <v>8.3333333333333329E-2</v>
      </c>
      <c r="C921" s="22">
        <v>45455.083333333336</v>
      </c>
      <c r="D921" s="12">
        <v>63.5</v>
      </c>
      <c r="E921" s="12">
        <v>70.099999999999994</v>
      </c>
      <c r="F921" s="12">
        <v>58.6</v>
      </c>
      <c r="G921" s="12" t="s">
        <v>6</v>
      </c>
      <c r="H921" s="12">
        <v>18.2</v>
      </c>
      <c r="I921" s="12">
        <v>21.2</v>
      </c>
      <c r="J921" s="12">
        <v>16.600000000000001</v>
      </c>
      <c r="K921" s="12" t="s">
        <v>6</v>
      </c>
      <c r="L921" s="12">
        <v>221</v>
      </c>
      <c r="M921" s="147" t="s">
        <v>6</v>
      </c>
    </row>
    <row r="922" spans="1:13" x14ac:dyDescent="0.25">
      <c r="A922" s="79">
        <v>45455</v>
      </c>
      <c r="B922" s="11">
        <v>0.125</v>
      </c>
      <c r="C922" s="22">
        <v>45455.125</v>
      </c>
      <c r="D922" s="12">
        <v>63.9</v>
      </c>
      <c r="E922" s="12">
        <v>69.5</v>
      </c>
      <c r="F922" s="12">
        <v>57.2</v>
      </c>
      <c r="G922" s="12" t="s">
        <v>6</v>
      </c>
      <c r="H922" s="12">
        <v>17.8</v>
      </c>
      <c r="I922" s="12">
        <v>20.100000000000001</v>
      </c>
      <c r="J922" s="12">
        <v>16</v>
      </c>
      <c r="K922" s="12" t="s">
        <v>6</v>
      </c>
      <c r="L922" s="12">
        <v>231</v>
      </c>
      <c r="M922" s="147" t="s">
        <v>6</v>
      </c>
    </row>
    <row r="923" spans="1:13" x14ac:dyDescent="0.25">
      <c r="A923" s="79">
        <v>45455</v>
      </c>
      <c r="B923" s="11">
        <v>0.16666666666666666</v>
      </c>
      <c r="C923" s="22">
        <v>45455.166666666664</v>
      </c>
      <c r="D923" s="12">
        <v>62.4</v>
      </c>
      <c r="E923" s="12">
        <v>67.099999999999994</v>
      </c>
      <c r="F923" s="12">
        <v>55.6</v>
      </c>
      <c r="G923" s="12" t="s">
        <v>6</v>
      </c>
      <c r="H923" s="12">
        <v>18.2</v>
      </c>
      <c r="I923" s="12">
        <v>21.4</v>
      </c>
      <c r="J923" s="12">
        <v>16.600000000000001</v>
      </c>
      <c r="K923" s="12" t="s">
        <v>6</v>
      </c>
      <c r="L923" s="12">
        <v>225</v>
      </c>
      <c r="M923" s="147" t="s">
        <v>6</v>
      </c>
    </row>
    <row r="924" spans="1:13" x14ac:dyDescent="0.25">
      <c r="A924" s="79">
        <v>45455</v>
      </c>
      <c r="B924" s="11">
        <v>0.20833333333333334</v>
      </c>
      <c r="C924" s="22">
        <v>45455.208333333336</v>
      </c>
      <c r="D924" s="12">
        <v>64.5</v>
      </c>
      <c r="E924" s="12">
        <v>70.8</v>
      </c>
      <c r="F924" s="12">
        <v>58.8</v>
      </c>
      <c r="G924" s="12" t="s">
        <v>6</v>
      </c>
      <c r="H924" s="12">
        <v>17.3</v>
      </c>
      <c r="I924" s="12">
        <v>19.3</v>
      </c>
      <c r="J924" s="12">
        <v>14.8</v>
      </c>
      <c r="K924" s="12" t="s">
        <v>6</v>
      </c>
      <c r="L924" s="12">
        <v>211</v>
      </c>
      <c r="M924" s="147" t="s">
        <v>6</v>
      </c>
    </row>
    <row r="925" spans="1:13" x14ac:dyDescent="0.25">
      <c r="A925" s="81">
        <v>45455</v>
      </c>
      <c r="B925" s="15">
        <v>0.25</v>
      </c>
      <c r="C925" s="20">
        <v>45455.25</v>
      </c>
      <c r="D925" s="16">
        <v>65.400000000000006</v>
      </c>
      <c r="E925" s="16">
        <v>70</v>
      </c>
      <c r="F925" s="16">
        <v>57.1</v>
      </c>
      <c r="G925" s="16" t="s">
        <v>6</v>
      </c>
      <c r="H925" s="16">
        <v>20.2</v>
      </c>
      <c r="I925" s="16">
        <v>22.9</v>
      </c>
      <c r="J925" s="16">
        <v>16.600000000000001</v>
      </c>
      <c r="K925" s="16" t="s">
        <v>6</v>
      </c>
      <c r="L925" s="16">
        <v>122</v>
      </c>
      <c r="M925" s="147" t="s">
        <v>6</v>
      </c>
    </row>
    <row r="926" spans="1:13" x14ac:dyDescent="0.25">
      <c r="A926" s="80">
        <v>45455</v>
      </c>
      <c r="B926" s="7">
        <v>0.91666666666666663</v>
      </c>
      <c r="C926" s="21">
        <v>45455.916666666664</v>
      </c>
      <c r="D926" s="8">
        <v>63.9</v>
      </c>
      <c r="E926" s="8">
        <v>70.3</v>
      </c>
      <c r="F926" s="8">
        <v>49.1</v>
      </c>
      <c r="G926" s="8" t="s">
        <v>6</v>
      </c>
      <c r="H926" s="8">
        <v>19.5</v>
      </c>
      <c r="I926" s="8">
        <v>22.5</v>
      </c>
      <c r="J926" s="8">
        <v>15.9</v>
      </c>
      <c r="K926" s="8" t="s">
        <v>6</v>
      </c>
      <c r="L926" s="8">
        <v>142</v>
      </c>
      <c r="M926" s="148" t="s">
        <v>6</v>
      </c>
    </row>
    <row r="927" spans="1:13" x14ac:dyDescent="0.25">
      <c r="A927" s="79">
        <v>45455</v>
      </c>
      <c r="B927" s="11">
        <v>0.95833333333333337</v>
      </c>
      <c r="C927" s="22">
        <v>45455.958333333336</v>
      </c>
      <c r="D927" s="12">
        <v>66.3</v>
      </c>
      <c r="E927" s="12">
        <v>70.900000000000006</v>
      </c>
      <c r="F927" s="12">
        <v>57.2</v>
      </c>
      <c r="G927" s="12" t="s">
        <v>6</v>
      </c>
      <c r="H927" s="12">
        <v>18.5</v>
      </c>
      <c r="I927" s="12">
        <v>26.8</v>
      </c>
      <c r="J927" s="12">
        <v>15.6</v>
      </c>
      <c r="K927" s="12" t="s">
        <v>6</v>
      </c>
      <c r="L927" s="12">
        <v>227</v>
      </c>
      <c r="M927" s="148" t="s">
        <v>6</v>
      </c>
    </row>
    <row r="928" spans="1:13" x14ac:dyDescent="0.25">
      <c r="A928" s="79">
        <v>45456</v>
      </c>
      <c r="B928" s="11">
        <v>0</v>
      </c>
      <c r="C928" s="22">
        <v>45456</v>
      </c>
      <c r="D928" s="12">
        <v>64.8</v>
      </c>
      <c r="E928" s="12">
        <v>70.3</v>
      </c>
      <c r="F928" s="12">
        <v>58.3</v>
      </c>
      <c r="G928" s="12" t="s">
        <v>6</v>
      </c>
      <c r="H928" s="12">
        <v>18</v>
      </c>
      <c r="I928" s="12">
        <v>21.4</v>
      </c>
      <c r="J928" s="12">
        <v>15</v>
      </c>
      <c r="K928" s="12" t="s">
        <v>6</v>
      </c>
      <c r="L928" s="12">
        <v>231</v>
      </c>
      <c r="M928" s="148" t="s">
        <v>6</v>
      </c>
    </row>
    <row r="929" spans="1:13" x14ac:dyDescent="0.25">
      <c r="A929" s="79">
        <v>45456</v>
      </c>
      <c r="B929" s="11">
        <v>4.1666666666666664E-2</v>
      </c>
      <c r="C929" s="22">
        <v>45456.041666666664</v>
      </c>
      <c r="D929" s="12">
        <v>65.400000000000006</v>
      </c>
      <c r="E929" s="12">
        <v>71.099999999999994</v>
      </c>
      <c r="F929" s="12">
        <v>59.9</v>
      </c>
      <c r="G929" s="12" t="s">
        <v>6</v>
      </c>
      <c r="H929" s="12">
        <v>18.3</v>
      </c>
      <c r="I929" s="12">
        <v>20.100000000000001</v>
      </c>
      <c r="J929" s="12">
        <v>16.600000000000001</v>
      </c>
      <c r="K929" s="12" t="s">
        <v>6</v>
      </c>
      <c r="L929" s="12">
        <v>227</v>
      </c>
      <c r="M929" s="148" t="s">
        <v>6</v>
      </c>
    </row>
    <row r="930" spans="1:13" x14ac:dyDescent="0.25">
      <c r="A930" s="79">
        <v>45456</v>
      </c>
      <c r="B930" s="11">
        <v>8.3333333333333329E-2</v>
      </c>
      <c r="C930" s="22">
        <v>45456.083333333336</v>
      </c>
      <c r="D930" s="12">
        <v>64.400000000000006</v>
      </c>
      <c r="E930" s="12">
        <v>71.7</v>
      </c>
      <c r="F930" s="12">
        <v>56.3</v>
      </c>
      <c r="G930" s="12" t="s">
        <v>6</v>
      </c>
      <c r="H930" s="12">
        <v>19.7</v>
      </c>
      <c r="I930" s="12">
        <v>25.9</v>
      </c>
      <c r="J930" s="12">
        <v>16.600000000000001</v>
      </c>
      <c r="K930" s="12" t="s">
        <v>6</v>
      </c>
      <c r="L930" s="12">
        <v>204</v>
      </c>
      <c r="M930" s="148" t="s">
        <v>6</v>
      </c>
    </row>
    <row r="931" spans="1:13" x14ac:dyDescent="0.25">
      <c r="A931" s="79">
        <v>45456</v>
      </c>
      <c r="B931" s="11">
        <v>0.125</v>
      </c>
      <c r="C931" s="22">
        <v>45456.125</v>
      </c>
      <c r="D931" s="12">
        <v>60.3</v>
      </c>
      <c r="E931" s="12">
        <v>66</v>
      </c>
      <c r="F931" s="12">
        <v>52.3</v>
      </c>
      <c r="G931" s="12" t="s">
        <v>6</v>
      </c>
      <c r="H931" s="12">
        <v>19.100000000000001</v>
      </c>
      <c r="I931" s="12">
        <v>27.7</v>
      </c>
      <c r="J931" s="12">
        <v>16</v>
      </c>
      <c r="K931" s="12" t="s">
        <v>6</v>
      </c>
      <c r="L931" s="12">
        <v>227</v>
      </c>
      <c r="M931" s="148" t="s">
        <v>6</v>
      </c>
    </row>
    <row r="932" spans="1:13" x14ac:dyDescent="0.25">
      <c r="A932" s="79">
        <v>45456</v>
      </c>
      <c r="B932" s="11">
        <v>0.16666666666666666</v>
      </c>
      <c r="C932" s="22">
        <v>45456.166666666664</v>
      </c>
      <c r="D932" s="12">
        <v>61.8</v>
      </c>
      <c r="E932" s="12">
        <v>65.8</v>
      </c>
      <c r="F932" s="12">
        <v>55.8</v>
      </c>
      <c r="G932" s="12" t="s">
        <v>6</v>
      </c>
      <c r="H932" s="12">
        <v>17</v>
      </c>
      <c r="I932" s="12">
        <v>19.5</v>
      </c>
      <c r="J932" s="12">
        <v>15.6</v>
      </c>
      <c r="K932" s="12" t="s">
        <v>6</v>
      </c>
      <c r="L932" s="12">
        <v>228</v>
      </c>
      <c r="M932" s="148" t="s">
        <v>6</v>
      </c>
    </row>
    <row r="933" spans="1:13" x14ac:dyDescent="0.25">
      <c r="A933" s="79">
        <v>45456</v>
      </c>
      <c r="B933" s="11">
        <v>0.20833333333333334</v>
      </c>
      <c r="C933" s="22">
        <v>45456.208333333336</v>
      </c>
      <c r="D933" s="12">
        <v>65.400000000000006</v>
      </c>
      <c r="E933" s="12">
        <v>72.900000000000006</v>
      </c>
      <c r="F933" s="12">
        <v>57</v>
      </c>
      <c r="G933" s="12" t="s">
        <v>6</v>
      </c>
      <c r="H933" s="12">
        <v>17.600000000000001</v>
      </c>
      <c r="I933" s="12">
        <v>35.4</v>
      </c>
      <c r="J933" s="12">
        <v>15.2</v>
      </c>
      <c r="K933" s="12" t="s">
        <v>6</v>
      </c>
      <c r="L933" s="12">
        <v>223</v>
      </c>
      <c r="M933" s="148" t="s">
        <v>6</v>
      </c>
    </row>
    <row r="934" spans="1:13" x14ac:dyDescent="0.25">
      <c r="A934" s="79">
        <v>45456</v>
      </c>
      <c r="B934" s="11">
        <v>0.25</v>
      </c>
      <c r="C934" s="22">
        <v>45456.25</v>
      </c>
      <c r="D934" s="12">
        <v>66</v>
      </c>
      <c r="E934" s="12">
        <v>71.8</v>
      </c>
      <c r="F934" s="12">
        <v>59.3</v>
      </c>
      <c r="G934" s="12" t="s">
        <v>6</v>
      </c>
      <c r="H934" s="12">
        <v>17.600000000000001</v>
      </c>
      <c r="I934" s="12">
        <v>21.3</v>
      </c>
      <c r="J934" s="12">
        <v>14.8</v>
      </c>
      <c r="K934" s="12" t="s">
        <v>6</v>
      </c>
      <c r="L934" s="12">
        <v>152</v>
      </c>
      <c r="M934" s="148" t="s">
        <v>6</v>
      </c>
    </row>
    <row r="935" spans="1:13" x14ac:dyDescent="0.25">
      <c r="A935" s="81">
        <v>45456</v>
      </c>
      <c r="B935" s="15">
        <v>0.33333333333333331</v>
      </c>
      <c r="C935" s="20">
        <v>45456.333333333336</v>
      </c>
      <c r="D935" s="16">
        <v>62.8</v>
      </c>
      <c r="E935" s="16">
        <v>62.8</v>
      </c>
      <c r="F935" s="16">
        <v>62.8</v>
      </c>
      <c r="G935" s="16" t="s">
        <v>6</v>
      </c>
      <c r="H935" s="16">
        <v>18.600000000000001</v>
      </c>
      <c r="I935" s="16">
        <v>18.7</v>
      </c>
      <c r="J935" s="16">
        <v>18.600000000000001</v>
      </c>
      <c r="K935" s="16" t="s">
        <v>6</v>
      </c>
      <c r="L935" s="16">
        <v>2</v>
      </c>
      <c r="M935" s="148" t="s">
        <v>6</v>
      </c>
    </row>
    <row r="936" spans="1:13" x14ac:dyDescent="0.25">
      <c r="A936" s="80">
        <v>45456</v>
      </c>
      <c r="B936" s="7">
        <v>0.45833333333333331</v>
      </c>
      <c r="C936" s="21">
        <v>45456.458333333336</v>
      </c>
      <c r="D936" s="8">
        <v>66.5</v>
      </c>
      <c r="E936" s="8">
        <v>70.099999999999994</v>
      </c>
      <c r="F936" s="8">
        <v>62.9</v>
      </c>
      <c r="G936" s="8" t="s">
        <v>6</v>
      </c>
      <c r="H936" s="8">
        <v>7.9</v>
      </c>
      <c r="I936" s="8">
        <v>8.1</v>
      </c>
      <c r="J936" s="8">
        <v>7.8</v>
      </c>
      <c r="K936" s="8" t="s">
        <v>6</v>
      </c>
      <c r="L936" s="8">
        <v>2</v>
      </c>
      <c r="M936" s="148" t="s">
        <v>6</v>
      </c>
    </row>
    <row r="937" spans="1:13" x14ac:dyDescent="0.25">
      <c r="A937" s="79">
        <v>45456</v>
      </c>
      <c r="B937" s="11">
        <v>0.875</v>
      </c>
      <c r="C937" s="22">
        <v>45456.875</v>
      </c>
      <c r="D937" s="12">
        <v>64.099999999999994</v>
      </c>
      <c r="E937" s="12">
        <v>66.8</v>
      </c>
      <c r="F937" s="12">
        <v>59</v>
      </c>
      <c r="G937" s="12" t="s">
        <v>6</v>
      </c>
      <c r="H937" s="12">
        <v>20</v>
      </c>
      <c r="I937" s="12">
        <v>22.4</v>
      </c>
      <c r="J937" s="12">
        <v>17.100000000000001</v>
      </c>
      <c r="K937" s="12" t="s">
        <v>6</v>
      </c>
      <c r="L937" s="12">
        <v>153</v>
      </c>
      <c r="M937" s="149" t="s">
        <v>6</v>
      </c>
    </row>
    <row r="938" spans="1:13" x14ac:dyDescent="0.25">
      <c r="A938" s="79">
        <v>45456</v>
      </c>
      <c r="B938" s="11">
        <v>0.91666666666666663</v>
      </c>
      <c r="C938" s="22">
        <v>45456.916666666664</v>
      </c>
      <c r="D938" s="12">
        <v>64.099999999999994</v>
      </c>
      <c r="E938" s="12">
        <v>70.900000000000006</v>
      </c>
      <c r="F938" s="12">
        <v>56.3</v>
      </c>
      <c r="G938" s="12" t="s">
        <v>6</v>
      </c>
      <c r="H938" s="12">
        <v>18.899999999999999</v>
      </c>
      <c r="I938" s="12">
        <v>22.9</v>
      </c>
      <c r="J938" s="12">
        <v>15.7</v>
      </c>
      <c r="K938" s="12" t="s">
        <v>6</v>
      </c>
      <c r="L938" s="12">
        <v>193</v>
      </c>
      <c r="M938" s="149" t="s">
        <v>6</v>
      </c>
    </row>
    <row r="939" spans="1:13" x14ac:dyDescent="0.25">
      <c r="A939" s="79">
        <v>45456</v>
      </c>
      <c r="B939" s="11">
        <v>0.95833333333333337</v>
      </c>
      <c r="C939" s="22">
        <v>45456.958333333336</v>
      </c>
      <c r="D939" s="12">
        <v>63.1</v>
      </c>
      <c r="E939" s="12">
        <v>70</v>
      </c>
      <c r="F939" s="12">
        <v>56</v>
      </c>
      <c r="G939" s="12" t="s">
        <v>6</v>
      </c>
      <c r="H939" s="12">
        <v>17.600000000000001</v>
      </c>
      <c r="I939" s="12">
        <v>22.1</v>
      </c>
      <c r="J939" s="12">
        <v>15.1</v>
      </c>
      <c r="K939" s="12" t="s">
        <v>6</v>
      </c>
      <c r="L939" s="12">
        <v>223</v>
      </c>
      <c r="M939" s="149" t="s">
        <v>6</v>
      </c>
    </row>
    <row r="940" spans="1:13" x14ac:dyDescent="0.25">
      <c r="A940" s="79">
        <v>45457</v>
      </c>
      <c r="B940" s="11">
        <v>0</v>
      </c>
      <c r="C940" s="22">
        <v>45457</v>
      </c>
      <c r="D940" s="12">
        <v>65.099999999999994</v>
      </c>
      <c r="E940" s="12">
        <v>70.8</v>
      </c>
      <c r="F940" s="12">
        <v>59.9</v>
      </c>
      <c r="G940" s="12" t="s">
        <v>6</v>
      </c>
      <c r="H940" s="12">
        <v>17</v>
      </c>
      <c r="I940" s="12">
        <v>19.3</v>
      </c>
      <c r="J940" s="12">
        <v>14.9</v>
      </c>
      <c r="K940" s="12" t="s">
        <v>6</v>
      </c>
      <c r="L940" s="12">
        <v>231</v>
      </c>
      <c r="M940" s="149" t="s">
        <v>6</v>
      </c>
    </row>
    <row r="941" spans="1:13" x14ac:dyDescent="0.25">
      <c r="A941" s="79">
        <v>45457</v>
      </c>
      <c r="B941" s="11">
        <v>4.1666666666666664E-2</v>
      </c>
      <c r="C941" s="22">
        <v>45457.041666666664</v>
      </c>
      <c r="D941" s="12">
        <v>67.2</v>
      </c>
      <c r="E941" s="12">
        <v>71.5</v>
      </c>
      <c r="F941" s="12">
        <v>61.6</v>
      </c>
      <c r="G941" s="12" t="s">
        <v>6</v>
      </c>
      <c r="H941" s="12">
        <v>18.3</v>
      </c>
      <c r="I941" s="12">
        <v>34.200000000000003</v>
      </c>
      <c r="J941" s="12">
        <v>14.7</v>
      </c>
      <c r="K941" s="12" t="s">
        <v>6</v>
      </c>
      <c r="L941" s="12">
        <v>215</v>
      </c>
      <c r="M941" s="149" t="s">
        <v>6</v>
      </c>
    </row>
    <row r="942" spans="1:13" x14ac:dyDescent="0.25">
      <c r="A942" s="79">
        <v>45457</v>
      </c>
      <c r="B942" s="11">
        <v>8.3333333333333329E-2</v>
      </c>
      <c r="C942" s="22">
        <v>45457.083333333336</v>
      </c>
      <c r="D942" s="12">
        <v>66.099999999999994</v>
      </c>
      <c r="E942" s="12">
        <v>75.3</v>
      </c>
      <c r="F942" s="12">
        <v>59.7</v>
      </c>
      <c r="G942" s="12" t="s">
        <v>6</v>
      </c>
      <c r="H942" s="12">
        <v>18.399999999999999</v>
      </c>
      <c r="I942" s="12">
        <v>33.9</v>
      </c>
      <c r="J942" s="12">
        <v>12.8</v>
      </c>
      <c r="K942" s="12" t="s">
        <v>6</v>
      </c>
      <c r="L942" s="12">
        <v>209</v>
      </c>
      <c r="M942" s="149" t="s">
        <v>6</v>
      </c>
    </row>
    <row r="943" spans="1:13" x14ac:dyDescent="0.25">
      <c r="A943" s="79">
        <v>45457</v>
      </c>
      <c r="B943" s="11">
        <v>0.125</v>
      </c>
      <c r="C943" s="22">
        <v>45457.125</v>
      </c>
      <c r="D943" s="12">
        <v>66.3</v>
      </c>
      <c r="E943" s="12">
        <v>75.5</v>
      </c>
      <c r="F943" s="12">
        <v>59.1</v>
      </c>
      <c r="G943" s="12" t="s">
        <v>6</v>
      </c>
      <c r="H943" s="12">
        <v>17.7</v>
      </c>
      <c r="I943" s="12">
        <v>23.9</v>
      </c>
      <c r="J943" s="12">
        <v>15.4</v>
      </c>
      <c r="K943" s="12" t="s">
        <v>6</v>
      </c>
      <c r="L943" s="12">
        <v>216</v>
      </c>
      <c r="M943" s="149" t="s">
        <v>6</v>
      </c>
    </row>
    <row r="944" spans="1:13" x14ac:dyDescent="0.25">
      <c r="A944" s="79">
        <v>45457</v>
      </c>
      <c r="B944" s="11">
        <v>0.16666666666666666</v>
      </c>
      <c r="C944" s="22">
        <v>45457.166666666664</v>
      </c>
      <c r="D944" s="12">
        <v>69.400000000000006</v>
      </c>
      <c r="E944" s="12">
        <v>74.099999999999994</v>
      </c>
      <c r="F944" s="12">
        <v>62.9</v>
      </c>
      <c r="G944" s="12" t="s">
        <v>6</v>
      </c>
      <c r="H944" s="12">
        <v>17.100000000000001</v>
      </c>
      <c r="I944" s="12">
        <v>20.5</v>
      </c>
      <c r="J944" s="12">
        <v>14.4</v>
      </c>
      <c r="K944" s="12" t="s">
        <v>6</v>
      </c>
      <c r="L944" s="12">
        <v>221</v>
      </c>
      <c r="M944" s="149" t="s">
        <v>6</v>
      </c>
    </row>
    <row r="945" spans="1:13" x14ac:dyDescent="0.25">
      <c r="A945" s="79">
        <v>45457</v>
      </c>
      <c r="B945" s="11">
        <v>0.20833333333333334</v>
      </c>
      <c r="C945" s="22">
        <v>45457.208333333336</v>
      </c>
      <c r="D945" s="12">
        <v>66.5</v>
      </c>
      <c r="E945" s="12">
        <v>72</v>
      </c>
      <c r="F945" s="12">
        <v>61.6</v>
      </c>
      <c r="G945" s="12" t="s">
        <v>6</v>
      </c>
      <c r="H945" s="12">
        <v>16.7</v>
      </c>
      <c r="I945" s="12">
        <v>19</v>
      </c>
      <c r="J945" s="12">
        <v>14.1</v>
      </c>
      <c r="K945" s="12" t="s">
        <v>6</v>
      </c>
      <c r="L945" s="12">
        <v>231</v>
      </c>
      <c r="M945" s="149" t="s">
        <v>6</v>
      </c>
    </row>
    <row r="946" spans="1:13" x14ac:dyDescent="0.25">
      <c r="A946" s="81">
        <v>45457</v>
      </c>
      <c r="B946" s="15">
        <v>0.25</v>
      </c>
      <c r="C946" s="20">
        <v>45457.25</v>
      </c>
      <c r="D946" s="16">
        <v>64.599999999999994</v>
      </c>
      <c r="E946" s="16">
        <v>71.5</v>
      </c>
      <c r="F946" s="16">
        <v>60</v>
      </c>
      <c r="G946" s="16" t="s">
        <v>6</v>
      </c>
      <c r="H946" s="16">
        <v>16.3</v>
      </c>
      <c r="I946" s="16">
        <v>19.8</v>
      </c>
      <c r="J946" s="16">
        <v>14.3</v>
      </c>
      <c r="K946" s="16" t="s">
        <v>6</v>
      </c>
      <c r="L946" s="16">
        <v>201</v>
      </c>
      <c r="M946" s="149" t="s">
        <v>6</v>
      </c>
    </row>
    <row r="947" spans="1:13" x14ac:dyDescent="0.25">
      <c r="A947" s="80">
        <v>45457</v>
      </c>
      <c r="B947" s="7">
        <v>0.91666666666666663</v>
      </c>
      <c r="C947" s="21">
        <v>45457.916666666664</v>
      </c>
      <c r="D947" s="8">
        <v>57.1</v>
      </c>
      <c r="E947" s="8">
        <v>66.7</v>
      </c>
      <c r="F947" s="8">
        <v>50.2</v>
      </c>
      <c r="G947" s="8" t="s">
        <v>6</v>
      </c>
      <c r="H947" s="8">
        <v>19.8</v>
      </c>
      <c r="I947" s="8">
        <v>30.8</v>
      </c>
      <c r="J947" s="8">
        <v>15.9</v>
      </c>
      <c r="K947" s="8" t="s">
        <v>6</v>
      </c>
      <c r="L947" s="8">
        <v>178</v>
      </c>
      <c r="M947" s="150" t="s">
        <v>6</v>
      </c>
    </row>
    <row r="948" spans="1:13" x14ac:dyDescent="0.25">
      <c r="A948" s="79">
        <v>45457</v>
      </c>
      <c r="B948" s="11">
        <v>0.95833333333333337</v>
      </c>
      <c r="C948" s="22">
        <v>45457.958333333336</v>
      </c>
      <c r="D948" s="12">
        <v>62.4</v>
      </c>
      <c r="E948" s="12">
        <v>68.099999999999994</v>
      </c>
      <c r="F948" s="12">
        <v>56.3</v>
      </c>
      <c r="G948" s="12" t="s">
        <v>6</v>
      </c>
      <c r="H948" s="12">
        <v>17.2</v>
      </c>
      <c r="I948" s="12">
        <v>21.9</v>
      </c>
      <c r="J948" s="12">
        <v>13.3</v>
      </c>
      <c r="K948" s="12" t="s">
        <v>6</v>
      </c>
      <c r="L948" s="12">
        <v>227</v>
      </c>
      <c r="M948" s="150" t="s">
        <v>6</v>
      </c>
    </row>
    <row r="949" spans="1:13" x14ac:dyDescent="0.25">
      <c r="A949" s="79">
        <v>45458</v>
      </c>
      <c r="B949" s="11">
        <v>0</v>
      </c>
      <c r="C949" s="22">
        <v>45458</v>
      </c>
      <c r="D949" s="12">
        <v>64.099999999999994</v>
      </c>
      <c r="E949" s="12">
        <v>69.400000000000006</v>
      </c>
      <c r="F949" s="12">
        <v>56.2</v>
      </c>
      <c r="G949" s="12" t="s">
        <v>6</v>
      </c>
      <c r="H949" s="12">
        <v>16.899999999999999</v>
      </c>
      <c r="I949" s="12">
        <v>18.8</v>
      </c>
      <c r="J949" s="12">
        <v>15</v>
      </c>
      <c r="K949" s="12" t="s">
        <v>6</v>
      </c>
      <c r="L949" s="12">
        <v>226</v>
      </c>
      <c r="M949" s="150" t="s">
        <v>6</v>
      </c>
    </row>
    <row r="950" spans="1:13" x14ac:dyDescent="0.25">
      <c r="A950" s="79">
        <v>45458</v>
      </c>
      <c r="B950" s="11">
        <v>4.1666666666666664E-2</v>
      </c>
      <c r="C950" s="22">
        <v>45458.041666666664</v>
      </c>
      <c r="D950" s="12">
        <v>65</v>
      </c>
      <c r="E950" s="12">
        <v>70.5</v>
      </c>
      <c r="F950" s="12">
        <v>60.5</v>
      </c>
      <c r="G950" s="12" t="s">
        <v>6</v>
      </c>
      <c r="H950" s="12">
        <v>16.2</v>
      </c>
      <c r="I950" s="12">
        <v>18.600000000000001</v>
      </c>
      <c r="J950" s="12">
        <v>14.2</v>
      </c>
      <c r="K950" s="12" t="s">
        <v>6</v>
      </c>
      <c r="L950" s="12">
        <v>229</v>
      </c>
      <c r="M950" s="150" t="s">
        <v>6</v>
      </c>
    </row>
    <row r="951" spans="1:13" x14ac:dyDescent="0.25">
      <c r="A951" s="79">
        <v>45458</v>
      </c>
      <c r="B951" s="11">
        <v>8.3333333333333329E-2</v>
      </c>
      <c r="C951" s="22">
        <v>45458.083333333336</v>
      </c>
      <c r="D951" s="12">
        <v>62</v>
      </c>
      <c r="E951" s="12">
        <v>69.5</v>
      </c>
      <c r="F951" s="12">
        <v>55.4</v>
      </c>
      <c r="G951" s="12" t="s">
        <v>6</v>
      </c>
      <c r="H951" s="12">
        <v>16.3</v>
      </c>
      <c r="I951" s="12">
        <v>19</v>
      </c>
      <c r="J951" s="12">
        <v>14.3</v>
      </c>
      <c r="K951" s="12" t="s">
        <v>6</v>
      </c>
      <c r="L951" s="12">
        <v>230</v>
      </c>
      <c r="M951" s="150" t="s">
        <v>6</v>
      </c>
    </row>
    <row r="952" spans="1:13" x14ac:dyDescent="0.25">
      <c r="A952" s="79">
        <v>45458</v>
      </c>
      <c r="B952" s="11">
        <v>0.125</v>
      </c>
      <c r="C952" s="22">
        <v>45458.125</v>
      </c>
      <c r="D952" s="12">
        <v>64.2</v>
      </c>
      <c r="E952" s="12">
        <v>70.599999999999994</v>
      </c>
      <c r="F952" s="12">
        <v>59.6</v>
      </c>
      <c r="G952" s="12" t="s">
        <v>6</v>
      </c>
      <c r="H952" s="12">
        <v>16.100000000000001</v>
      </c>
      <c r="I952" s="12">
        <v>19.600000000000001</v>
      </c>
      <c r="J952" s="12">
        <v>14.6</v>
      </c>
      <c r="K952" s="12" t="s">
        <v>6</v>
      </c>
      <c r="L952" s="12">
        <v>216</v>
      </c>
      <c r="M952" s="150" t="s">
        <v>6</v>
      </c>
    </row>
    <row r="953" spans="1:13" x14ac:dyDescent="0.25">
      <c r="A953" s="79">
        <v>45458</v>
      </c>
      <c r="B953" s="11">
        <v>0.16666666666666666</v>
      </c>
      <c r="C953" s="22">
        <v>45458.166666666664</v>
      </c>
      <c r="D953" s="12">
        <v>65.099999999999994</v>
      </c>
      <c r="E953" s="12">
        <v>72.2</v>
      </c>
      <c r="F953" s="12">
        <v>60.2</v>
      </c>
      <c r="G953" s="12" t="s">
        <v>6</v>
      </c>
      <c r="H953" s="12">
        <v>16.7</v>
      </c>
      <c r="I953" s="12">
        <v>25.7</v>
      </c>
      <c r="J953" s="12">
        <v>13.8</v>
      </c>
      <c r="K953" s="12" t="s">
        <v>6</v>
      </c>
      <c r="L953" s="12">
        <v>229</v>
      </c>
      <c r="M953" s="150" t="s">
        <v>6</v>
      </c>
    </row>
    <row r="954" spans="1:13" x14ac:dyDescent="0.25">
      <c r="A954" s="81">
        <v>45458</v>
      </c>
      <c r="B954" s="15">
        <v>0.20833333333333334</v>
      </c>
      <c r="C954" s="20">
        <v>45458.208333333336</v>
      </c>
      <c r="D954" s="16">
        <v>64.599999999999994</v>
      </c>
      <c r="E954" s="16">
        <v>68.099999999999994</v>
      </c>
      <c r="F954" s="16">
        <v>59.2</v>
      </c>
      <c r="G954" s="16" t="s">
        <v>6</v>
      </c>
      <c r="H954" s="16">
        <v>16.2</v>
      </c>
      <c r="I954" s="16">
        <v>18.600000000000001</v>
      </c>
      <c r="J954" s="16">
        <v>14.6</v>
      </c>
      <c r="K954" s="16" t="s">
        <v>6</v>
      </c>
      <c r="L954" s="16">
        <v>222</v>
      </c>
      <c r="M954" s="150" t="s">
        <v>6</v>
      </c>
    </row>
    <row r="955" spans="1:13" x14ac:dyDescent="0.25">
      <c r="A955" s="80">
        <v>45458</v>
      </c>
      <c r="B955" s="7">
        <v>0.875</v>
      </c>
      <c r="C955" s="21">
        <v>45458.875</v>
      </c>
      <c r="D955" s="8">
        <v>65.400000000000006</v>
      </c>
      <c r="E955" s="8">
        <v>65.400000000000006</v>
      </c>
      <c r="F955" s="8">
        <v>65.400000000000006</v>
      </c>
      <c r="G955" s="8" t="s">
        <v>6</v>
      </c>
      <c r="H955" s="8">
        <v>14.4</v>
      </c>
      <c r="I955" s="8">
        <v>14.4</v>
      </c>
      <c r="J955" s="8">
        <v>14.4</v>
      </c>
      <c r="K955" s="8" t="s">
        <v>6</v>
      </c>
      <c r="L955" s="8">
        <v>1</v>
      </c>
      <c r="M955" s="150" t="s">
        <v>6</v>
      </c>
    </row>
    <row r="956" spans="1:13" x14ac:dyDescent="0.25">
      <c r="A956" s="79">
        <v>45458</v>
      </c>
      <c r="B956" s="11">
        <v>0.91666666666666663</v>
      </c>
      <c r="C956" s="22">
        <v>45458.916666666664</v>
      </c>
      <c r="D956" s="12">
        <v>60.3</v>
      </c>
      <c r="E956" s="12">
        <v>63.4</v>
      </c>
      <c r="F956" s="12">
        <v>57.1</v>
      </c>
      <c r="G956" s="12" t="s">
        <v>6</v>
      </c>
      <c r="H956" s="12">
        <v>19</v>
      </c>
      <c r="I956" s="12">
        <v>21.4</v>
      </c>
      <c r="J956" s="12">
        <v>16.899999999999999</v>
      </c>
      <c r="K956" s="12" t="s">
        <v>6</v>
      </c>
      <c r="L956" s="12">
        <v>54</v>
      </c>
      <c r="M956" s="150" t="s">
        <v>6</v>
      </c>
    </row>
    <row r="957" spans="1:13" x14ac:dyDescent="0.25">
      <c r="A957" s="79">
        <v>45458</v>
      </c>
      <c r="B957" s="11">
        <v>0.95833333333333337</v>
      </c>
      <c r="C957" s="22">
        <v>45458.958333333336</v>
      </c>
      <c r="D957" s="12">
        <v>57.4</v>
      </c>
      <c r="E957" s="12">
        <v>61.7</v>
      </c>
      <c r="F957" s="12">
        <v>52.1</v>
      </c>
      <c r="G957" s="12" t="s">
        <v>6</v>
      </c>
      <c r="H957" s="12">
        <v>17.899999999999999</v>
      </c>
      <c r="I957" s="12">
        <v>24.1</v>
      </c>
      <c r="J957" s="12">
        <v>14.9</v>
      </c>
      <c r="K957" s="12" t="s">
        <v>6</v>
      </c>
      <c r="L957" s="12">
        <v>225</v>
      </c>
      <c r="M957" s="150" t="s">
        <v>6</v>
      </c>
    </row>
    <row r="958" spans="1:13" x14ac:dyDescent="0.25">
      <c r="A958" s="79">
        <v>45459</v>
      </c>
      <c r="B958" s="11">
        <v>0</v>
      </c>
      <c r="C958" s="22">
        <v>45459</v>
      </c>
      <c r="D958" s="12">
        <v>58.2</v>
      </c>
      <c r="E958" s="12">
        <v>63.5</v>
      </c>
      <c r="F958" s="12">
        <v>51.1</v>
      </c>
      <c r="G958" s="12" t="s">
        <v>6</v>
      </c>
      <c r="H958" s="12">
        <v>17.3</v>
      </c>
      <c r="I958" s="12">
        <v>33.4</v>
      </c>
      <c r="J958" s="12">
        <v>14.8</v>
      </c>
      <c r="K958" s="12" t="s">
        <v>6</v>
      </c>
      <c r="L958" s="12">
        <v>230</v>
      </c>
      <c r="M958" s="150" t="s">
        <v>6</v>
      </c>
    </row>
    <row r="959" spans="1:13" x14ac:dyDescent="0.25">
      <c r="A959" s="79">
        <v>45459</v>
      </c>
      <c r="B959" s="11">
        <v>4.1666666666666664E-2</v>
      </c>
      <c r="C959" s="22">
        <v>45459.041666666664</v>
      </c>
      <c r="D959" s="12">
        <v>58.6</v>
      </c>
      <c r="E959" s="12">
        <v>64.2</v>
      </c>
      <c r="F959" s="12">
        <v>51.7</v>
      </c>
      <c r="G959" s="12" t="s">
        <v>6</v>
      </c>
      <c r="H959" s="12">
        <v>17.5</v>
      </c>
      <c r="I959" s="12">
        <v>22.6</v>
      </c>
      <c r="J959" s="12">
        <v>14.8</v>
      </c>
      <c r="K959" s="12" t="s">
        <v>6</v>
      </c>
      <c r="L959" s="12">
        <v>175</v>
      </c>
      <c r="M959" s="150" t="s">
        <v>6</v>
      </c>
    </row>
    <row r="960" spans="1:13" x14ac:dyDescent="0.25">
      <c r="A960" s="79">
        <v>45459</v>
      </c>
      <c r="B960" s="11">
        <v>8.3333333333333329E-2</v>
      </c>
      <c r="C960" s="22">
        <v>45459.083333333336</v>
      </c>
      <c r="D960" s="12">
        <v>58.9</v>
      </c>
      <c r="E960" s="12">
        <v>63.8</v>
      </c>
      <c r="F960" s="12">
        <v>52</v>
      </c>
      <c r="G960" s="12" t="s">
        <v>6</v>
      </c>
      <c r="H960" s="12">
        <v>18.8</v>
      </c>
      <c r="I960" s="12">
        <v>24.2</v>
      </c>
      <c r="J960" s="12">
        <v>15.4</v>
      </c>
      <c r="K960" s="12" t="s">
        <v>6</v>
      </c>
      <c r="L960" s="12">
        <v>230</v>
      </c>
      <c r="M960" s="150" t="s">
        <v>6</v>
      </c>
    </row>
    <row r="961" spans="1:13" x14ac:dyDescent="0.25">
      <c r="A961" s="79">
        <v>45459</v>
      </c>
      <c r="B961" s="11">
        <v>0.125</v>
      </c>
      <c r="C961" s="22">
        <v>45459.125</v>
      </c>
      <c r="D961" s="12">
        <v>60.5</v>
      </c>
      <c r="E961" s="12">
        <v>65.900000000000006</v>
      </c>
      <c r="F961" s="12">
        <v>56.1</v>
      </c>
      <c r="G961" s="12" t="s">
        <v>6</v>
      </c>
      <c r="H961" s="12">
        <v>16.8</v>
      </c>
      <c r="I961" s="12">
        <v>19.5</v>
      </c>
      <c r="J961" s="12">
        <v>15.5</v>
      </c>
      <c r="K961" s="12" t="s">
        <v>6</v>
      </c>
      <c r="L961" s="12">
        <v>230</v>
      </c>
      <c r="M961" s="150" t="s">
        <v>6</v>
      </c>
    </row>
    <row r="962" spans="1:13" x14ac:dyDescent="0.25">
      <c r="A962" s="79">
        <v>45459</v>
      </c>
      <c r="B962" s="11">
        <v>0.16666666666666666</v>
      </c>
      <c r="C962" s="22">
        <v>45459.166666666664</v>
      </c>
      <c r="D962" s="12">
        <v>59.2</v>
      </c>
      <c r="E962" s="12">
        <v>65.400000000000006</v>
      </c>
      <c r="F962" s="12">
        <v>55.3</v>
      </c>
      <c r="G962" s="12" t="s">
        <v>6</v>
      </c>
      <c r="H962" s="12">
        <v>16.2</v>
      </c>
      <c r="I962" s="12">
        <v>19</v>
      </c>
      <c r="J962" s="12">
        <v>13.9</v>
      </c>
      <c r="K962" s="12" t="s">
        <v>6</v>
      </c>
      <c r="L962" s="12">
        <v>230</v>
      </c>
      <c r="M962" s="150" t="s">
        <v>6</v>
      </c>
    </row>
    <row r="963" spans="1:13" x14ac:dyDescent="0.25">
      <c r="A963" s="81">
        <v>45459</v>
      </c>
      <c r="B963" s="15">
        <v>0.20833333333333334</v>
      </c>
      <c r="C963" s="20">
        <v>45459.208333333336</v>
      </c>
      <c r="D963" s="16">
        <v>57.8</v>
      </c>
      <c r="E963" s="16">
        <v>60.8</v>
      </c>
      <c r="F963" s="16">
        <v>55.5</v>
      </c>
      <c r="G963" s="16" t="s">
        <v>6</v>
      </c>
      <c r="H963" s="16">
        <v>17.100000000000001</v>
      </c>
      <c r="I963" s="16">
        <v>23.2</v>
      </c>
      <c r="J963" s="16">
        <v>14.7</v>
      </c>
      <c r="K963" s="16" t="s">
        <v>6</v>
      </c>
      <c r="L963" s="16">
        <v>102</v>
      </c>
      <c r="M963" s="150" t="s">
        <v>6</v>
      </c>
    </row>
    <row r="964" spans="1:13" x14ac:dyDescent="0.25">
      <c r="A964" s="80">
        <v>45459</v>
      </c>
      <c r="B964" s="7">
        <v>0.875</v>
      </c>
      <c r="C964" s="21">
        <v>45459.875</v>
      </c>
      <c r="D964" s="8">
        <v>61.4</v>
      </c>
      <c r="E964" s="8">
        <v>74.7</v>
      </c>
      <c r="F964" s="8">
        <v>52.8</v>
      </c>
      <c r="G964" s="8" t="s">
        <v>6</v>
      </c>
      <c r="H964" s="8">
        <v>23.2</v>
      </c>
      <c r="I964" s="8">
        <v>39.1</v>
      </c>
      <c r="J964" s="8">
        <v>18.899999999999999</v>
      </c>
      <c r="K964" s="8" t="s">
        <v>6</v>
      </c>
      <c r="L964" s="8">
        <v>44</v>
      </c>
      <c r="M964" s="150" t="s">
        <v>6</v>
      </c>
    </row>
    <row r="965" spans="1:13" x14ac:dyDescent="0.25">
      <c r="A965" s="79">
        <v>45459</v>
      </c>
      <c r="B965" s="11">
        <v>0.91666666666666663</v>
      </c>
      <c r="C965" s="22">
        <v>45459.916666666664</v>
      </c>
      <c r="D965" s="12">
        <v>61.1</v>
      </c>
      <c r="E965" s="12">
        <v>69.400000000000006</v>
      </c>
      <c r="F965" s="12">
        <v>53.5</v>
      </c>
      <c r="G965" s="12" t="s">
        <v>6</v>
      </c>
      <c r="H965" s="12">
        <v>18.600000000000001</v>
      </c>
      <c r="I965" s="12">
        <v>23.2</v>
      </c>
      <c r="J965" s="12">
        <v>15.8</v>
      </c>
      <c r="K965" s="12" t="s">
        <v>6</v>
      </c>
      <c r="L965" s="12">
        <v>231</v>
      </c>
      <c r="M965" s="150" t="s">
        <v>6</v>
      </c>
    </row>
    <row r="966" spans="1:13" x14ac:dyDescent="0.25">
      <c r="A966" s="79">
        <v>45459</v>
      </c>
      <c r="B966" s="11">
        <v>0.95833333333333337</v>
      </c>
      <c r="C966" s="22">
        <v>45459.958333333336</v>
      </c>
      <c r="D966" s="12">
        <v>62.2</v>
      </c>
      <c r="E966" s="12">
        <v>68.400000000000006</v>
      </c>
      <c r="F966" s="12">
        <v>55.8</v>
      </c>
      <c r="G966" s="12" t="s">
        <v>6</v>
      </c>
      <c r="H966" s="12">
        <v>17.5</v>
      </c>
      <c r="I966" s="12">
        <v>19.600000000000001</v>
      </c>
      <c r="J966" s="12">
        <v>14.3</v>
      </c>
      <c r="K966" s="12" t="s">
        <v>6</v>
      </c>
      <c r="L966" s="12">
        <v>226</v>
      </c>
      <c r="M966" s="150" t="s">
        <v>6</v>
      </c>
    </row>
    <row r="967" spans="1:13" x14ac:dyDescent="0.25">
      <c r="A967" s="81">
        <v>45460</v>
      </c>
      <c r="B967" s="15">
        <v>0</v>
      </c>
      <c r="C967" s="20">
        <v>45460</v>
      </c>
      <c r="D967" s="16">
        <v>63.6</v>
      </c>
      <c r="E967" s="16">
        <v>69</v>
      </c>
      <c r="F967" s="16">
        <v>59</v>
      </c>
      <c r="G967" s="16" t="s">
        <v>6</v>
      </c>
      <c r="H967" s="16">
        <v>17.899999999999999</v>
      </c>
      <c r="I967" s="16">
        <v>20</v>
      </c>
      <c r="J967" s="16">
        <v>15.4</v>
      </c>
      <c r="K967" s="16" t="s">
        <v>6</v>
      </c>
      <c r="L967" s="16">
        <v>140</v>
      </c>
      <c r="M967" s="150" t="s">
        <v>6</v>
      </c>
    </row>
    <row r="968" spans="1:13" x14ac:dyDescent="0.25">
      <c r="A968" s="80">
        <v>45461</v>
      </c>
      <c r="B968" s="7">
        <v>0.875</v>
      </c>
      <c r="C968" s="21">
        <v>45461.875</v>
      </c>
      <c r="D968" s="8">
        <v>63.9</v>
      </c>
      <c r="E968" s="8">
        <v>66.3</v>
      </c>
      <c r="F968" s="8">
        <v>59.9</v>
      </c>
      <c r="G968" s="8" t="s">
        <v>6</v>
      </c>
      <c r="H968" s="8">
        <v>19.2</v>
      </c>
      <c r="I968" s="8">
        <v>20.9</v>
      </c>
      <c r="J968" s="8">
        <v>17.3</v>
      </c>
      <c r="K968" s="8" t="s">
        <v>6</v>
      </c>
      <c r="L968" s="8">
        <v>56</v>
      </c>
      <c r="M968" s="151" t="s">
        <v>6</v>
      </c>
    </row>
    <row r="969" spans="1:13" x14ac:dyDescent="0.25">
      <c r="A969" s="79">
        <v>45461</v>
      </c>
      <c r="B969" s="11">
        <v>0.91666666666666663</v>
      </c>
      <c r="C969" s="22">
        <v>45461.916666666664</v>
      </c>
      <c r="D969" s="12">
        <v>63</v>
      </c>
      <c r="E969" s="12">
        <v>68.099999999999994</v>
      </c>
      <c r="F969" s="12">
        <v>57.1</v>
      </c>
      <c r="G969" s="12" t="s">
        <v>6</v>
      </c>
      <c r="H969" s="12">
        <v>18.2</v>
      </c>
      <c r="I969" s="12">
        <v>21.2</v>
      </c>
      <c r="J969" s="12">
        <v>15.2</v>
      </c>
      <c r="K969" s="12" t="s">
        <v>6</v>
      </c>
      <c r="L969" s="12">
        <v>225</v>
      </c>
      <c r="M969" s="151" t="s">
        <v>6</v>
      </c>
    </row>
    <row r="970" spans="1:13" x14ac:dyDescent="0.25">
      <c r="A970" s="79">
        <v>45461</v>
      </c>
      <c r="B970" s="11">
        <v>0.95833333333333337</v>
      </c>
      <c r="C970" s="22">
        <v>45461.958333333336</v>
      </c>
      <c r="D970" s="12">
        <v>62.1</v>
      </c>
      <c r="E970" s="12">
        <v>67.5</v>
      </c>
      <c r="F970" s="12">
        <v>57.4</v>
      </c>
      <c r="G970" s="12" t="s">
        <v>6</v>
      </c>
      <c r="H970" s="12">
        <v>16.3</v>
      </c>
      <c r="I970" s="12">
        <v>18.7</v>
      </c>
      <c r="J970" s="12">
        <v>13.4</v>
      </c>
      <c r="K970" s="12" t="s">
        <v>6</v>
      </c>
      <c r="L970" s="12">
        <v>228</v>
      </c>
      <c r="M970" s="151" t="s">
        <v>6</v>
      </c>
    </row>
    <row r="971" spans="1:13" x14ac:dyDescent="0.25">
      <c r="A971" s="79">
        <v>45462</v>
      </c>
      <c r="B971" s="11">
        <v>0</v>
      </c>
      <c r="C971" s="22">
        <v>45462</v>
      </c>
      <c r="D971" s="12">
        <v>62.8</v>
      </c>
      <c r="E971" s="12">
        <v>69.3</v>
      </c>
      <c r="F971" s="12">
        <v>56.1</v>
      </c>
      <c r="G971" s="12" t="s">
        <v>6</v>
      </c>
      <c r="H971" s="12">
        <v>16.600000000000001</v>
      </c>
      <c r="I971" s="12">
        <v>18.100000000000001</v>
      </c>
      <c r="J971" s="12">
        <v>12.4</v>
      </c>
      <c r="K971" s="12" t="s">
        <v>6</v>
      </c>
      <c r="L971" s="12">
        <v>227</v>
      </c>
      <c r="M971" s="151" t="s">
        <v>6</v>
      </c>
    </row>
    <row r="972" spans="1:13" x14ac:dyDescent="0.25">
      <c r="A972" s="79">
        <v>45462</v>
      </c>
      <c r="B972" s="11">
        <v>4.1666666666666664E-2</v>
      </c>
      <c r="C972" s="22">
        <v>45462.041666666664</v>
      </c>
      <c r="D972" s="12">
        <v>62.4</v>
      </c>
      <c r="E972" s="12">
        <v>67.7</v>
      </c>
      <c r="F972" s="12">
        <v>58.9</v>
      </c>
      <c r="G972" s="12" t="s">
        <v>6</v>
      </c>
      <c r="H972" s="12">
        <v>16.8</v>
      </c>
      <c r="I972" s="12">
        <v>18.5</v>
      </c>
      <c r="J972" s="12">
        <v>14.7</v>
      </c>
      <c r="K972" s="12" t="s">
        <v>6</v>
      </c>
      <c r="L972" s="12">
        <v>225</v>
      </c>
      <c r="M972" s="151" t="s">
        <v>6</v>
      </c>
    </row>
    <row r="973" spans="1:13" x14ac:dyDescent="0.25">
      <c r="A973" s="79">
        <v>45462</v>
      </c>
      <c r="B973" s="11">
        <v>8.3333333333333329E-2</v>
      </c>
      <c r="C973" s="22">
        <v>45462.083333333336</v>
      </c>
      <c r="D973" s="12">
        <v>64.099999999999994</v>
      </c>
      <c r="E973" s="12">
        <v>70.7</v>
      </c>
      <c r="F973" s="12">
        <v>60.2</v>
      </c>
      <c r="G973" s="12" t="s">
        <v>6</v>
      </c>
      <c r="H973" s="12">
        <v>17.7</v>
      </c>
      <c r="I973" s="12">
        <v>20.100000000000001</v>
      </c>
      <c r="J973" s="12">
        <v>13.5</v>
      </c>
      <c r="K973" s="12" t="s">
        <v>6</v>
      </c>
      <c r="L973" s="12">
        <v>230</v>
      </c>
      <c r="M973" s="151" t="s">
        <v>6</v>
      </c>
    </row>
    <row r="974" spans="1:13" x14ac:dyDescent="0.25">
      <c r="A974" s="79">
        <v>45462</v>
      </c>
      <c r="B974" s="11">
        <v>0.125</v>
      </c>
      <c r="C974" s="22">
        <v>45462.125</v>
      </c>
      <c r="D974" s="12">
        <v>65.3</v>
      </c>
      <c r="E974" s="12">
        <v>70.5</v>
      </c>
      <c r="F974" s="12">
        <v>57.7</v>
      </c>
      <c r="G974" s="12" t="s">
        <v>6</v>
      </c>
      <c r="H974" s="12">
        <v>18</v>
      </c>
      <c r="I974" s="12">
        <v>21.2</v>
      </c>
      <c r="J974" s="12">
        <v>15.3</v>
      </c>
      <c r="K974" s="12" t="s">
        <v>6</v>
      </c>
      <c r="L974" s="12">
        <v>203</v>
      </c>
      <c r="M974" s="151" t="s">
        <v>6</v>
      </c>
    </row>
    <row r="975" spans="1:13" x14ac:dyDescent="0.25">
      <c r="A975" s="79">
        <v>45462</v>
      </c>
      <c r="B975" s="11">
        <v>0.16666666666666666</v>
      </c>
      <c r="C975" s="22">
        <v>45462.166666666664</v>
      </c>
      <c r="D975" s="12">
        <v>64.2</v>
      </c>
      <c r="E975" s="12">
        <v>69.599999999999994</v>
      </c>
      <c r="F975" s="12">
        <v>56.2</v>
      </c>
      <c r="G975" s="12" t="s">
        <v>6</v>
      </c>
      <c r="H975" s="12">
        <v>19.2</v>
      </c>
      <c r="I975" s="12">
        <v>30.5</v>
      </c>
      <c r="J975" s="12">
        <v>14.6</v>
      </c>
      <c r="K975" s="12" t="s">
        <v>6</v>
      </c>
      <c r="L975" s="12">
        <v>191</v>
      </c>
      <c r="M975" s="151" t="s">
        <v>6</v>
      </c>
    </row>
    <row r="976" spans="1:13" x14ac:dyDescent="0.25">
      <c r="A976" s="81">
        <v>45462</v>
      </c>
      <c r="B976" s="15">
        <v>0.20833333333333334</v>
      </c>
      <c r="C976" s="20">
        <v>45462.208333333336</v>
      </c>
      <c r="D976" s="16">
        <v>59.1</v>
      </c>
      <c r="E976" s="16">
        <v>60</v>
      </c>
      <c r="F976" s="16">
        <v>58.5</v>
      </c>
      <c r="G976" s="16" t="s">
        <v>6</v>
      </c>
      <c r="H976" s="16">
        <v>17.7</v>
      </c>
      <c r="I976" s="16">
        <v>19.7</v>
      </c>
      <c r="J976" s="16">
        <v>16.399999999999999</v>
      </c>
      <c r="K976" s="16" t="s">
        <v>6</v>
      </c>
      <c r="L976" s="16">
        <v>3</v>
      </c>
      <c r="M976" s="151" t="s">
        <v>6</v>
      </c>
    </row>
    <row r="977" spans="1:13" x14ac:dyDescent="0.25">
      <c r="A977" s="80">
        <v>45462</v>
      </c>
      <c r="B977" s="7">
        <v>0.91666666666666663</v>
      </c>
      <c r="C977" s="21">
        <v>45462.916666666664</v>
      </c>
      <c r="D977" s="8">
        <v>58.1</v>
      </c>
      <c r="E977" s="8">
        <v>63.4</v>
      </c>
      <c r="F977" s="8">
        <v>55.4</v>
      </c>
      <c r="G977" s="8" t="s">
        <v>6</v>
      </c>
      <c r="H977" s="8">
        <v>19.5</v>
      </c>
      <c r="I977" s="8">
        <v>22.3</v>
      </c>
      <c r="J977" s="8">
        <v>14.4</v>
      </c>
      <c r="K977" s="8" t="s">
        <v>6</v>
      </c>
      <c r="L977" s="8">
        <v>36</v>
      </c>
      <c r="M977" s="152" t="s">
        <v>6</v>
      </c>
    </row>
    <row r="978" spans="1:13" x14ac:dyDescent="0.25">
      <c r="A978" s="79">
        <v>45462</v>
      </c>
      <c r="B978" s="11">
        <v>0.95833333333333337</v>
      </c>
      <c r="C978" s="22">
        <v>45462.958333333336</v>
      </c>
      <c r="D978" s="12">
        <v>63</v>
      </c>
      <c r="E978" s="12">
        <v>66.5</v>
      </c>
      <c r="F978" s="12">
        <v>58.9</v>
      </c>
      <c r="G978" s="12" t="s">
        <v>6</v>
      </c>
      <c r="H978" s="12">
        <v>19.3</v>
      </c>
      <c r="I978" s="12">
        <v>23.9</v>
      </c>
      <c r="J978" s="12">
        <v>16.7</v>
      </c>
      <c r="K978" s="12" t="s">
        <v>6</v>
      </c>
      <c r="L978" s="12">
        <v>230</v>
      </c>
      <c r="M978" s="152" t="s">
        <v>6</v>
      </c>
    </row>
    <row r="979" spans="1:13" x14ac:dyDescent="0.25">
      <c r="A979" s="79">
        <v>45463</v>
      </c>
      <c r="B979" s="11">
        <v>0</v>
      </c>
      <c r="C979" s="22">
        <v>45463</v>
      </c>
      <c r="D979" s="12">
        <v>63.6</v>
      </c>
      <c r="E979" s="12">
        <v>66.2</v>
      </c>
      <c r="F979" s="12">
        <v>59.7</v>
      </c>
      <c r="G979" s="12" t="s">
        <v>6</v>
      </c>
      <c r="H979" s="12">
        <v>18.8</v>
      </c>
      <c r="I979" s="12">
        <v>20.7</v>
      </c>
      <c r="J979" s="12">
        <v>16.100000000000001</v>
      </c>
      <c r="K979" s="12" t="s">
        <v>6</v>
      </c>
      <c r="L979" s="12">
        <v>218</v>
      </c>
      <c r="M979" s="152" t="s">
        <v>6</v>
      </c>
    </row>
    <row r="980" spans="1:13" x14ac:dyDescent="0.25">
      <c r="A980" s="79">
        <v>45463</v>
      </c>
      <c r="B980" s="11">
        <v>4.1666666666666664E-2</v>
      </c>
      <c r="C980" s="22">
        <v>45463.041666666664</v>
      </c>
      <c r="D980" s="12">
        <v>61.5</v>
      </c>
      <c r="E980" s="12">
        <v>66.7</v>
      </c>
      <c r="F980" s="12">
        <v>56.2</v>
      </c>
      <c r="G980" s="12" t="s">
        <v>6</v>
      </c>
      <c r="H980" s="12">
        <v>18.399999999999999</v>
      </c>
      <c r="I980" s="12">
        <v>22.5</v>
      </c>
      <c r="J980" s="12">
        <v>16.100000000000001</v>
      </c>
      <c r="K980" s="12" t="s">
        <v>6</v>
      </c>
      <c r="L980" s="12">
        <v>214</v>
      </c>
      <c r="M980" s="152" t="s">
        <v>6</v>
      </c>
    </row>
    <row r="981" spans="1:13" x14ac:dyDescent="0.25">
      <c r="A981" s="79">
        <v>45463</v>
      </c>
      <c r="B981" s="11">
        <v>8.3333333333333329E-2</v>
      </c>
      <c r="C981" s="22">
        <v>45463.083333333336</v>
      </c>
      <c r="D981" s="12">
        <v>63.8</v>
      </c>
      <c r="E981" s="12">
        <v>69.2</v>
      </c>
      <c r="F981" s="12">
        <v>56.1</v>
      </c>
      <c r="G981" s="12" t="s">
        <v>6</v>
      </c>
      <c r="H981" s="12">
        <v>18.399999999999999</v>
      </c>
      <c r="I981" s="12">
        <v>23.6</v>
      </c>
      <c r="J981" s="12">
        <v>15.2</v>
      </c>
      <c r="K981" s="12" t="s">
        <v>6</v>
      </c>
      <c r="L981" s="12">
        <v>227</v>
      </c>
      <c r="M981" s="152" t="s">
        <v>6</v>
      </c>
    </row>
    <row r="982" spans="1:13" x14ac:dyDescent="0.25">
      <c r="A982" s="81">
        <v>45463</v>
      </c>
      <c r="B982" s="15">
        <v>0.125</v>
      </c>
      <c r="C982" s="20">
        <v>45463.125</v>
      </c>
      <c r="D982" s="16">
        <v>67.8</v>
      </c>
      <c r="E982" s="16">
        <v>75</v>
      </c>
      <c r="F982" s="16">
        <v>58.3</v>
      </c>
      <c r="G982" s="16" t="s">
        <v>6</v>
      </c>
      <c r="H982" s="16">
        <v>19.100000000000001</v>
      </c>
      <c r="I982" s="16">
        <v>21</v>
      </c>
      <c r="J982" s="16">
        <v>15.3</v>
      </c>
      <c r="K982" s="16" t="s">
        <v>6</v>
      </c>
      <c r="L982" s="16">
        <v>104</v>
      </c>
      <c r="M982" s="152" t="s">
        <v>6</v>
      </c>
    </row>
    <row r="983" spans="1:13" x14ac:dyDescent="0.25">
      <c r="A983" s="79">
        <v>45464</v>
      </c>
      <c r="B983" s="11">
        <v>0.45833333333333331</v>
      </c>
      <c r="C983" s="22">
        <v>45464.458333333336</v>
      </c>
      <c r="D983" s="12">
        <v>68.2</v>
      </c>
      <c r="E983" s="12">
        <v>68.2</v>
      </c>
      <c r="F983" s="12">
        <v>68.2</v>
      </c>
      <c r="G983" s="12" t="s">
        <v>6</v>
      </c>
      <c r="H983" s="12">
        <v>19.8</v>
      </c>
      <c r="I983" s="12">
        <v>19.8</v>
      </c>
      <c r="J983" s="12">
        <v>19.8</v>
      </c>
      <c r="K983" s="12" t="s">
        <v>6</v>
      </c>
      <c r="L983" s="12">
        <v>1</v>
      </c>
      <c r="M983" s="12" t="s">
        <v>6</v>
      </c>
    </row>
    <row r="984" spans="1:13" x14ac:dyDescent="0.25">
      <c r="A984" s="79">
        <v>45464</v>
      </c>
      <c r="B984" s="11">
        <v>0.5</v>
      </c>
      <c r="C984" s="22">
        <v>45464.5</v>
      </c>
      <c r="D984" s="12">
        <v>64.099999999999994</v>
      </c>
      <c r="E984" s="12">
        <v>64.099999999999994</v>
      </c>
      <c r="F984" s="12">
        <v>64.099999999999994</v>
      </c>
      <c r="G984" s="12" t="s">
        <v>6</v>
      </c>
      <c r="H984" s="12">
        <v>11</v>
      </c>
      <c r="I984" s="12">
        <v>11</v>
      </c>
      <c r="J984" s="12">
        <v>11</v>
      </c>
      <c r="K984" s="12" t="s">
        <v>6</v>
      </c>
      <c r="L984" s="12">
        <v>1</v>
      </c>
      <c r="M984" s="12" t="s">
        <v>6</v>
      </c>
    </row>
    <row r="985" spans="1:13" x14ac:dyDescent="0.25">
      <c r="A985" s="79">
        <v>45464</v>
      </c>
      <c r="B985" s="11">
        <v>0.875</v>
      </c>
      <c r="C985" s="22">
        <v>45464.875</v>
      </c>
      <c r="D985" s="12">
        <v>72.5</v>
      </c>
      <c r="E985" s="12">
        <v>80.8</v>
      </c>
      <c r="F985" s="12">
        <v>62.1</v>
      </c>
      <c r="G985" s="12" t="s">
        <v>6</v>
      </c>
      <c r="H985" s="12">
        <v>22.3</v>
      </c>
      <c r="I985" s="12">
        <v>26.3</v>
      </c>
      <c r="J985" s="12">
        <v>11.8</v>
      </c>
      <c r="K985" s="12" t="s">
        <v>6</v>
      </c>
      <c r="L985" s="12">
        <v>221</v>
      </c>
      <c r="M985" s="12" t="s">
        <v>6</v>
      </c>
    </row>
    <row r="986" spans="1:13" x14ac:dyDescent="0.25">
      <c r="A986" s="79">
        <v>45464</v>
      </c>
      <c r="B986" s="11">
        <v>0.91666666666666663</v>
      </c>
      <c r="C986" s="22">
        <v>45464.916666666664</v>
      </c>
      <c r="D986" s="12">
        <v>72.099999999999994</v>
      </c>
      <c r="E986" s="12">
        <v>78.900000000000006</v>
      </c>
      <c r="F986" s="12">
        <v>57.6</v>
      </c>
      <c r="G986" s="12" t="s">
        <v>6</v>
      </c>
      <c r="H986" s="12">
        <v>20.8</v>
      </c>
      <c r="I986" s="12">
        <v>22.9</v>
      </c>
      <c r="J986" s="12">
        <v>15.8</v>
      </c>
      <c r="K986" s="12" t="s">
        <v>6</v>
      </c>
      <c r="L986" s="12">
        <v>231</v>
      </c>
      <c r="M986" s="12" t="s">
        <v>6</v>
      </c>
    </row>
    <row r="987" spans="1:13" x14ac:dyDescent="0.25">
      <c r="A987" s="79">
        <v>45464</v>
      </c>
      <c r="B987" s="11">
        <v>0.95833333333333337</v>
      </c>
      <c r="C987" s="22">
        <v>45464.958333333336</v>
      </c>
      <c r="D987" s="12">
        <v>66.099999999999994</v>
      </c>
      <c r="E987" s="12">
        <v>77.400000000000006</v>
      </c>
      <c r="F987" s="12">
        <v>51.2</v>
      </c>
      <c r="G987" s="12" t="s">
        <v>6</v>
      </c>
      <c r="H987" s="12">
        <v>19.399999999999999</v>
      </c>
      <c r="I987" s="12">
        <v>22.2</v>
      </c>
      <c r="J987" s="12">
        <v>13.6</v>
      </c>
      <c r="K987" s="12" t="s">
        <v>6</v>
      </c>
      <c r="L987" s="12">
        <v>226</v>
      </c>
      <c r="M987" s="12" t="s">
        <v>6</v>
      </c>
    </row>
    <row r="988" spans="1:13" x14ac:dyDescent="0.25">
      <c r="A988" s="79">
        <v>45465</v>
      </c>
      <c r="B988" s="11">
        <v>0</v>
      </c>
      <c r="C988" s="22">
        <v>45465</v>
      </c>
      <c r="D988" s="12">
        <v>64.3</v>
      </c>
      <c r="E988" s="12">
        <v>70.5</v>
      </c>
      <c r="F988" s="12">
        <v>58.6</v>
      </c>
      <c r="G988" s="12" t="s">
        <v>6</v>
      </c>
      <c r="H988" s="12">
        <v>19.8</v>
      </c>
      <c r="I988" s="12">
        <v>23.4</v>
      </c>
      <c r="J988" s="12">
        <v>13.1</v>
      </c>
      <c r="K988" s="12" t="s">
        <v>6</v>
      </c>
      <c r="L988" s="12">
        <v>220</v>
      </c>
      <c r="M988" s="12" t="s">
        <v>6</v>
      </c>
    </row>
    <row r="989" spans="1:13" x14ac:dyDescent="0.25">
      <c r="A989" s="79">
        <v>45465</v>
      </c>
      <c r="B989" s="11">
        <v>4.1666666666666664E-2</v>
      </c>
      <c r="C989" s="22">
        <v>45465.041666666664</v>
      </c>
      <c r="D989" s="12">
        <v>67.3</v>
      </c>
      <c r="E989" s="12">
        <v>73.900000000000006</v>
      </c>
      <c r="F989" s="12">
        <v>60.7</v>
      </c>
      <c r="G989" s="12" t="s">
        <v>6</v>
      </c>
      <c r="H989" s="12">
        <v>19.399999999999999</v>
      </c>
      <c r="I989" s="12">
        <v>21.4</v>
      </c>
      <c r="J989" s="12">
        <v>16.3</v>
      </c>
      <c r="K989" s="12" t="s">
        <v>6</v>
      </c>
      <c r="L989" s="12">
        <v>224</v>
      </c>
      <c r="M989" s="12" t="s">
        <v>6</v>
      </c>
    </row>
    <row r="990" spans="1:13" x14ac:dyDescent="0.25">
      <c r="A990" s="79">
        <v>45465</v>
      </c>
      <c r="B990" s="11">
        <v>8.3333333333333329E-2</v>
      </c>
      <c r="C990" s="22">
        <v>45465.083333333336</v>
      </c>
      <c r="D990" s="12">
        <v>69</v>
      </c>
      <c r="E990" s="12">
        <v>76.099999999999994</v>
      </c>
      <c r="F990" s="12">
        <v>60.8</v>
      </c>
      <c r="G990" s="12" t="s">
        <v>6</v>
      </c>
      <c r="H990" s="12">
        <v>20.6</v>
      </c>
      <c r="I990" s="12">
        <v>28.3</v>
      </c>
      <c r="J990" s="12">
        <v>17</v>
      </c>
      <c r="K990" s="12" t="s">
        <v>6</v>
      </c>
      <c r="L990" s="12">
        <v>215</v>
      </c>
      <c r="M990" s="12" t="s">
        <v>6</v>
      </c>
    </row>
    <row r="991" spans="1:13" x14ac:dyDescent="0.25">
      <c r="A991" s="79">
        <v>45465</v>
      </c>
      <c r="B991" s="11">
        <v>0.125</v>
      </c>
      <c r="C991" s="22">
        <v>45465.125</v>
      </c>
      <c r="D991" s="12">
        <v>69.3</v>
      </c>
      <c r="E991" s="12">
        <v>75.400000000000006</v>
      </c>
      <c r="F991" s="12">
        <v>64.900000000000006</v>
      </c>
      <c r="G991" s="12" t="s">
        <v>6</v>
      </c>
      <c r="H991" s="12">
        <v>20.5</v>
      </c>
      <c r="I991" s="12">
        <v>23.8</v>
      </c>
      <c r="J991" s="12">
        <v>16.600000000000001</v>
      </c>
      <c r="K991" s="12" t="s">
        <v>6</v>
      </c>
      <c r="L991" s="12">
        <v>229</v>
      </c>
      <c r="M991" s="12" t="s">
        <v>6</v>
      </c>
    </row>
    <row r="992" spans="1:13" x14ac:dyDescent="0.25">
      <c r="A992" s="79">
        <v>45465</v>
      </c>
      <c r="B992" s="11">
        <v>0.16666666666666666</v>
      </c>
      <c r="C992" s="22">
        <v>45465.166666666664</v>
      </c>
      <c r="D992" s="12">
        <v>61.9</v>
      </c>
      <c r="E992" s="12">
        <v>69.7</v>
      </c>
      <c r="F992" s="12">
        <v>54.5</v>
      </c>
      <c r="G992" s="12" t="s">
        <v>6</v>
      </c>
      <c r="H992" s="12">
        <v>19.5</v>
      </c>
      <c r="I992" s="12">
        <v>21.9</v>
      </c>
      <c r="J992" s="12">
        <v>15.5</v>
      </c>
      <c r="K992" s="12" t="s">
        <v>6</v>
      </c>
      <c r="L992" s="12">
        <v>231</v>
      </c>
      <c r="M992" s="12" t="s">
        <v>6</v>
      </c>
    </row>
    <row r="993" spans="1:13" x14ac:dyDescent="0.25">
      <c r="A993" s="79">
        <v>45465</v>
      </c>
      <c r="B993" s="11">
        <v>0.20833333333333334</v>
      </c>
      <c r="C993" s="22">
        <v>45465.208333333336</v>
      </c>
      <c r="D993" s="12">
        <v>68</v>
      </c>
      <c r="E993" s="12">
        <v>74.5</v>
      </c>
      <c r="F993" s="12">
        <v>58.6</v>
      </c>
      <c r="G993" s="12" t="s">
        <v>6</v>
      </c>
      <c r="H993" s="12">
        <v>19.7</v>
      </c>
      <c r="I993" s="12">
        <v>22.3</v>
      </c>
      <c r="J993" s="12">
        <v>15.1</v>
      </c>
      <c r="K993" s="12" t="s">
        <v>6</v>
      </c>
      <c r="L993" s="12">
        <v>215</v>
      </c>
      <c r="M993" s="12" t="s">
        <v>6</v>
      </c>
    </row>
    <row r="994" spans="1:13" x14ac:dyDescent="0.25">
      <c r="A994" s="79">
        <v>45465</v>
      </c>
      <c r="B994" s="11">
        <v>0.25</v>
      </c>
      <c r="C994" s="22">
        <v>45465.25</v>
      </c>
      <c r="D994" s="12">
        <v>67</v>
      </c>
      <c r="E994" s="12">
        <v>73.099999999999994</v>
      </c>
      <c r="F994" s="12">
        <v>61.1</v>
      </c>
      <c r="G994" s="12" t="s">
        <v>6</v>
      </c>
      <c r="H994" s="12">
        <v>19.100000000000001</v>
      </c>
      <c r="I994" s="12">
        <v>21.9</v>
      </c>
      <c r="J994" s="12">
        <v>16.3</v>
      </c>
      <c r="K994" s="12" t="s">
        <v>6</v>
      </c>
      <c r="L994" s="12">
        <v>180</v>
      </c>
      <c r="M994" s="12" t="s">
        <v>6</v>
      </c>
    </row>
    <row r="995" spans="1:13" x14ac:dyDescent="0.25">
      <c r="A995" s="81">
        <v>45465</v>
      </c>
      <c r="B995" s="15">
        <v>0.29166666666666669</v>
      </c>
      <c r="C995" s="20">
        <v>45465.291666666664</v>
      </c>
      <c r="D995" s="16">
        <v>70.3</v>
      </c>
      <c r="E995" s="16">
        <v>75.3</v>
      </c>
      <c r="F995" s="16">
        <v>62.8</v>
      </c>
      <c r="G995" s="16" t="s">
        <v>6</v>
      </c>
      <c r="H995" s="16">
        <v>19.3</v>
      </c>
      <c r="I995" s="16">
        <v>22.1</v>
      </c>
      <c r="J995" s="16">
        <v>16.600000000000001</v>
      </c>
      <c r="K995" s="16" t="s">
        <v>6</v>
      </c>
      <c r="L995" s="16">
        <v>124</v>
      </c>
      <c r="M995" s="16" t="s">
        <v>6</v>
      </c>
    </row>
    <row r="996" spans="1:13" x14ac:dyDescent="0.25">
      <c r="A996" s="118">
        <v>45467</v>
      </c>
      <c r="B996" s="68">
        <v>0.33333333333333331</v>
      </c>
      <c r="C996" s="64">
        <v>45467.333333333336</v>
      </c>
      <c r="D996" s="65">
        <v>70.3</v>
      </c>
      <c r="E996" s="65">
        <v>71.3</v>
      </c>
      <c r="F996" s="65">
        <v>69.599999999999994</v>
      </c>
      <c r="G996" s="65" t="s">
        <v>6</v>
      </c>
      <c r="H996" s="65">
        <v>12</v>
      </c>
      <c r="I996" s="65">
        <v>13.9</v>
      </c>
      <c r="J996" s="65">
        <v>8.1999999999999993</v>
      </c>
      <c r="K996" s="65" t="s">
        <v>6</v>
      </c>
      <c r="L996" s="65">
        <v>3</v>
      </c>
      <c r="M996" s="153" t="s">
        <v>6</v>
      </c>
    </row>
    <row r="997" spans="1:13" x14ac:dyDescent="0.25">
      <c r="A997" s="118">
        <v>45468</v>
      </c>
      <c r="B997" s="68">
        <v>0.45833333333333331</v>
      </c>
      <c r="C997" s="64">
        <v>45468.458333333336</v>
      </c>
      <c r="D997" s="65">
        <v>65.7</v>
      </c>
      <c r="E997" s="65">
        <v>66.3</v>
      </c>
      <c r="F997" s="65">
        <v>65.099999999999994</v>
      </c>
      <c r="G997" s="65" t="s">
        <v>6</v>
      </c>
      <c r="H997" s="65">
        <v>26.4</v>
      </c>
      <c r="I997" s="65">
        <v>26.6</v>
      </c>
      <c r="J997" s="65">
        <v>26.1</v>
      </c>
      <c r="K997" s="65" t="s">
        <v>6</v>
      </c>
      <c r="L997" s="65">
        <v>2</v>
      </c>
      <c r="M997" s="154" t="s">
        <v>6</v>
      </c>
    </row>
    <row r="998" spans="1:13" x14ac:dyDescent="0.25">
      <c r="A998" s="156">
        <v>45473</v>
      </c>
      <c r="B998" s="157">
        <v>0.625</v>
      </c>
      <c r="C998" s="158">
        <v>45473.625</v>
      </c>
      <c r="D998" s="155">
        <v>50.1</v>
      </c>
      <c r="E998" s="155">
        <v>51</v>
      </c>
      <c r="F998" s="155">
        <v>49.5</v>
      </c>
      <c r="G998" s="155" t="s">
        <v>6</v>
      </c>
      <c r="H998" s="155">
        <v>16.7</v>
      </c>
      <c r="I998" s="155">
        <v>18.2</v>
      </c>
      <c r="J998" s="155">
        <v>13.6</v>
      </c>
      <c r="K998" s="155" t="s">
        <v>6</v>
      </c>
      <c r="L998" s="155">
        <v>9</v>
      </c>
      <c r="M998" s="155" t="s">
        <v>6</v>
      </c>
    </row>
    <row r="999" spans="1:13" x14ac:dyDescent="0.25">
      <c r="A999" s="156">
        <v>45473</v>
      </c>
      <c r="B999" s="157">
        <v>0.66666666666666663</v>
      </c>
      <c r="C999" s="158">
        <v>45473.666666666664</v>
      </c>
      <c r="D999" s="155">
        <v>48.5</v>
      </c>
      <c r="E999" s="155">
        <v>50.2</v>
      </c>
      <c r="F999" s="155">
        <v>47.5</v>
      </c>
      <c r="G999" s="155" t="s">
        <v>6</v>
      </c>
      <c r="H999" s="155">
        <v>13.5</v>
      </c>
      <c r="I999" s="155">
        <v>15.7</v>
      </c>
      <c r="J999" s="155">
        <v>11.8</v>
      </c>
      <c r="K999" s="155" t="s">
        <v>6</v>
      </c>
      <c r="L999" s="155">
        <v>18</v>
      </c>
      <c r="M999" s="155" t="s">
        <v>6</v>
      </c>
    </row>
    <row r="1000" spans="1:13" x14ac:dyDescent="0.25">
      <c r="A1000" s="81">
        <v>45473</v>
      </c>
      <c r="B1000" s="15">
        <v>0.70833333333333337</v>
      </c>
      <c r="C1000" s="20">
        <v>45473.708333333336</v>
      </c>
      <c r="D1000" s="16">
        <v>52.4</v>
      </c>
      <c r="E1000" s="16">
        <v>53.5</v>
      </c>
      <c r="F1000" s="16">
        <v>51.9</v>
      </c>
      <c r="G1000" s="16" t="s">
        <v>6</v>
      </c>
      <c r="H1000" s="16">
        <v>14.4</v>
      </c>
      <c r="I1000" s="16">
        <v>17</v>
      </c>
      <c r="J1000" s="16">
        <v>13.5</v>
      </c>
      <c r="K1000" s="16" t="s">
        <v>6</v>
      </c>
      <c r="L1000" s="16">
        <v>7</v>
      </c>
      <c r="M1000" s="155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934298-0264 S.Bdrm2_PVitalsag_2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WayneH</dc:creator>
  <cp:lastModifiedBy>WayneH</cp:lastModifiedBy>
  <dcterms:created xsi:type="dcterms:W3CDTF">2024-01-22T23:21:47Z</dcterms:created>
  <dcterms:modified xsi:type="dcterms:W3CDTF">2024-07-03T20:45:08Z</dcterms:modified>
</cp:coreProperties>
</file>