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jolghoshal/Documents/ATS/Technology/Data Analysis/PAM Health - Patient#2 who passed away/"/>
    </mc:Choice>
  </mc:AlternateContent>
  <xr:revisionPtr revIDLastSave="0" documentId="13_ncr:1_{9F7AFC8D-CD00-1243-A907-EE250B9A8ACE}" xr6:coauthVersionLast="47" xr6:coauthVersionMax="47" xr10:uidLastSave="{00000000-0000-0000-0000-000000000000}"/>
  <bookViews>
    <workbookView xWindow="2280" yWindow="500" windowWidth="25420" windowHeight="17900" xr2:uid="{00000000-000D-0000-FFFF-FFFF00000000}"/>
  </bookViews>
  <sheets>
    <sheet name="934297-0122 J.LivRm_PVitalsag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V3" i="1" s="1"/>
  <c r="O4" i="1"/>
  <c r="V4" i="1" s="1"/>
  <c r="O5" i="1"/>
  <c r="V5" i="1" s="1"/>
  <c r="O6" i="1"/>
  <c r="V6" i="1" s="1"/>
  <c r="O7" i="1"/>
  <c r="V7" i="1" s="1"/>
  <c r="O8" i="1"/>
  <c r="V8" i="1" s="1"/>
  <c r="O9" i="1"/>
  <c r="V9" i="1" s="1"/>
  <c r="O10" i="1"/>
  <c r="V10" i="1" s="1"/>
  <c r="O11" i="1"/>
  <c r="V11" i="1" s="1"/>
  <c r="O12" i="1"/>
  <c r="V12" i="1" s="1"/>
  <c r="O13" i="1"/>
  <c r="V13" i="1" s="1"/>
  <c r="O14" i="1"/>
  <c r="V14" i="1" s="1"/>
  <c r="O15" i="1"/>
  <c r="V15" i="1" s="1"/>
  <c r="O16" i="1"/>
  <c r="V16" i="1" s="1"/>
  <c r="O17" i="1"/>
  <c r="V17" i="1" s="1"/>
  <c r="O18" i="1"/>
  <c r="V18" i="1" s="1"/>
  <c r="O19" i="1"/>
  <c r="V19" i="1" s="1"/>
  <c r="O20" i="1"/>
  <c r="V20" i="1" s="1"/>
  <c r="O21" i="1"/>
  <c r="V21" i="1" s="1"/>
  <c r="O22" i="1"/>
  <c r="V22" i="1" s="1"/>
  <c r="O23" i="1"/>
  <c r="V23" i="1" s="1"/>
  <c r="O24" i="1"/>
  <c r="V24" i="1" s="1"/>
  <c r="O25" i="1"/>
  <c r="V25" i="1" s="1"/>
  <c r="O26" i="1"/>
  <c r="V26" i="1" s="1"/>
  <c r="O27" i="1"/>
  <c r="V27" i="1" s="1"/>
  <c r="O28" i="1"/>
  <c r="V28" i="1" s="1"/>
  <c r="O29" i="1"/>
  <c r="V29" i="1" s="1"/>
  <c r="O30" i="1"/>
  <c r="V30" i="1" s="1"/>
  <c r="O31" i="1"/>
  <c r="V31" i="1" s="1"/>
  <c r="O32" i="1"/>
  <c r="V32" i="1" s="1"/>
  <c r="O33" i="1"/>
  <c r="V33" i="1" s="1"/>
  <c r="O34" i="1"/>
  <c r="V34" i="1" s="1"/>
  <c r="O35" i="1"/>
  <c r="V35" i="1" s="1"/>
  <c r="O36" i="1"/>
  <c r="V36" i="1" s="1"/>
  <c r="O37" i="1"/>
  <c r="V37" i="1" s="1"/>
  <c r="O38" i="1"/>
  <c r="V38" i="1" s="1"/>
  <c r="O39" i="1"/>
  <c r="V39" i="1" s="1"/>
  <c r="O40" i="1"/>
  <c r="V40" i="1" s="1"/>
  <c r="O41" i="1"/>
  <c r="V41" i="1" s="1"/>
  <c r="O42" i="1"/>
  <c r="V42" i="1" s="1"/>
  <c r="O43" i="1"/>
  <c r="V43" i="1" s="1"/>
  <c r="O44" i="1"/>
  <c r="V44" i="1" s="1"/>
  <c r="O45" i="1"/>
  <c r="V45" i="1" s="1"/>
  <c r="O46" i="1"/>
  <c r="V46" i="1" s="1"/>
  <c r="O47" i="1"/>
  <c r="V47" i="1" s="1"/>
  <c r="O48" i="1"/>
  <c r="V48" i="1" s="1"/>
  <c r="O49" i="1"/>
  <c r="V49" i="1" s="1"/>
  <c r="O50" i="1"/>
  <c r="V50" i="1" s="1"/>
  <c r="O51" i="1"/>
  <c r="V51" i="1" s="1"/>
  <c r="O52" i="1"/>
  <c r="V52" i="1" s="1"/>
  <c r="O53" i="1"/>
  <c r="V53" i="1" s="1"/>
  <c r="O54" i="1"/>
  <c r="V54" i="1" s="1"/>
  <c r="O55" i="1"/>
  <c r="V55" i="1" s="1"/>
  <c r="O56" i="1"/>
  <c r="V56" i="1" s="1"/>
  <c r="O57" i="1"/>
  <c r="V57" i="1" s="1"/>
  <c r="O58" i="1"/>
  <c r="V58" i="1" s="1"/>
  <c r="O59" i="1"/>
  <c r="V59" i="1" s="1"/>
  <c r="O60" i="1"/>
  <c r="V60" i="1" s="1"/>
  <c r="O61" i="1"/>
  <c r="V61" i="1" s="1"/>
  <c r="O62" i="1"/>
  <c r="V62" i="1" s="1"/>
  <c r="O63" i="1"/>
  <c r="V63" i="1" s="1"/>
  <c r="O64" i="1"/>
  <c r="V64" i="1" s="1"/>
  <c r="O65" i="1"/>
  <c r="V65" i="1" s="1"/>
  <c r="O66" i="1"/>
  <c r="V66" i="1" s="1"/>
  <c r="O67" i="1"/>
  <c r="V67" i="1" s="1"/>
  <c r="O68" i="1"/>
  <c r="V68" i="1" s="1"/>
  <c r="O69" i="1"/>
  <c r="V69" i="1" s="1"/>
  <c r="O70" i="1"/>
  <c r="V70" i="1" s="1"/>
  <c r="O71" i="1"/>
  <c r="V71" i="1" s="1"/>
  <c r="O72" i="1"/>
  <c r="V72" i="1" s="1"/>
  <c r="O73" i="1"/>
  <c r="V73" i="1" s="1"/>
  <c r="O74" i="1"/>
  <c r="V74" i="1" s="1"/>
  <c r="O75" i="1"/>
  <c r="V75" i="1" s="1"/>
  <c r="O76" i="1"/>
  <c r="V76" i="1" s="1"/>
  <c r="O77" i="1"/>
  <c r="V77" i="1" s="1"/>
  <c r="O78" i="1"/>
  <c r="V78" i="1" s="1"/>
  <c r="O79" i="1"/>
  <c r="V79" i="1" s="1"/>
  <c r="O80" i="1"/>
  <c r="V80" i="1" s="1"/>
  <c r="O81" i="1"/>
  <c r="V81" i="1" s="1"/>
  <c r="O82" i="1"/>
  <c r="V82" i="1" s="1"/>
  <c r="O83" i="1"/>
  <c r="V83" i="1" s="1"/>
  <c r="O84" i="1"/>
  <c r="V84" i="1" s="1"/>
  <c r="O85" i="1"/>
  <c r="V85" i="1" s="1"/>
  <c r="O86" i="1"/>
  <c r="V86" i="1" s="1"/>
  <c r="O87" i="1"/>
  <c r="V87" i="1" s="1"/>
  <c r="O88" i="1"/>
  <c r="V88" i="1" s="1"/>
  <c r="O89" i="1"/>
  <c r="V89" i="1" s="1"/>
  <c r="O90" i="1"/>
  <c r="V90" i="1" s="1"/>
  <c r="O91" i="1"/>
  <c r="V91" i="1" s="1"/>
  <c r="O92" i="1"/>
  <c r="V92" i="1" s="1"/>
  <c r="O93" i="1"/>
  <c r="V93" i="1" s="1"/>
  <c r="O94" i="1"/>
  <c r="V94" i="1" s="1"/>
  <c r="O95" i="1"/>
  <c r="V95" i="1" s="1"/>
  <c r="O96" i="1"/>
  <c r="V96" i="1" s="1"/>
  <c r="O97" i="1"/>
  <c r="V97" i="1" s="1"/>
  <c r="O98" i="1"/>
  <c r="V98" i="1" s="1"/>
  <c r="O99" i="1"/>
  <c r="V99" i="1" s="1"/>
  <c r="O100" i="1"/>
  <c r="V100" i="1" s="1"/>
  <c r="O101" i="1"/>
  <c r="V101" i="1" s="1"/>
  <c r="O102" i="1"/>
  <c r="V102" i="1" s="1"/>
  <c r="O103" i="1"/>
  <c r="V103" i="1" s="1"/>
  <c r="O104" i="1"/>
  <c r="V104" i="1" s="1"/>
  <c r="O105" i="1"/>
  <c r="V105" i="1" s="1"/>
  <c r="O106" i="1"/>
  <c r="V106" i="1" s="1"/>
  <c r="O107" i="1"/>
  <c r="V107" i="1" s="1"/>
  <c r="O108" i="1"/>
  <c r="V108" i="1" s="1"/>
  <c r="O109" i="1"/>
  <c r="V109" i="1" s="1"/>
  <c r="O110" i="1"/>
  <c r="V110" i="1" s="1"/>
  <c r="O111" i="1"/>
  <c r="V111" i="1" s="1"/>
  <c r="O112" i="1"/>
  <c r="V112" i="1" s="1"/>
  <c r="O113" i="1"/>
  <c r="V113" i="1" s="1"/>
  <c r="O114" i="1"/>
  <c r="V114" i="1" s="1"/>
  <c r="O115" i="1"/>
  <c r="V115" i="1" s="1"/>
  <c r="O116" i="1"/>
  <c r="V116" i="1" s="1"/>
  <c r="O117" i="1"/>
  <c r="V117" i="1" s="1"/>
  <c r="O118" i="1"/>
  <c r="V118" i="1" s="1"/>
  <c r="O119" i="1"/>
  <c r="V119" i="1" s="1"/>
  <c r="O120" i="1"/>
  <c r="V120" i="1" s="1"/>
  <c r="O121" i="1"/>
  <c r="V121" i="1" s="1"/>
  <c r="O122" i="1"/>
  <c r="V122" i="1" s="1"/>
  <c r="O123" i="1"/>
  <c r="V123" i="1" s="1"/>
  <c r="O124" i="1"/>
  <c r="V124" i="1" s="1"/>
  <c r="O125" i="1"/>
  <c r="V125" i="1" s="1"/>
  <c r="O126" i="1"/>
  <c r="V126" i="1" s="1"/>
  <c r="O127" i="1"/>
  <c r="V127" i="1" s="1"/>
  <c r="O128" i="1"/>
  <c r="V128" i="1" s="1"/>
  <c r="O129" i="1"/>
  <c r="V129" i="1" s="1"/>
  <c r="O130" i="1"/>
  <c r="V130" i="1" s="1"/>
  <c r="O131" i="1"/>
  <c r="V131" i="1" s="1"/>
  <c r="O132" i="1"/>
  <c r="V132" i="1" s="1"/>
  <c r="O133" i="1"/>
  <c r="V133" i="1" s="1"/>
  <c r="O134" i="1"/>
  <c r="V134" i="1" s="1"/>
  <c r="O135" i="1"/>
  <c r="V135" i="1" s="1"/>
  <c r="O136" i="1"/>
  <c r="V136" i="1" s="1"/>
  <c r="O137" i="1"/>
  <c r="V137" i="1" s="1"/>
  <c r="O138" i="1"/>
  <c r="V138" i="1" s="1"/>
  <c r="O139" i="1"/>
  <c r="V139" i="1" s="1"/>
  <c r="O140" i="1"/>
  <c r="V140" i="1" s="1"/>
  <c r="O141" i="1"/>
  <c r="V141" i="1" s="1"/>
  <c r="O142" i="1"/>
  <c r="V142" i="1" s="1"/>
  <c r="O143" i="1"/>
  <c r="V143" i="1" s="1"/>
  <c r="O144" i="1"/>
  <c r="V144" i="1" s="1"/>
  <c r="O145" i="1"/>
  <c r="V145" i="1" s="1"/>
  <c r="O146" i="1"/>
  <c r="V146" i="1" s="1"/>
  <c r="O147" i="1"/>
  <c r="V147" i="1" s="1"/>
  <c r="O148" i="1"/>
  <c r="V148" i="1" s="1"/>
  <c r="O149" i="1"/>
  <c r="V149" i="1" s="1"/>
  <c r="O150" i="1"/>
  <c r="V150" i="1" s="1"/>
  <c r="O151" i="1"/>
  <c r="V151" i="1" s="1"/>
  <c r="O152" i="1"/>
  <c r="V152" i="1" s="1"/>
  <c r="O153" i="1"/>
  <c r="V153" i="1" s="1"/>
  <c r="O154" i="1"/>
  <c r="V154" i="1" s="1"/>
  <c r="O155" i="1"/>
  <c r="V155" i="1" s="1"/>
  <c r="O156" i="1"/>
  <c r="V156" i="1" s="1"/>
  <c r="O157" i="1"/>
  <c r="V157" i="1" s="1"/>
  <c r="O158" i="1"/>
  <c r="V158" i="1" s="1"/>
  <c r="O159" i="1"/>
  <c r="V159" i="1" s="1"/>
  <c r="O160" i="1"/>
  <c r="V160" i="1" s="1"/>
  <c r="O161" i="1"/>
  <c r="V161" i="1" s="1"/>
  <c r="O162" i="1"/>
  <c r="V162" i="1" s="1"/>
  <c r="O163" i="1"/>
  <c r="V163" i="1" s="1"/>
  <c r="O164" i="1"/>
  <c r="V164" i="1" s="1"/>
  <c r="O165" i="1"/>
  <c r="V165" i="1" s="1"/>
  <c r="O166" i="1"/>
  <c r="V166" i="1" s="1"/>
  <c r="O167" i="1"/>
  <c r="V167" i="1" s="1"/>
  <c r="O168" i="1"/>
  <c r="V168" i="1" s="1"/>
  <c r="O169" i="1"/>
  <c r="V169" i="1" s="1"/>
  <c r="O170" i="1"/>
  <c r="V170" i="1" s="1"/>
  <c r="O171" i="1"/>
  <c r="V171" i="1" s="1"/>
  <c r="O172" i="1"/>
  <c r="V172" i="1" s="1"/>
  <c r="O173" i="1"/>
  <c r="V173" i="1" s="1"/>
  <c r="O174" i="1"/>
  <c r="V174" i="1" s="1"/>
  <c r="O175" i="1"/>
  <c r="V175" i="1" s="1"/>
  <c r="O176" i="1"/>
  <c r="V176" i="1" s="1"/>
  <c r="O177" i="1"/>
  <c r="V177" i="1" s="1"/>
  <c r="O178" i="1"/>
  <c r="V178" i="1" s="1"/>
  <c r="O179" i="1"/>
  <c r="V179" i="1" s="1"/>
  <c r="O180" i="1"/>
  <c r="V180" i="1" s="1"/>
  <c r="O181" i="1"/>
  <c r="V181" i="1" s="1"/>
  <c r="O182" i="1"/>
  <c r="V182" i="1" s="1"/>
  <c r="O183" i="1"/>
  <c r="V183" i="1" s="1"/>
  <c r="O184" i="1"/>
  <c r="V184" i="1" s="1"/>
  <c r="O185" i="1"/>
  <c r="V185" i="1" s="1"/>
  <c r="O186" i="1"/>
  <c r="V186" i="1" s="1"/>
  <c r="O187" i="1"/>
  <c r="V187" i="1" s="1"/>
  <c r="O188" i="1"/>
  <c r="V188" i="1" s="1"/>
  <c r="O189" i="1"/>
  <c r="V189" i="1" s="1"/>
  <c r="O190" i="1"/>
  <c r="V190" i="1" s="1"/>
  <c r="O191" i="1"/>
  <c r="V191" i="1" s="1"/>
  <c r="O192" i="1"/>
  <c r="V192" i="1" s="1"/>
  <c r="O193" i="1"/>
  <c r="V193" i="1" s="1"/>
  <c r="O194" i="1"/>
  <c r="V194" i="1" s="1"/>
  <c r="O195" i="1"/>
  <c r="V195" i="1" s="1"/>
  <c r="O196" i="1"/>
  <c r="V196" i="1" s="1"/>
  <c r="O197" i="1"/>
  <c r="V197" i="1" s="1"/>
  <c r="O198" i="1"/>
  <c r="V198" i="1" s="1"/>
  <c r="O199" i="1"/>
  <c r="V199" i="1" s="1"/>
  <c r="O200" i="1"/>
  <c r="V200" i="1" s="1"/>
  <c r="O201" i="1"/>
  <c r="V201" i="1" s="1"/>
  <c r="O202" i="1"/>
  <c r="V202" i="1" s="1"/>
  <c r="O203" i="1"/>
  <c r="V203" i="1" s="1"/>
  <c r="O204" i="1"/>
  <c r="V204" i="1" s="1"/>
  <c r="O205" i="1"/>
  <c r="V205" i="1" s="1"/>
  <c r="O206" i="1"/>
  <c r="V206" i="1" s="1"/>
  <c r="O207" i="1"/>
  <c r="V207" i="1" s="1"/>
  <c r="O208" i="1"/>
  <c r="V208" i="1" s="1"/>
  <c r="O209" i="1"/>
  <c r="V209" i="1" s="1"/>
  <c r="O210" i="1"/>
  <c r="V210" i="1" s="1"/>
  <c r="O211" i="1"/>
  <c r="V211" i="1" s="1"/>
  <c r="O212" i="1"/>
  <c r="V212" i="1" s="1"/>
  <c r="O213" i="1"/>
  <c r="V213" i="1" s="1"/>
  <c r="O214" i="1"/>
  <c r="V214" i="1" s="1"/>
  <c r="O215" i="1"/>
  <c r="V215" i="1" s="1"/>
  <c r="O216" i="1"/>
  <c r="V216" i="1" s="1"/>
  <c r="O217" i="1"/>
  <c r="V217" i="1" s="1"/>
  <c r="O218" i="1"/>
  <c r="V218" i="1" s="1"/>
  <c r="O219" i="1"/>
  <c r="V219" i="1" s="1"/>
  <c r="O220" i="1"/>
  <c r="V220" i="1" s="1"/>
  <c r="O221" i="1"/>
  <c r="V221" i="1" s="1"/>
  <c r="O222" i="1"/>
  <c r="V222" i="1" s="1"/>
  <c r="O223" i="1"/>
  <c r="V223" i="1" s="1"/>
  <c r="O224" i="1"/>
  <c r="V224" i="1" s="1"/>
  <c r="O225" i="1"/>
  <c r="V225" i="1" s="1"/>
  <c r="O226" i="1"/>
  <c r="V226" i="1" s="1"/>
  <c r="O227" i="1"/>
  <c r="V227" i="1" s="1"/>
  <c r="O228" i="1"/>
  <c r="V228" i="1" s="1"/>
  <c r="O229" i="1"/>
  <c r="V229" i="1" s="1"/>
  <c r="O230" i="1"/>
  <c r="V230" i="1" s="1"/>
  <c r="O231" i="1"/>
  <c r="V231" i="1" s="1"/>
  <c r="O232" i="1"/>
  <c r="V232" i="1" s="1"/>
  <c r="O233" i="1"/>
  <c r="V233" i="1" s="1"/>
  <c r="O234" i="1"/>
  <c r="V234" i="1" s="1"/>
  <c r="O235" i="1"/>
  <c r="V235" i="1" s="1"/>
  <c r="O236" i="1"/>
  <c r="V236" i="1" s="1"/>
  <c r="O237" i="1"/>
  <c r="V237" i="1" s="1"/>
  <c r="O238" i="1"/>
  <c r="V238" i="1" s="1"/>
  <c r="O239" i="1"/>
  <c r="V239" i="1" s="1"/>
  <c r="O240" i="1"/>
  <c r="V240" i="1" s="1"/>
  <c r="O241" i="1"/>
  <c r="V241" i="1" s="1"/>
  <c r="O242" i="1"/>
  <c r="V242" i="1" s="1"/>
  <c r="O243" i="1"/>
  <c r="V243" i="1" s="1"/>
  <c r="O244" i="1"/>
  <c r="V244" i="1" s="1"/>
  <c r="O245" i="1"/>
  <c r="V245" i="1" s="1"/>
  <c r="O246" i="1"/>
  <c r="V246" i="1" s="1"/>
  <c r="O247" i="1"/>
  <c r="V247" i="1" s="1"/>
  <c r="O248" i="1"/>
  <c r="V248" i="1" s="1"/>
  <c r="O249" i="1"/>
  <c r="V249" i="1" s="1"/>
  <c r="O250" i="1"/>
  <c r="V250" i="1" s="1"/>
  <c r="O251" i="1"/>
  <c r="V251" i="1" s="1"/>
  <c r="O252" i="1"/>
  <c r="V252" i="1" s="1"/>
  <c r="O253" i="1"/>
  <c r="V253" i="1" s="1"/>
  <c r="O254" i="1"/>
  <c r="V254" i="1" s="1"/>
  <c r="O255" i="1"/>
  <c r="V255" i="1" s="1"/>
  <c r="O256" i="1"/>
  <c r="V256" i="1" s="1"/>
  <c r="O257" i="1"/>
  <c r="V257" i="1" s="1"/>
  <c r="O258" i="1"/>
  <c r="V258" i="1" s="1"/>
  <c r="O259" i="1"/>
  <c r="V259" i="1" s="1"/>
  <c r="O260" i="1"/>
  <c r="V260" i="1" s="1"/>
  <c r="O261" i="1"/>
  <c r="V261" i="1" s="1"/>
  <c r="O262" i="1"/>
  <c r="V262" i="1" s="1"/>
  <c r="O263" i="1"/>
  <c r="V263" i="1" s="1"/>
  <c r="O264" i="1"/>
  <c r="V264" i="1" s="1"/>
  <c r="O265" i="1"/>
  <c r="V265" i="1" s="1"/>
  <c r="O266" i="1"/>
  <c r="V266" i="1" s="1"/>
  <c r="O267" i="1"/>
  <c r="V267" i="1" s="1"/>
  <c r="O268" i="1"/>
  <c r="V268" i="1" s="1"/>
  <c r="O269" i="1"/>
  <c r="V269" i="1" s="1"/>
  <c r="O270" i="1"/>
  <c r="V270" i="1" s="1"/>
  <c r="O271" i="1"/>
  <c r="V271" i="1" s="1"/>
  <c r="O272" i="1"/>
  <c r="V272" i="1" s="1"/>
  <c r="O273" i="1"/>
  <c r="V273" i="1" s="1"/>
  <c r="O274" i="1"/>
  <c r="V274" i="1" s="1"/>
  <c r="O275" i="1"/>
  <c r="V275" i="1" s="1"/>
  <c r="O276" i="1"/>
  <c r="V276" i="1" s="1"/>
  <c r="O277" i="1"/>
  <c r="V277" i="1" s="1"/>
  <c r="O278" i="1"/>
  <c r="V278" i="1" s="1"/>
  <c r="O279" i="1"/>
  <c r="V279" i="1" s="1"/>
  <c r="O280" i="1"/>
  <c r="V280" i="1" s="1"/>
  <c r="O281" i="1"/>
  <c r="V281" i="1" s="1"/>
  <c r="O282" i="1"/>
  <c r="V282" i="1" s="1"/>
  <c r="O283" i="1"/>
  <c r="V283" i="1" s="1"/>
  <c r="O284" i="1"/>
  <c r="V284" i="1" s="1"/>
  <c r="O285" i="1"/>
  <c r="V285" i="1" s="1"/>
  <c r="O286" i="1"/>
  <c r="V286" i="1" s="1"/>
  <c r="O287" i="1"/>
  <c r="V287" i="1" s="1"/>
  <c r="O288" i="1"/>
  <c r="V288" i="1" s="1"/>
  <c r="O289" i="1"/>
  <c r="V289" i="1" s="1"/>
  <c r="O290" i="1"/>
  <c r="V290" i="1" s="1"/>
  <c r="O291" i="1"/>
  <c r="V291" i="1" s="1"/>
  <c r="O292" i="1"/>
  <c r="V292" i="1" s="1"/>
  <c r="O293" i="1"/>
  <c r="V293" i="1" s="1"/>
  <c r="O294" i="1"/>
  <c r="V294" i="1" s="1"/>
  <c r="O295" i="1"/>
  <c r="V295" i="1" s="1"/>
  <c r="O296" i="1"/>
  <c r="V296" i="1" s="1"/>
  <c r="O297" i="1"/>
  <c r="V297" i="1" s="1"/>
  <c r="O298" i="1"/>
  <c r="V298" i="1" s="1"/>
  <c r="O299" i="1"/>
  <c r="V299" i="1" s="1"/>
  <c r="O300" i="1"/>
  <c r="V300" i="1" s="1"/>
  <c r="O301" i="1"/>
  <c r="V301" i="1" s="1"/>
  <c r="O302" i="1"/>
  <c r="V302" i="1" s="1"/>
  <c r="O303" i="1"/>
  <c r="V303" i="1" s="1"/>
  <c r="O304" i="1"/>
  <c r="V304" i="1" s="1"/>
  <c r="O305" i="1"/>
  <c r="V305" i="1" s="1"/>
  <c r="O306" i="1"/>
  <c r="V306" i="1" s="1"/>
  <c r="O307" i="1"/>
  <c r="V307" i="1" s="1"/>
  <c r="O308" i="1"/>
  <c r="V308" i="1" s="1"/>
  <c r="O309" i="1"/>
  <c r="V309" i="1" s="1"/>
  <c r="O310" i="1"/>
  <c r="V310" i="1" s="1"/>
  <c r="O311" i="1"/>
  <c r="V311" i="1" s="1"/>
  <c r="O312" i="1"/>
  <c r="V312" i="1" s="1"/>
  <c r="O313" i="1"/>
  <c r="V313" i="1" s="1"/>
  <c r="O314" i="1"/>
  <c r="V314" i="1" s="1"/>
  <c r="O315" i="1"/>
  <c r="V315" i="1" s="1"/>
  <c r="O316" i="1"/>
  <c r="V316" i="1" s="1"/>
  <c r="O317" i="1"/>
  <c r="V317" i="1" s="1"/>
  <c r="O318" i="1"/>
  <c r="V318" i="1" s="1"/>
  <c r="O319" i="1"/>
  <c r="V319" i="1" s="1"/>
  <c r="O320" i="1"/>
  <c r="V320" i="1" s="1"/>
  <c r="O321" i="1"/>
  <c r="V321" i="1" s="1"/>
  <c r="O322" i="1"/>
  <c r="V322" i="1" s="1"/>
  <c r="O323" i="1"/>
  <c r="V323" i="1" s="1"/>
  <c r="O324" i="1"/>
  <c r="V324" i="1" s="1"/>
  <c r="O325" i="1"/>
  <c r="V325" i="1" s="1"/>
  <c r="O326" i="1"/>
  <c r="V326" i="1" s="1"/>
  <c r="O327" i="1"/>
  <c r="V327" i="1" s="1"/>
  <c r="O328" i="1"/>
  <c r="V328" i="1" s="1"/>
  <c r="O329" i="1"/>
  <c r="V329" i="1" s="1"/>
  <c r="O330" i="1"/>
  <c r="V330" i="1" s="1"/>
  <c r="O331" i="1"/>
  <c r="V331" i="1" s="1"/>
  <c r="O332" i="1"/>
  <c r="V332" i="1" s="1"/>
  <c r="O333" i="1"/>
  <c r="V333" i="1" s="1"/>
  <c r="O334" i="1"/>
  <c r="V334" i="1" s="1"/>
  <c r="O335" i="1"/>
  <c r="V335" i="1" s="1"/>
  <c r="O336" i="1"/>
  <c r="V336" i="1" s="1"/>
  <c r="O337" i="1"/>
  <c r="V337" i="1" s="1"/>
  <c r="O338" i="1"/>
  <c r="V338" i="1" s="1"/>
  <c r="O339" i="1"/>
  <c r="V339" i="1" s="1"/>
  <c r="O340" i="1"/>
  <c r="V340" i="1" s="1"/>
  <c r="O341" i="1"/>
  <c r="V341" i="1" s="1"/>
  <c r="O342" i="1"/>
  <c r="V342" i="1" s="1"/>
  <c r="O343" i="1"/>
  <c r="V343" i="1" s="1"/>
  <c r="O344" i="1"/>
  <c r="V344" i="1" s="1"/>
  <c r="O345" i="1"/>
  <c r="V345" i="1" s="1"/>
  <c r="O346" i="1"/>
  <c r="V346" i="1" s="1"/>
  <c r="O347" i="1"/>
  <c r="V347" i="1" s="1"/>
  <c r="O348" i="1"/>
  <c r="V348" i="1" s="1"/>
  <c r="O349" i="1"/>
  <c r="V349" i="1" s="1"/>
  <c r="O350" i="1"/>
  <c r="V350" i="1" s="1"/>
  <c r="O351" i="1"/>
  <c r="V351" i="1" s="1"/>
  <c r="O352" i="1"/>
  <c r="V352" i="1" s="1"/>
  <c r="O353" i="1"/>
  <c r="V353" i="1" s="1"/>
  <c r="O354" i="1"/>
  <c r="V354" i="1" s="1"/>
  <c r="O355" i="1"/>
  <c r="V355" i="1" s="1"/>
  <c r="O356" i="1"/>
  <c r="V356" i="1" s="1"/>
  <c r="O357" i="1"/>
  <c r="V357" i="1" s="1"/>
  <c r="O358" i="1"/>
  <c r="V358" i="1" s="1"/>
  <c r="O359" i="1"/>
  <c r="V359" i="1" s="1"/>
  <c r="O360" i="1"/>
  <c r="V360" i="1" s="1"/>
  <c r="O361" i="1"/>
  <c r="V361" i="1" s="1"/>
  <c r="O362" i="1"/>
  <c r="V362" i="1" s="1"/>
  <c r="O363" i="1"/>
  <c r="V363" i="1" s="1"/>
  <c r="O364" i="1"/>
  <c r="V364" i="1" s="1"/>
  <c r="O365" i="1"/>
  <c r="V365" i="1" s="1"/>
  <c r="O366" i="1"/>
  <c r="V366" i="1" s="1"/>
  <c r="O367" i="1"/>
  <c r="V367" i="1" s="1"/>
  <c r="O368" i="1"/>
  <c r="V368" i="1" s="1"/>
  <c r="O369" i="1"/>
  <c r="V369" i="1" s="1"/>
  <c r="O370" i="1"/>
  <c r="V370" i="1" s="1"/>
  <c r="O371" i="1"/>
  <c r="V371" i="1" s="1"/>
  <c r="O372" i="1"/>
  <c r="V372" i="1" s="1"/>
  <c r="O373" i="1"/>
  <c r="V373" i="1" s="1"/>
  <c r="O374" i="1"/>
  <c r="V374" i="1" s="1"/>
  <c r="O375" i="1"/>
  <c r="V375" i="1" s="1"/>
  <c r="O376" i="1"/>
  <c r="V376" i="1" s="1"/>
  <c r="O377" i="1"/>
  <c r="V377" i="1" s="1"/>
  <c r="O378" i="1"/>
  <c r="V378" i="1" s="1"/>
  <c r="O379" i="1"/>
  <c r="V379" i="1" s="1"/>
  <c r="O380" i="1"/>
  <c r="V380" i="1" s="1"/>
  <c r="O381" i="1"/>
  <c r="V381" i="1" s="1"/>
  <c r="O382" i="1"/>
  <c r="V382" i="1" s="1"/>
  <c r="O383" i="1"/>
  <c r="V383" i="1" s="1"/>
  <c r="O384" i="1"/>
  <c r="V384" i="1" s="1"/>
  <c r="O385" i="1"/>
  <c r="V385" i="1" s="1"/>
  <c r="O386" i="1"/>
  <c r="V386" i="1" s="1"/>
  <c r="O387" i="1"/>
  <c r="V387" i="1" s="1"/>
  <c r="O388" i="1"/>
  <c r="V388" i="1" s="1"/>
  <c r="O389" i="1"/>
  <c r="V389" i="1" s="1"/>
  <c r="O390" i="1"/>
  <c r="V390" i="1" s="1"/>
  <c r="O391" i="1"/>
  <c r="V391" i="1" s="1"/>
  <c r="O392" i="1"/>
  <c r="V392" i="1" s="1"/>
  <c r="O393" i="1"/>
  <c r="V393" i="1" s="1"/>
  <c r="O394" i="1"/>
  <c r="V394" i="1" s="1"/>
  <c r="O395" i="1"/>
  <c r="V395" i="1" s="1"/>
  <c r="O396" i="1"/>
  <c r="V396" i="1" s="1"/>
  <c r="O397" i="1"/>
  <c r="V397" i="1" s="1"/>
  <c r="O398" i="1"/>
  <c r="V398" i="1" s="1"/>
  <c r="O399" i="1"/>
  <c r="V399" i="1" s="1"/>
  <c r="O400" i="1"/>
  <c r="V400" i="1" s="1"/>
  <c r="O401" i="1"/>
  <c r="V401" i="1" s="1"/>
  <c r="O402" i="1"/>
  <c r="V402" i="1" s="1"/>
  <c r="O403" i="1"/>
  <c r="V403" i="1" s="1"/>
  <c r="O404" i="1"/>
  <c r="V404" i="1" s="1"/>
  <c r="O405" i="1"/>
  <c r="V405" i="1" s="1"/>
  <c r="O406" i="1"/>
  <c r="V406" i="1" s="1"/>
  <c r="O407" i="1"/>
  <c r="V407" i="1" s="1"/>
  <c r="O408" i="1"/>
  <c r="V408" i="1" s="1"/>
  <c r="O409" i="1"/>
  <c r="V409" i="1" s="1"/>
  <c r="O410" i="1"/>
  <c r="V410" i="1" s="1"/>
  <c r="O411" i="1"/>
  <c r="V411" i="1" s="1"/>
  <c r="O412" i="1"/>
  <c r="V412" i="1" s="1"/>
  <c r="O413" i="1"/>
  <c r="V413" i="1" s="1"/>
  <c r="O414" i="1"/>
  <c r="V414" i="1" s="1"/>
  <c r="O415" i="1"/>
  <c r="V415" i="1" s="1"/>
  <c r="O416" i="1"/>
  <c r="V416" i="1" s="1"/>
  <c r="O417" i="1"/>
  <c r="V417" i="1" s="1"/>
  <c r="O418" i="1"/>
  <c r="V418" i="1" s="1"/>
  <c r="O419" i="1"/>
  <c r="V419" i="1" s="1"/>
  <c r="O420" i="1"/>
  <c r="V420" i="1" s="1"/>
  <c r="O421" i="1"/>
  <c r="V421" i="1" s="1"/>
  <c r="O422" i="1"/>
  <c r="V422" i="1" s="1"/>
  <c r="O423" i="1"/>
  <c r="V423" i="1" s="1"/>
  <c r="O424" i="1"/>
  <c r="V424" i="1" s="1"/>
  <c r="O425" i="1"/>
  <c r="V425" i="1" s="1"/>
  <c r="O426" i="1"/>
  <c r="V426" i="1" s="1"/>
  <c r="O427" i="1"/>
  <c r="V427" i="1" s="1"/>
  <c r="O428" i="1"/>
  <c r="V428" i="1" s="1"/>
  <c r="O429" i="1"/>
  <c r="V429" i="1" s="1"/>
  <c r="O430" i="1"/>
  <c r="V430" i="1" s="1"/>
  <c r="O431" i="1"/>
  <c r="V431" i="1" s="1"/>
  <c r="O432" i="1"/>
  <c r="V432" i="1" s="1"/>
  <c r="O433" i="1"/>
  <c r="V433" i="1" s="1"/>
  <c r="O434" i="1"/>
  <c r="V434" i="1" s="1"/>
  <c r="O435" i="1"/>
  <c r="V435" i="1" s="1"/>
  <c r="O436" i="1"/>
  <c r="V436" i="1" s="1"/>
  <c r="O437" i="1"/>
  <c r="V437" i="1" s="1"/>
  <c r="O438" i="1"/>
  <c r="V438" i="1" s="1"/>
  <c r="O439" i="1"/>
  <c r="V439" i="1" s="1"/>
  <c r="O440" i="1"/>
  <c r="V440" i="1" s="1"/>
  <c r="O441" i="1"/>
  <c r="V441" i="1" s="1"/>
  <c r="O442" i="1"/>
  <c r="V442" i="1" s="1"/>
  <c r="O443" i="1"/>
  <c r="V443" i="1" s="1"/>
  <c r="O444" i="1"/>
  <c r="V444" i="1" s="1"/>
  <c r="O445" i="1"/>
  <c r="V445" i="1" s="1"/>
  <c r="O446" i="1"/>
  <c r="V446" i="1" s="1"/>
  <c r="O447" i="1"/>
  <c r="V447" i="1" s="1"/>
  <c r="O448" i="1"/>
  <c r="V448" i="1" s="1"/>
  <c r="O449" i="1"/>
  <c r="V449" i="1" s="1"/>
  <c r="O450" i="1"/>
  <c r="V450" i="1" s="1"/>
  <c r="O451" i="1"/>
  <c r="V451" i="1" s="1"/>
  <c r="O452" i="1"/>
  <c r="V452" i="1" s="1"/>
  <c r="O453" i="1"/>
  <c r="V453" i="1" s="1"/>
  <c r="O454" i="1"/>
  <c r="V454" i="1" s="1"/>
  <c r="O455" i="1"/>
  <c r="V455" i="1" s="1"/>
  <c r="O456" i="1"/>
  <c r="V456" i="1" s="1"/>
  <c r="O457" i="1"/>
  <c r="V457" i="1" s="1"/>
  <c r="O458" i="1"/>
  <c r="V458" i="1" s="1"/>
  <c r="O459" i="1"/>
  <c r="V459" i="1" s="1"/>
  <c r="O460" i="1"/>
  <c r="V460" i="1" s="1"/>
  <c r="O461" i="1"/>
  <c r="V461" i="1" s="1"/>
  <c r="O462" i="1"/>
  <c r="V462" i="1" s="1"/>
  <c r="O463" i="1"/>
  <c r="V463" i="1" s="1"/>
  <c r="O464" i="1"/>
  <c r="V464" i="1" s="1"/>
  <c r="O465" i="1"/>
  <c r="V465" i="1" s="1"/>
  <c r="O466" i="1"/>
  <c r="V466" i="1" s="1"/>
  <c r="O467" i="1"/>
  <c r="V467" i="1" s="1"/>
  <c r="O468" i="1"/>
  <c r="V468" i="1" s="1"/>
  <c r="O469" i="1"/>
  <c r="V469" i="1" s="1"/>
  <c r="O470" i="1"/>
  <c r="V470" i="1" s="1"/>
  <c r="O471" i="1"/>
  <c r="V471" i="1" s="1"/>
  <c r="O472" i="1"/>
  <c r="V472" i="1" s="1"/>
  <c r="O473" i="1"/>
  <c r="V473" i="1" s="1"/>
  <c r="O474" i="1"/>
  <c r="V474" i="1" s="1"/>
  <c r="O475" i="1"/>
  <c r="V475" i="1" s="1"/>
  <c r="O476" i="1"/>
  <c r="V476" i="1" s="1"/>
  <c r="O477" i="1"/>
  <c r="V477" i="1" s="1"/>
  <c r="O478" i="1"/>
  <c r="V478" i="1" s="1"/>
  <c r="O479" i="1"/>
  <c r="V479" i="1" s="1"/>
  <c r="O480" i="1"/>
  <c r="V480" i="1" s="1"/>
  <c r="O481" i="1"/>
  <c r="V481" i="1" s="1"/>
  <c r="O482" i="1"/>
  <c r="V482" i="1" s="1"/>
  <c r="O483" i="1"/>
  <c r="V483" i="1" s="1"/>
  <c r="O484" i="1"/>
  <c r="V484" i="1" s="1"/>
  <c r="O485" i="1"/>
  <c r="V485" i="1" s="1"/>
  <c r="O486" i="1"/>
  <c r="V486" i="1" s="1"/>
  <c r="O487" i="1"/>
  <c r="V487" i="1" s="1"/>
  <c r="O488" i="1"/>
  <c r="V488" i="1" s="1"/>
  <c r="O489" i="1"/>
  <c r="V489" i="1" s="1"/>
  <c r="O490" i="1"/>
  <c r="V490" i="1" s="1"/>
  <c r="O491" i="1"/>
  <c r="V491" i="1" s="1"/>
  <c r="O492" i="1"/>
  <c r="V492" i="1" s="1"/>
  <c r="O493" i="1"/>
  <c r="V493" i="1" s="1"/>
  <c r="O494" i="1"/>
  <c r="V494" i="1" s="1"/>
  <c r="O495" i="1"/>
  <c r="V495" i="1" s="1"/>
  <c r="O496" i="1"/>
  <c r="V496" i="1" s="1"/>
  <c r="O497" i="1"/>
  <c r="V497" i="1" s="1"/>
  <c r="O498" i="1"/>
  <c r="V498" i="1" s="1"/>
  <c r="O499" i="1"/>
  <c r="V499" i="1" s="1"/>
  <c r="O500" i="1"/>
  <c r="V500" i="1" s="1"/>
  <c r="O501" i="1"/>
  <c r="V501" i="1" s="1"/>
  <c r="O502" i="1"/>
  <c r="V502" i="1" s="1"/>
  <c r="O503" i="1"/>
  <c r="V503" i="1" s="1"/>
  <c r="O504" i="1"/>
  <c r="V504" i="1" s="1"/>
  <c r="O505" i="1"/>
  <c r="V505" i="1" s="1"/>
  <c r="O506" i="1"/>
  <c r="V506" i="1" s="1"/>
  <c r="O507" i="1"/>
  <c r="V507" i="1" s="1"/>
  <c r="O508" i="1"/>
  <c r="V508" i="1" s="1"/>
  <c r="O509" i="1"/>
  <c r="V509" i="1" s="1"/>
  <c r="O510" i="1"/>
  <c r="V510" i="1" s="1"/>
  <c r="O511" i="1"/>
  <c r="V511" i="1" s="1"/>
  <c r="O512" i="1"/>
  <c r="V512" i="1" s="1"/>
  <c r="O513" i="1"/>
  <c r="V513" i="1" s="1"/>
  <c r="O514" i="1"/>
  <c r="V514" i="1" s="1"/>
  <c r="O515" i="1"/>
  <c r="V515" i="1" s="1"/>
  <c r="O516" i="1"/>
  <c r="V516" i="1" s="1"/>
  <c r="O517" i="1"/>
  <c r="V517" i="1" s="1"/>
  <c r="O518" i="1"/>
  <c r="V518" i="1" s="1"/>
  <c r="O519" i="1"/>
  <c r="V519" i="1" s="1"/>
  <c r="O520" i="1"/>
  <c r="V520" i="1" s="1"/>
  <c r="O521" i="1"/>
  <c r="V521" i="1" s="1"/>
  <c r="O522" i="1"/>
  <c r="V522" i="1" s="1"/>
  <c r="O523" i="1"/>
  <c r="V523" i="1" s="1"/>
  <c r="O524" i="1"/>
  <c r="V524" i="1" s="1"/>
  <c r="O525" i="1"/>
  <c r="V525" i="1" s="1"/>
  <c r="O526" i="1"/>
  <c r="V526" i="1" s="1"/>
  <c r="O527" i="1"/>
  <c r="V527" i="1" s="1"/>
  <c r="O528" i="1"/>
  <c r="V528" i="1" s="1"/>
  <c r="O529" i="1"/>
  <c r="V529" i="1" s="1"/>
  <c r="O530" i="1"/>
  <c r="V530" i="1" s="1"/>
  <c r="O531" i="1"/>
  <c r="V531" i="1" s="1"/>
  <c r="O532" i="1"/>
  <c r="V532" i="1" s="1"/>
  <c r="O533" i="1"/>
  <c r="V533" i="1" s="1"/>
  <c r="O534" i="1"/>
  <c r="V534" i="1" s="1"/>
  <c r="O535" i="1"/>
  <c r="V535" i="1" s="1"/>
  <c r="O536" i="1"/>
  <c r="V536" i="1" s="1"/>
  <c r="O537" i="1"/>
  <c r="V537" i="1" s="1"/>
  <c r="O538" i="1"/>
  <c r="V538" i="1" s="1"/>
  <c r="O539" i="1"/>
  <c r="V539" i="1" s="1"/>
  <c r="O540" i="1"/>
  <c r="V540" i="1" s="1"/>
  <c r="O541" i="1"/>
  <c r="V541" i="1" s="1"/>
  <c r="O542" i="1"/>
  <c r="V542" i="1" s="1"/>
  <c r="O543" i="1"/>
  <c r="V543" i="1" s="1"/>
  <c r="O544" i="1"/>
  <c r="V544" i="1" s="1"/>
  <c r="O545" i="1"/>
  <c r="V545" i="1" s="1"/>
  <c r="O546" i="1"/>
  <c r="V546" i="1" s="1"/>
  <c r="O547" i="1"/>
  <c r="V547" i="1" s="1"/>
  <c r="O548" i="1"/>
  <c r="V548" i="1" s="1"/>
  <c r="O549" i="1"/>
  <c r="V549" i="1" s="1"/>
  <c r="O550" i="1"/>
  <c r="V550" i="1" s="1"/>
  <c r="O551" i="1"/>
  <c r="V551" i="1" s="1"/>
  <c r="O552" i="1"/>
  <c r="V552" i="1" s="1"/>
  <c r="O553" i="1"/>
  <c r="V553" i="1" s="1"/>
  <c r="O554" i="1"/>
  <c r="V554" i="1" s="1"/>
  <c r="O555" i="1"/>
  <c r="V555" i="1" s="1"/>
  <c r="O556" i="1"/>
  <c r="V556" i="1" s="1"/>
  <c r="O557" i="1"/>
  <c r="V557" i="1" s="1"/>
  <c r="O558" i="1"/>
  <c r="V558" i="1" s="1"/>
  <c r="O559" i="1"/>
  <c r="V559" i="1" s="1"/>
  <c r="O560" i="1"/>
  <c r="V560" i="1" s="1"/>
  <c r="O561" i="1"/>
  <c r="V561" i="1" s="1"/>
  <c r="O562" i="1"/>
  <c r="V562" i="1" s="1"/>
  <c r="O563" i="1"/>
  <c r="V563" i="1" s="1"/>
  <c r="O564" i="1"/>
  <c r="V564" i="1" s="1"/>
  <c r="O565" i="1"/>
  <c r="V565" i="1" s="1"/>
  <c r="O566" i="1"/>
  <c r="V566" i="1" s="1"/>
  <c r="O567" i="1"/>
  <c r="V567" i="1" s="1"/>
  <c r="O568" i="1"/>
  <c r="V568" i="1" s="1"/>
  <c r="O569" i="1"/>
  <c r="V569" i="1" s="1"/>
  <c r="O570" i="1"/>
  <c r="V570" i="1" s="1"/>
  <c r="O571" i="1"/>
  <c r="V571" i="1" s="1"/>
  <c r="O572" i="1"/>
  <c r="V572" i="1" s="1"/>
  <c r="O573" i="1"/>
  <c r="V573" i="1" s="1"/>
  <c r="O574" i="1"/>
  <c r="V574" i="1" s="1"/>
  <c r="O575" i="1"/>
  <c r="V575" i="1" s="1"/>
  <c r="O576" i="1"/>
  <c r="V576" i="1" s="1"/>
  <c r="O577" i="1"/>
  <c r="V577" i="1" s="1"/>
  <c r="O578" i="1"/>
  <c r="V578" i="1" s="1"/>
  <c r="O579" i="1"/>
  <c r="V579" i="1" s="1"/>
  <c r="O580" i="1"/>
  <c r="V580" i="1" s="1"/>
  <c r="O581" i="1"/>
  <c r="V581" i="1" s="1"/>
  <c r="O582" i="1"/>
  <c r="V582" i="1" s="1"/>
  <c r="O583" i="1"/>
  <c r="V583" i="1" s="1"/>
  <c r="O584" i="1"/>
  <c r="V584" i="1" s="1"/>
  <c r="O585" i="1"/>
  <c r="V585" i="1" s="1"/>
  <c r="O586" i="1"/>
  <c r="V586" i="1" s="1"/>
  <c r="O587" i="1"/>
  <c r="V587" i="1" s="1"/>
  <c r="O588" i="1"/>
  <c r="V588" i="1" s="1"/>
  <c r="O589" i="1"/>
  <c r="V589" i="1" s="1"/>
  <c r="O590" i="1"/>
  <c r="V590" i="1" s="1"/>
  <c r="O591" i="1"/>
  <c r="V591" i="1" s="1"/>
  <c r="O592" i="1"/>
  <c r="V592" i="1" s="1"/>
  <c r="O593" i="1"/>
  <c r="V593" i="1" s="1"/>
  <c r="O594" i="1"/>
  <c r="V594" i="1" s="1"/>
  <c r="O595" i="1"/>
  <c r="V595" i="1" s="1"/>
  <c r="O596" i="1"/>
  <c r="V596" i="1" s="1"/>
  <c r="O597" i="1"/>
  <c r="V597" i="1" s="1"/>
  <c r="O598" i="1"/>
  <c r="V598" i="1" s="1"/>
  <c r="O599" i="1"/>
  <c r="V599" i="1" s="1"/>
  <c r="O600" i="1"/>
  <c r="V600" i="1" s="1"/>
  <c r="O601" i="1"/>
  <c r="V601" i="1" s="1"/>
  <c r="O602" i="1"/>
  <c r="V602" i="1" s="1"/>
  <c r="O603" i="1"/>
  <c r="V603" i="1" s="1"/>
  <c r="O604" i="1"/>
  <c r="V604" i="1" s="1"/>
  <c r="O605" i="1"/>
  <c r="V605" i="1" s="1"/>
  <c r="O606" i="1"/>
  <c r="V606" i="1" s="1"/>
  <c r="O607" i="1"/>
  <c r="V607" i="1" s="1"/>
  <c r="O608" i="1"/>
  <c r="V608" i="1" s="1"/>
  <c r="O609" i="1"/>
  <c r="V609" i="1" s="1"/>
  <c r="O610" i="1"/>
  <c r="V610" i="1" s="1"/>
  <c r="O611" i="1"/>
  <c r="V611" i="1" s="1"/>
  <c r="O612" i="1"/>
  <c r="V612" i="1" s="1"/>
  <c r="O613" i="1"/>
  <c r="V613" i="1" s="1"/>
  <c r="O614" i="1"/>
  <c r="V614" i="1" s="1"/>
  <c r="O615" i="1"/>
  <c r="V615" i="1" s="1"/>
  <c r="O616" i="1"/>
  <c r="V616" i="1" s="1"/>
  <c r="O617" i="1"/>
  <c r="V617" i="1" s="1"/>
  <c r="O618" i="1"/>
  <c r="V618" i="1" s="1"/>
  <c r="O619" i="1"/>
  <c r="V619" i="1" s="1"/>
  <c r="O620" i="1"/>
  <c r="V620" i="1" s="1"/>
  <c r="O621" i="1"/>
  <c r="V621" i="1" s="1"/>
  <c r="O622" i="1"/>
  <c r="V622" i="1" s="1"/>
  <c r="O623" i="1"/>
  <c r="V623" i="1" s="1"/>
  <c r="O624" i="1"/>
  <c r="V624" i="1" s="1"/>
  <c r="O625" i="1"/>
  <c r="V625" i="1" s="1"/>
  <c r="O626" i="1"/>
  <c r="V626" i="1" s="1"/>
  <c r="O627" i="1"/>
  <c r="V627" i="1" s="1"/>
  <c r="O628" i="1"/>
  <c r="V628" i="1" s="1"/>
  <c r="O629" i="1"/>
  <c r="V629" i="1" s="1"/>
  <c r="O630" i="1"/>
  <c r="V630" i="1" s="1"/>
  <c r="O631" i="1"/>
  <c r="V631" i="1" s="1"/>
  <c r="O632" i="1"/>
  <c r="V632" i="1" s="1"/>
  <c r="O633" i="1"/>
  <c r="V633" i="1" s="1"/>
  <c r="O634" i="1"/>
  <c r="V634" i="1" s="1"/>
  <c r="O635" i="1"/>
  <c r="V635" i="1" s="1"/>
  <c r="O636" i="1"/>
  <c r="V636" i="1" s="1"/>
  <c r="O637" i="1"/>
  <c r="V637" i="1" s="1"/>
  <c r="O638" i="1"/>
  <c r="V638" i="1" s="1"/>
  <c r="O639" i="1"/>
  <c r="V639" i="1" s="1"/>
  <c r="O640" i="1"/>
  <c r="V640" i="1" s="1"/>
  <c r="O641" i="1"/>
  <c r="V641" i="1" s="1"/>
  <c r="O642" i="1"/>
  <c r="V642" i="1" s="1"/>
  <c r="O643" i="1"/>
  <c r="V643" i="1" s="1"/>
  <c r="O644" i="1"/>
  <c r="V644" i="1" s="1"/>
  <c r="O645" i="1"/>
  <c r="V645" i="1" s="1"/>
  <c r="O646" i="1"/>
  <c r="V646" i="1" s="1"/>
  <c r="O647" i="1"/>
  <c r="V647" i="1" s="1"/>
  <c r="O648" i="1"/>
  <c r="V648" i="1" s="1"/>
  <c r="O649" i="1"/>
  <c r="V649" i="1" s="1"/>
  <c r="O650" i="1"/>
  <c r="V650" i="1" s="1"/>
  <c r="O651" i="1"/>
  <c r="V651" i="1" s="1"/>
  <c r="O652" i="1"/>
  <c r="V652" i="1" s="1"/>
  <c r="O653" i="1"/>
  <c r="V653" i="1" s="1"/>
  <c r="O654" i="1"/>
  <c r="V654" i="1" s="1"/>
  <c r="O655" i="1"/>
  <c r="V655" i="1" s="1"/>
  <c r="O656" i="1"/>
  <c r="V656" i="1" s="1"/>
  <c r="O657" i="1"/>
  <c r="V657" i="1" s="1"/>
  <c r="O658" i="1"/>
  <c r="V658" i="1" s="1"/>
  <c r="O659" i="1"/>
  <c r="V659" i="1" s="1"/>
  <c r="O660" i="1"/>
  <c r="V660" i="1" s="1"/>
  <c r="O661" i="1"/>
  <c r="V661" i="1" s="1"/>
  <c r="O662" i="1"/>
  <c r="V662" i="1" s="1"/>
  <c r="O663" i="1"/>
  <c r="V663" i="1" s="1"/>
  <c r="O664" i="1"/>
  <c r="V664" i="1" s="1"/>
  <c r="O665" i="1"/>
  <c r="V665" i="1" s="1"/>
  <c r="O666" i="1"/>
  <c r="V666" i="1" s="1"/>
  <c r="O667" i="1"/>
  <c r="V667" i="1" s="1"/>
  <c r="O668" i="1"/>
  <c r="V668" i="1" s="1"/>
  <c r="O669" i="1"/>
  <c r="V669" i="1" s="1"/>
  <c r="O670" i="1"/>
  <c r="V670" i="1" s="1"/>
  <c r="O671" i="1"/>
  <c r="V671" i="1" s="1"/>
  <c r="O672" i="1"/>
  <c r="V672" i="1" s="1"/>
  <c r="O673" i="1"/>
  <c r="V673" i="1" s="1"/>
  <c r="O674" i="1"/>
  <c r="V674" i="1" s="1"/>
  <c r="O675" i="1"/>
  <c r="V675" i="1" s="1"/>
  <c r="O676" i="1"/>
  <c r="V676" i="1" s="1"/>
  <c r="O677" i="1"/>
  <c r="V677" i="1" s="1"/>
  <c r="O678" i="1"/>
  <c r="V678" i="1" s="1"/>
  <c r="O679" i="1"/>
  <c r="V679" i="1" s="1"/>
  <c r="O680" i="1"/>
  <c r="V680" i="1" s="1"/>
  <c r="O681" i="1"/>
  <c r="V681" i="1" s="1"/>
  <c r="O682" i="1"/>
  <c r="V682" i="1" s="1"/>
  <c r="O683" i="1"/>
  <c r="V683" i="1" s="1"/>
  <c r="O684" i="1"/>
  <c r="V684" i="1" s="1"/>
  <c r="O685" i="1"/>
  <c r="V685" i="1" s="1"/>
  <c r="O686" i="1"/>
  <c r="V686" i="1" s="1"/>
  <c r="O687" i="1"/>
  <c r="V687" i="1" s="1"/>
  <c r="O688" i="1"/>
  <c r="V688" i="1" s="1"/>
  <c r="O689" i="1"/>
  <c r="V689" i="1" s="1"/>
  <c r="O690" i="1"/>
  <c r="V690" i="1" s="1"/>
  <c r="O691" i="1"/>
  <c r="V691" i="1" s="1"/>
  <c r="O692" i="1"/>
  <c r="V692" i="1" s="1"/>
  <c r="O693" i="1"/>
  <c r="V693" i="1" s="1"/>
  <c r="O694" i="1"/>
  <c r="V694" i="1" s="1"/>
  <c r="O695" i="1"/>
  <c r="V695" i="1" s="1"/>
  <c r="O696" i="1"/>
  <c r="V696" i="1" s="1"/>
  <c r="O697" i="1"/>
  <c r="V697" i="1" s="1"/>
  <c r="O698" i="1"/>
  <c r="V698" i="1" s="1"/>
  <c r="O699" i="1"/>
  <c r="V699" i="1" s="1"/>
  <c r="O700" i="1"/>
  <c r="V700" i="1" s="1"/>
  <c r="O701" i="1"/>
  <c r="V701" i="1" s="1"/>
  <c r="O702" i="1"/>
  <c r="V702" i="1" s="1"/>
  <c r="O703" i="1"/>
  <c r="V703" i="1" s="1"/>
  <c r="O704" i="1"/>
  <c r="V704" i="1" s="1"/>
  <c r="O705" i="1"/>
  <c r="V705" i="1" s="1"/>
  <c r="O706" i="1"/>
  <c r="V706" i="1" s="1"/>
  <c r="O707" i="1"/>
  <c r="V707" i="1" s="1"/>
  <c r="O708" i="1"/>
  <c r="V708" i="1" s="1"/>
  <c r="O709" i="1"/>
  <c r="V709" i="1" s="1"/>
  <c r="O710" i="1"/>
  <c r="V710" i="1" s="1"/>
  <c r="O711" i="1"/>
  <c r="V711" i="1" s="1"/>
  <c r="O712" i="1"/>
  <c r="V712" i="1" s="1"/>
  <c r="O713" i="1"/>
  <c r="V713" i="1" s="1"/>
  <c r="O714" i="1"/>
  <c r="V714" i="1" s="1"/>
  <c r="O715" i="1"/>
  <c r="V715" i="1" s="1"/>
  <c r="O716" i="1"/>
  <c r="V716" i="1" s="1"/>
  <c r="O717" i="1"/>
  <c r="V717" i="1" s="1"/>
  <c r="O718" i="1"/>
  <c r="V718" i="1" s="1"/>
  <c r="O719" i="1"/>
  <c r="V719" i="1" s="1"/>
  <c r="O720" i="1"/>
  <c r="V720" i="1" s="1"/>
  <c r="O721" i="1"/>
  <c r="V721" i="1" s="1"/>
  <c r="O722" i="1"/>
  <c r="V722" i="1" s="1"/>
  <c r="O723" i="1"/>
  <c r="V723" i="1" s="1"/>
  <c r="O724" i="1"/>
  <c r="V724" i="1" s="1"/>
  <c r="O725" i="1"/>
  <c r="V725" i="1" s="1"/>
  <c r="O726" i="1"/>
  <c r="V726" i="1" s="1"/>
  <c r="O727" i="1"/>
  <c r="V727" i="1" s="1"/>
  <c r="O728" i="1"/>
  <c r="V728" i="1" s="1"/>
  <c r="O729" i="1"/>
  <c r="V729" i="1" s="1"/>
  <c r="O730" i="1"/>
  <c r="V730" i="1" s="1"/>
  <c r="O731" i="1"/>
  <c r="V731" i="1" s="1"/>
  <c r="O732" i="1"/>
  <c r="V732" i="1" s="1"/>
  <c r="O733" i="1"/>
  <c r="V733" i="1" s="1"/>
  <c r="O734" i="1"/>
  <c r="V734" i="1" s="1"/>
  <c r="O735" i="1"/>
  <c r="V735" i="1" s="1"/>
  <c r="O736" i="1"/>
  <c r="V736" i="1" s="1"/>
  <c r="O737" i="1"/>
  <c r="V737" i="1" s="1"/>
  <c r="O738" i="1"/>
  <c r="V738" i="1" s="1"/>
  <c r="O739" i="1"/>
  <c r="V739" i="1" s="1"/>
  <c r="O740" i="1"/>
  <c r="V740" i="1" s="1"/>
  <c r="O741" i="1"/>
  <c r="V741" i="1" s="1"/>
  <c r="O742" i="1"/>
  <c r="V742" i="1" s="1"/>
  <c r="O743" i="1"/>
  <c r="V743" i="1" s="1"/>
  <c r="O744" i="1"/>
  <c r="V744" i="1" s="1"/>
  <c r="O745" i="1"/>
  <c r="V745" i="1" s="1"/>
  <c r="O746" i="1"/>
  <c r="V746" i="1" s="1"/>
  <c r="O747" i="1"/>
  <c r="V747" i="1" s="1"/>
  <c r="O748" i="1"/>
  <c r="V748" i="1" s="1"/>
  <c r="O749" i="1"/>
  <c r="V749" i="1" s="1"/>
  <c r="O750" i="1"/>
  <c r="V750" i="1" s="1"/>
  <c r="O751" i="1"/>
  <c r="V751" i="1" s="1"/>
  <c r="O752" i="1"/>
  <c r="V752" i="1" s="1"/>
  <c r="O753" i="1"/>
  <c r="V753" i="1" s="1"/>
  <c r="O754" i="1"/>
  <c r="V754" i="1" s="1"/>
  <c r="O755" i="1"/>
  <c r="V755" i="1" s="1"/>
  <c r="O756" i="1"/>
  <c r="V756" i="1" s="1"/>
  <c r="O757" i="1"/>
  <c r="V757" i="1" s="1"/>
  <c r="O758" i="1"/>
  <c r="V758" i="1" s="1"/>
  <c r="O759" i="1"/>
  <c r="V759" i="1" s="1"/>
  <c r="O760" i="1"/>
  <c r="V760" i="1" s="1"/>
  <c r="O761" i="1"/>
  <c r="V761" i="1" s="1"/>
  <c r="O762" i="1"/>
  <c r="V762" i="1" s="1"/>
  <c r="O763" i="1"/>
  <c r="V763" i="1" s="1"/>
  <c r="O764" i="1"/>
  <c r="V764" i="1" s="1"/>
  <c r="O765" i="1"/>
  <c r="V765" i="1" s="1"/>
  <c r="O766" i="1"/>
  <c r="V766" i="1" s="1"/>
  <c r="O767" i="1"/>
  <c r="V767" i="1" s="1"/>
  <c r="O768" i="1"/>
  <c r="V768" i="1" s="1"/>
  <c r="O769" i="1"/>
  <c r="V769" i="1" s="1"/>
  <c r="O770" i="1"/>
  <c r="V770" i="1" s="1"/>
  <c r="O771" i="1"/>
  <c r="V771" i="1" s="1"/>
  <c r="O772" i="1"/>
  <c r="V772" i="1" s="1"/>
  <c r="O773" i="1"/>
  <c r="V773" i="1" s="1"/>
  <c r="O774" i="1"/>
  <c r="V774" i="1" s="1"/>
  <c r="O775" i="1"/>
  <c r="V775" i="1" s="1"/>
  <c r="O776" i="1"/>
  <c r="V776" i="1" s="1"/>
  <c r="O777" i="1"/>
  <c r="V777" i="1" s="1"/>
  <c r="O778" i="1"/>
  <c r="V778" i="1" s="1"/>
  <c r="O779" i="1"/>
  <c r="V779" i="1" s="1"/>
  <c r="O780" i="1"/>
  <c r="V780" i="1" s="1"/>
  <c r="O781" i="1"/>
  <c r="V781" i="1" s="1"/>
  <c r="O782" i="1"/>
  <c r="V782" i="1" s="1"/>
  <c r="O783" i="1"/>
  <c r="V783" i="1" s="1"/>
  <c r="O784" i="1"/>
  <c r="V784" i="1" s="1"/>
  <c r="O785" i="1"/>
  <c r="V785" i="1" s="1"/>
  <c r="O786" i="1"/>
  <c r="V786" i="1" s="1"/>
  <c r="O787" i="1"/>
  <c r="V787" i="1" s="1"/>
  <c r="O788" i="1"/>
  <c r="V788" i="1" s="1"/>
  <c r="O789" i="1"/>
  <c r="V789" i="1" s="1"/>
  <c r="O790" i="1"/>
  <c r="V790" i="1" s="1"/>
  <c r="O791" i="1"/>
  <c r="V791" i="1" s="1"/>
  <c r="O792" i="1"/>
  <c r="V792" i="1" s="1"/>
  <c r="O793" i="1"/>
  <c r="V793" i="1" s="1"/>
  <c r="O794" i="1"/>
  <c r="V794" i="1" s="1"/>
  <c r="O795" i="1"/>
  <c r="V795" i="1" s="1"/>
  <c r="O796" i="1"/>
  <c r="V796" i="1" s="1"/>
  <c r="O797" i="1"/>
  <c r="V797" i="1" s="1"/>
  <c r="O798" i="1"/>
  <c r="V798" i="1" s="1"/>
  <c r="O799" i="1"/>
  <c r="V799" i="1" s="1"/>
  <c r="O800" i="1"/>
  <c r="V800" i="1" s="1"/>
  <c r="O801" i="1"/>
  <c r="V801" i="1" s="1"/>
  <c r="O802" i="1"/>
  <c r="V802" i="1" s="1"/>
  <c r="O803" i="1"/>
  <c r="V803" i="1" s="1"/>
  <c r="O804" i="1"/>
  <c r="V804" i="1" s="1"/>
  <c r="O805" i="1"/>
  <c r="V805" i="1" s="1"/>
  <c r="O806" i="1"/>
  <c r="V806" i="1" s="1"/>
  <c r="O807" i="1"/>
  <c r="V807" i="1" s="1"/>
  <c r="O808" i="1"/>
  <c r="V808" i="1" s="1"/>
  <c r="O809" i="1"/>
  <c r="V809" i="1" s="1"/>
  <c r="O810" i="1"/>
  <c r="V810" i="1" s="1"/>
  <c r="O811" i="1"/>
  <c r="V811" i="1" s="1"/>
  <c r="O812" i="1"/>
  <c r="V812" i="1" s="1"/>
  <c r="O813" i="1"/>
  <c r="V813" i="1" s="1"/>
  <c r="O814" i="1"/>
  <c r="V814" i="1" s="1"/>
  <c r="O815" i="1"/>
  <c r="V815" i="1" s="1"/>
  <c r="O816" i="1"/>
  <c r="V816" i="1" s="1"/>
  <c r="O817" i="1"/>
  <c r="V817" i="1" s="1"/>
  <c r="O818" i="1"/>
  <c r="V818" i="1" s="1"/>
  <c r="O819" i="1"/>
  <c r="V819" i="1" s="1"/>
  <c r="O820" i="1"/>
  <c r="V820" i="1" s="1"/>
  <c r="O821" i="1"/>
  <c r="V821" i="1" s="1"/>
  <c r="O822" i="1"/>
  <c r="V822" i="1" s="1"/>
  <c r="O823" i="1"/>
  <c r="V823" i="1" s="1"/>
  <c r="O824" i="1"/>
  <c r="V824" i="1" s="1"/>
  <c r="O825" i="1"/>
  <c r="V825" i="1" s="1"/>
  <c r="O826" i="1"/>
  <c r="V826" i="1" s="1"/>
  <c r="O827" i="1"/>
  <c r="V827" i="1" s="1"/>
  <c r="O828" i="1"/>
  <c r="V828" i="1" s="1"/>
  <c r="O829" i="1"/>
  <c r="V829" i="1" s="1"/>
  <c r="O830" i="1"/>
  <c r="V830" i="1" s="1"/>
  <c r="O831" i="1"/>
  <c r="V831" i="1" s="1"/>
  <c r="O832" i="1"/>
  <c r="V832" i="1" s="1"/>
  <c r="O833" i="1"/>
  <c r="V833" i="1" s="1"/>
  <c r="O834" i="1"/>
  <c r="V834" i="1" s="1"/>
  <c r="O835" i="1"/>
  <c r="V835" i="1" s="1"/>
  <c r="O836" i="1"/>
  <c r="V836" i="1" s="1"/>
  <c r="O837" i="1"/>
  <c r="V837" i="1" s="1"/>
  <c r="O838" i="1"/>
  <c r="V838" i="1" s="1"/>
  <c r="O839" i="1"/>
  <c r="V839" i="1" s="1"/>
  <c r="O840" i="1"/>
  <c r="V840" i="1" s="1"/>
  <c r="O841" i="1"/>
  <c r="V841" i="1" s="1"/>
  <c r="O842" i="1"/>
  <c r="V842" i="1" s="1"/>
  <c r="O843" i="1"/>
  <c r="V843" i="1" s="1"/>
  <c r="O844" i="1"/>
  <c r="V844" i="1" s="1"/>
  <c r="O845" i="1"/>
  <c r="V845" i="1" s="1"/>
  <c r="O846" i="1"/>
  <c r="V846" i="1" s="1"/>
  <c r="O847" i="1"/>
  <c r="V847" i="1" s="1"/>
  <c r="O848" i="1"/>
  <c r="V848" i="1" s="1"/>
  <c r="O849" i="1"/>
  <c r="V849" i="1" s="1"/>
  <c r="O850" i="1"/>
  <c r="V850" i="1" s="1"/>
  <c r="O851" i="1"/>
  <c r="V851" i="1" s="1"/>
  <c r="O852" i="1"/>
  <c r="V852" i="1" s="1"/>
  <c r="O853" i="1"/>
  <c r="V853" i="1" s="1"/>
  <c r="O854" i="1"/>
  <c r="V854" i="1" s="1"/>
  <c r="O855" i="1"/>
  <c r="V855" i="1" s="1"/>
  <c r="O856" i="1"/>
  <c r="V856" i="1" s="1"/>
  <c r="O857" i="1"/>
  <c r="V857" i="1" s="1"/>
  <c r="O858" i="1"/>
  <c r="V858" i="1" s="1"/>
  <c r="O859" i="1"/>
  <c r="V859" i="1" s="1"/>
  <c r="O860" i="1"/>
  <c r="V860" i="1" s="1"/>
  <c r="O861" i="1"/>
  <c r="V861" i="1" s="1"/>
  <c r="O862" i="1"/>
  <c r="V862" i="1" s="1"/>
  <c r="O863" i="1"/>
  <c r="V863" i="1" s="1"/>
  <c r="O864" i="1"/>
  <c r="V864" i="1" s="1"/>
  <c r="O865" i="1"/>
  <c r="V865" i="1" s="1"/>
  <c r="O866" i="1"/>
  <c r="V866" i="1" s="1"/>
  <c r="O867" i="1"/>
  <c r="V867" i="1" s="1"/>
  <c r="O868" i="1"/>
  <c r="V868" i="1" s="1"/>
  <c r="O869" i="1"/>
  <c r="V869" i="1" s="1"/>
  <c r="O870" i="1"/>
  <c r="V870" i="1" s="1"/>
  <c r="O871" i="1"/>
  <c r="V871" i="1" s="1"/>
  <c r="O872" i="1"/>
  <c r="V872" i="1" s="1"/>
  <c r="O873" i="1"/>
  <c r="V873" i="1" s="1"/>
  <c r="O874" i="1"/>
  <c r="V874" i="1" s="1"/>
  <c r="O875" i="1"/>
  <c r="V875" i="1" s="1"/>
  <c r="O876" i="1"/>
  <c r="V876" i="1" s="1"/>
  <c r="O877" i="1"/>
  <c r="V877" i="1" s="1"/>
  <c r="O878" i="1"/>
  <c r="V878" i="1" s="1"/>
  <c r="O879" i="1"/>
  <c r="V879" i="1" s="1"/>
  <c r="O880" i="1"/>
  <c r="V880" i="1" s="1"/>
  <c r="O881" i="1"/>
  <c r="V881" i="1" s="1"/>
  <c r="O882" i="1"/>
  <c r="V882" i="1" s="1"/>
  <c r="O883" i="1"/>
  <c r="V883" i="1" s="1"/>
  <c r="O884" i="1"/>
  <c r="V884" i="1" s="1"/>
  <c r="O885" i="1"/>
  <c r="V885" i="1" s="1"/>
  <c r="O886" i="1"/>
  <c r="V886" i="1" s="1"/>
  <c r="O887" i="1"/>
  <c r="V887" i="1" s="1"/>
  <c r="O888" i="1"/>
  <c r="V888" i="1" s="1"/>
  <c r="O889" i="1"/>
  <c r="V889" i="1" s="1"/>
  <c r="O890" i="1"/>
  <c r="V890" i="1" s="1"/>
  <c r="O891" i="1"/>
  <c r="V891" i="1" s="1"/>
  <c r="O892" i="1"/>
  <c r="V892" i="1" s="1"/>
  <c r="O893" i="1"/>
  <c r="V893" i="1" s="1"/>
  <c r="O894" i="1"/>
  <c r="V894" i="1" s="1"/>
  <c r="O895" i="1"/>
  <c r="V895" i="1" s="1"/>
  <c r="O896" i="1"/>
  <c r="V896" i="1" s="1"/>
  <c r="O897" i="1"/>
  <c r="V897" i="1" s="1"/>
  <c r="O898" i="1"/>
  <c r="V898" i="1" s="1"/>
  <c r="O899" i="1"/>
  <c r="V899" i="1" s="1"/>
  <c r="O900" i="1"/>
  <c r="V900" i="1" s="1"/>
  <c r="O901" i="1"/>
  <c r="V901" i="1" s="1"/>
  <c r="O902" i="1"/>
  <c r="V902" i="1" s="1"/>
  <c r="O903" i="1"/>
  <c r="V903" i="1" s="1"/>
  <c r="O904" i="1"/>
  <c r="V904" i="1" s="1"/>
  <c r="O905" i="1"/>
  <c r="V905" i="1" s="1"/>
  <c r="O906" i="1"/>
  <c r="V906" i="1" s="1"/>
  <c r="O907" i="1"/>
  <c r="V907" i="1" s="1"/>
  <c r="O908" i="1"/>
  <c r="V908" i="1" s="1"/>
  <c r="O909" i="1"/>
  <c r="V909" i="1" s="1"/>
  <c r="O910" i="1"/>
  <c r="V910" i="1" s="1"/>
  <c r="O911" i="1"/>
  <c r="V911" i="1" s="1"/>
  <c r="O912" i="1"/>
  <c r="V912" i="1" s="1"/>
  <c r="O913" i="1"/>
  <c r="V913" i="1" s="1"/>
  <c r="O914" i="1"/>
  <c r="V914" i="1" s="1"/>
  <c r="O915" i="1"/>
  <c r="V915" i="1" s="1"/>
  <c r="O916" i="1"/>
  <c r="V916" i="1" s="1"/>
  <c r="O917" i="1"/>
  <c r="V917" i="1" s="1"/>
  <c r="O918" i="1"/>
  <c r="V918" i="1" s="1"/>
  <c r="O919" i="1"/>
  <c r="V919" i="1" s="1"/>
  <c r="O920" i="1"/>
  <c r="V920" i="1" s="1"/>
  <c r="O921" i="1"/>
  <c r="V921" i="1" s="1"/>
  <c r="O922" i="1"/>
  <c r="V922" i="1" s="1"/>
  <c r="O923" i="1"/>
  <c r="V923" i="1" s="1"/>
  <c r="O924" i="1"/>
  <c r="V924" i="1" s="1"/>
  <c r="O925" i="1"/>
  <c r="V925" i="1" s="1"/>
  <c r="O926" i="1"/>
  <c r="V926" i="1" s="1"/>
  <c r="O927" i="1"/>
  <c r="V927" i="1" s="1"/>
  <c r="O928" i="1"/>
  <c r="V928" i="1" s="1"/>
  <c r="O929" i="1"/>
  <c r="V929" i="1" s="1"/>
  <c r="O930" i="1"/>
  <c r="V930" i="1" s="1"/>
  <c r="O931" i="1"/>
  <c r="V931" i="1" s="1"/>
  <c r="O932" i="1"/>
  <c r="V932" i="1" s="1"/>
  <c r="O933" i="1"/>
  <c r="V933" i="1" s="1"/>
  <c r="O934" i="1"/>
  <c r="V934" i="1" s="1"/>
  <c r="O935" i="1"/>
  <c r="V935" i="1" s="1"/>
  <c r="O936" i="1"/>
  <c r="V936" i="1" s="1"/>
  <c r="O937" i="1"/>
  <c r="V937" i="1" s="1"/>
  <c r="O938" i="1"/>
  <c r="V938" i="1" s="1"/>
  <c r="O939" i="1"/>
  <c r="V939" i="1" s="1"/>
  <c r="O940" i="1"/>
  <c r="V940" i="1" s="1"/>
  <c r="O941" i="1"/>
  <c r="V941" i="1" s="1"/>
  <c r="O942" i="1"/>
  <c r="V942" i="1" s="1"/>
  <c r="O943" i="1"/>
  <c r="V943" i="1" s="1"/>
  <c r="O944" i="1"/>
  <c r="V944" i="1" s="1"/>
  <c r="O945" i="1"/>
  <c r="V945" i="1" s="1"/>
  <c r="O946" i="1"/>
  <c r="V946" i="1" s="1"/>
  <c r="O947" i="1"/>
  <c r="V947" i="1" s="1"/>
  <c r="O948" i="1"/>
  <c r="V948" i="1" s="1"/>
  <c r="O949" i="1"/>
  <c r="V949" i="1" s="1"/>
  <c r="O950" i="1"/>
  <c r="V950" i="1" s="1"/>
  <c r="O951" i="1"/>
  <c r="V951" i="1" s="1"/>
  <c r="O952" i="1"/>
  <c r="V952" i="1" s="1"/>
  <c r="O953" i="1"/>
  <c r="V953" i="1" s="1"/>
  <c r="O954" i="1"/>
  <c r="V954" i="1" s="1"/>
  <c r="O955" i="1"/>
  <c r="V955" i="1" s="1"/>
  <c r="O956" i="1"/>
  <c r="V956" i="1" s="1"/>
  <c r="O957" i="1"/>
  <c r="V957" i="1" s="1"/>
  <c r="O958" i="1"/>
  <c r="V958" i="1" s="1"/>
  <c r="O959" i="1"/>
  <c r="V959" i="1" s="1"/>
  <c r="O960" i="1"/>
  <c r="V960" i="1" s="1"/>
  <c r="O961" i="1"/>
  <c r="V961" i="1" s="1"/>
  <c r="O962" i="1"/>
  <c r="V962" i="1" s="1"/>
  <c r="O963" i="1"/>
  <c r="V963" i="1" s="1"/>
  <c r="O964" i="1"/>
  <c r="V964" i="1" s="1"/>
  <c r="O965" i="1"/>
  <c r="V965" i="1" s="1"/>
  <c r="O966" i="1"/>
  <c r="V966" i="1" s="1"/>
  <c r="O967" i="1"/>
  <c r="V967" i="1" s="1"/>
  <c r="O968" i="1"/>
  <c r="V968" i="1" s="1"/>
  <c r="O969" i="1"/>
  <c r="V969" i="1" s="1"/>
  <c r="O970" i="1"/>
  <c r="V970" i="1" s="1"/>
  <c r="O971" i="1"/>
  <c r="V971" i="1" s="1"/>
  <c r="O972" i="1"/>
  <c r="V972" i="1" s="1"/>
  <c r="O973" i="1"/>
  <c r="V973" i="1" s="1"/>
  <c r="O974" i="1"/>
  <c r="V974" i="1" s="1"/>
  <c r="O975" i="1"/>
  <c r="V975" i="1" s="1"/>
  <c r="O976" i="1"/>
  <c r="V976" i="1" s="1"/>
  <c r="O977" i="1"/>
  <c r="V977" i="1" s="1"/>
  <c r="O978" i="1"/>
  <c r="V978" i="1" s="1"/>
  <c r="O979" i="1"/>
  <c r="V979" i="1" s="1"/>
  <c r="O980" i="1"/>
  <c r="V980" i="1" s="1"/>
  <c r="O981" i="1"/>
  <c r="V981" i="1" s="1"/>
  <c r="O982" i="1"/>
  <c r="V982" i="1" s="1"/>
  <c r="O983" i="1"/>
  <c r="V983" i="1" s="1"/>
  <c r="O984" i="1"/>
  <c r="V984" i="1" s="1"/>
  <c r="O985" i="1"/>
  <c r="V985" i="1" s="1"/>
  <c r="O986" i="1"/>
  <c r="V986" i="1" s="1"/>
  <c r="O987" i="1"/>
  <c r="V987" i="1" s="1"/>
  <c r="O988" i="1"/>
  <c r="V988" i="1" s="1"/>
  <c r="O989" i="1"/>
  <c r="V989" i="1" s="1"/>
  <c r="O990" i="1"/>
  <c r="V990" i="1" s="1"/>
  <c r="O991" i="1"/>
  <c r="V991" i="1" s="1"/>
  <c r="O992" i="1"/>
  <c r="V992" i="1" s="1"/>
  <c r="O993" i="1"/>
  <c r="V993" i="1" s="1"/>
  <c r="O994" i="1"/>
  <c r="V994" i="1" s="1"/>
  <c r="O995" i="1"/>
  <c r="V995" i="1" s="1"/>
  <c r="O996" i="1"/>
  <c r="V996" i="1" s="1"/>
  <c r="O997" i="1"/>
  <c r="V997" i="1" s="1"/>
  <c r="O998" i="1"/>
  <c r="V998" i="1" s="1"/>
  <c r="O999" i="1"/>
  <c r="V999" i="1" s="1"/>
  <c r="O1000" i="1"/>
  <c r="V1000" i="1" s="1"/>
  <c r="O1001" i="1"/>
  <c r="V1001" i="1" s="1"/>
  <c r="O1002" i="1"/>
  <c r="V1002" i="1" s="1"/>
  <c r="O1003" i="1"/>
  <c r="V1003" i="1" s="1"/>
  <c r="O1004" i="1"/>
  <c r="V1004" i="1" s="1"/>
  <c r="O1005" i="1"/>
  <c r="V1005" i="1" s="1"/>
  <c r="O1006" i="1"/>
  <c r="V1006" i="1" s="1"/>
  <c r="O1007" i="1"/>
  <c r="V1007" i="1" s="1"/>
  <c r="O1008" i="1"/>
  <c r="V1008" i="1" s="1"/>
  <c r="O1009" i="1"/>
  <c r="V1009" i="1" s="1"/>
  <c r="O1010" i="1"/>
  <c r="V1010" i="1" s="1"/>
  <c r="O1011" i="1"/>
  <c r="V1011" i="1" s="1"/>
  <c r="O1012" i="1"/>
  <c r="V1012" i="1" s="1"/>
  <c r="O1013" i="1"/>
  <c r="V1013" i="1" s="1"/>
  <c r="O1014" i="1"/>
  <c r="V1014" i="1" s="1"/>
  <c r="O1015" i="1"/>
  <c r="V1015" i="1" s="1"/>
  <c r="O1016" i="1"/>
  <c r="V1016" i="1" s="1"/>
  <c r="O1017" i="1"/>
  <c r="V1017" i="1" s="1"/>
  <c r="O1018" i="1"/>
  <c r="V1018" i="1" s="1"/>
  <c r="O1019" i="1"/>
  <c r="V1019" i="1" s="1"/>
  <c r="O1020" i="1"/>
  <c r="V1020" i="1" s="1"/>
  <c r="O1021" i="1"/>
  <c r="V1021" i="1" s="1"/>
  <c r="O1022" i="1"/>
  <c r="V1022" i="1" s="1"/>
  <c r="O1023" i="1"/>
  <c r="V1023" i="1" s="1"/>
  <c r="O1024" i="1"/>
  <c r="V1024" i="1" s="1"/>
  <c r="O1025" i="1"/>
  <c r="V1025" i="1" s="1"/>
  <c r="O1026" i="1"/>
  <c r="V1026" i="1" s="1"/>
  <c r="O1027" i="1"/>
  <c r="V1027" i="1" s="1"/>
  <c r="O1028" i="1"/>
  <c r="V1028" i="1" s="1"/>
  <c r="O1029" i="1"/>
  <c r="V1029" i="1" s="1"/>
  <c r="O1030" i="1"/>
  <c r="V1030" i="1" s="1"/>
  <c r="O1031" i="1"/>
  <c r="V1031" i="1" s="1"/>
  <c r="O1032" i="1"/>
  <c r="V1032" i="1" s="1"/>
  <c r="O1033" i="1"/>
  <c r="V1033" i="1" s="1"/>
  <c r="O1034" i="1"/>
  <c r="V1034" i="1" s="1"/>
  <c r="O1035" i="1"/>
  <c r="V1035" i="1" s="1"/>
  <c r="O1036" i="1"/>
  <c r="V1036" i="1" s="1"/>
  <c r="O1037" i="1"/>
  <c r="V1037" i="1" s="1"/>
  <c r="O1038" i="1"/>
  <c r="V1038" i="1" s="1"/>
  <c r="O1039" i="1"/>
  <c r="V1039" i="1" s="1"/>
  <c r="O1040" i="1"/>
  <c r="V1040" i="1" s="1"/>
  <c r="O1041" i="1"/>
  <c r="V1041" i="1" s="1"/>
  <c r="O1042" i="1"/>
  <c r="V1042" i="1" s="1"/>
  <c r="O1043" i="1"/>
  <c r="V1043" i="1" s="1"/>
  <c r="O1044" i="1"/>
  <c r="V1044" i="1" s="1"/>
  <c r="O1045" i="1"/>
  <c r="V1045" i="1" s="1"/>
  <c r="O1046" i="1"/>
  <c r="V1046" i="1" s="1"/>
  <c r="O1047" i="1"/>
  <c r="V1047" i="1" s="1"/>
  <c r="O1048" i="1"/>
  <c r="V1048" i="1" s="1"/>
  <c r="O1049" i="1"/>
  <c r="V1049" i="1" s="1"/>
  <c r="O1050" i="1"/>
  <c r="V1050" i="1" s="1"/>
  <c r="O1051" i="1"/>
  <c r="V1051" i="1" s="1"/>
  <c r="O1052" i="1"/>
  <c r="V1052" i="1" s="1"/>
  <c r="O1053" i="1"/>
  <c r="V1053" i="1" s="1"/>
  <c r="O1054" i="1"/>
  <c r="V1054" i="1" s="1"/>
  <c r="O1055" i="1"/>
  <c r="V1055" i="1" s="1"/>
  <c r="O1056" i="1"/>
  <c r="V1056" i="1" s="1"/>
  <c r="O1057" i="1"/>
  <c r="V1057" i="1" s="1"/>
  <c r="O1058" i="1"/>
  <c r="V1058" i="1" s="1"/>
  <c r="O1059" i="1"/>
  <c r="V1059" i="1" s="1"/>
  <c r="O1060" i="1"/>
  <c r="V1060" i="1" s="1"/>
  <c r="O1061" i="1"/>
  <c r="V1061" i="1" s="1"/>
  <c r="O1062" i="1"/>
  <c r="V1062" i="1" s="1"/>
  <c r="O1063" i="1"/>
  <c r="V1063" i="1" s="1"/>
  <c r="O1064" i="1"/>
  <c r="V1064" i="1" s="1"/>
  <c r="O1065" i="1"/>
  <c r="V1065" i="1" s="1"/>
  <c r="O1066" i="1"/>
  <c r="V1066" i="1" s="1"/>
  <c r="O1067" i="1"/>
  <c r="V1067" i="1" s="1"/>
  <c r="O1068" i="1"/>
  <c r="V1068" i="1" s="1"/>
  <c r="O1069" i="1"/>
  <c r="V1069" i="1" s="1"/>
  <c r="O1070" i="1"/>
  <c r="V1070" i="1" s="1"/>
  <c r="O1071" i="1"/>
  <c r="V1071" i="1" s="1"/>
  <c r="O1072" i="1"/>
  <c r="V1072" i="1" s="1"/>
  <c r="O1073" i="1"/>
  <c r="V1073" i="1" s="1"/>
  <c r="O1074" i="1"/>
  <c r="V1074" i="1" s="1"/>
  <c r="O1075" i="1"/>
  <c r="V1075" i="1" s="1"/>
  <c r="O1076" i="1"/>
  <c r="V1076" i="1" s="1"/>
  <c r="O1077" i="1"/>
  <c r="V1077" i="1" s="1"/>
  <c r="O1078" i="1"/>
  <c r="V1078" i="1" s="1"/>
  <c r="O1079" i="1"/>
  <c r="V1079" i="1" s="1"/>
  <c r="O1080" i="1"/>
  <c r="V1080" i="1" s="1"/>
  <c r="O1081" i="1"/>
  <c r="V1081" i="1" s="1"/>
  <c r="O1082" i="1"/>
  <c r="V1082" i="1" s="1"/>
  <c r="O1083" i="1"/>
  <c r="V1083" i="1" s="1"/>
  <c r="O1084" i="1"/>
  <c r="V1084" i="1" s="1"/>
  <c r="O1085" i="1"/>
  <c r="V1085" i="1" s="1"/>
  <c r="O1086" i="1"/>
  <c r="V1086" i="1" s="1"/>
  <c r="O1087" i="1"/>
  <c r="V1087" i="1" s="1"/>
  <c r="O1088" i="1"/>
  <c r="V1088" i="1" s="1"/>
  <c r="O1089" i="1"/>
  <c r="V1089" i="1" s="1"/>
  <c r="O1090" i="1"/>
  <c r="V1090" i="1" s="1"/>
  <c r="O1091" i="1"/>
  <c r="V1091" i="1" s="1"/>
  <c r="O1092" i="1"/>
  <c r="V1092" i="1" s="1"/>
  <c r="O1093" i="1"/>
  <c r="V1093" i="1" s="1"/>
  <c r="O1094" i="1"/>
  <c r="V1094" i="1" s="1"/>
  <c r="O1095" i="1"/>
  <c r="V1095" i="1" s="1"/>
  <c r="O1096" i="1"/>
  <c r="V1096" i="1" s="1"/>
  <c r="O1097" i="1"/>
  <c r="V1097" i="1" s="1"/>
  <c r="O1098" i="1"/>
  <c r="V1098" i="1" s="1"/>
  <c r="O1099" i="1"/>
  <c r="V1099" i="1" s="1"/>
  <c r="O1100" i="1"/>
  <c r="V1100" i="1" s="1"/>
  <c r="O1101" i="1"/>
  <c r="V1101" i="1" s="1"/>
  <c r="O1102" i="1"/>
  <c r="V1102" i="1" s="1"/>
  <c r="O1103" i="1"/>
  <c r="V1103" i="1" s="1"/>
  <c r="O1104" i="1"/>
  <c r="V1104" i="1" s="1"/>
  <c r="O1105" i="1"/>
  <c r="V1105" i="1" s="1"/>
  <c r="O1106" i="1"/>
  <c r="V1106" i="1" s="1"/>
  <c r="O1107" i="1"/>
  <c r="V1107" i="1" s="1"/>
  <c r="O1108" i="1"/>
  <c r="V1108" i="1" s="1"/>
  <c r="O1109" i="1"/>
  <c r="V1109" i="1" s="1"/>
  <c r="O1110" i="1"/>
  <c r="V1110" i="1" s="1"/>
  <c r="O1111" i="1"/>
  <c r="V1111" i="1" s="1"/>
  <c r="O1112" i="1"/>
  <c r="V1112" i="1" s="1"/>
  <c r="O1113" i="1"/>
  <c r="V1113" i="1" s="1"/>
  <c r="O1114" i="1"/>
  <c r="V1114" i="1" s="1"/>
  <c r="O1115" i="1"/>
  <c r="V1115" i="1" s="1"/>
  <c r="O1116" i="1"/>
  <c r="V1116" i="1" s="1"/>
  <c r="O1117" i="1"/>
  <c r="V1117" i="1" s="1"/>
  <c r="O1118" i="1"/>
  <c r="V1118" i="1" s="1"/>
  <c r="O1119" i="1"/>
  <c r="V1119" i="1" s="1"/>
  <c r="O1120" i="1"/>
  <c r="V1120" i="1" s="1"/>
  <c r="O1121" i="1"/>
  <c r="V1121" i="1" s="1"/>
  <c r="O1122" i="1"/>
  <c r="V1122" i="1" s="1"/>
  <c r="O1123" i="1"/>
  <c r="V1123" i="1" s="1"/>
  <c r="O1124" i="1"/>
  <c r="V1124" i="1" s="1"/>
  <c r="O1125" i="1"/>
  <c r="V1125" i="1" s="1"/>
  <c r="O1126" i="1"/>
  <c r="V1126" i="1" s="1"/>
  <c r="O1127" i="1"/>
  <c r="V1127" i="1" s="1"/>
  <c r="O1128" i="1"/>
  <c r="V1128" i="1" s="1"/>
  <c r="O1129" i="1"/>
  <c r="V1129" i="1" s="1"/>
  <c r="O1130" i="1"/>
  <c r="V1130" i="1" s="1"/>
  <c r="O1131" i="1"/>
  <c r="V1131" i="1" s="1"/>
  <c r="O1132" i="1"/>
  <c r="V1132" i="1" s="1"/>
  <c r="O1133" i="1"/>
  <c r="V1133" i="1" s="1"/>
  <c r="O1134" i="1"/>
  <c r="V1134" i="1" s="1"/>
  <c r="O1135" i="1"/>
  <c r="V1135" i="1" s="1"/>
  <c r="O1136" i="1"/>
  <c r="V1136" i="1" s="1"/>
  <c r="O1137" i="1"/>
  <c r="V1137" i="1" s="1"/>
  <c r="O1138" i="1"/>
  <c r="V1138" i="1" s="1"/>
  <c r="O1139" i="1"/>
  <c r="V1139" i="1" s="1"/>
  <c r="O1140" i="1"/>
  <c r="V1140" i="1" s="1"/>
  <c r="O1141" i="1"/>
  <c r="V1141" i="1" s="1"/>
  <c r="O1142" i="1"/>
  <c r="V1142" i="1" s="1"/>
  <c r="O1143" i="1"/>
  <c r="V1143" i="1" s="1"/>
  <c r="O1144" i="1"/>
  <c r="V1144" i="1" s="1"/>
  <c r="O1145" i="1"/>
  <c r="V1145" i="1" s="1"/>
  <c r="O1146" i="1"/>
  <c r="V1146" i="1" s="1"/>
  <c r="O1147" i="1"/>
  <c r="V1147" i="1" s="1"/>
  <c r="O1148" i="1"/>
  <c r="V1148" i="1" s="1"/>
  <c r="O1149" i="1"/>
  <c r="V1149" i="1" s="1"/>
  <c r="O1150" i="1"/>
  <c r="V1150" i="1" s="1"/>
  <c r="O1151" i="1"/>
  <c r="V1151" i="1" s="1"/>
  <c r="O1152" i="1"/>
  <c r="V1152" i="1" s="1"/>
  <c r="O1153" i="1"/>
  <c r="V1153" i="1" s="1"/>
  <c r="O1154" i="1"/>
  <c r="V1154" i="1" s="1"/>
  <c r="O1155" i="1"/>
  <c r="V1155" i="1" s="1"/>
  <c r="O1156" i="1"/>
  <c r="V1156" i="1" s="1"/>
  <c r="O1157" i="1"/>
  <c r="V1157" i="1" s="1"/>
  <c r="O1158" i="1"/>
  <c r="V1158" i="1" s="1"/>
  <c r="O1159" i="1"/>
  <c r="V1159" i="1" s="1"/>
  <c r="O1160" i="1"/>
  <c r="V1160" i="1" s="1"/>
  <c r="O1161" i="1"/>
  <c r="V1161" i="1" s="1"/>
  <c r="O1162" i="1"/>
  <c r="V1162" i="1" s="1"/>
  <c r="O1163" i="1"/>
  <c r="V1163" i="1" s="1"/>
  <c r="O1164" i="1"/>
  <c r="V1164" i="1" s="1"/>
  <c r="O1165" i="1"/>
  <c r="V1165" i="1" s="1"/>
  <c r="O1166" i="1"/>
  <c r="V1166" i="1" s="1"/>
  <c r="O1167" i="1"/>
  <c r="V1167" i="1" s="1"/>
  <c r="O1168" i="1"/>
  <c r="V1168" i="1" s="1"/>
  <c r="O1169" i="1"/>
  <c r="V1169" i="1" s="1"/>
  <c r="O1170" i="1"/>
  <c r="V1170" i="1" s="1"/>
  <c r="O1171" i="1"/>
  <c r="V1171" i="1" s="1"/>
  <c r="O1172" i="1"/>
  <c r="V1172" i="1" s="1"/>
  <c r="O1173" i="1"/>
  <c r="V1173" i="1" s="1"/>
  <c r="O1174" i="1"/>
  <c r="V1174" i="1" s="1"/>
  <c r="O1175" i="1"/>
  <c r="V1175" i="1" s="1"/>
  <c r="O1176" i="1"/>
  <c r="V1176" i="1" s="1"/>
  <c r="O1177" i="1"/>
  <c r="V1177" i="1" s="1"/>
  <c r="O1178" i="1"/>
  <c r="V1178" i="1" s="1"/>
  <c r="O1179" i="1"/>
  <c r="V1179" i="1" s="1"/>
  <c r="O1180" i="1"/>
  <c r="V1180" i="1" s="1"/>
  <c r="O1181" i="1"/>
  <c r="V1181" i="1" s="1"/>
  <c r="O1182" i="1"/>
  <c r="V1182" i="1" s="1"/>
  <c r="O1183" i="1"/>
  <c r="V1183" i="1" s="1"/>
  <c r="O1184" i="1"/>
  <c r="V1184" i="1" s="1"/>
  <c r="O1185" i="1"/>
  <c r="V1185" i="1" s="1"/>
  <c r="O1186" i="1"/>
  <c r="V1186" i="1" s="1"/>
  <c r="O1187" i="1"/>
  <c r="V1187" i="1" s="1"/>
  <c r="O1188" i="1"/>
  <c r="V1188" i="1" s="1"/>
  <c r="O1189" i="1"/>
  <c r="V1189" i="1" s="1"/>
  <c r="O1190" i="1"/>
  <c r="V1190" i="1" s="1"/>
  <c r="O1191" i="1"/>
  <c r="V1191" i="1" s="1"/>
  <c r="O1192" i="1"/>
  <c r="V1192" i="1" s="1"/>
  <c r="O1193" i="1"/>
  <c r="V1193" i="1" s="1"/>
  <c r="O1194" i="1"/>
  <c r="V1194" i="1" s="1"/>
  <c r="O1195" i="1"/>
  <c r="V1195" i="1" s="1"/>
  <c r="O1196" i="1"/>
  <c r="V1196" i="1" s="1"/>
  <c r="O1197" i="1"/>
  <c r="V1197" i="1" s="1"/>
  <c r="O1198" i="1"/>
  <c r="V1198" i="1" s="1"/>
  <c r="O1199" i="1"/>
  <c r="V1199" i="1" s="1"/>
  <c r="O1200" i="1"/>
  <c r="V1200" i="1" s="1"/>
  <c r="O1201" i="1"/>
  <c r="V1201" i="1" s="1"/>
  <c r="O1202" i="1"/>
  <c r="V1202" i="1" s="1"/>
  <c r="O1203" i="1"/>
  <c r="V1203" i="1" s="1"/>
  <c r="O1204" i="1"/>
  <c r="V1204" i="1" s="1"/>
  <c r="O1205" i="1"/>
  <c r="V1205" i="1" s="1"/>
  <c r="O1206" i="1"/>
  <c r="V1206" i="1" s="1"/>
  <c r="O1207" i="1"/>
  <c r="V1207" i="1" s="1"/>
  <c r="O1208" i="1"/>
  <c r="V1208" i="1" s="1"/>
  <c r="O1209" i="1"/>
  <c r="V1209" i="1" s="1"/>
  <c r="O1210" i="1"/>
  <c r="V1210" i="1" s="1"/>
  <c r="O1211" i="1"/>
  <c r="V1211" i="1" s="1"/>
  <c r="O1212" i="1"/>
  <c r="V1212" i="1" s="1"/>
  <c r="O1213" i="1"/>
  <c r="V1213" i="1" s="1"/>
  <c r="O1214" i="1"/>
  <c r="V1214" i="1" s="1"/>
  <c r="O1215" i="1"/>
  <c r="V1215" i="1" s="1"/>
  <c r="O1216" i="1"/>
  <c r="V1216" i="1" s="1"/>
  <c r="O1217" i="1"/>
  <c r="V1217" i="1" s="1"/>
  <c r="O1218" i="1"/>
  <c r="V1218" i="1" s="1"/>
  <c r="O1219" i="1"/>
  <c r="V1219" i="1" s="1"/>
  <c r="W3" i="1"/>
  <c r="Z3" i="1" s="1"/>
  <c r="X3" i="1"/>
  <c r="Y3" i="1"/>
  <c r="W4" i="1"/>
  <c r="Z4" i="1" s="1"/>
  <c r="X4" i="1"/>
  <c r="Y4" i="1"/>
  <c r="W5" i="1"/>
  <c r="Z5" i="1" s="1"/>
  <c r="X5" i="1"/>
  <c r="Y5" i="1"/>
  <c r="W6" i="1"/>
  <c r="Z6" i="1" s="1"/>
  <c r="X6" i="1"/>
  <c r="Y6" i="1"/>
  <c r="W7" i="1"/>
  <c r="Z7" i="1" s="1"/>
  <c r="X7" i="1"/>
  <c r="Y7" i="1"/>
  <c r="W8" i="1"/>
  <c r="Z8" i="1" s="1"/>
  <c r="X8" i="1"/>
  <c r="Y8" i="1"/>
  <c r="W9" i="1"/>
  <c r="Z9" i="1" s="1"/>
  <c r="X9" i="1"/>
  <c r="Y9" i="1"/>
  <c r="W10" i="1"/>
  <c r="Z10" i="1" s="1"/>
  <c r="X10" i="1"/>
  <c r="Y10" i="1"/>
  <c r="W11" i="1"/>
  <c r="Z11" i="1" s="1"/>
  <c r="X11" i="1"/>
  <c r="Y11" i="1"/>
  <c r="W12" i="1"/>
  <c r="Z12" i="1" s="1"/>
  <c r="X12" i="1"/>
  <c r="Y12" i="1"/>
  <c r="W13" i="1"/>
  <c r="Z13" i="1" s="1"/>
  <c r="X13" i="1"/>
  <c r="Y13" i="1"/>
  <c r="W14" i="1"/>
  <c r="Z14" i="1" s="1"/>
  <c r="X14" i="1"/>
  <c r="Y14" i="1"/>
  <c r="W15" i="1"/>
  <c r="Z15" i="1" s="1"/>
  <c r="X15" i="1"/>
  <c r="Y15" i="1"/>
  <c r="W16" i="1"/>
  <c r="Z16" i="1" s="1"/>
  <c r="X16" i="1"/>
  <c r="Y16" i="1"/>
  <c r="W17" i="1"/>
  <c r="Z17" i="1" s="1"/>
  <c r="X17" i="1"/>
  <c r="Y17" i="1"/>
  <c r="W18" i="1"/>
  <c r="Z18" i="1" s="1"/>
  <c r="X18" i="1"/>
  <c r="Y18" i="1"/>
  <c r="W19" i="1"/>
  <c r="Z19" i="1" s="1"/>
  <c r="X19" i="1"/>
  <c r="Y19" i="1"/>
  <c r="W20" i="1"/>
  <c r="Z20" i="1" s="1"/>
  <c r="X20" i="1"/>
  <c r="Y20" i="1"/>
  <c r="W21" i="1"/>
  <c r="Z21" i="1" s="1"/>
  <c r="X21" i="1"/>
  <c r="Y21" i="1"/>
  <c r="W22" i="1"/>
  <c r="Z22" i="1" s="1"/>
  <c r="X22" i="1"/>
  <c r="Y22" i="1"/>
  <c r="W23" i="1"/>
  <c r="Z23" i="1" s="1"/>
  <c r="X23" i="1"/>
  <c r="Y23" i="1"/>
  <c r="W24" i="1"/>
  <c r="Z24" i="1" s="1"/>
  <c r="X24" i="1"/>
  <c r="Y24" i="1"/>
  <c r="W25" i="1"/>
  <c r="Z25" i="1" s="1"/>
  <c r="X25" i="1"/>
  <c r="Y25" i="1"/>
  <c r="W26" i="1"/>
  <c r="Z26" i="1" s="1"/>
  <c r="X26" i="1"/>
  <c r="Y26" i="1"/>
  <c r="W27" i="1"/>
  <c r="Z27" i="1" s="1"/>
  <c r="X27" i="1"/>
  <c r="Y27" i="1"/>
  <c r="W28" i="1"/>
  <c r="Z28" i="1" s="1"/>
  <c r="X28" i="1"/>
  <c r="Y28" i="1"/>
  <c r="W29" i="1"/>
  <c r="Z29" i="1" s="1"/>
  <c r="X29" i="1"/>
  <c r="Y29" i="1"/>
  <c r="W30" i="1"/>
  <c r="Z30" i="1" s="1"/>
  <c r="X30" i="1"/>
  <c r="Y30" i="1"/>
  <c r="W31" i="1"/>
  <c r="Z31" i="1" s="1"/>
  <c r="X31" i="1"/>
  <c r="Y31" i="1"/>
  <c r="W32" i="1"/>
  <c r="Z32" i="1" s="1"/>
  <c r="X32" i="1"/>
  <c r="Y32" i="1"/>
  <c r="W33" i="1"/>
  <c r="Z33" i="1" s="1"/>
  <c r="X33" i="1"/>
  <c r="Y33" i="1"/>
  <c r="W34" i="1"/>
  <c r="Z34" i="1" s="1"/>
  <c r="X34" i="1"/>
  <c r="Y34" i="1"/>
  <c r="W35" i="1"/>
  <c r="Z35" i="1" s="1"/>
  <c r="X35" i="1"/>
  <c r="Y35" i="1"/>
  <c r="W36" i="1"/>
  <c r="Z36" i="1" s="1"/>
  <c r="X36" i="1"/>
  <c r="Y36" i="1"/>
  <c r="W37" i="1"/>
  <c r="Z37" i="1" s="1"/>
  <c r="X37" i="1"/>
  <c r="Y37" i="1"/>
  <c r="W38" i="1"/>
  <c r="Z38" i="1" s="1"/>
  <c r="X38" i="1"/>
  <c r="Y38" i="1"/>
  <c r="W39" i="1"/>
  <c r="Z39" i="1" s="1"/>
  <c r="X39" i="1"/>
  <c r="Y39" i="1"/>
  <c r="W40" i="1"/>
  <c r="Z40" i="1" s="1"/>
  <c r="X40" i="1"/>
  <c r="Y40" i="1"/>
  <c r="W41" i="1"/>
  <c r="Z41" i="1" s="1"/>
  <c r="X41" i="1"/>
  <c r="Y41" i="1"/>
  <c r="W42" i="1"/>
  <c r="Z42" i="1" s="1"/>
  <c r="X42" i="1"/>
  <c r="Y42" i="1"/>
  <c r="W43" i="1"/>
  <c r="Z43" i="1" s="1"/>
  <c r="X43" i="1"/>
  <c r="Y43" i="1"/>
  <c r="W44" i="1"/>
  <c r="Z44" i="1" s="1"/>
  <c r="X44" i="1"/>
  <c r="Y44" i="1"/>
  <c r="W45" i="1"/>
  <c r="Z45" i="1" s="1"/>
  <c r="X45" i="1"/>
  <c r="Y45" i="1"/>
  <c r="W46" i="1"/>
  <c r="Z46" i="1" s="1"/>
  <c r="X46" i="1"/>
  <c r="Y46" i="1"/>
  <c r="W47" i="1"/>
  <c r="Z47" i="1" s="1"/>
  <c r="X47" i="1"/>
  <c r="Y47" i="1"/>
  <c r="W48" i="1"/>
  <c r="Z48" i="1" s="1"/>
  <c r="X48" i="1"/>
  <c r="Y48" i="1"/>
  <c r="W49" i="1"/>
  <c r="Z49" i="1" s="1"/>
  <c r="X49" i="1"/>
  <c r="Y49" i="1"/>
  <c r="W50" i="1"/>
  <c r="Z50" i="1" s="1"/>
  <c r="X50" i="1"/>
  <c r="Y50" i="1"/>
  <c r="W51" i="1"/>
  <c r="Z51" i="1" s="1"/>
  <c r="X51" i="1"/>
  <c r="Y51" i="1"/>
  <c r="W52" i="1"/>
  <c r="Z52" i="1" s="1"/>
  <c r="X52" i="1"/>
  <c r="Y52" i="1"/>
  <c r="W53" i="1"/>
  <c r="Z53" i="1" s="1"/>
  <c r="X53" i="1"/>
  <c r="Y53" i="1"/>
  <c r="W54" i="1"/>
  <c r="Z54" i="1" s="1"/>
  <c r="X54" i="1"/>
  <c r="Y54" i="1"/>
  <c r="W55" i="1"/>
  <c r="Z55" i="1" s="1"/>
  <c r="X55" i="1"/>
  <c r="Y55" i="1"/>
  <c r="W56" i="1"/>
  <c r="Z56" i="1" s="1"/>
  <c r="X56" i="1"/>
  <c r="Y56" i="1"/>
  <c r="W57" i="1"/>
  <c r="Z57" i="1" s="1"/>
  <c r="X57" i="1"/>
  <c r="Y57" i="1"/>
  <c r="W58" i="1"/>
  <c r="Z58" i="1" s="1"/>
  <c r="X58" i="1"/>
  <c r="Y58" i="1"/>
  <c r="W59" i="1"/>
  <c r="Z59" i="1" s="1"/>
  <c r="X59" i="1"/>
  <c r="Y59" i="1"/>
  <c r="W60" i="1"/>
  <c r="Z60" i="1" s="1"/>
  <c r="X60" i="1"/>
  <c r="Y60" i="1"/>
  <c r="W61" i="1"/>
  <c r="Z61" i="1" s="1"/>
  <c r="X61" i="1"/>
  <c r="Y61" i="1"/>
  <c r="W62" i="1"/>
  <c r="Z62" i="1" s="1"/>
  <c r="X62" i="1"/>
  <c r="Y62" i="1"/>
  <c r="W63" i="1"/>
  <c r="Z63" i="1" s="1"/>
  <c r="X63" i="1"/>
  <c r="Y63" i="1"/>
  <c r="W64" i="1"/>
  <c r="Z64" i="1" s="1"/>
  <c r="X64" i="1"/>
  <c r="Y64" i="1"/>
  <c r="W65" i="1"/>
  <c r="Z65" i="1" s="1"/>
  <c r="X65" i="1"/>
  <c r="Y65" i="1"/>
  <c r="W66" i="1"/>
  <c r="Z66" i="1" s="1"/>
  <c r="X66" i="1"/>
  <c r="Y66" i="1"/>
  <c r="W67" i="1"/>
  <c r="Z67" i="1" s="1"/>
  <c r="X67" i="1"/>
  <c r="Y67" i="1"/>
  <c r="W68" i="1"/>
  <c r="Z68" i="1" s="1"/>
  <c r="X68" i="1"/>
  <c r="Y68" i="1"/>
  <c r="W69" i="1"/>
  <c r="Z69" i="1" s="1"/>
  <c r="X69" i="1"/>
  <c r="Y69" i="1"/>
  <c r="W70" i="1"/>
  <c r="Z70" i="1" s="1"/>
  <c r="X70" i="1"/>
  <c r="Y70" i="1"/>
  <c r="W71" i="1"/>
  <c r="Z71" i="1" s="1"/>
  <c r="X71" i="1"/>
  <c r="Y71" i="1"/>
  <c r="W72" i="1"/>
  <c r="Z72" i="1" s="1"/>
  <c r="X72" i="1"/>
  <c r="Y72" i="1"/>
  <c r="W73" i="1"/>
  <c r="Z73" i="1" s="1"/>
  <c r="X73" i="1"/>
  <c r="Y73" i="1"/>
  <c r="W74" i="1"/>
  <c r="Z74" i="1" s="1"/>
  <c r="X74" i="1"/>
  <c r="Y74" i="1"/>
  <c r="W75" i="1"/>
  <c r="Z75" i="1" s="1"/>
  <c r="X75" i="1"/>
  <c r="Y75" i="1"/>
  <c r="W76" i="1"/>
  <c r="Z76" i="1" s="1"/>
  <c r="X76" i="1"/>
  <c r="Y76" i="1"/>
  <c r="W77" i="1"/>
  <c r="Z77" i="1" s="1"/>
  <c r="X77" i="1"/>
  <c r="Y77" i="1"/>
  <c r="W78" i="1"/>
  <c r="Z78" i="1" s="1"/>
  <c r="X78" i="1"/>
  <c r="Y78" i="1"/>
  <c r="W79" i="1"/>
  <c r="Z79" i="1" s="1"/>
  <c r="X79" i="1"/>
  <c r="Y79" i="1"/>
  <c r="W80" i="1"/>
  <c r="Z80" i="1" s="1"/>
  <c r="X80" i="1"/>
  <c r="Y80" i="1"/>
  <c r="W81" i="1"/>
  <c r="Z81" i="1" s="1"/>
  <c r="X81" i="1"/>
  <c r="Y81" i="1"/>
  <c r="W82" i="1"/>
  <c r="Z82" i="1" s="1"/>
  <c r="X82" i="1"/>
  <c r="Y82" i="1"/>
  <c r="W83" i="1"/>
  <c r="Z83" i="1" s="1"/>
  <c r="X83" i="1"/>
  <c r="Y83" i="1"/>
  <c r="W84" i="1"/>
  <c r="Z84" i="1" s="1"/>
  <c r="X84" i="1"/>
  <c r="Y84" i="1"/>
  <c r="W85" i="1"/>
  <c r="Z85" i="1" s="1"/>
  <c r="X85" i="1"/>
  <c r="Y85" i="1"/>
  <c r="W86" i="1"/>
  <c r="Z86" i="1" s="1"/>
  <c r="X86" i="1"/>
  <c r="Y86" i="1"/>
  <c r="W87" i="1"/>
  <c r="Z87" i="1" s="1"/>
  <c r="X87" i="1"/>
  <c r="Y87" i="1"/>
  <c r="W88" i="1"/>
  <c r="Z88" i="1" s="1"/>
  <c r="X88" i="1"/>
  <c r="Y88" i="1"/>
  <c r="W89" i="1"/>
  <c r="Z89" i="1" s="1"/>
  <c r="X89" i="1"/>
  <c r="Y89" i="1"/>
  <c r="W90" i="1"/>
  <c r="Z90" i="1" s="1"/>
  <c r="X90" i="1"/>
  <c r="Y90" i="1"/>
  <c r="W91" i="1"/>
  <c r="Z91" i="1" s="1"/>
  <c r="X91" i="1"/>
  <c r="Y91" i="1"/>
  <c r="W92" i="1"/>
  <c r="Z92" i="1" s="1"/>
  <c r="X92" i="1"/>
  <c r="Y92" i="1"/>
  <c r="W93" i="1"/>
  <c r="Z93" i="1" s="1"/>
  <c r="X93" i="1"/>
  <c r="Y93" i="1"/>
  <c r="W94" i="1"/>
  <c r="Z94" i="1" s="1"/>
  <c r="X94" i="1"/>
  <c r="Y94" i="1"/>
  <c r="W95" i="1"/>
  <c r="Z95" i="1" s="1"/>
  <c r="X95" i="1"/>
  <c r="Y95" i="1"/>
  <c r="W96" i="1"/>
  <c r="Z96" i="1" s="1"/>
  <c r="X96" i="1"/>
  <c r="Y96" i="1"/>
  <c r="W97" i="1"/>
  <c r="Z97" i="1" s="1"/>
  <c r="X97" i="1"/>
  <c r="Y97" i="1"/>
  <c r="W98" i="1"/>
  <c r="Z98" i="1" s="1"/>
  <c r="X98" i="1"/>
  <c r="Y98" i="1"/>
  <c r="W99" i="1"/>
  <c r="Z99" i="1" s="1"/>
  <c r="X99" i="1"/>
  <c r="Y99" i="1"/>
  <c r="W100" i="1"/>
  <c r="Z100" i="1" s="1"/>
  <c r="X100" i="1"/>
  <c r="Y100" i="1"/>
  <c r="W101" i="1"/>
  <c r="Z101" i="1" s="1"/>
  <c r="X101" i="1"/>
  <c r="Y101" i="1"/>
  <c r="W102" i="1"/>
  <c r="Z102" i="1" s="1"/>
  <c r="X102" i="1"/>
  <c r="Y102" i="1"/>
  <c r="W103" i="1"/>
  <c r="Z103" i="1" s="1"/>
  <c r="X103" i="1"/>
  <c r="Y103" i="1"/>
  <c r="W104" i="1"/>
  <c r="Z104" i="1" s="1"/>
  <c r="X104" i="1"/>
  <c r="Y104" i="1"/>
  <c r="W105" i="1"/>
  <c r="Z105" i="1" s="1"/>
  <c r="X105" i="1"/>
  <c r="Y105" i="1"/>
  <c r="W106" i="1"/>
  <c r="Z106" i="1" s="1"/>
  <c r="X106" i="1"/>
  <c r="Y106" i="1"/>
  <c r="W107" i="1"/>
  <c r="Z107" i="1" s="1"/>
  <c r="X107" i="1"/>
  <c r="Y107" i="1"/>
  <c r="W108" i="1"/>
  <c r="Z108" i="1" s="1"/>
  <c r="X108" i="1"/>
  <c r="Y108" i="1"/>
  <c r="W109" i="1"/>
  <c r="Z109" i="1" s="1"/>
  <c r="X109" i="1"/>
  <c r="Y109" i="1"/>
  <c r="W110" i="1"/>
  <c r="Z110" i="1" s="1"/>
  <c r="X110" i="1"/>
  <c r="Y110" i="1"/>
  <c r="W111" i="1"/>
  <c r="Z111" i="1" s="1"/>
  <c r="X111" i="1"/>
  <c r="Y111" i="1"/>
  <c r="W112" i="1"/>
  <c r="Z112" i="1" s="1"/>
  <c r="X112" i="1"/>
  <c r="Y112" i="1"/>
  <c r="W113" i="1"/>
  <c r="Z113" i="1" s="1"/>
  <c r="X113" i="1"/>
  <c r="Y113" i="1"/>
  <c r="W114" i="1"/>
  <c r="Z114" i="1" s="1"/>
  <c r="X114" i="1"/>
  <c r="Y114" i="1"/>
  <c r="W115" i="1"/>
  <c r="Z115" i="1" s="1"/>
  <c r="X115" i="1"/>
  <c r="Y115" i="1"/>
  <c r="W116" i="1"/>
  <c r="Z116" i="1" s="1"/>
  <c r="X116" i="1"/>
  <c r="Y116" i="1"/>
  <c r="W117" i="1"/>
  <c r="Z117" i="1" s="1"/>
  <c r="X117" i="1"/>
  <c r="Y117" i="1"/>
  <c r="W118" i="1"/>
  <c r="Z118" i="1" s="1"/>
  <c r="X118" i="1"/>
  <c r="Y118" i="1"/>
  <c r="W119" i="1"/>
  <c r="Z119" i="1" s="1"/>
  <c r="X119" i="1"/>
  <c r="Y119" i="1"/>
  <c r="W120" i="1"/>
  <c r="Z120" i="1" s="1"/>
  <c r="X120" i="1"/>
  <c r="Y120" i="1"/>
  <c r="W121" i="1"/>
  <c r="Z121" i="1" s="1"/>
  <c r="X121" i="1"/>
  <c r="Y121" i="1"/>
  <c r="W122" i="1"/>
  <c r="Z122" i="1" s="1"/>
  <c r="X122" i="1"/>
  <c r="Y122" i="1"/>
  <c r="W123" i="1"/>
  <c r="Z123" i="1" s="1"/>
  <c r="X123" i="1"/>
  <c r="Y123" i="1"/>
  <c r="W124" i="1"/>
  <c r="Z124" i="1" s="1"/>
  <c r="X124" i="1"/>
  <c r="Y124" i="1"/>
  <c r="W125" i="1"/>
  <c r="Z125" i="1" s="1"/>
  <c r="X125" i="1"/>
  <c r="Y125" i="1"/>
  <c r="W126" i="1"/>
  <c r="Z126" i="1" s="1"/>
  <c r="X126" i="1"/>
  <c r="Y126" i="1"/>
  <c r="W127" i="1"/>
  <c r="Z127" i="1" s="1"/>
  <c r="X127" i="1"/>
  <c r="Y127" i="1"/>
  <c r="W128" i="1"/>
  <c r="Z128" i="1" s="1"/>
  <c r="X128" i="1"/>
  <c r="Y128" i="1"/>
  <c r="W129" i="1"/>
  <c r="Z129" i="1" s="1"/>
  <c r="X129" i="1"/>
  <c r="Y129" i="1"/>
  <c r="W130" i="1"/>
  <c r="Z130" i="1" s="1"/>
  <c r="X130" i="1"/>
  <c r="Y130" i="1"/>
  <c r="W131" i="1"/>
  <c r="Z131" i="1" s="1"/>
  <c r="X131" i="1"/>
  <c r="Y131" i="1"/>
  <c r="W132" i="1"/>
  <c r="Z132" i="1" s="1"/>
  <c r="X132" i="1"/>
  <c r="Y132" i="1"/>
  <c r="W133" i="1"/>
  <c r="Z133" i="1" s="1"/>
  <c r="X133" i="1"/>
  <c r="Y133" i="1"/>
  <c r="W134" i="1"/>
  <c r="Z134" i="1" s="1"/>
  <c r="X134" i="1"/>
  <c r="Y134" i="1"/>
  <c r="W135" i="1"/>
  <c r="Z135" i="1" s="1"/>
  <c r="X135" i="1"/>
  <c r="Y135" i="1"/>
  <c r="W136" i="1"/>
  <c r="Z136" i="1" s="1"/>
  <c r="X136" i="1"/>
  <c r="Y136" i="1"/>
  <c r="W137" i="1"/>
  <c r="Z137" i="1" s="1"/>
  <c r="X137" i="1"/>
  <c r="Y137" i="1"/>
  <c r="W138" i="1"/>
  <c r="Z138" i="1" s="1"/>
  <c r="X138" i="1"/>
  <c r="Y138" i="1"/>
  <c r="W139" i="1"/>
  <c r="Z139" i="1" s="1"/>
  <c r="X139" i="1"/>
  <c r="Y139" i="1"/>
  <c r="W140" i="1"/>
  <c r="Z140" i="1" s="1"/>
  <c r="X140" i="1"/>
  <c r="Y140" i="1"/>
  <c r="W141" i="1"/>
  <c r="Z141" i="1" s="1"/>
  <c r="X141" i="1"/>
  <c r="Y141" i="1"/>
  <c r="W142" i="1"/>
  <c r="Z142" i="1" s="1"/>
  <c r="X142" i="1"/>
  <c r="Y142" i="1"/>
  <c r="W143" i="1"/>
  <c r="Z143" i="1" s="1"/>
  <c r="X143" i="1"/>
  <c r="Y143" i="1"/>
  <c r="W144" i="1"/>
  <c r="Z144" i="1" s="1"/>
  <c r="X144" i="1"/>
  <c r="Y144" i="1"/>
  <c r="W145" i="1"/>
  <c r="Z145" i="1" s="1"/>
  <c r="X145" i="1"/>
  <c r="Y145" i="1"/>
  <c r="W146" i="1"/>
  <c r="Z146" i="1" s="1"/>
  <c r="X146" i="1"/>
  <c r="Y146" i="1"/>
  <c r="W147" i="1"/>
  <c r="Z147" i="1" s="1"/>
  <c r="X147" i="1"/>
  <c r="Y147" i="1"/>
  <c r="W148" i="1"/>
  <c r="Z148" i="1" s="1"/>
  <c r="X148" i="1"/>
  <c r="Y148" i="1"/>
  <c r="W149" i="1"/>
  <c r="Z149" i="1" s="1"/>
  <c r="X149" i="1"/>
  <c r="Y149" i="1"/>
  <c r="W150" i="1"/>
  <c r="Z150" i="1" s="1"/>
  <c r="X150" i="1"/>
  <c r="Y150" i="1"/>
  <c r="W151" i="1"/>
  <c r="Z151" i="1" s="1"/>
  <c r="X151" i="1"/>
  <c r="Y151" i="1"/>
  <c r="W152" i="1"/>
  <c r="Z152" i="1" s="1"/>
  <c r="X152" i="1"/>
  <c r="Y152" i="1"/>
  <c r="W153" i="1"/>
  <c r="Z153" i="1" s="1"/>
  <c r="X153" i="1"/>
  <c r="Y153" i="1"/>
  <c r="W154" i="1"/>
  <c r="X154" i="1"/>
  <c r="Y154" i="1"/>
  <c r="Z154" i="1"/>
  <c r="W155" i="1"/>
  <c r="X155" i="1"/>
  <c r="Y155" i="1"/>
  <c r="Z155" i="1"/>
  <c r="W156" i="1"/>
  <c r="Z156" i="1" s="1"/>
  <c r="X156" i="1"/>
  <c r="Y156" i="1"/>
  <c r="W157" i="1"/>
  <c r="X157" i="1"/>
  <c r="Y157" i="1"/>
  <c r="Z157" i="1"/>
  <c r="W158" i="1"/>
  <c r="X158" i="1"/>
  <c r="Y158" i="1"/>
  <c r="Z158" i="1"/>
  <c r="W159" i="1"/>
  <c r="Z159" i="1" s="1"/>
  <c r="X159" i="1"/>
  <c r="Y159" i="1"/>
  <c r="W160" i="1"/>
  <c r="X160" i="1"/>
  <c r="Y160" i="1"/>
  <c r="Z160" i="1"/>
  <c r="W161" i="1"/>
  <c r="X161" i="1"/>
  <c r="Y161" i="1"/>
  <c r="Z161" i="1"/>
  <c r="W162" i="1"/>
  <c r="Z162" i="1" s="1"/>
  <c r="X162" i="1"/>
  <c r="Y162" i="1"/>
  <c r="W163" i="1"/>
  <c r="X163" i="1"/>
  <c r="Y163" i="1"/>
  <c r="Z163" i="1"/>
  <c r="W164" i="1"/>
  <c r="X164" i="1"/>
  <c r="Y164" i="1"/>
  <c r="Z164" i="1"/>
  <c r="W165" i="1"/>
  <c r="Z165" i="1" s="1"/>
  <c r="X165" i="1"/>
  <c r="Y165" i="1"/>
  <c r="W166" i="1"/>
  <c r="X166" i="1"/>
  <c r="Y166" i="1"/>
  <c r="Z166" i="1"/>
  <c r="W167" i="1"/>
  <c r="X167" i="1"/>
  <c r="Y167" i="1"/>
  <c r="Z167" i="1"/>
  <c r="W168" i="1"/>
  <c r="Z168" i="1" s="1"/>
  <c r="X168" i="1"/>
  <c r="Y168" i="1"/>
  <c r="W169" i="1"/>
  <c r="X169" i="1"/>
  <c r="Y169" i="1"/>
  <c r="Z169" i="1"/>
  <c r="W170" i="1"/>
  <c r="X170" i="1"/>
  <c r="Y170" i="1"/>
  <c r="Z170" i="1"/>
  <c r="W171" i="1"/>
  <c r="Z171" i="1" s="1"/>
  <c r="X171" i="1"/>
  <c r="Y171" i="1"/>
  <c r="W172" i="1"/>
  <c r="X172" i="1"/>
  <c r="Y172" i="1"/>
  <c r="Z172" i="1"/>
  <c r="W173" i="1"/>
  <c r="X173" i="1"/>
  <c r="Y173" i="1"/>
  <c r="Z173" i="1"/>
  <c r="W174" i="1"/>
  <c r="Z174" i="1" s="1"/>
  <c r="X174" i="1"/>
  <c r="Y174" i="1"/>
  <c r="W175" i="1"/>
  <c r="X175" i="1"/>
  <c r="Y175" i="1"/>
  <c r="Z175" i="1"/>
  <c r="W176" i="1"/>
  <c r="X176" i="1"/>
  <c r="Y176" i="1"/>
  <c r="Z176" i="1"/>
  <c r="W177" i="1"/>
  <c r="Z177" i="1" s="1"/>
  <c r="X177" i="1"/>
  <c r="Y177" i="1"/>
  <c r="W178" i="1"/>
  <c r="X178" i="1"/>
  <c r="Y178" i="1"/>
  <c r="Z178" i="1"/>
  <c r="W179" i="1"/>
  <c r="X179" i="1"/>
  <c r="Y179" i="1"/>
  <c r="Z179" i="1"/>
  <c r="W180" i="1"/>
  <c r="Z180" i="1" s="1"/>
  <c r="X180" i="1"/>
  <c r="Y180" i="1"/>
  <c r="W181" i="1"/>
  <c r="X181" i="1"/>
  <c r="Y181" i="1"/>
  <c r="Z181" i="1"/>
  <c r="W182" i="1"/>
  <c r="X182" i="1"/>
  <c r="Y182" i="1"/>
  <c r="Z182" i="1"/>
  <c r="W183" i="1"/>
  <c r="Z183" i="1" s="1"/>
  <c r="X183" i="1"/>
  <c r="Y183" i="1"/>
  <c r="W184" i="1"/>
  <c r="X184" i="1"/>
  <c r="Y184" i="1"/>
  <c r="Z184" i="1"/>
  <c r="W185" i="1"/>
  <c r="X185" i="1"/>
  <c r="Y185" i="1"/>
  <c r="Z185" i="1"/>
  <c r="W186" i="1"/>
  <c r="Z186" i="1" s="1"/>
  <c r="X186" i="1"/>
  <c r="Y186" i="1"/>
  <c r="W187" i="1"/>
  <c r="X187" i="1"/>
  <c r="Y187" i="1"/>
  <c r="Z187" i="1"/>
  <c r="W188" i="1"/>
  <c r="X188" i="1"/>
  <c r="Y188" i="1"/>
  <c r="Z188" i="1"/>
  <c r="W189" i="1"/>
  <c r="Z189" i="1" s="1"/>
  <c r="X189" i="1"/>
  <c r="Y189" i="1"/>
  <c r="W190" i="1"/>
  <c r="X190" i="1"/>
  <c r="Y190" i="1"/>
  <c r="Z190" i="1"/>
  <c r="W191" i="1"/>
  <c r="X191" i="1"/>
  <c r="Y191" i="1"/>
  <c r="Z191" i="1"/>
  <c r="W192" i="1"/>
  <c r="Z192" i="1" s="1"/>
  <c r="X192" i="1"/>
  <c r="Y192" i="1"/>
  <c r="W193" i="1"/>
  <c r="X193" i="1"/>
  <c r="Y193" i="1"/>
  <c r="Z193" i="1"/>
  <c r="W194" i="1"/>
  <c r="X194" i="1"/>
  <c r="Y194" i="1"/>
  <c r="Z194" i="1"/>
  <c r="W195" i="1"/>
  <c r="Z195" i="1" s="1"/>
  <c r="X195" i="1"/>
  <c r="Y195" i="1"/>
  <c r="W196" i="1"/>
  <c r="X196" i="1"/>
  <c r="Y196" i="1"/>
  <c r="Z196" i="1"/>
  <c r="W197" i="1"/>
  <c r="X197" i="1"/>
  <c r="Y197" i="1"/>
  <c r="Z197" i="1"/>
  <c r="W198" i="1"/>
  <c r="Z198" i="1" s="1"/>
  <c r="X198" i="1"/>
  <c r="Y198" i="1"/>
  <c r="W199" i="1"/>
  <c r="X199" i="1"/>
  <c r="Y199" i="1"/>
  <c r="Z199" i="1"/>
  <c r="W200" i="1"/>
  <c r="X200" i="1"/>
  <c r="Y200" i="1"/>
  <c r="Z200" i="1"/>
  <c r="W201" i="1"/>
  <c r="Z201" i="1" s="1"/>
  <c r="X201" i="1"/>
  <c r="Y201" i="1"/>
  <c r="W202" i="1"/>
  <c r="X202" i="1"/>
  <c r="Y202" i="1"/>
  <c r="Z202" i="1"/>
  <c r="W203" i="1"/>
  <c r="X203" i="1"/>
  <c r="Y203" i="1"/>
  <c r="Z203" i="1"/>
  <c r="W204" i="1"/>
  <c r="Z204" i="1" s="1"/>
  <c r="X204" i="1"/>
  <c r="Y204" i="1"/>
  <c r="W205" i="1"/>
  <c r="X205" i="1"/>
  <c r="Y205" i="1"/>
  <c r="Z205" i="1"/>
  <c r="W206" i="1"/>
  <c r="X206" i="1"/>
  <c r="Y206" i="1"/>
  <c r="Z206" i="1"/>
  <c r="W207" i="1"/>
  <c r="Z207" i="1" s="1"/>
  <c r="X207" i="1"/>
  <c r="Y207" i="1"/>
  <c r="W208" i="1"/>
  <c r="X208" i="1"/>
  <c r="Y208" i="1"/>
  <c r="Z208" i="1"/>
  <c r="W209" i="1"/>
  <c r="X209" i="1"/>
  <c r="Y209" i="1"/>
  <c r="Z209" i="1"/>
  <c r="W210" i="1"/>
  <c r="Z210" i="1" s="1"/>
  <c r="X210" i="1"/>
  <c r="Y210" i="1"/>
  <c r="W211" i="1"/>
  <c r="X211" i="1"/>
  <c r="Y211" i="1"/>
  <c r="Z211" i="1"/>
  <c r="W212" i="1"/>
  <c r="X212" i="1"/>
  <c r="Y212" i="1"/>
  <c r="Z212" i="1"/>
  <c r="W213" i="1"/>
  <c r="Z213" i="1" s="1"/>
  <c r="X213" i="1"/>
  <c r="Y213" i="1"/>
  <c r="W214" i="1"/>
  <c r="X214" i="1"/>
  <c r="Y214" i="1"/>
  <c r="Z214" i="1"/>
  <c r="W215" i="1"/>
  <c r="X215" i="1"/>
  <c r="Y215" i="1"/>
  <c r="Z215" i="1"/>
  <c r="W216" i="1"/>
  <c r="Z216" i="1" s="1"/>
  <c r="X216" i="1"/>
  <c r="Y216" i="1"/>
  <c r="W217" i="1"/>
  <c r="X217" i="1"/>
  <c r="Y217" i="1"/>
  <c r="Z217" i="1"/>
  <c r="W218" i="1"/>
  <c r="X218" i="1"/>
  <c r="Y218" i="1"/>
  <c r="Z218" i="1"/>
  <c r="W219" i="1"/>
  <c r="Z219" i="1" s="1"/>
  <c r="X219" i="1"/>
  <c r="Y219" i="1"/>
  <c r="W220" i="1"/>
  <c r="X220" i="1"/>
  <c r="Y220" i="1"/>
  <c r="Z220" i="1"/>
  <c r="W221" i="1"/>
  <c r="X221" i="1"/>
  <c r="Y221" i="1"/>
  <c r="Z221" i="1"/>
  <c r="W222" i="1"/>
  <c r="Z222" i="1" s="1"/>
  <c r="X222" i="1"/>
  <c r="Y222" i="1"/>
  <c r="W223" i="1"/>
  <c r="X223" i="1"/>
  <c r="Y223" i="1"/>
  <c r="Z223" i="1"/>
  <c r="W224" i="1"/>
  <c r="X224" i="1"/>
  <c r="Y224" i="1"/>
  <c r="Z224" i="1"/>
  <c r="W225" i="1"/>
  <c r="Z225" i="1" s="1"/>
  <c r="X225" i="1"/>
  <c r="Y225" i="1"/>
  <c r="W226" i="1"/>
  <c r="X226" i="1"/>
  <c r="Y226" i="1"/>
  <c r="Z226" i="1"/>
  <c r="W227" i="1"/>
  <c r="X227" i="1"/>
  <c r="Y227" i="1"/>
  <c r="Z227" i="1"/>
  <c r="W228" i="1"/>
  <c r="Z228" i="1" s="1"/>
  <c r="X228" i="1"/>
  <c r="Y228" i="1"/>
  <c r="W229" i="1"/>
  <c r="X229" i="1"/>
  <c r="Y229" i="1"/>
  <c r="Z229" i="1"/>
  <c r="W230" i="1"/>
  <c r="X230" i="1"/>
  <c r="Y230" i="1"/>
  <c r="Z230" i="1"/>
  <c r="W231" i="1"/>
  <c r="Z231" i="1" s="1"/>
  <c r="X231" i="1"/>
  <c r="Y231" i="1"/>
  <c r="W232" i="1"/>
  <c r="X232" i="1"/>
  <c r="Y232" i="1"/>
  <c r="Z232" i="1"/>
  <c r="W233" i="1"/>
  <c r="X233" i="1"/>
  <c r="Y233" i="1"/>
  <c r="Z233" i="1"/>
  <c r="W234" i="1"/>
  <c r="Z234" i="1" s="1"/>
  <c r="X234" i="1"/>
  <c r="Y234" i="1"/>
  <c r="W235" i="1"/>
  <c r="X235" i="1"/>
  <c r="Y235" i="1"/>
  <c r="Z235" i="1"/>
  <c r="W236" i="1"/>
  <c r="X236" i="1"/>
  <c r="Y236" i="1"/>
  <c r="Z236" i="1"/>
  <c r="W237" i="1"/>
  <c r="Z237" i="1" s="1"/>
  <c r="X237" i="1"/>
  <c r="Y237" i="1"/>
  <c r="W238" i="1"/>
  <c r="X238" i="1"/>
  <c r="Y238" i="1"/>
  <c r="Z238" i="1"/>
  <c r="W239" i="1"/>
  <c r="X239" i="1"/>
  <c r="Y239" i="1"/>
  <c r="Z239" i="1"/>
  <c r="W240" i="1"/>
  <c r="Z240" i="1" s="1"/>
  <c r="X240" i="1"/>
  <c r="Y240" i="1"/>
  <c r="W241" i="1"/>
  <c r="X241" i="1"/>
  <c r="Y241" i="1"/>
  <c r="Z241" i="1"/>
  <c r="W242" i="1"/>
  <c r="X242" i="1"/>
  <c r="Y242" i="1"/>
  <c r="Z242" i="1"/>
  <c r="W243" i="1"/>
  <c r="Z243" i="1" s="1"/>
  <c r="X243" i="1"/>
  <c r="Y243" i="1"/>
  <c r="W244" i="1"/>
  <c r="X244" i="1"/>
  <c r="Y244" i="1"/>
  <c r="Z244" i="1"/>
  <c r="W245" i="1"/>
  <c r="X245" i="1"/>
  <c r="Y245" i="1"/>
  <c r="Z245" i="1"/>
  <c r="W246" i="1"/>
  <c r="Z246" i="1" s="1"/>
  <c r="X246" i="1"/>
  <c r="Y246" i="1"/>
  <c r="W247" i="1"/>
  <c r="X247" i="1"/>
  <c r="Y247" i="1"/>
  <c r="Z247" i="1"/>
  <c r="W248" i="1"/>
  <c r="X248" i="1"/>
  <c r="Y248" i="1"/>
  <c r="Z248" i="1"/>
  <c r="W249" i="1"/>
  <c r="Z249" i="1" s="1"/>
  <c r="X249" i="1"/>
  <c r="Y249" i="1"/>
  <c r="W250" i="1"/>
  <c r="X250" i="1"/>
  <c r="Y250" i="1"/>
  <c r="Z250" i="1"/>
  <c r="W251" i="1"/>
  <c r="X251" i="1"/>
  <c r="Y251" i="1"/>
  <c r="Z251" i="1"/>
  <c r="W252" i="1"/>
  <c r="Z252" i="1" s="1"/>
  <c r="X252" i="1"/>
  <c r="Y252" i="1"/>
  <c r="W253" i="1"/>
  <c r="X253" i="1"/>
  <c r="Y253" i="1"/>
  <c r="Z253" i="1"/>
  <c r="W254" i="1"/>
  <c r="X254" i="1"/>
  <c r="Y254" i="1"/>
  <c r="Z254" i="1"/>
  <c r="W255" i="1"/>
  <c r="Z255" i="1" s="1"/>
  <c r="X255" i="1"/>
  <c r="Y255" i="1"/>
  <c r="W256" i="1"/>
  <c r="X256" i="1"/>
  <c r="Y256" i="1"/>
  <c r="Z256" i="1"/>
  <c r="W257" i="1"/>
  <c r="X257" i="1"/>
  <c r="Y257" i="1"/>
  <c r="Z257" i="1"/>
  <c r="W258" i="1"/>
  <c r="Z258" i="1" s="1"/>
  <c r="X258" i="1"/>
  <c r="Y258" i="1"/>
  <c r="W259" i="1"/>
  <c r="X259" i="1"/>
  <c r="Y259" i="1"/>
  <c r="Z259" i="1"/>
  <c r="W260" i="1"/>
  <c r="X260" i="1"/>
  <c r="Y260" i="1"/>
  <c r="Z260" i="1"/>
  <c r="W261" i="1"/>
  <c r="Z261" i="1" s="1"/>
  <c r="X261" i="1"/>
  <c r="Y261" i="1"/>
  <c r="W262" i="1"/>
  <c r="X262" i="1"/>
  <c r="Y262" i="1"/>
  <c r="Z262" i="1"/>
  <c r="W263" i="1"/>
  <c r="X263" i="1"/>
  <c r="Y263" i="1"/>
  <c r="Z263" i="1"/>
  <c r="W264" i="1"/>
  <c r="Z264" i="1" s="1"/>
  <c r="X264" i="1"/>
  <c r="Y264" i="1"/>
  <c r="W265" i="1"/>
  <c r="X265" i="1"/>
  <c r="Y265" i="1"/>
  <c r="Z265" i="1"/>
  <c r="W266" i="1"/>
  <c r="X266" i="1"/>
  <c r="Y266" i="1"/>
  <c r="Z266" i="1"/>
  <c r="W267" i="1"/>
  <c r="Z267" i="1" s="1"/>
  <c r="X267" i="1"/>
  <c r="Y267" i="1"/>
  <c r="W268" i="1"/>
  <c r="X268" i="1"/>
  <c r="Y268" i="1"/>
  <c r="Z268" i="1"/>
  <c r="W269" i="1"/>
  <c r="X269" i="1"/>
  <c r="Y269" i="1"/>
  <c r="Z269" i="1"/>
  <c r="W270" i="1"/>
  <c r="Z270" i="1" s="1"/>
  <c r="X270" i="1"/>
  <c r="Y270" i="1"/>
  <c r="W271" i="1"/>
  <c r="X271" i="1"/>
  <c r="Y271" i="1"/>
  <c r="Z271" i="1"/>
  <c r="W272" i="1"/>
  <c r="X272" i="1"/>
  <c r="Y272" i="1"/>
  <c r="Z272" i="1"/>
  <c r="W273" i="1"/>
  <c r="Z273" i="1" s="1"/>
  <c r="X273" i="1"/>
  <c r="Y273" i="1"/>
  <c r="W274" i="1"/>
  <c r="X274" i="1"/>
  <c r="Y274" i="1"/>
  <c r="Z274" i="1"/>
  <c r="W275" i="1"/>
  <c r="X275" i="1"/>
  <c r="Y275" i="1"/>
  <c r="Z275" i="1"/>
  <c r="W276" i="1"/>
  <c r="Z276" i="1" s="1"/>
  <c r="X276" i="1"/>
  <c r="Y276" i="1"/>
  <c r="W277" i="1"/>
  <c r="X277" i="1"/>
  <c r="Y277" i="1"/>
  <c r="Z277" i="1"/>
  <c r="W278" i="1"/>
  <c r="X278" i="1"/>
  <c r="Y278" i="1"/>
  <c r="Z278" i="1"/>
  <c r="W279" i="1"/>
  <c r="Z279" i="1" s="1"/>
  <c r="X279" i="1"/>
  <c r="Y279" i="1"/>
  <c r="W280" i="1"/>
  <c r="X280" i="1"/>
  <c r="Y280" i="1"/>
  <c r="Z280" i="1"/>
  <c r="W281" i="1"/>
  <c r="X281" i="1"/>
  <c r="Y281" i="1"/>
  <c r="Z281" i="1"/>
  <c r="W282" i="1"/>
  <c r="Z282" i="1" s="1"/>
  <c r="X282" i="1"/>
  <c r="Y282" i="1"/>
  <c r="W283" i="1"/>
  <c r="X283" i="1"/>
  <c r="Y283" i="1"/>
  <c r="Z283" i="1"/>
  <c r="W284" i="1"/>
  <c r="X284" i="1"/>
  <c r="Y284" i="1"/>
  <c r="Z284" i="1"/>
  <c r="W285" i="1"/>
  <c r="Z285" i="1" s="1"/>
  <c r="X285" i="1"/>
  <c r="Y285" i="1"/>
  <c r="W286" i="1"/>
  <c r="X286" i="1"/>
  <c r="Y286" i="1"/>
  <c r="Z286" i="1"/>
  <c r="W287" i="1"/>
  <c r="X287" i="1"/>
  <c r="Y287" i="1"/>
  <c r="Z287" i="1"/>
  <c r="W288" i="1"/>
  <c r="Z288" i="1" s="1"/>
  <c r="X288" i="1"/>
  <c r="Y288" i="1"/>
  <c r="W289" i="1"/>
  <c r="X289" i="1"/>
  <c r="Y289" i="1"/>
  <c r="Z289" i="1"/>
  <c r="W290" i="1"/>
  <c r="X290" i="1"/>
  <c r="Y290" i="1"/>
  <c r="Z290" i="1"/>
  <c r="W291" i="1"/>
  <c r="Z291" i="1" s="1"/>
  <c r="X291" i="1"/>
  <c r="Y291" i="1"/>
  <c r="W292" i="1"/>
  <c r="X292" i="1"/>
  <c r="Y292" i="1"/>
  <c r="Z292" i="1"/>
  <c r="W293" i="1"/>
  <c r="X293" i="1"/>
  <c r="Y293" i="1"/>
  <c r="Z293" i="1"/>
  <c r="W294" i="1"/>
  <c r="Z294" i="1" s="1"/>
  <c r="X294" i="1"/>
  <c r="Y294" i="1"/>
  <c r="W295" i="1"/>
  <c r="X295" i="1"/>
  <c r="Y295" i="1"/>
  <c r="Z295" i="1"/>
  <c r="W296" i="1"/>
  <c r="X296" i="1"/>
  <c r="Y296" i="1"/>
  <c r="Z296" i="1"/>
  <c r="W297" i="1"/>
  <c r="Z297" i="1" s="1"/>
  <c r="X297" i="1"/>
  <c r="Y297" i="1"/>
  <c r="W298" i="1"/>
  <c r="X298" i="1"/>
  <c r="Y298" i="1"/>
  <c r="Z298" i="1"/>
  <c r="W299" i="1"/>
  <c r="X299" i="1"/>
  <c r="Y299" i="1"/>
  <c r="Z299" i="1"/>
  <c r="W300" i="1"/>
  <c r="Z300" i="1" s="1"/>
  <c r="X300" i="1"/>
  <c r="Y300" i="1"/>
  <c r="W301" i="1"/>
  <c r="X301" i="1"/>
  <c r="Y301" i="1"/>
  <c r="Z301" i="1"/>
  <c r="W302" i="1"/>
  <c r="X302" i="1"/>
  <c r="Y302" i="1"/>
  <c r="Z302" i="1"/>
  <c r="W303" i="1"/>
  <c r="Z303" i="1" s="1"/>
  <c r="X303" i="1"/>
  <c r="Y303" i="1"/>
  <c r="W304" i="1"/>
  <c r="X304" i="1"/>
  <c r="Y304" i="1"/>
  <c r="Z304" i="1"/>
  <c r="W305" i="1"/>
  <c r="X305" i="1"/>
  <c r="Y305" i="1"/>
  <c r="Z305" i="1"/>
  <c r="W306" i="1"/>
  <c r="Z306" i="1" s="1"/>
  <c r="X306" i="1"/>
  <c r="Y306" i="1"/>
  <c r="W307" i="1"/>
  <c r="X307" i="1"/>
  <c r="Y307" i="1"/>
  <c r="Z307" i="1"/>
  <c r="W308" i="1"/>
  <c r="X308" i="1"/>
  <c r="Y308" i="1"/>
  <c r="Z308" i="1"/>
  <c r="W309" i="1"/>
  <c r="Z309" i="1" s="1"/>
  <c r="X309" i="1"/>
  <c r="Y309" i="1"/>
  <c r="W310" i="1"/>
  <c r="X310" i="1"/>
  <c r="Y310" i="1"/>
  <c r="Z310" i="1"/>
  <c r="W311" i="1"/>
  <c r="X311" i="1"/>
  <c r="Y311" i="1"/>
  <c r="Z311" i="1"/>
  <c r="W312" i="1"/>
  <c r="Z312" i="1" s="1"/>
  <c r="X312" i="1"/>
  <c r="Y312" i="1"/>
  <c r="W313" i="1"/>
  <c r="X313" i="1"/>
  <c r="Y313" i="1"/>
  <c r="Z313" i="1"/>
  <c r="W314" i="1"/>
  <c r="X314" i="1"/>
  <c r="Y314" i="1"/>
  <c r="Z314" i="1"/>
  <c r="W315" i="1"/>
  <c r="Z315" i="1" s="1"/>
  <c r="X315" i="1"/>
  <c r="Y315" i="1"/>
  <c r="W316" i="1"/>
  <c r="X316" i="1"/>
  <c r="Y316" i="1"/>
  <c r="Z316" i="1"/>
  <c r="W317" i="1"/>
  <c r="X317" i="1"/>
  <c r="Y317" i="1"/>
  <c r="Z317" i="1"/>
  <c r="W318" i="1"/>
  <c r="Z318" i="1" s="1"/>
  <c r="X318" i="1"/>
  <c r="Y318" i="1"/>
  <c r="W319" i="1"/>
  <c r="X319" i="1"/>
  <c r="Y319" i="1"/>
  <c r="Z319" i="1"/>
  <c r="W320" i="1"/>
  <c r="X320" i="1"/>
  <c r="Y320" i="1"/>
  <c r="Z320" i="1"/>
  <c r="W321" i="1"/>
  <c r="Z321" i="1" s="1"/>
  <c r="X321" i="1"/>
  <c r="Y321" i="1"/>
  <c r="W322" i="1"/>
  <c r="X322" i="1"/>
  <c r="Y322" i="1"/>
  <c r="Z322" i="1"/>
  <c r="W323" i="1"/>
  <c r="X323" i="1"/>
  <c r="Y323" i="1"/>
  <c r="Z323" i="1"/>
  <c r="W324" i="1"/>
  <c r="Z324" i="1" s="1"/>
  <c r="X324" i="1"/>
  <c r="Y324" i="1"/>
  <c r="W325" i="1"/>
  <c r="X325" i="1"/>
  <c r="Y325" i="1"/>
  <c r="Z325" i="1"/>
  <c r="W326" i="1"/>
  <c r="X326" i="1"/>
  <c r="Y326" i="1"/>
  <c r="Z326" i="1"/>
  <c r="W327" i="1"/>
  <c r="Z327" i="1" s="1"/>
  <c r="X327" i="1"/>
  <c r="Y327" i="1"/>
  <c r="W328" i="1"/>
  <c r="X328" i="1"/>
  <c r="Y328" i="1"/>
  <c r="Z328" i="1"/>
  <c r="W329" i="1"/>
  <c r="X329" i="1"/>
  <c r="Y329" i="1"/>
  <c r="Z329" i="1"/>
  <c r="W330" i="1"/>
  <c r="Z330" i="1" s="1"/>
  <c r="X330" i="1"/>
  <c r="Y330" i="1"/>
  <c r="W331" i="1"/>
  <c r="X331" i="1"/>
  <c r="Y331" i="1"/>
  <c r="Z331" i="1"/>
  <c r="W332" i="1"/>
  <c r="X332" i="1"/>
  <c r="Y332" i="1"/>
  <c r="Z332" i="1"/>
  <c r="W333" i="1"/>
  <c r="Z333" i="1" s="1"/>
  <c r="X333" i="1"/>
  <c r="Y333" i="1"/>
  <c r="W334" i="1"/>
  <c r="X334" i="1"/>
  <c r="Y334" i="1"/>
  <c r="Z334" i="1"/>
  <c r="W335" i="1"/>
  <c r="X335" i="1"/>
  <c r="Y335" i="1"/>
  <c r="Z335" i="1"/>
  <c r="W336" i="1"/>
  <c r="Z336" i="1" s="1"/>
  <c r="X336" i="1"/>
  <c r="Y336" i="1"/>
  <c r="W337" i="1"/>
  <c r="X337" i="1"/>
  <c r="Y337" i="1"/>
  <c r="Z337" i="1"/>
  <c r="W338" i="1"/>
  <c r="X338" i="1"/>
  <c r="Y338" i="1"/>
  <c r="Z338" i="1"/>
  <c r="W339" i="1"/>
  <c r="Z339" i="1" s="1"/>
  <c r="X339" i="1"/>
  <c r="Y339" i="1"/>
  <c r="W340" i="1"/>
  <c r="X340" i="1"/>
  <c r="Y340" i="1"/>
  <c r="Z340" i="1"/>
  <c r="W341" i="1"/>
  <c r="X341" i="1"/>
  <c r="Y341" i="1"/>
  <c r="Z341" i="1"/>
  <c r="W342" i="1"/>
  <c r="Z342" i="1" s="1"/>
  <c r="X342" i="1"/>
  <c r="Y342" i="1"/>
  <c r="W343" i="1"/>
  <c r="X343" i="1"/>
  <c r="Y343" i="1"/>
  <c r="Z343" i="1"/>
  <c r="W344" i="1"/>
  <c r="X344" i="1"/>
  <c r="Y344" i="1"/>
  <c r="Z344" i="1"/>
  <c r="W345" i="1"/>
  <c r="Z345" i="1" s="1"/>
  <c r="X345" i="1"/>
  <c r="Y345" i="1"/>
  <c r="W346" i="1"/>
  <c r="X346" i="1"/>
  <c r="Y346" i="1"/>
  <c r="Z346" i="1"/>
  <c r="W347" i="1"/>
  <c r="X347" i="1"/>
  <c r="Y347" i="1"/>
  <c r="Z347" i="1"/>
  <c r="W348" i="1"/>
  <c r="Z348" i="1" s="1"/>
  <c r="X348" i="1"/>
  <c r="Y348" i="1"/>
  <c r="W349" i="1"/>
  <c r="X349" i="1"/>
  <c r="Y349" i="1"/>
  <c r="Z349" i="1"/>
  <c r="W350" i="1"/>
  <c r="X350" i="1"/>
  <c r="Y350" i="1"/>
  <c r="Z350" i="1"/>
  <c r="W351" i="1"/>
  <c r="Z351" i="1" s="1"/>
  <c r="X351" i="1"/>
  <c r="Y351" i="1"/>
  <c r="W352" i="1"/>
  <c r="X352" i="1"/>
  <c r="Y352" i="1"/>
  <c r="Z352" i="1"/>
  <c r="W353" i="1"/>
  <c r="X353" i="1"/>
  <c r="Y353" i="1"/>
  <c r="Z353" i="1"/>
  <c r="W354" i="1"/>
  <c r="Z354" i="1" s="1"/>
  <c r="X354" i="1"/>
  <c r="Y354" i="1"/>
  <c r="W355" i="1"/>
  <c r="X355" i="1"/>
  <c r="Y355" i="1"/>
  <c r="Z355" i="1"/>
  <c r="W356" i="1"/>
  <c r="X356" i="1"/>
  <c r="Y356" i="1"/>
  <c r="Z356" i="1"/>
  <c r="W357" i="1"/>
  <c r="Z357" i="1" s="1"/>
  <c r="X357" i="1"/>
  <c r="Y357" i="1"/>
  <c r="W358" i="1"/>
  <c r="X358" i="1"/>
  <c r="Y358" i="1"/>
  <c r="Z358" i="1"/>
  <c r="W359" i="1"/>
  <c r="X359" i="1"/>
  <c r="Y359" i="1"/>
  <c r="Z359" i="1"/>
  <c r="W360" i="1"/>
  <c r="Z360" i="1" s="1"/>
  <c r="X360" i="1"/>
  <c r="Y360" i="1"/>
  <c r="W361" i="1"/>
  <c r="X361" i="1"/>
  <c r="Y361" i="1"/>
  <c r="Z361" i="1"/>
  <c r="W362" i="1"/>
  <c r="X362" i="1"/>
  <c r="Y362" i="1"/>
  <c r="Z362" i="1"/>
  <c r="W363" i="1"/>
  <c r="Z363" i="1" s="1"/>
  <c r="X363" i="1"/>
  <c r="Y363" i="1"/>
  <c r="W364" i="1"/>
  <c r="X364" i="1"/>
  <c r="Y364" i="1"/>
  <c r="Z364" i="1"/>
  <c r="W365" i="1"/>
  <c r="X365" i="1"/>
  <c r="Y365" i="1"/>
  <c r="Z365" i="1"/>
  <c r="W366" i="1"/>
  <c r="Z366" i="1" s="1"/>
  <c r="X366" i="1"/>
  <c r="Y366" i="1"/>
  <c r="W367" i="1"/>
  <c r="X367" i="1"/>
  <c r="Y367" i="1"/>
  <c r="Z367" i="1"/>
  <c r="W368" i="1"/>
  <c r="X368" i="1"/>
  <c r="Y368" i="1"/>
  <c r="Z368" i="1"/>
  <c r="W369" i="1"/>
  <c r="Z369" i="1" s="1"/>
  <c r="X369" i="1"/>
  <c r="Y369" i="1"/>
  <c r="W370" i="1"/>
  <c r="X370" i="1"/>
  <c r="Y370" i="1"/>
  <c r="Z370" i="1"/>
  <c r="W371" i="1"/>
  <c r="X371" i="1"/>
  <c r="Y371" i="1"/>
  <c r="Z371" i="1"/>
  <c r="W372" i="1"/>
  <c r="Z372" i="1" s="1"/>
  <c r="X372" i="1"/>
  <c r="Y372" i="1"/>
  <c r="W373" i="1"/>
  <c r="X373" i="1"/>
  <c r="Y373" i="1"/>
  <c r="Z373" i="1"/>
  <c r="W374" i="1"/>
  <c r="X374" i="1"/>
  <c r="Y374" i="1"/>
  <c r="Z374" i="1"/>
  <c r="W375" i="1"/>
  <c r="Z375" i="1" s="1"/>
  <c r="X375" i="1"/>
  <c r="Y375" i="1"/>
  <c r="W376" i="1"/>
  <c r="X376" i="1"/>
  <c r="Y376" i="1"/>
  <c r="Z376" i="1"/>
  <c r="W377" i="1"/>
  <c r="X377" i="1"/>
  <c r="Y377" i="1"/>
  <c r="Z377" i="1"/>
  <c r="W378" i="1"/>
  <c r="Z378" i="1" s="1"/>
  <c r="X378" i="1"/>
  <c r="Y378" i="1"/>
  <c r="W379" i="1"/>
  <c r="X379" i="1"/>
  <c r="Y379" i="1"/>
  <c r="Z379" i="1"/>
  <c r="W380" i="1"/>
  <c r="X380" i="1"/>
  <c r="Y380" i="1"/>
  <c r="Z380" i="1"/>
  <c r="W381" i="1"/>
  <c r="Z381" i="1" s="1"/>
  <c r="X381" i="1"/>
  <c r="Y381" i="1"/>
  <c r="W382" i="1"/>
  <c r="X382" i="1"/>
  <c r="Y382" i="1"/>
  <c r="Z382" i="1"/>
  <c r="W383" i="1"/>
  <c r="X383" i="1"/>
  <c r="Y383" i="1"/>
  <c r="Z383" i="1"/>
  <c r="W384" i="1"/>
  <c r="Z384" i="1" s="1"/>
  <c r="X384" i="1"/>
  <c r="Y384" i="1"/>
  <c r="W385" i="1"/>
  <c r="X385" i="1"/>
  <c r="Y385" i="1"/>
  <c r="Z385" i="1"/>
  <c r="W386" i="1"/>
  <c r="X386" i="1"/>
  <c r="Y386" i="1"/>
  <c r="Z386" i="1"/>
  <c r="W387" i="1"/>
  <c r="Z387" i="1" s="1"/>
  <c r="X387" i="1"/>
  <c r="Y387" i="1"/>
  <c r="W388" i="1"/>
  <c r="X388" i="1"/>
  <c r="Y388" i="1"/>
  <c r="Z388" i="1"/>
  <c r="W389" i="1"/>
  <c r="X389" i="1"/>
  <c r="Y389" i="1"/>
  <c r="Z389" i="1"/>
  <c r="W390" i="1"/>
  <c r="Z390" i="1" s="1"/>
  <c r="X390" i="1"/>
  <c r="Y390" i="1"/>
  <c r="W391" i="1"/>
  <c r="X391" i="1"/>
  <c r="Y391" i="1"/>
  <c r="Z391" i="1"/>
  <c r="W392" i="1"/>
  <c r="X392" i="1"/>
  <c r="Y392" i="1"/>
  <c r="Z392" i="1"/>
  <c r="W393" i="1"/>
  <c r="Z393" i="1" s="1"/>
  <c r="X393" i="1"/>
  <c r="Y393" i="1"/>
  <c r="W394" i="1"/>
  <c r="X394" i="1"/>
  <c r="Y394" i="1"/>
  <c r="Z394" i="1"/>
  <c r="W395" i="1"/>
  <c r="Z395" i="1" s="1"/>
  <c r="X395" i="1"/>
  <c r="Y395" i="1"/>
  <c r="W396" i="1"/>
  <c r="Z396" i="1" s="1"/>
  <c r="X396" i="1"/>
  <c r="Y396" i="1"/>
  <c r="W397" i="1"/>
  <c r="X397" i="1"/>
  <c r="Y397" i="1"/>
  <c r="Z397" i="1"/>
  <c r="W398" i="1"/>
  <c r="Z398" i="1" s="1"/>
  <c r="X398" i="1"/>
  <c r="Y398" i="1"/>
  <c r="W399" i="1"/>
  <c r="Z399" i="1" s="1"/>
  <c r="X399" i="1"/>
  <c r="Y399" i="1"/>
  <c r="W400" i="1"/>
  <c r="X400" i="1"/>
  <c r="Y400" i="1"/>
  <c r="Z400" i="1"/>
  <c r="W401" i="1"/>
  <c r="X401" i="1"/>
  <c r="Y401" i="1"/>
  <c r="Z401" i="1"/>
  <c r="W402" i="1"/>
  <c r="Z402" i="1" s="1"/>
  <c r="X402" i="1"/>
  <c r="Y402" i="1"/>
  <c r="W403" i="1"/>
  <c r="X403" i="1"/>
  <c r="Y403" i="1"/>
  <c r="Z403" i="1"/>
  <c r="W404" i="1"/>
  <c r="X404" i="1"/>
  <c r="Y404" i="1"/>
  <c r="Z404" i="1"/>
  <c r="W405" i="1"/>
  <c r="Z405" i="1" s="1"/>
  <c r="X405" i="1"/>
  <c r="Y405" i="1"/>
  <c r="W406" i="1"/>
  <c r="X406" i="1"/>
  <c r="Y406" i="1"/>
  <c r="Z406" i="1"/>
  <c r="W407" i="1"/>
  <c r="X407" i="1"/>
  <c r="Y407" i="1"/>
  <c r="Z407" i="1"/>
  <c r="W408" i="1"/>
  <c r="Z408" i="1" s="1"/>
  <c r="X408" i="1"/>
  <c r="Y408" i="1"/>
  <c r="W409" i="1"/>
  <c r="X409" i="1"/>
  <c r="Y409" i="1"/>
  <c r="Z409" i="1"/>
  <c r="W410" i="1"/>
  <c r="X410" i="1"/>
  <c r="Y410" i="1"/>
  <c r="Z410" i="1"/>
  <c r="W411" i="1"/>
  <c r="Z411" i="1" s="1"/>
  <c r="X411" i="1"/>
  <c r="Y411" i="1"/>
  <c r="W412" i="1"/>
  <c r="X412" i="1"/>
  <c r="Y412" i="1"/>
  <c r="Z412" i="1"/>
  <c r="W413" i="1"/>
  <c r="X413" i="1"/>
  <c r="Y413" i="1"/>
  <c r="Z413" i="1"/>
  <c r="W414" i="1"/>
  <c r="Z414" i="1" s="1"/>
  <c r="X414" i="1"/>
  <c r="Y414" i="1"/>
  <c r="W415" i="1"/>
  <c r="X415" i="1"/>
  <c r="Y415" i="1"/>
  <c r="Z415" i="1"/>
  <c r="W416" i="1"/>
  <c r="X416" i="1"/>
  <c r="Y416" i="1"/>
  <c r="Z416" i="1"/>
  <c r="W417" i="1"/>
  <c r="Z417" i="1" s="1"/>
  <c r="X417" i="1"/>
  <c r="Y417" i="1"/>
  <c r="W418" i="1"/>
  <c r="X418" i="1"/>
  <c r="Y418" i="1"/>
  <c r="Z418" i="1"/>
  <c r="W419" i="1"/>
  <c r="X419" i="1"/>
  <c r="Y419" i="1"/>
  <c r="Z419" i="1"/>
  <c r="W420" i="1"/>
  <c r="Z420" i="1" s="1"/>
  <c r="X420" i="1"/>
  <c r="Y420" i="1"/>
  <c r="W421" i="1"/>
  <c r="X421" i="1"/>
  <c r="Y421" i="1"/>
  <c r="Z421" i="1"/>
  <c r="W422" i="1"/>
  <c r="X422" i="1"/>
  <c r="Y422" i="1"/>
  <c r="Z422" i="1"/>
  <c r="W423" i="1"/>
  <c r="Z423" i="1" s="1"/>
  <c r="X423" i="1"/>
  <c r="Y423" i="1"/>
  <c r="W424" i="1"/>
  <c r="X424" i="1"/>
  <c r="Y424" i="1"/>
  <c r="Z424" i="1"/>
  <c r="W425" i="1"/>
  <c r="X425" i="1"/>
  <c r="Y425" i="1"/>
  <c r="Z425" i="1"/>
  <c r="W426" i="1"/>
  <c r="Z426" i="1" s="1"/>
  <c r="X426" i="1"/>
  <c r="Y426" i="1"/>
  <c r="W427" i="1"/>
  <c r="X427" i="1"/>
  <c r="Y427" i="1"/>
  <c r="Z427" i="1"/>
  <c r="W428" i="1"/>
  <c r="X428" i="1"/>
  <c r="Y428" i="1"/>
  <c r="Z428" i="1"/>
  <c r="W429" i="1"/>
  <c r="Z429" i="1" s="1"/>
  <c r="X429" i="1"/>
  <c r="Y429" i="1"/>
  <c r="W430" i="1"/>
  <c r="X430" i="1"/>
  <c r="Y430" i="1"/>
  <c r="Z430" i="1"/>
  <c r="W431" i="1"/>
  <c r="X431" i="1"/>
  <c r="Y431" i="1"/>
  <c r="Z431" i="1"/>
  <c r="W432" i="1"/>
  <c r="Z432" i="1" s="1"/>
  <c r="X432" i="1"/>
  <c r="Y432" i="1"/>
  <c r="W433" i="1"/>
  <c r="X433" i="1"/>
  <c r="Y433" i="1"/>
  <c r="Z433" i="1"/>
  <c r="W434" i="1"/>
  <c r="X434" i="1"/>
  <c r="Y434" i="1"/>
  <c r="Z434" i="1"/>
  <c r="W435" i="1"/>
  <c r="Z435" i="1" s="1"/>
  <c r="X435" i="1"/>
  <c r="Y435" i="1"/>
  <c r="W436" i="1"/>
  <c r="X436" i="1"/>
  <c r="Y436" i="1"/>
  <c r="Z436" i="1"/>
  <c r="W437" i="1"/>
  <c r="X437" i="1"/>
  <c r="Y437" i="1"/>
  <c r="Z437" i="1"/>
  <c r="W438" i="1"/>
  <c r="Z438" i="1" s="1"/>
  <c r="X438" i="1"/>
  <c r="Y438" i="1"/>
  <c r="W439" i="1"/>
  <c r="X439" i="1"/>
  <c r="Y439" i="1"/>
  <c r="Z439" i="1"/>
  <c r="W440" i="1"/>
  <c r="X440" i="1"/>
  <c r="Y440" i="1"/>
  <c r="Z440" i="1"/>
  <c r="W441" i="1"/>
  <c r="Z441" i="1" s="1"/>
  <c r="X441" i="1"/>
  <c r="Y441" i="1"/>
  <c r="W442" i="1"/>
  <c r="X442" i="1"/>
  <c r="Y442" i="1"/>
  <c r="Z442" i="1"/>
  <c r="W443" i="1"/>
  <c r="X443" i="1"/>
  <c r="Y443" i="1"/>
  <c r="Z443" i="1"/>
  <c r="W444" i="1"/>
  <c r="Z444" i="1" s="1"/>
  <c r="X444" i="1"/>
  <c r="Y444" i="1"/>
  <c r="W445" i="1"/>
  <c r="X445" i="1"/>
  <c r="Y445" i="1"/>
  <c r="Z445" i="1"/>
  <c r="W446" i="1"/>
  <c r="X446" i="1"/>
  <c r="Y446" i="1"/>
  <c r="Z446" i="1"/>
  <c r="W447" i="1"/>
  <c r="Z447" i="1" s="1"/>
  <c r="X447" i="1"/>
  <c r="Y447" i="1"/>
  <c r="W448" i="1"/>
  <c r="X448" i="1"/>
  <c r="Y448" i="1"/>
  <c r="Z448" i="1"/>
  <c r="W449" i="1"/>
  <c r="X449" i="1"/>
  <c r="Y449" i="1"/>
  <c r="Z449" i="1"/>
  <c r="W450" i="1"/>
  <c r="Z450" i="1" s="1"/>
  <c r="X450" i="1"/>
  <c r="Y450" i="1"/>
  <c r="W451" i="1"/>
  <c r="X451" i="1"/>
  <c r="Y451" i="1"/>
  <c r="Z451" i="1"/>
  <c r="W452" i="1"/>
  <c r="X452" i="1"/>
  <c r="Y452" i="1"/>
  <c r="Z452" i="1"/>
  <c r="W453" i="1"/>
  <c r="Z453" i="1" s="1"/>
  <c r="X453" i="1"/>
  <c r="Y453" i="1"/>
  <c r="W454" i="1"/>
  <c r="X454" i="1"/>
  <c r="Y454" i="1"/>
  <c r="Z454" i="1"/>
  <c r="W455" i="1"/>
  <c r="X455" i="1"/>
  <c r="Y455" i="1"/>
  <c r="Z455" i="1"/>
  <c r="W456" i="1"/>
  <c r="Z456" i="1" s="1"/>
  <c r="X456" i="1"/>
  <c r="Y456" i="1"/>
  <c r="W457" i="1"/>
  <c r="X457" i="1"/>
  <c r="Y457" i="1"/>
  <c r="Z457" i="1"/>
  <c r="W458" i="1"/>
  <c r="X458" i="1"/>
  <c r="Y458" i="1"/>
  <c r="Z458" i="1"/>
  <c r="W459" i="1"/>
  <c r="Z459" i="1" s="1"/>
  <c r="X459" i="1"/>
  <c r="Y459" i="1"/>
  <c r="W460" i="1"/>
  <c r="X460" i="1"/>
  <c r="Y460" i="1"/>
  <c r="Z460" i="1"/>
  <c r="W461" i="1"/>
  <c r="X461" i="1"/>
  <c r="Y461" i="1"/>
  <c r="Z461" i="1"/>
  <c r="W462" i="1"/>
  <c r="Z462" i="1" s="1"/>
  <c r="X462" i="1"/>
  <c r="Y462" i="1"/>
  <c r="W463" i="1"/>
  <c r="X463" i="1"/>
  <c r="Y463" i="1"/>
  <c r="Z463" i="1"/>
  <c r="W464" i="1"/>
  <c r="X464" i="1"/>
  <c r="Y464" i="1"/>
  <c r="Z464" i="1"/>
  <c r="W465" i="1"/>
  <c r="Z465" i="1" s="1"/>
  <c r="X465" i="1"/>
  <c r="Y465" i="1"/>
  <c r="W466" i="1"/>
  <c r="X466" i="1"/>
  <c r="Y466" i="1"/>
  <c r="Z466" i="1"/>
  <c r="W467" i="1"/>
  <c r="X467" i="1"/>
  <c r="Y467" i="1"/>
  <c r="Z467" i="1"/>
  <c r="W468" i="1"/>
  <c r="Z468" i="1" s="1"/>
  <c r="X468" i="1"/>
  <c r="Y468" i="1"/>
  <c r="W469" i="1"/>
  <c r="X469" i="1"/>
  <c r="Y469" i="1"/>
  <c r="Z469" i="1"/>
  <c r="W470" i="1"/>
  <c r="X470" i="1"/>
  <c r="Y470" i="1"/>
  <c r="Z470" i="1"/>
  <c r="W471" i="1"/>
  <c r="Z471" i="1" s="1"/>
  <c r="X471" i="1"/>
  <c r="Y471" i="1"/>
  <c r="W472" i="1"/>
  <c r="X472" i="1"/>
  <c r="Y472" i="1"/>
  <c r="Z472" i="1"/>
  <c r="W473" i="1"/>
  <c r="X473" i="1"/>
  <c r="Y473" i="1"/>
  <c r="Z473" i="1"/>
  <c r="W474" i="1"/>
  <c r="Z474" i="1" s="1"/>
  <c r="X474" i="1"/>
  <c r="Y474" i="1"/>
  <c r="W475" i="1"/>
  <c r="X475" i="1"/>
  <c r="Y475" i="1"/>
  <c r="Z475" i="1"/>
  <c r="W476" i="1"/>
  <c r="X476" i="1"/>
  <c r="Y476" i="1"/>
  <c r="Z476" i="1"/>
  <c r="W477" i="1"/>
  <c r="Z477" i="1" s="1"/>
  <c r="X477" i="1"/>
  <c r="Y477" i="1"/>
  <c r="W478" i="1"/>
  <c r="X478" i="1"/>
  <c r="Y478" i="1"/>
  <c r="Z478" i="1"/>
  <c r="W479" i="1"/>
  <c r="X479" i="1"/>
  <c r="Y479" i="1"/>
  <c r="Z479" i="1"/>
  <c r="W480" i="1"/>
  <c r="Z480" i="1" s="1"/>
  <c r="X480" i="1"/>
  <c r="Y480" i="1"/>
  <c r="W481" i="1"/>
  <c r="X481" i="1"/>
  <c r="Y481" i="1"/>
  <c r="Z481" i="1"/>
  <c r="W482" i="1"/>
  <c r="X482" i="1"/>
  <c r="Y482" i="1"/>
  <c r="Z482" i="1"/>
  <c r="W483" i="1"/>
  <c r="Z483" i="1" s="1"/>
  <c r="X483" i="1"/>
  <c r="Y483" i="1"/>
  <c r="W484" i="1"/>
  <c r="X484" i="1"/>
  <c r="Y484" i="1"/>
  <c r="Z484" i="1"/>
  <c r="W485" i="1"/>
  <c r="X485" i="1"/>
  <c r="Y485" i="1"/>
  <c r="Z485" i="1"/>
  <c r="W486" i="1"/>
  <c r="Z486" i="1" s="1"/>
  <c r="X486" i="1"/>
  <c r="Y486" i="1"/>
  <c r="W487" i="1"/>
  <c r="X487" i="1"/>
  <c r="Y487" i="1"/>
  <c r="Z487" i="1"/>
  <c r="W488" i="1"/>
  <c r="X488" i="1"/>
  <c r="Y488" i="1"/>
  <c r="Z488" i="1"/>
  <c r="W489" i="1"/>
  <c r="Z489" i="1" s="1"/>
  <c r="X489" i="1"/>
  <c r="Y489" i="1"/>
  <c r="W490" i="1"/>
  <c r="X490" i="1"/>
  <c r="Y490" i="1"/>
  <c r="Z490" i="1"/>
  <c r="W491" i="1"/>
  <c r="X491" i="1"/>
  <c r="Y491" i="1"/>
  <c r="Z491" i="1"/>
  <c r="W492" i="1"/>
  <c r="Z492" i="1" s="1"/>
  <c r="X492" i="1"/>
  <c r="Y492" i="1"/>
  <c r="W493" i="1"/>
  <c r="X493" i="1"/>
  <c r="Y493" i="1"/>
  <c r="Z493" i="1"/>
  <c r="W494" i="1"/>
  <c r="X494" i="1"/>
  <c r="Y494" i="1"/>
  <c r="Z494" i="1"/>
  <c r="W495" i="1"/>
  <c r="Z495" i="1" s="1"/>
  <c r="X495" i="1"/>
  <c r="Y495" i="1"/>
  <c r="W496" i="1"/>
  <c r="X496" i="1"/>
  <c r="Y496" i="1"/>
  <c r="Z496" i="1"/>
  <c r="W497" i="1"/>
  <c r="X497" i="1"/>
  <c r="Y497" i="1"/>
  <c r="Z497" i="1"/>
  <c r="W498" i="1"/>
  <c r="Z498" i="1" s="1"/>
  <c r="X498" i="1"/>
  <c r="Y498" i="1"/>
  <c r="W499" i="1"/>
  <c r="X499" i="1"/>
  <c r="Y499" i="1"/>
  <c r="Z499" i="1"/>
  <c r="W500" i="1"/>
  <c r="X500" i="1"/>
  <c r="Y500" i="1"/>
  <c r="Z500" i="1"/>
  <c r="W501" i="1"/>
  <c r="Z501" i="1" s="1"/>
  <c r="X501" i="1"/>
  <c r="Y501" i="1"/>
  <c r="W502" i="1"/>
  <c r="X502" i="1"/>
  <c r="Y502" i="1"/>
  <c r="Z502" i="1"/>
  <c r="W503" i="1"/>
  <c r="X503" i="1"/>
  <c r="Y503" i="1"/>
  <c r="Z503" i="1"/>
  <c r="W504" i="1"/>
  <c r="Z504" i="1" s="1"/>
  <c r="X504" i="1"/>
  <c r="Y504" i="1"/>
  <c r="W505" i="1"/>
  <c r="X505" i="1"/>
  <c r="Y505" i="1"/>
  <c r="Z505" i="1"/>
  <c r="W506" i="1"/>
  <c r="X506" i="1"/>
  <c r="Y506" i="1"/>
  <c r="Z506" i="1"/>
  <c r="W507" i="1"/>
  <c r="Z507" i="1" s="1"/>
  <c r="X507" i="1"/>
  <c r="Y507" i="1"/>
  <c r="W508" i="1"/>
  <c r="X508" i="1"/>
  <c r="Y508" i="1"/>
  <c r="Z508" i="1"/>
  <c r="W509" i="1"/>
  <c r="X509" i="1"/>
  <c r="Y509" i="1"/>
  <c r="Z509" i="1"/>
  <c r="W510" i="1"/>
  <c r="Z510" i="1" s="1"/>
  <c r="X510" i="1"/>
  <c r="Y510" i="1"/>
  <c r="W511" i="1"/>
  <c r="X511" i="1"/>
  <c r="Y511" i="1"/>
  <c r="Z511" i="1"/>
  <c r="W512" i="1"/>
  <c r="X512" i="1"/>
  <c r="Y512" i="1"/>
  <c r="Z512" i="1"/>
  <c r="W513" i="1"/>
  <c r="Z513" i="1" s="1"/>
  <c r="X513" i="1"/>
  <c r="Y513" i="1"/>
  <c r="W514" i="1"/>
  <c r="X514" i="1"/>
  <c r="Y514" i="1"/>
  <c r="Z514" i="1"/>
  <c r="W515" i="1"/>
  <c r="X515" i="1"/>
  <c r="Y515" i="1"/>
  <c r="Z515" i="1"/>
  <c r="W516" i="1"/>
  <c r="Z516" i="1" s="1"/>
  <c r="X516" i="1"/>
  <c r="Y516" i="1"/>
  <c r="W517" i="1"/>
  <c r="X517" i="1"/>
  <c r="Y517" i="1"/>
  <c r="Z517" i="1"/>
  <c r="W518" i="1"/>
  <c r="X518" i="1"/>
  <c r="Y518" i="1"/>
  <c r="Z518" i="1"/>
  <c r="W519" i="1"/>
  <c r="Z519" i="1" s="1"/>
  <c r="X519" i="1"/>
  <c r="Y519" i="1"/>
  <c r="W520" i="1"/>
  <c r="X520" i="1"/>
  <c r="Y520" i="1"/>
  <c r="Z520" i="1"/>
  <c r="W521" i="1"/>
  <c r="X521" i="1"/>
  <c r="Y521" i="1"/>
  <c r="Z521" i="1"/>
  <c r="W522" i="1"/>
  <c r="Z522" i="1" s="1"/>
  <c r="X522" i="1"/>
  <c r="Y522" i="1"/>
  <c r="W523" i="1"/>
  <c r="X523" i="1"/>
  <c r="Y523" i="1"/>
  <c r="Z523" i="1"/>
  <c r="W524" i="1"/>
  <c r="X524" i="1"/>
  <c r="Y524" i="1"/>
  <c r="Z524" i="1"/>
  <c r="W525" i="1"/>
  <c r="Z525" i="1" s="1"/>
  <c r="X525" i="1"/>
  <c r="Y525" i="1"/>
  <c r="W526" i="1"/>
  <c r="X526" i="1"/>
  <c r="Y526" i="1"/>
  <c r="Z526" i="1"/>
  <c r="W527" i="1"/>
  <c r="X527" i="1"/>
  <c r="Y527" i="1"/>
  <c r="Z527" i="1"/>
  <c r="W528" i="1"/>
  <c r="Z528" i="1" s="1"/>
  <c r="X528" i="1"/>
  <c r="Y528" i="1"/>
  <c r="W529" i="1"/>
  <c r="X529" i="1"/>
  <c r="Y529" i="1"/>
  <c r="Z529" i="1"/>
  <c r="W530" i="1"/>
  <c r="X530" i="1"/>
  <c r="Y530" i="1"/>
  <c r="Z530" i="1"/>
  <c r="W531" i="1"/>
  <c r="Z531" i="1" s="1"/>
  <c r="X531" i="1"/>
  <c r="Y531" i="1"/>
  <c r="W532" i="1"/>
  <c r="X532" i="1"/>
  <c r="Y532" i="1"/>
  <c r="Z532" i="1"/>
  <c r="W533" i="1"/>
  <c r="X533" i="1"/>
  <c r="Y533" i="1"/>
  <c r="Z533" i="1"/>
  <c r="W534" i="1"/>
  <c r="Z534" i="1" s="1"/>
  <c r="X534" i="1"/>
  <c r="Y534" i="1"/>
  <c r="W535" i="1"/>
  <c r="X535" i="1"/>
  <c r="Y535" i="1"/>
  <c r="Z535" i="1"/>
  <c r="W536" i="1"/>
  <c r="X536" i="1"/>
  <c r="Y536" i="1"/>
  <c r="Z536" i="1"/>
  <c r="W537" i="1"/>
  <c r="Z537" i="1" s="1"/>
  <c r="X537" i="1"/>
  <c r="Y537" i="1"/>
  <c r="W538" i="1"/>
  <c r="X538" i="1"/>
  <c r="Y538" i="1"/>
  <c r="Z538" i="1"/>
  <c r="W539" i="1"/>
  <c r="X539" i="1"/>
  <c r="Y539" i="1"/>
  <c r="Z539" i="1"/>
  <c r="W540" i="1"/>
  <c r="Z540" i="1" s="1"/>
  <c r="X540" i="1"/>
  <c r="Y540" i="1"/>
  <c r="W541" i="1"/>
  <c r="X541" i="1"/>
  <c r="Y541" i="1"/>
  <c r="Z541" i="1"/>
  <c r="W542" i="1"/>
  <c r="X542" i="1"/>
  <c r="Y542" i="1"/>
  <c r="Z542" i="1"/>
  <c r="W543" i="1"/>
  <c r="Z543" i="1" s="1"/>
  <c r="X543" i="1"/>
  <c r="Y543" i="1"/>
  <c r="W544" i="1"/>
  <c r="X544" i="1"/>
  <c r="Y544" i="1"/>
  <c r="Z544" i="1"/>
  <c r="W545" i="1"/>
  <c r="X545" i="1"/>
  <c r="Y545" i="1"/>
  <c r="Z545" i="1"/>
  <c r="W546" i="1"/>
  <c r="Z546" i="1" s="1"/>
  <c r="X546" i="1"/>
  <c r="Y546" i="1"/>
  <c r="W547" i="1"/>
  <c r="X547" i="1"/>
  <c r="Y547" i="1"/>
  <c r="Z547" i="1"/>
  <c r="W548" i="1"/>
  <c r="X548" i="1"/>
  <c r="Y548" i="1"/>
  <c r="Z548" i="1"/>
  <c r="W549" i="1"/>
  <c r="Z549" i="1" s="1"/>
  <c r="X549" i="1"/>
  <c r="Y549" i="1"/>
  <c r="W550" i="1"/>
  <c r="X550" i="1"/>
  <c r="Y550" i="1"/>
  <c r="Z550" i="1"/>
  <c r="W551" i="1"/>
  <c r="X551" i="1"/>
  <c r="Y551" i="1"/>
  <c r="Z551" i="1"/>
  <c r="W552" i="1"/>
  <c r="Z552" i="1" s="1"/>
  <c r="X552" i="1"/>
  <c r="Y552" i="1"/>
  <c r="W553" i="1"/>
  <c r="X553" i="1"/>
  <c r="Y553" i="1"/>
  <c r="Z553" i="1"/>
  <c r="W554" i="1"/>
  <c r="X554" i="1"/>
  <c r="Y554" i="1"/>
  <c r="Z554" i="1"/>
  <c r="W555" i="1"/>
  <c r="Z555" i="1" s="1"/>
  <c r="X555" i="1"/>
  <c r="Y555" i="1"/>
  <c r="W556" i="1"/>
  <c r="X556" i="1"/>
  <c r="Y556" i="1"/>
  <c r="Z556" i="1"/>
  <c r="W557" i="1"/>
  <c r="X557" i="1"/>
  <c r="Y557" i="1"/>
  <c r="Z557" i="1"/>
  <c r="W558" i="1"/>
  <c r="Z558" i="1" s="1"/>
  <c r="X558" i="1"/>
  <c r="Y558" i="1"/>
  <c r="W559" i="1"/>
  <c r="X559" i="1"/>
  <c r="Y559" i="1"/>
  <c r="Z559" i="1"/>
  <c r="W560" i="1"/>
  <c r="X560" i="1"/>
  <c r="Y560" i="1"/>
  <c r="Z560" i="1"/>
  <c r="W561" i="1"/>
  <c r="Z561" i="1" s="1"/>
  <c r="X561" i="1"/>
  <c r="Y561" i="1"/>
  <c r="W562" i="1"/>
  <c r="X562" i="1"/>
  <c r="Y562" i="1"/>
  <c r="Z562" i="1"/>
  <c r="W563" i="1"/>
  <c r="X563" i="1"/>
  <c r="Y563" i="1"/>
  <c r="Z563" i="1"/>
  <c r="W564" i="1"/>
  <c r="Z564" i="1" s="1"/>
  <c r="X564" i="1"/>
  <c r="Y564" i="1"/>
  <c r="W565" i="1"/>
  <c r="X565" i="1"/>
  <c r="Y565" i="1"/>
  <c r="Z565" i="1"/>
  <c r="W566" i="1"/>
  <c r="X566" i="1"/>
  <c r="Y566" i="1"/>
  <c r="Z566" i="1"/>
  <c r="W567" i="1"/>
  <c r="Z567" i="1" s="1"/>
  <c r="X567" i="1"/>
  <c r="Y567" i="1"/>
  <c r="W568" i="1"/>
  <c r="X568" i="1"/>
  <c r="Y568" i="1"/>
  <c r="Z568" i="1"/>
  <c r="W569" i="1"/>
  <c r="X569" i="1"/>
  <c r="Y569" i="1"/>
  <c r="Z569" i="1"/>
  <c r="W570" i="1"/>
  <c r="Z570" i="1" s="1"/>
  <c r="X570" i="1"/>
  <c r="Y570" i="1"/>
  <c r="W571" i="1"/>
  <c r="X571" i="1"/>
  <c r="Y571" i="1"/>
  <c r="Z571" i="1"/>
  <c r="W572" i="1"/>
  <c r="X572" i="1"/>
  <c r="Y572" i="1"/>
  <c r="Z572" i="1"/>
  <c r="W573" i="1"/>
  <c r="Z573" i="1" s="1"/>
  <c r="X573" i="1"/>
  <c r="Y573" i="1"/>
  <c r="W574" i="1"/>
  <c r="X574" i="1"/>
  <c r="Y574" i="1"/>
  <c r="Z574" i="1"/>
  <c r="W575" i="1"/>
  <c r="X575" i="1"/>
  <c r="Y575" i="1"/>
  <c r="Z575" i="1"/>
  <c r="W576" i="1"/>
  <c r="Z576" i="1" s="1"/>
  <c r="X576" i="1"/>
  <c r="Y576" i="1"/>
  <c r="W577" i="1"/>
  <c r="X577" i="1"/>
  <c r="Y577" i="1"/>
  <c r="Z577" i="1"/>
  <c r="W578" i="1"/>
  <c r="X578" i="1"/>
  <c r="Y578" i="1"/>
  <c r="Z578" i="1"/>
  <c r="W579" i="1"/>
  <c r="Z579" i="1" s="1"/>
  <c r="X579" i="1"/>
  <c r="Y579" i="1"/>
  <c r="W580" i="1"/>
  <c r="X580" i="1"/>
  <c r="Y580" i="1"/>
  <c r="Z580" i="1"/>
  <c r="W581" i="1"/>
  <c r="X581" i="1"/>
  <c r="Y581" i="1"/>
  <c r="Z581" i="1"/>
  <c r="W582" i="1"/>
  <c r="Z582" i="1" s="1"/>
  <c r="X582" i="1"/>
  <c r="Y582" i="1"/>
  <c r="W583" i="1"/>
  <c r="X583" i="1"/>
  <c r="Y583" i="1"/>
  <c r="Z583" i="1"/>
  <c r="W584" i="1"/>
  <c r="X584" i="1"/>
  <c r="Y584" i="1"/>
  <c r="Z584" i="1"/>
  <c r="W585" i="1"/>
  <c r="Z585" i="1" s="1"/>
  <c r="X585" i="1"/>
  <c r="Y585" i="1"/>
  <c r="W586" i="1"/>
  <c r="X586" i="1"/>
  <c r="Y586" i="1"/>
  <c r="Z586" i="1"/>
  <c r="W587" i="1"/>
  <c r="X587" i="1"/>
  <c r="Y587" i="1"/>
  <c r="Z587" i="1"/>
  <c r="W588" i="1"/>
  <c r="Z588" i="1" s="1"/>
  <c r="X588" i="1"/>
  <c r="Y588" i="1"/>
  <c r="W589" i="1"/>
  <c r="X589" i="1"/>
  <c r="Y589" i="1"/>
  <c r="Z589" i="1"/>
  <c r="W590" i="1"/>
  <c r="X590" i="1"/>
  <c r="Y590" i="1"/>
  <c r="Z590" i="1"/>
  <c r="W591" i="1"/>
  <c r="Z591" i="1" s="1"/>
  <c r="X591" i="1"/>
  <c r="Y591" i="1"/>
  <c r="W592" i="1"/>
  <c r="X592" i="1"/>
  <c r="Y592" i="1"/>
  <c r="Z592" i="1"/>
  <c r="W593" i="1"/>
  <c r="X593" i="1"/>
  <c r="Y593" i="1"/>
  <c r="Z593" i="1"/>
  <c r="W594" i="1"/>
  <c r="Z594" i="1" s="1"/>
  <c r="X594" i="1"/>
  <c r="Y594" i="1"/>
  <c r="W595" i="1"/>
  <c r="X595" i="1"/>
  <c r="Y595" i="1"/>
  <c r="Z595" i="1"/>
  <c r="W596" i="1"/>
  <c r="X596" i="1"/>
  <c r="Y596" i="1"/>
  <c r="Z596" i="1"/>
  <c r="W597" i="1"/>
  <c r="Z597" i="1" s="1"/>
  <c r="X597" i="1"/>
  <c r="Y597" i="1"/>
  <c r="W598" i="1"/>
  <c r="X598" i="1"/>
  <c r="Y598" i="1"/>
  <c r="Z598" i="1"/>
  <c r="W599" i="1"/>
  <c r="X599" i="1"/>
  <c r="Y599" i="1"/>
  <c r="Z599" i="1"/>
  <c r="W600" i="1"/>
  <c r="Z600" i="1" s="1"/>
  <c r="X600" i="1"/>
  <c r="Y600" i="1"/>
  <c r="W601" i="1"/>
  <c r="X601" i="1"/>
  <c r="Y601" i="1"/>
  <c r="Z601" i="1"/>
  <c r="W602" i="1"/>
  <c r="X602" i="1"/>
  <c r="Y602" i="1"/>
  <c r="Z602" i="1"/>
  <c r="W603" i="1"/>
  <c r="Z603" i="1" s="1"/>
  <c r="X603" i="1"/>
  <c r="Y603" i="1"/>
  <c r="W604" i="1"/>
  <c r="X604" i="1"/>
  <c r="Y604" i="1"/>
  <c r="Z604" i="1"/>
  <c r="W605" i="1"/>
  <c r="X605" i="1"/>
  <c r="Y605" i="1"/>
  <c r="Z605" i="1"/>
  <c r="W606" i="1"/>
  <c r="Z606" i="1" s="1"/>
  <c r="X606" i="1"/>
  <c r="Y606" i="1"/>
  <c r="W607" i="1"/>
  <c r="X607" i="1"/>
  <c r="Y607" i="1"/>
  <c r="Z607" i="1"/>
  <c r="W608" i="1"/>
  <c r="X608" i="1"/>
  <c r="Y608" i="1"/>
  <c r="Z608" i="1"/>
  <c r="W609" i="1"/>
  <c r="Z609" i="1" s="1"/>
  <c r="X609" i="1"/>
  <c r="Y609" i="1"/>
  <c r="W610" i="1"/>
  <c r="X610" i="1"/>
  <c r="Y610" i="1"/>
  <c r="Z610" i="1"/>
  <c r="W611" i="1"/>
  <c r="X611" i="1"/>
  <c r="Y611" i="1"/>
  <c r="Z611" i="1"/>
  <c r="W612" i="1"/>
  <c r="Z612" i="1" s="1"/>
  <c r="X612" i="1"/>
  <c r="Y612" i="1"/>
  <c r="W613" i="1"/>
  <c r="X613" i="1"/>
  <c r="Y613" i="1"/>
  <c r="Z613" i="1"/>
  <c r="W614" i="1"/>
  <c r="X614" i="1"/>
  <c r="Y614" i="1"/>
  <c r="Z614" i="1"/>
  <c r="W615" i="1"/>
  <c r="Z615" i="1" s="1"/>
  <c r="X615" i="1"/>
  <c r="Y615" i="1"/>
  <c r="W616" i="1"/>
  <c r="X616" i="1"/>
  <c r="Y616" i="1"/>
  <c r="Z616" i="1"/>
  <c r="W617" i="1"/>
  <c r="X617" i="1"/>
  <c r="Y617" i="1"/>
  <c r="Z617" i="1"/>
  <c r="W618" i="1"/>
  <c r="Z618" i="1" s="1"/>
  <c r="X618" i="1"/>
  <c r="Y618" i="1"/>
  <c r="W619" i="1"/>
  <c r="X619" i="1"/>
  <c r="Y619" i="1"/>
  <c r="Z619" i="1"/>
  <c r="W620" i="1"/>
  <c r="X620" i="1"/>
  <c r="Y620" i="1"/>
  <c r="Z620" i="1"/>
  <c r="W621" i="1"/>
  <c r="Z621" i="1" s="1"/>
  <c r="X621" i="1"/>
  <c r="Y621" i="1"/>
  <c r="W622" i="1"/>
  <c r="X622" i="1"/>
  <c r="Y622" i="1"/>
  <c r="Z622" i="1"/>
  <c r="W623" i="1"/>
  <c r="X623" i="1"/>
  <c r="Y623" i="1"/>
  <c r="Z623" i="1"/>
  <c r="W624" i="1"/>
  <c r="Z624" i="1" s="1"/>
  <c r="X624" i="1"/>
  <c r="Y624" i="1"/>
  <c r="W625" i="1"/>
  <c r="X625" i="1"/>
  <c r="Y625" i="1"/>
  <c r="Z625" i="1"/>
  <c r="W626" i="1"/>
  <c r="X626" i="1"/>
  <c r="Y626" i="1"/>
  <c r="Z626" i="1"/>
  <c r="W627" i="1"/>
  <c r="Z627" i="1" s="1"/>
  <c r="X627" i="1"/>
  <c r="Y627" i="1"/>
  <c r="W628" i="1"/>
  <c r="X628" i="1"/>
  <c r="Y628" i="1"/>
  <c r="Z628" i="1"/>
  <c r="W629" i="1"/>
  <c r="X629" i="1"/>
  <c r="Y629" i="1"/>
  <c r="Z629" i="1"/>
  <c r="W630" i="1"/>
  <c r="Z630" i="1" s="1"/>
  <c r="X630" i="1"/>
  <c r="Y630" i="1"/>
  <c r="W631" i="1"/>
  <c r="X631" i="1"/>
  <c r="Y631" i="1"/>
  <c r="Z631" i="1"/>
  <c r="W632" i="1"/>
  <c r="X632" i="1"/>
  <c r="Y632" i="1"/>
  <c r="Z632" i="1"/>
  <c r="W633" i="1"/>
  <c r="Z633" i="1" s="1"/>
  <c r="X633" i="1"/>
  <c r="Y633" i="1"/>
  <c r="W634" i="1"/>
  <c r="X634" i="1"/>
  <c r="Y634" i="1"/>
  <c r="Z634" i="1"/>
  <c r="W635" i="1"/>
  <c r="X635" i="1"/>
  <c r="Y635" i="1"/>
  <c r="Z635" i="1"/>
  <c r="W636" i="1"/>
  <c r="Z636" i="1" s="1"/>
  <c r="X636" i="1"/>
  <c r="Y636" i="1"/>
  <c r="W637" i="1"/>
  <c r="X637" i="1"/>
  <c r="Y637" i="1"/>
  <c r="Z637" i="1"/>
  <c r="W638" i="1"/>
  <c r="Z638" i="1" s="1"/>
  <c r="X638" i="1"/>
  <c r="Y638" i="1"/>
  <c r="W639" i="1"/>
  <c r="Z639" i="1" s="1"/>
  <c r="X639" i="1"/>
  <c r="Y639" i="1"/>
  <c r="W640" i="1"/>
  <c r="X640" i="1"/>
  <c r="Y640" i="1"/>
  <c r="Z640" i="1"/>
  <c r="W641" i="1"/>
  <c r="Z641" i="1" s="1"/>
  <c r="X641" i="1"/>
  <c r="Y641" i="1"/>
  <c r="W642" i="1"/>
  <c r="Z642" i="1" s="1"/>
  <c r="X642" i="1"/>
  <c r="Y642" i="1"/>
  <c r="W643" i="1"/>
  <c r="X643" i="1"/>
  <c r="Y643" i="1"/>
  <c r="Z643" i="1"/>
  <c r="W644" i="1"/>
  <c r="Z644" i="1" s="1"/>
  <c r="X644" i="1"/>
  <c r="Y644" i="1"/>
  <c r="W645" i="1"/>
  <c r="Z645" i="1" s="1"/>
  <c r="X645" i="1"/>
  <c r="Y645" i="1"/>
  <c r="W646" i="1"/>
  <c r="X646" i="1"/>
  <c r="Y646" i="1"/>
  <c r="Z646" i="1"/>
  <c r="W647" i="1"/>
  <c r="X647" i="1"/>
  <c r="Y647" i="1"/>
  <c r="Z647" i="1"/>
  <c r="W648" i="1"/>
  <c r="Z648" i="1" s="1"/>
  <c r="X648" i="1"/>
  <c r="Y648" i="1"/>
  <c r="W649" i="1"/>
  <c r="X649" i="1"/>
  <c r="Y649" i="1"/>
  <c r="Z649" i="1"/>
  <c r="W650" i="1"/>
  <c r="X650" i="1"/>
  <c r="Y650" i="1"/>
  <c r="Z650" i="1"/>
  <c r="W651" i="1"/>
  <c r="Z651" i="1" s="1"/>
  <c r="X651" i="1"/>
  <c r="Y651" i="1"/>
  <c r="W652" i="1"/>
  <c r="X652" i="1"/>
  <c r="Y652" i="1"/>
  <c r="Z652" i="1"/>
  <c r="W653" i="1"/>
  <c r="X653" i="1"/>
  <c r="Y653" i="1"/>
  <c r="Z653" i="1"/>
  <c r="W654" i="1"/>
  <c r="Z654" i="1" s="1"/>
  <c r="X654" i="1"/>
  <c r="Y654" i="1"/>
  <c r="W655" i="1"/>
  <c r="X655" i="1"/>
  <c r="Y655" i="1"/>
  <c r="Z655" i="1"/>
  <c r="W656" i="1"/>
  <c r="Z656" i="1" s="1"/>
  <c r="X656" i="1"/>
  <c r="Y656" i="1"/>
  <c r="W657" i="1"/>
  <c r="Z657" i="1" s="1"/>
  <c r="X657" i="1"/>
  <c r="Y657" i="1"/>
  <c r="W658" i="1"/>
  <c r="X658" i="1"/>
  <c r="Y658" i="1"/>
  <c r="Z658" i="1"/>
  <c r="W659" i="1"/>
  <c r="X659" i="1"/>
  <c r="Y659" i="1"/>
  <c r="Z659" i="1"/>
  <c r="W660" i="1"/>
  <c r="X660" i="1"/>
  <c r="Y660" i="1"/>
  <c r="Z660" i="1"/>
  <c r="W661" i="1"/>
  <c r="X661" i="1"/>
  <c r="Y661" i="1"/>
  <c r="Z661" i="1"/>
  <c r="W662" i="1"/>
  <c r="X662" i="1"/>
  <c r="Y662" i="1"/>
  <c r="Z662" i="1"/>
  <c r="W663" i="1"/>
  <c r="X663" i="1"/>
  <c r="Y663" i="1"/>
  <c r="Z663" i="1"/>
  <c r="W664" i="1"/>
  <c r="X664" i="1"/>
  <c r="Y664" i="1"/>
  <c r="Z664" i="1"/>
  <c r="W665" i="1"/>
  <c r="X665" i="1"/>
  <c r="Y665" i="1"/>
  <c r="Z665" i="1"/>
  <c r="W666" i="1"/>
  <c r="X666" i="1"/>
  <c r="Y666" i="1"/>
  <c r="Z666" i="1"/>
  <c r="W667" i="1"/>
  <c r="X667" i="1"/>
  <c r="Y667" i="1"/>
  <c r="Z667" i="1"/>
  <c r="W668" i="1"/>
  <c r="X668" i="1"/>
  <c r="Y668" i="1"/>
  <c r="Z668" i="1"/>
  <c r="W669" i="1"/>
  <c r="X669" i="1"/>
  <c r="Y669" i="1"/>
  <c r="Z669" i="1"/>
  <c r="W670" i="1"/>
  <c r="X670" i="1"/>
  <c r="Y670" i="1"/>
  <c r="Z670" i="1"/>
  <c r="W671" i="1"/>
  <c r="X671" i="1"/>
  <c r="Y671" i="1"/>
  <c r="Z671" i="1"/>
  <c r="W672" i="1"/>
  <c r="X672" i="1"/>
  <c r="Y672" i="1"/>
  <c r="Z672" i="1"/>
  <c r="W673" i="1"/>
  <c r="X673" i="1"/>
  <c r="Y673" i="1"/>
  <c r="Z673" i="1"/>
  <c r="W674" i="1"/>
  <c r="X674" i="1"/>
  <c r="Y674" i="1"/>
  <c r="Z674" i="1"/>
  <c r="W675" i="1"/>
  <c r="X675" i="1"/>
  <c r="Y675" i="1"/>
  <c r="Z675" i="1"/>
  <c r="W676" i="1"/>
  <c r="X676" i="1"/>
  <c r="Y676" i="1"/>
  <c r="Z676" i="1"/>
  <c r="W677" i="1"/>
  <c r="X677" i="1"/>
  <c r="Y677" i="1"/>
  <c r="Z677" i="1"/>
  <c r="W678" i="1"/>
  <c r="X678" i="1"/>
  <c r="Y678" i="1"/>
  <c r="Z678" i="1"/>
  <c r="W679" i="1"/>
  <c r="X679" i="1"/>
  <c r="Y679" i="1"/>
  <c r="Z679" i="1"/>
  <c r="W680" i="1"/>
  <c r="X680" i="1"/>
  <c r="Y680" i="1"/>
  <c r="Z680" i="1"/>
  <c r="W681" i="1"/>
  <c r="X681" i="1"/>
  <c r="Y681" i="1"/>
  <c r="Z681" i="1"/>
  <c r="W682" i="1"/>
  <c r="X682" i="1"/>
  <c r="Y682" i="1"/>
  <c r="Z682" i="1"/>
  <c r="W683" i="1"/>
  <c r="X683" i="1"/>
  <c r="Y683" i="1"/>
  <c r="Z683" i="1"/>
  <c r="W684" i="1"/>
  <c r="X684" i="1"/>
  <c r="Y684" i="1"/>
  <c r="Z684" i="1"/>
  <c r="W685" i="1"/>
  <c r="X685" i="1"/>
  <c r="Y685" i="1"/>
  <c r="Z685" i="1"/>
  <c r="W686" i="1"/>
  <c r="X686" i="1"/>
  <c r="Y686" i="1"/>
  <c r="Z686" i="1"/>
  <c r="W687" i="1"/>
  <c r="X687" i="1"/>
  <c r="Y687" i="1"/>
  <c r="Z687" i="1"/>
  <c r="W688" i="1"/>
  <c r="X688" i="1"/>
  <c r="Y688" i="1"/>
  <c r="Z688" i="1"/>
  <c r="W689" i="1"/>
  <c r="X689" i="1"/>
  <c r="Y689" i="1"/>
  <c r="Z689" i="1"/>
  <c r="W690" i="1"/>
  <c r="X690" i="1"/>
  <c r="Y690" i="1"/>
  <c r="Z690" i="1"/>
  <c r="W691" i="1"/>
  <c r="X691" i="1"/>
  <c r="Y691" i="1"/>
  <c r="Z691" i="1"/>
  <c r="W692" i="1"/>
  <c r="X692" i="1"/>
  <c r="Y692" i="1"/>
  <c r="Z692" i="1"/>
  <c r="W693" i="1"/>
  <c r="X693" i="1"/>
  <c r="Y693" i="1"/>
  <c r="Z693" i="1"/>
  <c r="W694" i="1"/>
  <c r="X694" i="1"/>
  <c r="Y694" i="1"/>
  <c r="Z694" i="1"/>
  <c r="W695" i="1"/>
  <c r="X695" i="1"/>
  <c r="Y695" i="1"/>
  <c r="Z695" i="1"/>
  <c r="W696" i="1"/>
  <c r="X696" i="1"/>
  <c r="Y696" i="1"/>
  <c r="Z696" i="1"/>
  <c r="W697" i="1"/>
  <c r="X697" i="1"/>
  <c r="Y697" i="1"/>
  <c r="Z697" i="1"/>
  <c r="W698" i="1"/>
  <c r="X698" i="1"/>
  <c r="Y698" i="1"/>
  <c r="Z698" i="1"/>
  <c r="W699" i="1"/>
  <c r="X699" i="1"/>
  <c r="Y699" i="1"/>
  <c r="Z699" i="1"/>
  <c r="W700" i="1"/>
  <c r="X700" i="1"/>
  <c r="Y700" i="1"/>
  <c r="Z700" i="1"/>
  <c r="W701" i="1"/>
  <c r="X701" i="1"/>
  <c r="Y701" i="1"/>
  <c r="Z701" i="1"/>
  <c r="W702" i="1"/>
  <c r="X702" i="1"/>
  <c r="Y702" i="1"/>
  <c r="Z702" i="1"/>
  <c r="W703" i="1"/>
  <c r="X703" i="1"/>
  <c r="Y703" i="1"/>
  <c r="Z703" i="1"/>
  <c r="W704" i="1"/>
  <c r="X704" i="1"/>
  <c r="Y704" i="1"/>
  <c r="Z704" i="1"/>
  <c r="W705" i="1"/>
  <c r="X705" i="1"/>
  <c r="Y705" i="1"/>
  <c r="Z705" i="1"/>
  <c r="W706" i="1"/>
  <c r="X706" i="1"/>
  <c r="Y706" i="1"/>
  <c r="Z706" i="1"/>
  <c r="W707" i="1"/>
  <c r="X707" i="1"/>
  <c r="Y707" i="1"/>
  <c r="Z707" i="1"/>
  <c r="W708" i="1"/>
  <c r="X708" i="1"/>
  <c r="Y708" i="1"/>
  <c r="Z708" i="1"/>
  <c r="W709" i="1"/>
  <c r="X709" i="1"/>
  <c r="Y709" i="1"/>
  <c r="Z709" i="1"/>
  <c r="W710" i="1"/>
  <c r="X710" i="1"/>
  <c r="Y710" i="1"/>
  <c r="Z710" i="1"/>
  <c r="W711" i="1"/>
  <c r="X711" i="1"/>
  <c r="Y711" i="1"/>
  <c r="Z711" i="1"/>
  <c r="W712" i="1"/>
  <c r="X712" i="1"/>
  <c r="Y712" i="1"/>
  <c r="Z712" i="1"/>
  <c r="W713" i="1"/>
  <c r="X713" i="1"/>
  <c r="Y713" i="1"/>
  <c r="Z713" i="1"/>
  <c r="W714" i="1"/>
  <c r="X714" i="1"/>
  <c r="Y714" i="1"/>
  <c r="Z714" i="1"/>
  <c r="W715" i="1"/>
  <c r="X715" i="1"/>
  <c r="Y715" i="1"/>
  <c r="Z715" i="1"/>
  <c r="W716" i="1"/>
  <c r="X716" i="1"/>
  <c r="Y716" i="1"/>
  <c r="Z716" i="1"/>
  <c r="W717" i="1"/>
  <c r="X717" i="1"/>
  <c r="Y717" i="1"/>
  <c r="Z717" i="1"/>
  <c r="W718" i="1"/>
  <c r="X718" i="1"/>
  <c r="Y718" i="1"/>
  <c r="Z718" i="1"/>
  <c r="W719" i="1"/>
  <c r="X719" i="1"/>
  <c r="Y719" i="1"/>
  <c r="Z719" i="1"/>
  <c r="W720" i="1"/>
  <c r="X720" i="1"/>
  <c r="Y720" i="1"/>
  <c r="Z720" i="1"/>
  <c r="W721" i="1"/>
  <c r="X721" i="1"/>
  <c r="Y721" i="1"/>
  <c r="Z721" i="1"/>
  <c r="W722" i="1"/>
  <c r="X722" i="1"/>
  <c r="Y722" i="1"/>
  <c r="Z722" i="1"/>
  <c r="W723" i="1"/>
  <c r="X723" i="1"/>
  <c r="Y723" i="1"/>
  <c r="Z723" i="1"/>
  <c r="W724" i="1"/>
  <c r="X724" i="1"/>
  <c r="Y724" i="1"/>
  <c r="Z724" i="1"/>
  <c r="W725" i="1"/>
  <c r="X725" i="1"/>
  <c r="Y725" i="1"/>
  <c r="Z725" i="1"/>
  <c r="W726" i="1"/>
  <c r="X726" i="1"/>
  <c r="Y726" i="1"/>
  <c r="Z726" i="1"/>
  <c r="W727" i="1"/>
  <c r="X727" i="1"/>
  <c r="Y727" i="1"/>
  <c r="Z727" i="1"/>
  <c r="W728" i="1"/>
  <c r="X728" i="1"/>
  <c r="Y728" i="1"/>
  <c r="Z728" i="1"/>
  <c r="W729" i="1"/>
  <c r="X729" i="1"/>
  <c r="Y729" i="1"/>
  <c r="Z729" i="1"/>
  <c r="W730" i="1"/>
  <c r="X730" i="1"/>
  <c r="Y730" i="1"/>
  <c r="Z730" i="1"/>
  <c r="W731" i="1"/>
  <c r="X731" i="1"/>
  <c r="Y731" i="1"/>
  <c r="Z731" i="1"/>
  <c r="W732" i="1"/>
  <c r="X732" i="1"/>
  <c r="Y732" i="1"/>
  <c r="Z732" i="1"/>
  <c r="W733" i="1"/>
  <c r="X733" i="1"/>
  <c r="Y733" i="1"/>
  <c r="Z733" i="1"/>
  <c r="W734" i="1"/>
  <c r="X734" i="1"/>
  <c r="Y734" i="1"/>
  <c r="Z734" i="1"/>
  <c r="W735" i="1"/>
  <c r="X735" i="1"/>
  <c r="Y735" i="1"/>
  <c r="Z735" i="1"/>
  <c r="W736" i="1"/>
  <c r="X736" i="1"/>
  <c r="Y736" i="1"/>
  <c r="Z736" i="1"/>
  <c r="W737" i="1"/>
  <c r="X737" i="1"/>
  <c r="Y737" i="1"/>
  <c r="Z737" i="1"/>
  <c r="W738" i="1"/>
  <c r="X738" i="1"/>
  <c r="Y738" i="1"/>
  <c r="Z738" i="1"/>
  <c r="W739" i="1"/>
  <c r="X739" i="1"/>
  <c r="Y739" i="1"/>
  <c r="Z739" i="1"/>
  <c r="W740" i="1"/>
  <c r="X740" i="1"/>
  <c r="Y740" i="1"/>
  <c r="Z740" i="1"/>
  <c r="W741" i="1"/>
  <c r="X741" i="1"/>
  <c r="Y741" i="1"/>
  <c r="Z741" i="1"/>
  <c r="W742" i="1"/>
  <c r="X742" i="1"/>
  <c r="Y742" i="1"/>
  <c r="Z742" i="1"/>
  <c r="W743" i="1"/>
  <c r="X743" i="1"/>
  <c r="Y743" i="1"/>
  <c r="Z743" i="1"/>
  <c r="W744" i="1"/>
  <c r="X744" i="1"/>
  <c r="Y744" i="1"/>
  <c r="Z744" i="1"/>
  <c r="W745" i="1"/>
  <c r="X745" i="1"/>
  <c r="Y745" i="1"/>
  <c r="Z745" i="1"/>
  <c r="W746" i="1"/>
  <c r="X746" i="1"/>
  <c r="Y746" i="1"/>
  <c r="Z746" i="1"/>
  <c r="W747" i="1"/>
  <c r="X747" i="1"/>
  <c r="Y747" i="1"/>
  <c r="Z747" i="1"/>
  <c r="W748" i="1"/>
  <c r="X748" i="1"/>
  <c r="Y748" i="1"/>
  <c r="Z748" i="1"/>
  <c r="W749" i="1"/>
  <c r="X749" i="1"/>
  <c r="Y749" i="1"/>
  <c r="Z749" i="1"/>
  <c r="W750" i="1"/>
  <c r="X750" i="1"/>
  <c r="Y750" i="1"/>
  <c r="Z750" i="1"/>
  <c r="W751" i="1"/>
  <c r="X751" i="1"/>
  <c r="Y751" i="1"/>
  <c r="Z751" i="1"/>
  <c r="W752" i="1"/>
  <c r="X752" i="1"/>
  <c r="Y752" i="1"/>
  <c r="Z752" i="1"/>
  <c r="W753" i="1"/>
  <c r="X753" i="1"/>
  <c r="Y753" i="1"/>
  <c r="Z753" i="1"/>
  <c r="W754" i="1"/>
  <c r="X754" i="1"/>
  <c r="Y754" i="1"/>
  <c r="Z754" i="1"/>
  <c r="W755" i="1"/>
  <c r="X755" i="1"/>
  <c r="Y755" i="1"/>
  <c r="Z755" i="1"/>
  <c r="W756" i="1"/>
  <c r="X756" i="1"/>
  <c r="Y756" i="1"/>
  <c r="Z756" i="1"/>
  <c r="W757" i="1"/>
  <c r="X757" i="1"/>
  <c r="Y757" i="1"/>
  <c r="Z757" i="1"/>
  <c r="W758" i="1"/>
  <c r="X758" i="1"/>
  <c r="Y758" i="1"/>
  <c r="Z758" i="1"/>
  <c r="W759" i="1"/>
  <c r="X759" i="1"/>
  <c r="Y759" i="1"/>
  <c r="Z759" i="1"/>
  <c r="W760" i="1"/>
  <c r="X760" i="1"/>
  <c r="Y760" i="1"/>
  <c r="Z760" i="1"/>
  <c r="W761" i="1"/>
  <c r="X761" i="1"/>
  <c r="Y761" i="1"/>
  <c r="Z761" i="1"/>
  <c r="W762" i="1"/>
  <c r="X762" i="1"/>
  <c r="Y762" i="1"/>
  <c r="Z762" i="1"/>
  <c r="W763" i="1"/>
  <c r="X763" i="1"/>
  <c r="Y763" i="1"/>
  <c r="Z763" i="1"/>
  <c r="W764" i="1"/>
  <c r="X764" i="1"/>
  <c r="Y764" i="1"/>
  <c r="Z764" i="1"/>
  <c r="W765" i="1"/>
  <c r="X765" i="1"/>
  <c r="Y765" i="1"/>
  <c r="Z765" i="1"/>
  <c r="W766" i="1"/>
  <c r="X766" i="1"/>
  <c r="Y766" i="1"/>
  <c r="Z766" i="1"/>
  <c r="W767" i="1"/>
  <c r="X767" i="1"/>
  <c r="Y767" i="1"/>
  <c r="Z767" i="1"/>
  <c r="W768" i="1"/>
  <c r="X768" i="1"/>
  <c r="Y768" i="1"/>
  <c r="Z768" i="1"/>
  <c r="W769" i="1"/>
  <c r="X769" i="1"/>
  <c r="Y769" i="1"/>
  <c r="Z769" i="1"/>
  <c r="W770" i="1"/>
  <c r="X770" i="1"/>
  <c r="Y770" i="1"/>
  <c r="Z770" i="1"/>
  <c r="W771" i="1"/>
  <c r="X771" i="1"/>
  <c r="Y771" i="1"/>
  <c r="Z771" i="1"/>
  <c r="W772" i="1"/>
  <c r="X772" i="1"/>
  <c r="Y772" i="1"/>
  <c r="Z772" i="1"/>
  <c r="W773" i="1"/>
  <c r="X773" i="1"/>
  <c r="Y773" i="1"/>
  <c r="Z773" i="1"/>
  <c r="W774" i="1"/>
  <c r="X774" i="1"/>
  <c r="Y774" i="1"/>
  <c r="Z774" i="1"/>
  <c r="W775" i="1"/>
  <c r="X775" i="1"/>
  <c r="Y775" i="1"/>
  <c r="Z775" i="1"/>
  <c r="W776" i="1"/>
  <c r="X776" i="1"/>
  <c r="Y776" i="1"/>
  <c r="Z776" i="1"/>
  <c r="W777" i="1"/>
  <c r="X777" i="1"/>
  <c r="Y777" i="1"/>
  <c r="Z777" i="1"/>
  <c r="W778" i="1"/>
  <c r="X778" i="1"/>
  <c r="Y778" i="1"/>
  <c r="Z778" i="1"/>
  <c r="W779" i="1"/>
  <c r="X779" i="1"/>
  <c r="Y779" i="1"/>
  <c r="Z779" i="1"/>
  <c r="W780" i="1"/>
  <c r="X780" i="1"/>
  <c r="Y780" i="1"/>
  <c r="Z780" i="1"/>
  <c r="W781" i="1"/>
  <c r="X781" i="1"/>
  <c r="Y781" i="1"/>
  <c r="Z781" i="1"/>
  <c r="W782" i="1"/>
  <c r="X782" i="1"/>
  <c r="Y782" i="1"/>
  <c r="Z782" i="1"/>
  <c r="W783" i="1"/>
  <c r="X783" i="1"/>
  <c r="Y783" i="1"/>
  <c r="Z783" i="1"/>
  <c r="W784" i="1"/>
  <c r="X784" i="1"/>
  <c r="Y784" i="1"/>
  <c r="Z784" i="1"/>
  <c r="W785" i="1"/>
  <c r="X785" i="1"/>
  <c r="Y785" i="1"/>
  <c r="Z785" i="1"/>
  <c r="W786" i="1"/>
  <c r="X786" i="1"/>
  <c r="Y786" i="1"/>
  <c r="Z786" i="1"/>
  <c r="W787" i="1"/>
  <c r="X787" i="1"/>
  <c r="Y787" i="1"/>
  <c r="Z787" i="1"/>
  <c r="W788" i="1"/>
  <c r="X788" i="1"/>
  <c r="Y788" i="1"/>
  <c r="Z788" i="1"/>
  <c r="W789" i="1"/>
  <c r="X789" i="1"/>
  <c r="Y789" i="1"/>
  <c r="Z789" i="1"/>
  <c r="W790" i="1"/>
  <c r="X790" i="1"/>
  <c r="Y790" i="1"/>
  <c r="Z790" i="1"/>
  <c r="W791" i="1"/>
  <c r="X791" i="1"/>
  <c r="Y791" i="1"/>
  <c r="Z791" i="1"/>
  <c r="W792" i="1"/>
  <c r="X792" i="1"/>
  <c r="Y792" i="1"/>
  <c r="Z792" i="1"/>
  <c r="W793" i="1"/>
  <c r="X793" i="1"/>
  <c r="Y793" i="1"/>
  <c r="Z793" i="1"/>
  <c r="W794" i="1"/>
  <c r="X794" i="1"/>
  <c r="Y794" i="1"/>
  <c r="Z794" i="1"/>
  <c r="W795" i="1"/>
  <c r="X795" i="1"/>
  <c r="Y795" i="1"/>
  <c r="Z795" i="1"/>
  <c r="W796" i="1"/>
  <c r="X796" i="1"/>
  <c r="Y796" i="1"/>
  <c r="Z796" i="1"/>
  <c r="W797" i="1"/>
  <c r="X797" i="1"/>
  <c r="Y797" i="1"/>
  <c r="Z797" i="1"/>
  <c r="W798" i="1"/>
  <c r="X798" i="1"/>
  <c r="Y798" i="1"/>
  <c r="Z798" i="1"/>
  <c r="W799" i="1"/>
  <c r="X799" i="1"/>
  <c r="Y799" i="1"/>
  <c r="Z799" i="1"/>
  <c r="W800" i="1"/>
  <c r="X800" i="1"/>
  <c r="Y800" i="1"/>
  <c r="Z800" i="1"/>
  <c r="W801" i="1"/>
  <c r="X801" i="1"/>
  <c r="Y801" i="1"/>
  <c r="Z801" i="1"/>
  <c r="W802" i="1"/>
  <c r="X802" i="1"/>
  <c r="Y802" i="1"/>
  <c r="Z802" i="1"/>
  <c r="W803" i="1"/>
  <c r="X803" i="1"/>
  <c r="Y803" i="1"/>
  <c r="Z803" i="1"/>
  <c r="W804" i="1"/>
  <c r="X804" i="1"/>
  <c r="Y804" i="1"/>
  <c r="Z804" i="1"/>
  <c r="W805" i="1"/>
  <c r="X805" i="1"/>
  <c r="Y805" i="1"/>
  <c r="Z805" i="1"/>
  <c r="W806" i="1"/>
  <c r="X806" i="1"/>
  <c r="Y806" i="1"/>
  <c r="Z806" i="1"/>
  <c r="W807" i="1"/>
  <c r="X807" i="1"/>
  <c r="Y807" i="1"/>
  <c r="Z807" i="1"/>
  <c r="W808" i="1"/>
  <c r="X808" i="1"/>
  <c r="Y808" i="1"/>
  <c r="Z808" i="1"/>
  <c r="W809" i="1"/>
  <c r="X809" i="1"/>
  <c r="Y809" i="1"/>
  <c r="Z809" i="1"/>
  <c r="W810" i="1"/>
  <c r="X810" i="1"/>
  <c r="Y810" i="1"/>
  <c r="Z810" i="1"/>
  <c r="W811" i="1"/>
  <c r="X811" i="1"/>
  <c r="Y811" i="1"/>
  <c r="Z811" i="1"/>
  <c r="W812" i="1"/>
  <c r="X812" i="1"/>
  <c r="Y812" i="1"/>
  <c r="Z812" i="1"/>
  <c r="W813" i="1"/>
  <c r="X813" i="1"/>
  <c r="Y813" i="1"/>
  <c r="Z813" i="1"/>
  <c r="W814" i="1"/>
  <c r="X814" i="1"/>
  <c r="Y814" i="1"/>
  <c r="Z814" i="1"/>
  <c r="W815" i="1"/>
  <c r="X815" i="1"/>
  <c r="Y815" i="1"/>
  <c r="Z815" i="1"/>
  <c r="W816" i="1"/>
  <c r="X816" i="1"/>
  <c r="Y816" i="1"/>
  <c r="Z816" i="1"/>
  <c r="W817" i="1"/>
  <c r="X817" i="1"/>
  <c r="Y817" i="1"/>
  <c r="Z817" i="1"/>
  <c r="W818" i="1"/>
  <c r="X818" i="1"/>
  <c r="Y818" i="1"/>
  <c r="Z818" i="1"/>
  <c r="W819" i="1"/>
  <c r="X819" i="1"/>
  <c r="Y819" i="1"/>
  <c r="Z819" i="1"/>
  <c r="W820" i="1"/>
  <c r="X820" i="1"/>
  <c r="Y820" i="1"/>
  <c r="Z820" i="1"/>
  <c r="W821" i="1"/>
  <c r="X821" i="1"/>
  <c r="Y821" i="1"/>
  <c r="Z821" i="1"/>
  <c r="W822" i="1"/>
  <c r="X822" i="1"/>
  <c r="Y822" i="1"/>
  <c r="Z822" i="1"/>
  <c r="W823" i="1"/>
  <c r="X823" i="1"/>
  <c r="Y823" i="1"/>
  <c r="Z823" i="1"/>
  <c r="W824" i="1"/>
  <c r="X824" i="1"/>
  <c r="Y824" i="1"/>
  <c r="Z824" i="1"/>
  <c r="W825" i="1"/>
  <c r="X825" i="1"/>
  <c r="Y825" i="1"/>
  <c r="Z825" i="1"/>
  <c r="W826" i="1"/>
  <c r="X826" i="1"/>
  <c r="Y826" i="1"/>
  <c r="Z826" i="1"/>
  <c r="W827" i="1"/>
  <c r="X827" i="1"/>
  <c r="Y827" i="1"/>
  <c r="Z827" i="1"/>
  <c r="W828" i="1"/>
  <c r="X828" i="1"/>
  <c r="Y828" i="1"/>
  <c r="Z828" i="1"/>
  <c r="W829" i="1"/>
  <c r="X829" i="1"/>
  <c r="Y829" i="1"/>
  <c r="Z829" i="1"/>
  <c r="W830" i="1"/>
  <c r="X830" i="1"/>
  <c r="Y830" i="1"/>
  <c r="Z830" i="1"/>
  <c r="W831" i="1"/>
  <c r="X831" i="1"/>
  <c r="Y831" i="1"/>
  <c r="Z831" i="1"/>
  <c r="W832" i="1"/>
  <c r="X832" i="1"/>
  <c r="Y832" i="1"/>
  <c r="Z832" i="1"/>
  <c r="W833" i="1"/>
  <c r="X833" i="1"/>
  <c r="Y833" i="1"/>
  <c r="Z833" i="1"/>
  <c r="W834" i="1"/>
  <c r="X834" i="1"/>
  <c r="Y834" i="1"/>
  <c r="Z834" i="1"/>
  <c r="W835" i="1"/>
  <c r="X835" i="1"/>
  <c r="Y835" i="1"/>
  <c r="Z835" i="1"/>
  <c r="W836" i="1"/>
  <c r="X836" i="1"/>
  <c r="Y836" i="1"/>
  <c r="Z836" i="1"/>
  <c r="W837" i="1"/>
  <c r="X837" i="1"/>
  <c r="Y837" i="1"/>
  <c r="Z837" i="1"/>
  <c r="W838" i="1"/>
  <c r="X838" i="1"/>
  <c r="Y838" i="1"/>
  <c r="Z838" i="1"/>
  <c r="W839" i="1"/>
  <c r="X839" i="1"/>
  <c r="Y839" i="1"/>
  <c r="Z839" i="1"/>
  <c r="W840" i="1"/>
  <c r="X840" i="1"/>
  <c r="Y840" i="1"/>
  <c r="Z840" i="1"/>
  <c r="W841" i="1"/>
  <c r="X841" i="1"/>
  <c r="Y841" i="1"/>
  <c r="Z841" i="1"/>
  <c r="W842" i="1"/>
  <c r="X842" i="1"/>
  <c r="Y842" i="1"/>
  <c r="Z842" i="1"/>
  <c r="W843" i="1"/>
  <c r="X843" i="1"/>
  <c r="Y843" i="1"/>
  <c r="Z843" i="1"/>
  <c r="W844" i="1"/>
  <c r="X844" i="1"/>
  <c r="Y844" i="1"/>
  <c r="Z844" i="1"/>
  <c r="W845" i="1"/>
  <c r="X845" i="1"/>
  <c r="Y845" i="1"/>
  <c r="Z845" i="1"/>
  <c r="W846" i="1"/>
  <c r="X846" i="1"/>
  <c r="Y846" i="1"/>
  <c r="Z846" i="1"/>
  <c r="W847" i="1"/>
  <c r="X847" i="1"/>
  <c r="Y847" i="1"/>
  <c r="Z847" i="1"/>
  <c r="W848" i="1"/>
  <c r="X848" i="1"/>
  <c r="Y848" i="1"/>
  <c r="Z848" i="1"/>
  <c r="W849" i="1"/>
  <c r="X849" i="1"/>
  <c r="Y849" i="1"/>
  <c r="Z849" i="1"/>
  <c r="W850" i="1"/>
  <c r="X850" i="1"/>
  <c r="Y850" i="1"/>
  <c r="Z850" i="1"/>
  <c r="W851" i="1"/>
  <c r="X851" i="1"/>
  <c r="Y851" i="1"/>
  <c r="Z851" i="1"/>
  <c r="W852" i="1"/>
  <c r="X852" i="1"/>
  <c r="Y852" i="1"/>
  <c r="Z852" i="1"/>
  <c r="W853" i="1"/>
  <c r="X853" i="1"/>
  <c r="Y853" i="1"/>
  <c r="Z853" i="1"/>
  <c r="W854" i="1"/>
  <c r="X854" i="1"/>
  <c r="Y854" i="1"/>
  <c r="Z854" i="1"/>
  <c r="W855" i="1"/>
  <c r="X855" i="1"/>
  <c r="Y855" i="1"/>
  <c r="Z855" i="1"/>
  <c r="W856" i="1"/>
  <c r="X856" i="1"/>
  <c r="Y856" i="1"/>
  <c r="Z856" i="1"/>
  <c r="W857" i="1"/>
  <c r="X857" i="1"/>
  <c r="Y857" i="1"/>
  <c r="Z857" i="1"/>
  <c r="W858" i="1"/>
  <c r="X858" i="1"/>
  <c r="Y858" i="1"/>
  <c r="Z858" i="1"/>
  <c r="W859" i="1"/>
  <c r="X859" i="1"/>
  <c r="Y859" i="1"/>
  <c r="Z859" i="1"/>
  <c r="W860" i="1"/>
  <c r="X860" i="1"/>
  <c r="Y860" i="1"/>
  <c r="Z860" i="1"/>
  <c r="W861" i="1"/>
  <c r="X861" i="1"/>
  <c r="Y861" i="1"/>
  <c r="Z861" i="1"/>
  <c r="W862" i="1"/>
  <c r="X862" i="1"/>
  <c r="Y862" i="1"/>
  <c r="Z862" i="1"/>
  <c r="W863" i="1"/>
  <c r="X863" i="1"/>
  <c r="Y863" i="1"/>
  <c r="Z863" i="1"/>
  <c r="W864" i="1"/>
  <c r="X864" i="1"/>
  <c r="Y864" i="1"/>
  <c r="Z864" i="1"/>
  <c r="W865" i="1"/>
  <c r="X865" i="1"/>
  <c r="Y865" i="1"/>
  <c r="Z865" i="1"/>
  <c r="W866" i="1"/>
  <c r="X866" i="1"/>
  <c r="Y866" i="1"/>
  <c r="Z866" i="1"/>
  <c r="W867" i="1"/>
  <c r="X867" i="1"/>
  <c r="Y867" i="1"/>
  <c r="Z867" i="1"/>
  <c r="W868" i="1"/>
  <c r="X868" i="1"/>
  <c r="Y868" i="1"/>
  <c r="Z868" i="1"/>
  <c r="W869" i="1"/>
  <c r="X869" i="1"/>
  <c r="Y869" i="1"/>
  <c r="Z869" i="1"/>
  <c r="W870" i="1"/>
  <c r="X870" i="1"/>
  <c r="Y870" i="1"/>
  <c r="Z870" i="1"/>
  <c r="W871" i="1"/>
  <c r="X871" i="1"/>
  <c r="Y871" i="1"/>
  <c r="Z871" i="1"/>
  <c r="W872" i="1"/>
  <c r="X872" i="1"/>
  <c r="Y872" i="1"/>
  <c r="Z872" i="1"/>
  <c r="W873" i="1"/>
  <c r="X873" i="1"/>
  <c r="Y873" i="1"/>
  <c r="Z873" i="1"/>
  <c r="W874" i="1"/>
  <c r="X874" i="1"/>
  <c r="Y874" i="1"/>
  <c r="Z874" i="1"/>
  <c r="W875" i="1"/>
  <c r="X875" i="1"/>
  <c r="Y875" i="1"/>
  <c r="Z875" i="1"/>
  <c r="W876" i="1"/>
  <c r="X876" i="1"/>
  <c r="Y876" i="1"/>
  <c r="Z876" i="1"/>
  <c r="W877" i="1"/>
  <c r="X877" i="1"/>
  <c r="Y877" i="1"/>
  <c r="Z877" i="1"/>
  <c r="W878" i="1"/>
  <c r="X878" i="1"/>
  <c r="Y878" i="1"/>
  <c r="Z878" i="1"/>
  <c r="W879" i="1"/>
  <c r="X879" i="1"/>
  <c r="Y879" i="1"/>
  <c r="Z879" i="1"/>
  <c r="W880" i="1"/>
  <c r="X880" i="1"/>
  <c r="Y880" i="1"/>
  <c r="Z880" i="1"/>
  <c r="W881" i="1"/>
  <c r="X881" i="1"/>
  <c r="Y881" i="1"/>
  <c r="Z881" i="1"/>
  <c r="W882" i="1"/>
  <c r="X882" i="1"/>
  <c r="Y882" i="1"/>
  <c r="Z882" i="1"/>
  <c r="W883" i="1"/>
  <c r="X883" i="1"/>
  <c r="Y883" i="1"/>
  <c r="Z883" i="1"/>
  <c r="W884" i="1"/>
  <c r="X884" i="1"/>
  <c r="Y884" i="1"/>
  <c r="Z884" i="1"/>
  <c r="W885" i="1"/>
  <c r="X885" i="1"/>
  <c r="Y885" i="1"/>
  <c r="Z885" i="1"/>
  <c r="W886" i="1"/>
  <c r="X886" i="1"/>
  <c r="Y886" i="1"/>
  <c r="Z886" i="1"/>
  <c r="W887" i="1"/>
  <c r="X887" i="1"/>
  <c r="Y887" i="1"/>
  <c r="Z887" i="1"/>
  <c r="W888" i="1"/>
  <c r="X888" i="1"/>
  <c r="Y888" i="1"/>
  <c r="Z888" i="1"/>
  <c r="W889" i="1"/>
  <c r="X889" i="1"/>
  <c r="Y889" i="1"/>
  <c r="Z889" i="1"/>
  <c r="W890" i="1"/>
  <c r="X890" i="1"/>
  <c r="Y890" i="1"/>
  <c r="Z890" i="1"/>
  <c r="W891" i="1"/>
  <c r="X891" i="1"/>
  <c r="Y891" i="1"/>
  <c r="Z891" i="1"/>
  <c r="W892" i="1"/>
  <c r="X892" i="1"/>
  <c r="Y892" i="1"/>
  <c r="Z892" i="1"/>
  <c r="W893" i="1"/>
  <c r="X893" i="1"/>
  <c r="Y893" i="1"/>
  <c r="Z893" i="1"/>
  <c r="W894" i="1"/>
  <c r="X894" i="1"/>
  <c r="Y894" i="1"/>
  <c r="Z894" i="1"/>
  <c r="W895" i="1"/>
  <c r="X895" i="1"/>
  <c r="Y895" i="1"/>
  <c r="Z895" i="1"/>
  <c r="W896" i="1"/>
  <c r="X896" i="1"/>
  <c r="Y896" i="1"/>
  <c r="Z896" i="1"/>
  <c r="W897" i="1"/>
  <c r="X897" i="1"/>
  <c r="Y897" i="1"/>
  <c r="Z897" i="1"/>
  <c r="W898" i="1"/>
  <c r="X898" i="1"/>
  <c r="Y898" i="1"/>
  <c r="Z898" i="1"/>
  <c r="W899" i="1"/>
  <c r="X899" i="1"/>
  <c r="Y899" i="1"/>
  <c r="Z899" i="1"/>
  <c r="W900" i="1"/>
  <c r="X900" i="1"/>
  <c r="Y900" i="1"/>
  <c r="Z900" i="1"/>
  <c r="W901" i="1"/>
  <c r="X901" i="1"/>
  <c r="Y901" i="1"/>
  <c r="Z901" i="1"/>
  <c r="W902" i="1"/>
  <c r="X902" i="1"/>
  <c r="Y902" i="1"/>
  <c r="Z902" i="1"/>
  <c r="W903" i="1"/>
  <c r="X903" i="1"/>
  <c r="Y903" i="1"/>
  <c r="Z903" i="1"/>
  <c r="W904" i="1"/>
  <c r="X904" i="1"/>
  <c r="Y904" i="1"/>
  <c r="Z904" i="1"/>
  <c r="W905" i="1"/>
  <c r="X905" i="1"/>
  <c r="Y905" i="1"/>
  <c r="Z905" i="1"/>
  <c r="W906" i="1"/>
  <c r="X906" i="1"/>
  <c r="Y906" i="1"/>
  <c r="Z906" i="1"/>
  <c r="W907" i="1"/>
  <c r="X907" i="1"/>
  <c r="Y907" i="1"/>
  <c r="Z907" i="1"/>
  <c r="W908" i="1"/>
  <c r="X908" i="1"/>
  <c r="Y908" i="1"/>
  <c r="Z908" i="1"/>
  <c r="W909" i="1"/>
  <c r="X909" i="1"/>
  <c r="Y909" i="1"/>
  <c r="Z909" i="1"/>
  <c r="W910" i="1"/>
  <c r="X910" i="1"/>
  <c r="Y910" i="1"/>
  <c r="Z910" i="1"/>
  <c r="W911" i="1"/>
  <c r="X911" i="1"/>
  <c r="Y911" i="1"/>
  <c r="Z911" i="1"/>
  <c r="W912" i="1"/>
  <c r="X912" i="1"/>
  <c r="Y912" i="1"/>
  <c r="Z912" i="1"/>
  <c r="W913" i="1"/>
  <c r="X913" i="1"/>
  <c r="Y913" i="1"/>
  <c r="Z913" i="1"/>
  <c r="W914" i="1"/>
  <c r="X914" i="1"/>
  <c r="Y914" i="1"/>
  <c r="Z914" i="1"/>
  <c r="W915" i="1"/>
  <c r="X915" i="1"/>
  <c r="Y915" i="1"/>
  <c r="Z915" i="1"/>
  <c r="W916" i="1"/>
  <c r="X916" i="1"/>
  <c r="Y916" i="1"/>
  <c r="Z916" i="1"/>
  <c r="W917" i="1"/>
  <c r="X917" i="1"/>
  <c r="Y917" i="1"/>
  <c r="Z917" i="1"/>
  <c r="W918" i="1"/>
  <c r="X918" i="1"/>
  <c r="Y918" i="1"/>
  <c r="Z918" i="1"/>
  <c r="W919" i="1"/>
  <c r="X919" i="1"/>
  <c r="Y919" i="1"/>
  <c r="Z919" i="1"/>
  <c r="W920" i="1"/>
  <c r="X920" i="1"/>
  <c r="Y920" i="1"/>
  <c r="Z920" i="1"/>
  <c r="W921" i="1"/>
  <c r="X921" i="1"/>
  <c r="Y921" i="1"/>
  <c r="Z921" i="1"/>
  <c r="W922" i="1"/>
  <c r="X922" i="1"/>
  <c r="Y922" i="1"/>
  <c r="Z922" i="1"/>
  <c r="W923" i="1"/>
  <c r="X923" i="1"/>
  <c r="Y923" i="1"/>
  <c r="Z923" i="1"/>
  <c r="W924" i="1"/>
  <c r="X924" i="1"/>
  <c r="Y924" i="1"/>
  <c r="Z924" i="1"/>
  <c r="W925" i="1"/>
  <c r="X925" i="1"/>
  <c r="Y925" i="1"/>
  <c r="Z925" i="1"/>
  <c r="W926" i="1"/>
  <c r="X926" i="1"/>
  <c r="Y926" i="1"/>
  <c r="Z926" i="1"/>
  <c r="W927" i="1"/>
  <c r="X927" i="1"/>
  <c r="Y927" i="1"/>
  <c r="Z927" i="1"/>
  <c r="W928" i="1"/>
  <c r="X928" i="1"/>
  <c r="Y928" i="1"/>
  <c r="Z928" i="1"/>
  <c r="W929" i="1"/>
  <c r="X929" i="1"/>
  <c r="Y929" i="1"/>
  <c r="Z929" i="1"/>
  <c r="W930" i="1"/>
  <c r="X930" i="1"/>
  <c r="Y930" i="1"/>
  <c r="Z930" i="1"/>
  <c r="W931" i="1"/>
  <c r="X931" i="1"/>
  <c r="Y931" i="1"/>
  <c r="Z931" i="1"/>
  <c r="W932" i="1"/>
  <c r="X932" i="1"/>
  <c r="Y932" i="1"/>
  <c r="Z932" i="1"/>
  <c r="W933" i="1"/>
  <c r="X933" i="1"/>
  <c r="Y933" i="1"/>
  <c r="Z933" i="1"/>
  <c r="W934" i="1"/>
  <c r="X934" i="1"/>
  <c r="Y934" i="1"/>
  <c r="Z934" i="1"/>
  <c r="W935" i="1"/>
  <c r="X935" i="1"/>
  <c r="Y935" i="1"/>
  <c r="Z935" i="1"/>
  <c r="W936" i="1"/>
  <c r="X936" i="1"/>
  <c r="Y936" i="1"/>
  <c r="Z936" i="1"/>
  <c r="W937" i="1"/>
  <c r="X937" i="1"/>
  <c r="Y937" i="1"/>
  <c r="Z937" i="1"/>
  <c r="W938" i="1"/>
  <c r="X938" i="1"/>
  <c r="Y938" i="1"/>
  <c r="Z938" i="1"/>
  <c r="W939" i="1"/>
  <c r="X939" i="1"/>
  <c r="Y939" i="1"/>
  <c r="Z939" i="1"/>
  <c r="W940" i="1"/>
  <c r="X940" i="1"/>
  <c r="Y940" i="1"/>
  <c r="Z940" i="1"/>
  <c r="W941" i="1"/>
  <c r="X941" i="1"/>
  <c r="Y941" i="1"/>
  <c r="Z941" i="1"/>
  <c r="W942" i="1"/>
  <c r="X942" i="1"/>
  <c r="Y942" i="1"/>
  <c r="Z942" i="1"/>
  <c r="W943" i="1"/>
  <c r="X943" i="1"/>
  <c r="Y943" i="1"/>
  <c r="Z943" i="1"/>
  <c r="W944" i="1"/>
  <c r="X944" i="1"/>
  <c r="Y944" i="1"/>
  <c r="Z944" i="1"/>
  <c r="W945" i="1"/>
  <c r="X945" i="1"/>
  <c r="Y945" i="1"/>
  <c r="Z945" i="1"/>
  <c r="W946" i="1"/>
  <c r="X946" i="1"/>
  <c r="Y946" i="1"/>
  <c r="Z946" i="1"/>
  <c r="W947" i="1"/>
  <c r="X947" i="1"/>
  <c r="Y947" i="1"/>
  <c r="Z947" i="1"/>
  <c r="W948" i="1"/>
  <c r="X948" i="1"/>
  <c r="Y948" i="1"/>
  <c r="Z948" i="1"/>
  <c r="W949" i="1"/>
  <c r="X949" i="1"/>
  <c r="Y949" i="1"/>
  <c r="Z949" i="1"/>
  <c r="W950" i="1"/>
  <c r="X950" i="1"/>
  <c r="Y950" i="1"/>
  <c r="Z950" i="1"/>
  <c r="W951" i="1"/>
  <c r="X951" i="1"/>
  <c r="Y951" i="1"/>
  <c r="Z951" i="1"/>
  <c r="W952" i="1"/>
  <c r="X952" i="1"/>
  <c r="Y952" i="1"/>
  <c r="Z952" i="1"/>
  <c r="W953" i="1"/>
  <c r="X953" i="1"/>
  <c r="Y953" i="1"/>
  <c r="Z953" i="1"/>
  <c r="W954" i="1"/>
  <c r="X954" i="1"/>
  <c r="Y954" i="1"/>
  <c r="Z954" i="1"/>
  <c r="W955" i="1"/>
  <c r="X955" i="1"/>
  <c r="Y955" i="1"/>
  <c r="Z955" i="1"/>
  <c r="W956" i="1"/>
  <c r="X956" i="1"/>
  <c r="Y956" i="1"/>
  <c r="Z956" i="1"/>
  <c r="W957" i="1"/>
  <c r="X957" i="1"/>
  <c r="Y957" i="1"/>
  <c r="Z957" i="1"/>
  <c r="W958" i="1"/>
  <c r="X958" i="1"/>
  <c r="Y958" i="1"/>
  <c r="Z958" i="1"/>
  <c r="W959" i="1"/>
  <c r="X959" i="1"/>
  <c r="Y959" i="1"/>
  <c r="Z959" i="1"/>
  <c r="W960" i="1"/>
  <c r="X960" i="1"/>
  <c r="Y960" i="1"/>
  <c r="Z960" i="1"/>
  <c r="W961" i="1"/>
  <c r="X961" i="1"/>
  <c r="Y961" i="1"/>
  <c r="Z961" i="1"/>
  <c r="W962" i="1"/>
  <c r="X962" i="1"/>
  <c r="Y962" i="1"/>
  <c r="Z962" i="1"/>
  <c r="W963" i="1"/>
  <c r="X963" i="1"/>
  <c r="Y963" i="1"/>
  <c r="Z963" i="1"/>
  <c r="W964" i="1"/>
  <c r="X964" i="1"/>
  <c r="Y964" i="1"/>
  <c r="Z964" i="1"/>
  <c r="W965" i="1"/>
  <c r="X965" i="1"/>
  <c r="Y965" i="1"/>
  <c r="Z965" i="1"/>
  <c r="W966" i="1"/>
  <c r="X966" i="1"/>
  <c r="Y966" i="1"/>
  <c r="Z966" i="1"/>
  <c r="W967" i="1"/>
  <c r="X967" i="1"/>
  <c r="Y967" i="1"/>
  <c r="Z967" i="1"/>
  <c r="W968" i="1"/>
  <c r="X968" i="1"/>
  <c r="Y968" i="1"/>
  <c r="Z968" i="1"/>
  <c r="W969" i="1"/>
  <c r="X969" i="1"/>
  <c r="Y969" i="1"/>
  <c r="Z969" i="1"/>
  <c r="W970" i="1"/>
  <c r="X970" i="1"/>
  <c r="Y970" i="1"/>
  <c r="Z970" i="1"/>
  <c r="W971" i="1"/>
  <c r="X971" i="1"/>
  <c r="Y971" i="1"/>
  <c r="Z971" i="1"/>
  <c r="W972" i="1"/>
  <c r="X972" i="1"/>
  <c r="Y972" i="1"/>
  <c r="Z972" i="1"/>
  <c r="W973" i="1"/>
  <c r="X973" i="1"/>
  <c r="Y973" i="1"/>
  <c r="Z973" i="1"/>
  <c r="W974" i="1"/>
  <c r="X974" i="1"/>
  <c r="Y974" i="1"/>
  <c r="Z974" i="1"/>
  <c r="W975" i="1"/>
  <c r="X975" i="1"/>
  <c r="Y975" i="1"/>
  <c r="Z975" i="1"/>
  <c r="W976" i="1"/>
  <c r="X976" i="1"/>
  <c r="Y976" i="1"/>
  <c r="Z976" i="1"/>
  <c r="W977" i="1"/>
  <c r="X977" i="1"/>
  <c r="Y977" i="1"/>
  <c r="Z977" i="1"/>
  <c r="W978" i="1"/>
  <c r="X978" i="1"/>
  <c r="Y978" i="1"/>
  <c r="Z978" i="1"/>
  <c r="W979" i="1"/>
  <c r="X979" i="1"/>
  <c r="Y979" i="1"/>
  <c r="Z979" i="1"/>
  <c r="W980" i="1"/>
  <c r="X980" i="1"/>
  <c r="Y980" i="1"/>
  <c r="Z980" i="1"/>
  <c r="W981" i="1"/>
  <c r="X981" i="1"/>
  <c r="Y981" i="1"/>
  <c r="Z981" i="1"/>
  <c r="W982" i="1"/>
  <c r="X982" i="1"/>
  <c r="Y982" i="1"/>
  <c r="Z982" i="1"/>
  <c r="W983" i="1"/>
  <c r="X983" i="1"/>
  <c r="Y983" i="1"/>
  <c r="Z983" i="1"/>
  <c r="W984" i="1"/>
  <c r="X984" i="1"/>
  <c r="Y984" i="1"/>
  <c r="Z984" i="1"/>
  <c r="W985" i="1"/>
  <c r="X985" i="1"/>
  <c r="Y985" i="1"/>
  <c r="Z985" i="1"/>
  <c r="W986" i="1"/>
  <c r="X986" i="1"/>
  <c r="Y986" i="1"/>
  <c r="Z986" i="1"/>
  <c r="W987" i="1"/>
  <c r="X987" i="1"/>
  <c r="Y987" i="1"/>
  <c r="Z987" i="1"/>
  <c r="W988" i="1"/>
  <c r="X988" i="1"/>
  <c r="Y988" i="1"/>
  <c r="Z988" i="1"/>
  <c r="W989" i="1"/>
  <c r="X989" i="1"/>
  <c r="Y989" i="1"/>
  <c r="Z989" i="1"/>
  <c r="W990" i="1"/>
  <c r="X990" i="1"/>
  <c r="Y990" i="1"/>
  <c r="Z990" i="1"/>
  <c r="W991" i="1"/>
  <c r="X991" i="1"/>
  <c r="Y991" i="1"/>
  <c r="Z991" i="1"/>
  <c r="W992" i="1"/>
  <c r="X992" i="1"/>
  <c r="Y992" i="1"/>
  <c r="Z992" i="1"/>
  <c r="W993" i="1"/>
  <c r="X993" i="1"/>
  <c r="Y993" i="1"/>
  <c r="Z993" i="1"/>
  <c r="W994" i="1"/>
  <c r="X994" i="1"/>
  <c r="Y994" i="1"/>
  <c r="Z994" i="1"/>
  <c r="W995" i="1"/>
  <c r="X995" i="1"/>
  <c r="Y995" i="1"/>
  <c r="Z995" i="1"/>
  <c r="W996" i="1"/>
  <c r="X996" i="1"/>
  <c r="Y996" i="1"/>
  <c r="Z996" i="1"/>
  <c r="W997" i="1"/>
  <c r="X997" i="1"/>
  <c r="Y997" i="1"/>
  <c r="Z997" i="1"/>
  <c r="W998" i="1"/>
  <c r="X998" i="1"/>
  <c r="Y998" i="1"/>
  <c r="Z998" i="1"/>
  <c r="W999" i="1"/>
  <c r="X999" i="1"/>
  <c r="Y999" i="1"/>
  <c r="Z999" i="1"/>
  <c r="W1000" i="1"/>
  <c r="X1000" i="1"/>
  <c r="Y1000" i="1"/>
  <c r="Z1000" i="1"/>
  <c r="W1001" i="1"/>
  <c r="X1001" i="1"/>
  <c r="Y1001" i="1"/>
  <c r="Z1001" i="1"/>
  <c r="W1002" i="1"/>
  <c r="X1002" i="1"/>
  <c r="Y1002" i="1"/>
  <c r="Z1002" i="1"/>
  <c r="W1003" i="1"/>
  <c r="X1003" i="1"/>
  <c r="Y1003" i="1"/>
  <c r="Z1003" i="1"/>
  <c r="W1004" i="1"/>
  <c r="X1004" i="1"/>
  <c r="Y1004" i="1"/>
  <c r="Z1004" i="1"/>
  <c r="W1005" i="1"/>
  <c r="X1005" i="1"/>
  <c r="Y1005" i="1"/>
  <c r="Z1005" i="1"/>
  <c r="W1006" i="1"/>
  <c r="X1006" i="1"/>
  <c r="Y1006" i="1"/>
  <c r="Z1006" i="1"/>
  <c r="W1007" i="1"/>
  <c r="X1007" i="1"/>
  <c r="Y1007" i="1"/>
  <c r="Z1007" i="1"/>
  <c r="W1008" i="1"/>
  <c r="X1008" i="1"/>
  <c r="Y1008" i="1"/>
  <c r="Z1008" i="1"/>
  <c r="W1009" i="1"/>
  <c r="X1009" i="1"/>
  <c r="Y1009" i="1"/>
  <c r="Z1009" i="1"/>
  <c r="W1010" i="1"/>
  <c r="X1010" i="1"/>
  <c r="Y1010" i="1"/>
  <c r="Z1010" i="1"/>
  <c r="W1011" i="1"/>
  <c r="X1011" i="1"/>
  <c r="Y1011" i="1"/>
  <c r="Z1011" i="1"/>
  <c r="W1012" i="1"/>
  <c r="X1012" i="1"/>
  <c r="Y1012" i="1"/>
  <c r="Z1012" i="1"/>
  <c r="W1013" i="1"/>
  <c r="X1013" i="1"/>
  <c r="Y1013" i="1"/>
  <c r="Z1013" i="1"/>
  <c r="W1014" i="1"/>
  <c r="X1014" i="1"/>
  <c r="Y1014" i="1"/>
  <c r="Z1014" i="1"/>
  <c r="W1015" i="1"/>
  <c r="X1015" i="1"/>
  <c r="Y1015" i="1"/>
  <c r="Z1015" i="1"/>
  <c r="W1016" i="1"/>
  <c r="X1016" i="1"/>
  <c r="Y1016" i="1"/>
  <c r="Z1016" i="1"/>
  <c r="W1017" i="1"/>
  <c r="X1017" i="1"/>
  <c r="Y1017" i="1"/>
  <c r="Z1017" i="1"/>
  <c r="W1018" i="1"/>
  <c r="X1018" i="1"/>
  <c r="Y1018" i="1"/>
  <c r="Z1018" i="1"/>
  <c r="W1019" i="1"/>
  <c r="X1019" i="1"/>
  <c r="Y1019" i="1"/>
  <c r="Z1019" i="1"/>
  <c r="W1020" i="1"/>
  <c r="X1020" i="1"/>
  <c r="Y1020" i="1"/>
  <c r="Z1020" i="1"/>
  <c r="W1021" i="1"/>
  <c r="X1021" i="1"/>
  <c r="Y1021" i="1"/>
  <c r="Z1021" i="1"/>
  <c r="W1022" i="1"/>
  <c r="X1022" i="1"/>
  <c r="Y1022" i="1"/>
  <c r="Z1022" i="1"/>
  <c r="W1023" i="1"/>
  <c r="X1023" i="1"/>
  <c r="Y1023" i="1"/>
  <c r="Z1023" i="1"/>
  <c r="W1024" i="1"/>
  <c r="X1024" i="1"/>
  <c r="Y1024" i="1"/>
  <c r="Z1024" i="1"/>
  <c r="W1025" i="1"/>
  <c r="X1025" i="1"/>
  <c r="Y1025" i="1"/>
  <c r="Z1025" i="1"/>
  <c r="W1026" i="1"/>
  <c r="X1026" i="1"/>
  <c r="Y1026" i="1"/>
  <c r="Z1026" i="1"/>
  <c r="W1027" i="1"/>
  <c r="X1027" i="1"/>
  <c r="Y1027" i="1"/>
  <c r="Z1027" i="1"/>
  <c r="W1028" i="1"/>
  <c r="X1028" i="1"/>
  <c r="Y1028" i="1"/>
  <c r="Z1028" i="1"/>
  <c r="W1029" i="1"/>
  <c r="X1029" i="1"/>
  <c r="Y1029" i="1"/>
  <c r="Z1029" i="1"/>
  <c r="W1030" i="1"/>
  <c r="X1030" i="1"/>
  <c r="Y1030" i="1"/>
  <c r="Z1030" i="1"/>
  <c r="W1031" i="1"/>
  <c r="X1031" i="1"/>
  <c r="Y1031" i="1"/>
  <c r="Z1031" i="1"/>
  <c r="W1032" i="1"/>
  <c r="X1032" i="1"/>
  <c r="Y1032" i="1"/>
  <c r="Z1032" i="1"/>
  <c r="W1033" i="1"/>
  <c r="X1033" i="1"/>
  <c r="Y1033" i="1"/>
  <c r="Z1033" i="1"/>
  <c r="W1034" i="1"/>
  <c r="X1034" i="1"/>
  <c r="Y1034" i="1"/>
  <c r="Z1034" i="1"/>
  <c r="W1035" i="1"/>
  <c r="X1035" i="1"/>
  <c r="Y1035" i="1"/>
  <c r="Z1035" i="1"/>
  <c r="W1036" i="1"/>
  <c r="X1036" i="1"/>
  <c r="Y1036" i="1"/>
  <c r="Z1036" i="1"/>
  <c r="W1037" i="1"/>
  <c r="X1037" i="1"/>
  <c r="Y1037" i="1"/>
  <c r="Z1037" i="1"/>
  <c r="W1038" i="1"/>
  <c r="X1038" i="1"/>
  <c r="Y1038" i="1"/>
  <c r="Z1038" i="1"/>
  <c r="W1039" i="1"/>
  <c r="X1039" i="1"/>
  <c r="Y1039" i="1"/>
  <c r="Z1039" i="1"/>
  <c r="W1040" i="1"/>
  <c r="X1040" i="1"/>
  <c r="Y1040" i="1"/>
  <c r="Z1040" i="1"/>
  <c r="W1041" i="1"/>
  <c r="X1041" i="1"/>
  <c r="Y1041" i="1"/>
  <c r="Z1041" i="1"/>
  <c r="W1042" i="1"/>
  <c r="X1042" i="1"/>
  <c r="Y1042" i="1"/>
  <c r="Z1042" i="1"/>
  <c r="W1043" i="1"/>
  <c r="X1043" i="1"/>
  <c r="Y1043" i="1"/>
  <c r="Z1043" i="1"/>
  <c r="W1044" i="1"/>
  <c r="X1044" i="1"/>
  <c r="Y1044" i="1"/>
  <c r="Z1044" i="1"/>
  <c r="W1045" i="1"/>
  <c r="X1045" i="1"/>
  <c r="Y1045" i="1"/>
  <c r="Z1045" i="1"/>
  <c r="W1046" i="1"/>
  <c r="X1046" i="1"/>
  <c r="Y1046" i="1"/>
  <c r="Z1046" i="1"/>
  <c r="W1047" i="1"/>
  <c r="X1047" i="1"/>
  <c r="Y1047" i="1"/>
  <c r="Z1047" i="1"/>
  <c r="W1048" i="1"/>
  <c r="X1048" i="1"/>
  <c r="Y1048" i="1"/>
  <c r="Z1048" i="1"/>
  <c r="W1049" i="1"/>
  <c r="X1049" i="1"/>
  <c r="Y1049" i="1"/>
  <c r="Z1049" i="1"/>
  <c r="W1050" i="1"/>
  <c r="X1050" i="1"/>
  <c r="Y1050" i="1"/>
  <c r="Z1050" i="1"/>
  <c r="W1051" i="1"/>
  <c r="X1051" i="1"/>
  <c r="Y1051" i="1"/>
  <c r="Z1051" i="1"/>
  <c r="W1052" i="1"/>
  <c r="X1052" i="1"/>
  <c r="Y1052" i="1"/>
  <c r="Z1052" i="1"/>
  <c r="W1053" i="1"/>
  <c r="X1053" i="1"/>
  <c r="Y1053" i="1"/>
  <c r="Z1053" i="1"/>
  <c r="W1054" i="1"/>
  <c r="X1054" i="1"/>
  <c r="Y1054" i="1"/>
  <c r="Z1054" i="1"/>
  <c r="W1055" i="1"/>
  <c r="X1055" i="1"/>
  <c r="Y1055" i="1"/>
  <c r="Z1055" i="1"/>
  <c r="W1056" i="1"/>
  <c r="X1056" i="1"/>
  <c r="Y1056" i="1"/>
  <c r="Z1056" i="1"/>
  <c r="W1057" i="1"/>
  <c r="X1057" i="1"/>
  <c r="Y1057" i="1"/>
  <c r="Z1057" i="1"/>
  <c r="W1058" i="1"/>
  <c r="X1058" i="1"/>
  <c r="Y1058" i="1"/>
  <c r="Z1058" i="1"/>
  <c r="W1059" i="1"/>
  <c r="X1059" i="1"/>
  <c r="Y1059" i="1"/>
  <c r="Z1059" i="1"/>
  <c r="W1060" i="1"/>
  <c r="X1060" i="1"/>
  <c r="Y1060" i="1"/>
  <c r="Z1060" i="1"/>
  <c r="W1061" i="1"/>
  <c r="X1061" i="1"/>
  <c r="Y1061" i="1"/>
  <c r="Z1061" i="1"/>
  <c r="W1062" i="1"/>
  <c r="X1062" i="1"/>
  <c r="Y1062" i="1"/>
  <c r="Z1062" i="1"/>
  <c r="W1063" i="1"/>
  <c r="X1063" i="1"/>
  <c r="Y1063" i="1"/>
  <c r="Z1063" i="1"/>
  <c r="W1064" i="1"/>
  <c r="X1064" i="1"/>
  <c r="Y1064" i="1"/>
  <c r="Z1064" i="1"/>
  <c r="W1065" i="1"/>
  <c r="X1065" i="1"/>
  <c r="Y1065" i="1"/>
  <c r="Z1065" i="1"/>
  <c r="W1066" i="1"/>
  <c r="X1066" i="1"/>
  <c r="Y1066" i="1"/>
  <c r="Z1066" i="1"/>
  <c r="W1067" i="1"/>
  <c r="X1067" i="1"/>
  <c r="Y1067" i="1"/>
  <c r="Z1067" i="1"/>
  <c r="W1068" i="1"/>
  <c r="X1068" i="1"/>
  <c r="Y1068" i="1"/>
  <c r="Z1068" i="1"/>
  <c r="W1069" i="1"/>
  <c r="X1069" i="1"/>
  <c r="Y1069" i="1"/>
  <c r="Z1069" i="1"/>
  <c r="W1070" i="1"/>
  <c r="X1070" i="1"/>
  <c r="Y1070" i="1"/>
  <c r="Z1070" i="1"/>
  <c r="W1071" i="1"/>
  <c r="X1071" i="1"/>
  <c r="Y1071" i="1"/>
  <c r="Z1071" i="1"/>
  <c r="W1072" i="1"/>
  <c r="X1072" i="1"/>
  <c r="Y1072" i="1"/>
  <c r="Z1072" i="1"/>
  <c r="W1073" i="1"/>
  <c r="X1073" i="1"/>
  <c r="Y1073" i="1"/>
  <c r="Z1073" i="1"/>
  <c r="W1074" i="1"/>
  <c r="X1074" i="1"/>
  <c r="Y1074" i="1"/>
  <c r="Z1074" i="1"/>
  <c r="W1075" i="1"/>
  <c r="X1075" i="1"/>
  <c r="Y1075" i="1"/>
  <c r="Z1075" i="1"/>
  <c r="W1076" i="1"/>
  <c r="X1076" i="1"/>
  <c r="Y1076" i="1"/>
  <c r="Z1076" i="1"/>
  <c r="W1077" i="1"/>
  <c r="X1077" i="1"/>
  <c r="Y1077" i="1"/>
  <c r="Z1077" i="1"/>
  <c r="W1078" i="1"/>
  <c r="X1078" i="1"/>
  <c r="Y1078" i="1"/>
  <c r="Z1078" i="1"/>
  <c r="W1079" i="1"/>
  <c r="X1079" i="1"/>
  <c r="Y1079" i="1"/>
  <c r="Z1079" i="1"/>
  <c r="W1080" i="1"/>
  <c r="X1080" i="1"/>
  <c r="Y1080" i="1"/>
  <c r="Z1080" i="1"/>
  <c r="W1081" i="1"/>
  <c r="X1081" i="1"/>
  <c r="Y1081" i="1"/>
  <c r="Z1081" i="1"/>
  <c r="W1082" i="1"/>
  <c r="X1082" i="1"/>
  <c r="Y1082" i="1"/>
  <c r="Z1082" i="1"/>
  <c r="W1083" i="1"/>
  <c r="X1083" i="1"/>
  <c r="Y1083" i="1"/>
  <c r="Z1083" i="1"/>
  <c r="W1084" i="1"/>
  <c r="X1084" i="1"/>
  <c r="Y1084" i="1"/>
  <c r="Z1084" i="1"/>
  <c r="W1085" i="1"/>
  <c r="X1085" i="1"/>
  <c r="Y1085" i="1"/>
  <c r="Z1085" i="1"/>
  <c r="W1086" i="1"/>
  <c r="X1086" i="1"/>
  <c r="Y1086" i="1"/>
  <c r="Z1086" i="1"/>
  <c r="W1087" i="1"/>
  <c r="X1087" i="1"/>
  <c r="Y1087" i="1"/>
  <c r="Z1087" i="1"/>
  <c r="W1088" i="1"/>
  <c r="X1088" i="1"/>
  <c r="Y1088" i="1"/>
  <c r="Z1088" i="1"/>
  <c r="W1089" i="1"/>
  <c r="X1089" i="1"/>
  <c r="Y1089" i="1"/>
  <c r="Z1089" i="1"/>
  <c r="W1090" i="1"/>
  <c r="X1090" i="1"/>
  <c r="Y1090" i="1"/>
  <c r="Z1090" i="1"/>
  <c r="W1091" i="1"/>
  <c r="X1091" i="1"/>
  <c r="Y1091" i="1"/>
  <c r="Z1091" i="1"/>
  <c r="W1092" i="1"/>
  <c r="X1092" i="1"/>
  <c r="Y1092" i="1"/>
  <c r="Z1092" i="1"/>
  <c r="W1093" i="1"/>
  <c r="X1093" i="1"/>
  <c r="Y1093" i="1"/>
  <c r="Z1093" i="1"/>
  <c r="W1094" i="1"/>
  <c r="X1094" i="1"/>
  <c r="Y1094" i="1"/>
  <c r="Z1094" i="1"/>
  <c r="W1095" i="1"/>
  <c r="X1095" i="1"/>
  <c r="Y1095" i="1"/>
  <c r="Z1095" i="1"/>
  <c r="W1096" i="1"/>
  <c r="X1096" i="1"/>
  <c r="Y1096" i="1"/>
  <c r="Z1096" i="1"/>
  <c r="W1097" i="1"/>
  <c r="X1097" i="1"/>
  <c r="Y1097" i="1"/>
  <c r="Z1097" i="1"/>
  <c r="W1098" i="1"/>
  <c r="X1098" i="1"/>
  <c r="Y1098" i="1"/>
  <c r="Z1098" i="1"/>
  <c r="W1099" i="1"/>
  <c r="X1099" i="1"/>
  <c r="Y1099" i="1"/>
  <c r="Z1099" i="1"/>
  <c r="W1100" i="1"/>
  <c r="X1100" i="1"/>
  <c r="Y1100" i="1"/>
  <c r="Z1100" i="1"/>
  <c r="W1101" i="1"/>
  <c r="X1101" i="1"/>
  <c r="Y1101" i="1"/>
  <c r="Z1101" i="1"/>
  <c r="W1102" i="1"/>
  <c r="X1102" i="1"/>
  <c r="Y1102" i="1"/>
  <c r="Z1102" i="1"/>
  <c r="W1103" i="1"/>
  <c r="X1103" i="1"/>
  <c r="Y1103" i="1"/>
  <c r="Z1103" i="1"/>
  <c r="W1104" i="1"/>
  <c r="X1104" i="1"/>
  <c r="Y1104" i="1"/>
  <c r="Z1104" i="1"/>
  <c r="W1105" i="1"/>
  <c r="X1105" i="1"/>
  <c r="Y1105" i="1"/>
  <c r="Z1105" i="1"/>
  <c r="W1106" i="1"/>
  <c r="X1106" i="1"/>
  <c r="Y1106" i="1"/>
  <c r="Z1106" i="1"/>
  <c r="W1107" i="1"/>
  <c r="X1107" i="1"/>
  <c r="Y1107" i="1"/>
  <c r="Z1107" i="1"/>
  <c r="W1108" i="1"/>
  <c r="X1108" i="1"/>
  <c r="Y1108" i="1"/>
  <c r="Z1108" i="1"/>
  <c r="W1109" i="1"/>
  <c r="X1109" i="1"/>
  <c r="Y1109" i="1"/>
  <c r="Z1109" i="1"/>
  <c r="W1110" i="1"/>
  <c r="X1110" i="1"/>
  <c r="Y1110" i="1"/>
  <c r="Z1110" i="1"/>
  <c r="W1111" i="1"/>
  <c r="X1111" i="1"/>
  <c r="Y1111" i="1"/>
  <c r="Z1111" i="1"/>
  <c r="W1112" i="1"/>
  <c r="X1112" i="1"/>
  <c r="Y1112" i="1"/>
  <c r="Z1112" i="1"/>
  <c r="W1113" i="1"/>
  <c r="X1113" i="1"/>
  <c r="Y1113" i="1"/>
  <c r="Z1113" i="1"/>
  <c r="W1114" i="1"/>
  <c r="Z1114" i="1" s="1"/>
  <c r="X1114" i="1"/>
  <c r="Y1114" i="1"/>
  <c r="W1115" i="1"/>
  <c r="Z1115" i="1" s="1"/>
  <c r="X1115" i="1"/>
  <c r="Y1115" i="1"/>
  <c r="W1116" i="1"/>
  <c r="Z1116" i="1" s="1"/>
  <c r="X1116" i="1"/>
  <c r="Y1116" i="1"/>
  <c r="W1117" i="1"/>
  <c r="Z1117" i="1" s="1"/>
  <c r="X1117" i="1"/>
  <c r="Y1117" i="1"/>
  <c r="W1118" i="1"/>
  <c r="Z1118" i="1" s="1"/>
  <c r="X1118" i="1"/>
  <c r="Y1118" i="1"/>
  <c r="W1119" i="1"/>
  <c r="Z1119" i="1" s="1"/>
  <c r="X1119" i="1"/>
  <c r="Y1119" i="1"/>
  <c r="W1120" i="1"/>
  <c r="Z1120" i="1" s="1"/>
  <c r="X1120" i="1"/>
  <c r="Y1120" i="1"/>
  <c r="W1121" i="1"/>
  <c r="Z1121" i="1" s="1"/>
  <c r="X1121" i="1"/>
  <c r="Y1121" i="1"/>
  <c r="W1122" i="1"/>
  <c r="Z1122" i="1" s="1"/>
  <c r="X1122" i="1"/>
  <c r="Y1122" i="1"/>
  <c r="W1123" i="1"/>
  <c r="Z1123" i="1" s="1"/>
  <c r="X1123" i="1"/>
  <c r="Y1123" i="1"/>
  <c r="W1124" i="1"/>
  <c r="Z1124" i="1" s="1"/>
  <c r="X1124" i="1"/>
  <c r="Y1124" i="1"/>
  <c r="W1125" i="1"/>
  <c r="Z1125" i="1" s="1"/>
  <c r="X1125" i="1"/>
  <c r="Y1125" i="1"/>
  <c r="W1126" i="1"/>
  <c r="Z1126" i="1" s="1"/>
  <c r="X1126" i="1"/>
  <c r="Y1126" i="1"/>
  <c r="W1127" i="1"/>
  <c r="Z1127" i="1" s="1"/>
  <c r="X1127" i="1"/>
  <c r="Y1127" i="1"/>
  <c r="W1128" i="1"/>
  <c r="Z1128" i="1" s="1"/>
  <c r="X1128" i="1"/>
  <c r="Y1128" i="1"/>
  <c r="W1129" i="1"/>
  <c r="Z1129" i="1" s="1"/>
  <c r="X1129" i="1"/>
  <c r="Y1129" i="1"/>
  <c r="W1130" i="1"/>
  <c r="Z1130" i="1" s="1"/>
  <c r="X1130" i="1"/>
  <c r="Y1130" i="1"/>
  <c r="W1131" i="1"/>
  <c r="Z1131" i="1" s="1"/>
  <c r="X1131" i="1"/>
  <c r="Y1131" i="1"/>
  <c r="W1132" i="1"/>
  <c r="Z1132" i="1" s="1"/>
  <c r="X1132" i="1"/>
  <c r="Y1132" i="1"/>
  <c r="W1133" i="1"/>
  <c r="Z1133" i="1" s="1"/>
  <c r="X1133" i="1"/>
  <c r="Y1133" i="1"/>
  <c r="W1134" i="1"/>
  <c r="Z1134" i="1" s="1"/>
  <c r="X1134" i="1"/>
  <c r="Y1134" i="1"/>
  <c r="W1135" i="1"/>
  <c r="Z1135" i="1" s="1"/>
  <c r="X1135" i="1"/>
  <c r="Y1135" i="1"/>
  <c r="W1136" i="1"/>
  <c r="Z1136" i="1" s="1"/>
  <c r="X1136" i="1"/>
  <c r="Y1136" i="1"/>
  <c r="W1137" i="1"/>
  <c r="Z1137" i="1" s="1"/>
  <c r="X1137" i="1"/>
  <c r="Y1137" i="1"/>
  <c r="W1138" i="1"/>
  <c r="Z1138" i="1" s="1"/>
  <c r="X1138" i="1"/>
  <c r="Y1138" i="1"/>
  <c r="W1139" i="1"/>
  <c r="Z1139" i="1" s="1"/>
  <c r="X1139" i="1"/>
  <c r="Y1139" i="1"/>
  <c r="W1140" i="1"/>
  <c r="Z1140" i="1" s="1"/>
  <c r="X1140" i="1"/>
  <c r="Y1140" i="1"/>
  <c r="W1141" i="1"/>
  <c r="Z1141" i="1" s="1"/>
  <c r="X1141" i="1"/>
  <c r="Y1141" i="1"/>
  <c r="W1142" i="1"/>
  <c r="Z1142" i="1" s="1"/>
  <c r="X1142" i="1"/>
  <c r="Y1142" i="1"/>
  <c r="W1143" i="1"/>
  <c r="Z1143" i="1" s="1"/>
  <c r="X1143" i="1"/>
  <c r="Y1143" i="1"/>
  <c r="W1144" i="1"/>
  <c r="Z1144" i="1" s="1"/>
  <c r="X1144" i="1"/>
  <c r="Y1144" i="1"/>
  <c r="W1145" i="1"/>
  <c r="Z1145" i="1" s="1"/>
  <c r="X1145" i="1"/>
  <c r="Y1145" i="1"/>
  <c r="W1146" i="1"/>
  <c r="Z1146" i="1" s="1"/>
  <c r="X1146" i="1"/>
  <c r="Y1146" i="1"/>
  <c r="W1147" i="1"/>
  <c r="Z1147" i="1" s="1"/>
  <c r="X1147" i="1"/>
  <c r="Y1147" i="1"/>
  <c r="W1148" i="1"/>
  <c r="Z1148" i="1" s="1"/>
  <c r="X1148" i="1"/>
  <c r="Y1148" i="1"/>
  <c r="W1149" i="1"/>
  <c r="Z1149" i="1" s="1"/>
  <c r="X1149" i="1"/>
  <c r="Y1149" i="1"/>
  <c r="W1150" i="1"/>
  <c r="Z1150" i="1" s="1"/>
  <c r="X1150" i="1"/>
  <c r="Y1150" i="1"/>
  <c r="W1151" i="1"/>
  <c r="Z1151" i="1" s="1"/>
  <c r="X1151" i="1"/>
  <c r="Y1151" i="1"/>
  <c r="W1152" i="1"/>
  <c r="Z1152" i="1" s="1"/>
  <c r="X1152" i="1"/>
  <c r="Y1152" i="1"/>
  <c r="W1153" i="1"/>
  <c r="Z1153" i="1" s="1"/>
  <c r="X1153" i="1"/>
  <c r="Y1153" i="1"/>
  <c r="W1154" i="1"/>
  <c r="Z1154" i="1" s="1"/>
  <c r="X1154" i="1"/>
  <c r="Y1154" i="1"/>
  <c r="W1155" i="1"/>
  <c r="Z1155" i="1" s="1"/>
  <c r="X1155" i="1"/>
  <c r="Y1155" i="1"/>
  <c r="W1156" i="1"/>
  <c r="Z1156" i="1" s="1"/>
  <c r="X1156" i="1"/>
  <c r="Y1156" i="1"/>
  <c r="W1157" i="1"/>
  <c r="Z1157" i="1" s="1"/>
  <c r="X1157" i="1"/>
  <c r="Y1157" i="1"/>
  <c r="W1158" i="1"/>
  <c r="Z1158" i="1" s="1"/>
  <c r="X1158" i="1"/>
  <c r="Y1158" i="1"/>
  <c r="W1159" i="1"/>
  <c r="Z1159" i="1" s="1"/>
  <c r="X1159" i="1"/>
  <c r="Y1159" i="1"/>
  <c r="W1160" i="1"/>
  <c r="Z1160" i="1" s="1"/>
  <c r="X1160" i="1"/>
  <c r="Y1160" i="1"/>
  <c r="W1161" i="1"/>
  <c r="Z1161" i="1" s="1"/>
  <c r="X1161" i="1"/>
  <c r="Y1161" i="1"/>
  <c r="W1162" i="1"/>
  <c r="Z1162" i="1" s="1"/>
  <c r="X1162" i="1"/>
  <c r="Y1162" i="1"/>
  <c r="W1163" i="1"/>
  <c r="Z1163" i="1" s="1"/>
  <c r="X1163" i="1"/>
  <c r="Y1163" i="1"/>
  <c r="W1164" i="1"/>
  <c r="Z1164" i="1" s="1"/>
  <c r="X1164" i="1"/>
  <c r="Y1164" i="1"/>
  <c r="W1165" i="1"/>
  <c r="Z1165" i="1" s="1"/>
  <c r="X1165" i="1"/>
  <c r="Y1165" i="1"/>
  <c r="W1166" i="1"/>
  <c r="Z1166" i="1" s="1"/>
  <c r="X1166" i="1"/>
  <c r="Y1166" i="1"/>
  <c r="W1167" i="1"/>
  <c r="Z1167" i="1" s="1"/>
  <c r="X1167" i="1"/>
  <c r="Y1167" i="1"/>
  <c r="W1168" i="1"/>
  <c r="Z1168" i="1" s="1"/>
  <c r="X1168" i="1"/>
  <c r="Y1168" i="1"/>
  <c r="W1169" i="1"/>
  <c r="Z1169" i="1" s="1"/>
  <c r="X1169" i="1"/>
  <c r="Y1169" i="1"/>
  <c r="W1170" i="1"/>
  <c r="Z1170" i="1" s="1"/>
  <c r="X1170" i="1"/>
  <c r="Y1170" i="1"/>
  <c r="W1171" i="1"/>
  <c r="Z1171" i="1" s="1"/>
  <c r="X1171" i="1"/>
  <c r="Y1171" i="1"/>
  <c r="W1172" i="1"/>
  <c r="Z1172" i="1" s="1"/>
  <c r="X1172" i="1"/>
  <c r="Y1172" i="1"/>
  <c r="W1173" i="1"/>
  <c r="Z1173" i="1" s="1"/>
  <c r="X1173" i="1"/>
  <c r="Y1173" i="1"/>
  <c r="W1174" i="1"/>
  <c r="Z1174" i="1" s="1"/>
  <c r="X1174" i="1"/>
  <c r="Y1174" i="1"/>
  <c r="W1175" i="1"/>
  <c r="Z1175" i="1" s="1"/>
  <c r="X1175" i="1"/>
  <c r="Y1175" i="1"/>
  <c r="W1176" i="1"/>
  <c r="Z1176" i="1" s="1"/>
  <c r="X1176" i="1"/>
  <c r="Y1176" i="1"/>
  <c r="W1177" i="1"/>
  <c r="Z1177" i="1" s="1"/>
  <c r="X1177" i="1"/>
  <c r="Y1177" i="1"/>
  <c r="W1178" i="1"/>
  <c r="Z1178" i="1" s="1"/>
  <c r="X1178" i="1"/>
  <c r="Y1178" i="1"/>
  <c r="W1179" i="1"/>
  <c r="Z1179" i="1" s="1"/>
  <c r="X1179" i="1"/>
  <c r="Y1179" i="1"/>
  <c r="W1180" i="1"/>
  <c r="Z1180" i="1" s="1"/>
  <c r="X1180" i="1"/>
  <c r="Y1180" i="1"/>
  <c r="W1181" i="1"/>
  <c r="Z1181" i="1" s="1"/>
  <c r="X1181" i="1"/>
  <c r="Y1181" i="1"/>
  <c r="W1182" i="1"/>
  <c r="Z1182" i="1" s="1"/>
  <c r="X1182" i="1"/>
  <c r="Y1182" i="1"/>
  <c r="W1183" i="1"/>
  <c r="Z1183" i="1" s="1"/>
  <c r="X1183" i="1"/>
  <c r="Y1183" i="1"/>
  <c r="W1184" i="1"/>
  <c r="Z1184" i="1" s="1"/>
  <c r="X1184" i="1"/>
  <c r="Y1184" i="1"/>
  <c r="W1185" i="1"/>
  <c r="Z1185" i="1" s="1"/>
  <c r="X1185" i="1"/>
  <c r="Y1185" i="1"/>
  <c r="W1186" i="1"/>
  <c r="Z1186" i="1" s="1"/>
  <c r="X1186" i="1"/>
  <c r="Y1186" i="1"/>
  <c r="W1187" i="1"/>
  <c r="Z1187" i="1" s="1"/>
  <c r="X1187" i="1"/>
  <c r="Y1187" i="1"/>
  <c r="W1188" i="1"/>
  <c r="Z1188" i="1" s="1"/>
  <c r="X1188" i="1"/>
  <c r="Y1188" i="1"/>
  <c r="W1189" i="1"/>
  <c r="Z1189" i="1" s="1"/>
  <c r="X1189" i="1"/>
  <c r="Y1189" i="1"/>
  <c r="W1190" i="1"/>
  <c r="Z1190" i="1" s="1"/>
  <c r="X1190" i="1"/>
  <c r="Y1190" i="1"/>
  <c r="W1191" i="1"/>
  <c r="Z1191" i="1" s="1"/>
  <c r="X1191" i="1"/>
  <c r="Y1191" i="1"/>
  <c r="W1192" i="1"/>
  <c r="Z1192" i="1" s="1"/>
  <c r="X1192" i="1"/>
  <c r="Y1192" i="1"/>
  <c r="W1193" i="1"/>
  <c r="Z1193" i="1" s="1"/>
  <c r="X1193" i="1"/>
  <c r="Y1193" i="1"/>
  <c r="W1194" i="1"/>
  <c r="Z1194" i="1" s="1"/>
  <c r="X1194" i="1"/>
  <c r="Y1194" i="1"/>
  <c r="W1195" i="1"/>
  <c r="Z1195" i="1" s="1"/>
  <c r="X1195" i="1"/>
  <c r="Y1195" i="1"/>
  <c r="W1196" i="1"/>
  <c r="Z1196" i="1" s="1"/>
  <c r="X1196" i="1"/>
  <c r="Y1196" i="1"/>
  <c r="W1197" i="1"/>
  <c r="Z1197" i="1" s="1"/>
  <c r="X1197" i="1"/>
  <c r="Y1197" i="1"/>
  <c r="W1198" i="1"/>
  <c r="Z1198" i="1" s="1"/>
  <c r="X1198" i="1"/>
  <c r="Y1198" i="1"/>
  <c r="W1199" i="1"/>
  <c r="Z1199" i="1" s="1"/>
  <c r="X1199" i="1"/>
  <c r="Y1199" i="1"/>
  <c r="W1200" i="1"/>
  <c r="Z1200" i="1" s="1"/>
  <c r="X1200" i="1"/>
  <c r="Y1200" i="1"/>
  <c r="W1201" i="1"/>
  <c r="Z1201" i="1" s="1"/>
  <c r="X1201" i="1"/>
  <c r="Y1201" i="1"/>
  <c r="W1202" i="1"/>
  <c r="Z1202" i="1" s="1"/>
  <c r="X1202" i="1"/>
  <c r="Y1202" i="1"/>
  <c r="W1203" i="1"/>
  <c r="Z1203" i="1" s="1"/>
  <c r="X1203" i="1"/>
  <c r="Y1203" i="1"/>
  <c r="W1204" i="1"/>
  <c r="Z1204" i="1" s="1"/>
  <c r="X1204" i="1"/>
  <c r="Y1204" i="1"/>
  <c r="W1205" i="1"/>
  <c r="Z1205" i="1" s="1"/>
  <c r="X1205" i="1"/>
  <c r="Y1205" i="1"/>
  <c r="W1206" i="1"/>
  <c r="Z1206" i="1" s="1"/>
  <c r="X1206" i="1"/>
  <c r="Y1206" i="1"/>
  <c r="W1207" i="1"/>
  <c r="Z1207" i="1" s="1"/>
  <c r="X1207" i="1"/>
  <c r="Y1207" i="1"/>
  <c r="W1208" i="1"/>
  <c r="Z1208" i="1" s="1"/>
  <c r="X1208" i="1"/>
  <c r="Y1208" i="1"/>
  <c r="W1209" i="1"/>
  <c r="Z1209" i="1" s="1"/>
  <c r="X1209" i="1"/>
  <c r="Y1209" i="1"/>
  <c r="W1210" i="1"/>
  <c r="Z1210" i="1" s="1"/>
  <c r="X1210" i="1"/>
  <c r="Y1210" i="1"/>
  <c r="W1211" i="1"/>
  <c r="Z1211" i="1" s="1"/>
  <c r="X1211" i="1"/>
  <c r="Y1211" i="1"/>
  <c r="W1212" i="1"/>
  <c r="Z1212" i="1" s="1"/>
  <c r="X1212" i="1"/>
  <c r="Y1212" i="1"/>
  <c r="W1213" i="1"/>
  <c r="Z1213" i="1" s="1"/>
  <c r="X1213" i="1"/>
  <c r="Y1213" i="1"/>
  <c r="W1214" i="1"/>
  <c r="Z1214" i="1" s="1"/>
  <c r="X1214" i="1"/>
  <c r="Y1214" i="1"/>
  <c r="W1215" i="1"/>
  <c r="Z1215" i="1" s="1"/>
  <c r="X1215" i="1"/>
  <c r="Y1215" i="1"/>
  <c r="W1216" i="1"/>
  <c r="Z1216" i="1" s="1"/>
  <c r="X1216" i="1"/>
  <c r="Y1216" i="1"/>
  <c r="W1217" i="1"/>
  <c r="Z1217" i="1" s="1"/>
  <c r="X1217" i="1"/>
  <c r="Y1217" i="1"/>
  <c r="W1218" i="1"/>
  <c r="Z1218" i="1" s="1"/>
  <c r="X1218" i="1"/>
  <c r="Y1218" i="1"/>
  <c r="W1219" i="1"/>
  <c r="Z1219" i="1" s="1"/>
  <c r="X1219" i="1"/>
  <c r="Y1219" i="1"/>
  <c r="P3" i="1"/>
  <c r="S3" i="1" s="1"/>
  <c r="Q3" i="1"/>
  <c r="R3" i="1"/>
  <c r="P4" i="1"/>
  <c r="S4" i="1" s="1"/>
  <c r="Q4" i="1"/>
  <c r="R4" i="1"/>
  <c r="P5" i="1"/>
  <c r="S5" i="1" s="1"/>
  <c r="Q5" i="1"/>
  <c r="R5" i="1"/>
  <c r="P6" i="1"/>
  <c r="S6" i="1" s="1"/>
  <c r="Q6" i="1"/>
  <c r="R6" i="1"/>
  <c r="P7" i="1"/>
  <c r="S7" i="1" s="1"/>
  <c r="Q7" i="1"/>
  <c r="R7" i="1"/>
  <c r="P8" i="1"/>
  <c r="S8" i="1" s="1"/>
  <c r="Q8" i="1"/>
  <c r="R8" i="1"/>
  <c r="P9" i="1"/>
  <c r="S9" i="1" s="1"/>
  <c r="Q9" i="1"/>
  <c r="R9" i="1"/>
  <c r="P10" i="1"/>
  <c r="S10" i="1" s="1"/>
  <c r="Q10" i="1"/>
  <c r="R10" i="1"/>
  <c r="P11" i="1"/>
  <c r="S11" i="1" s="1"/>
  <c r="Q11" i="1"/>
  <c r="R11" i="1"/>
  <c r="P12" i="1"/>
  <c r="S12" i="1" s="1"/>
  <c r="Q12" i="1"/>
  <c r="R12" i="1"/>
  <c r="P13" i="1"/>
  <c r="S13" i="1" s="1"/>
  <c r="Q13" i="1"/>
  <c r="R13" i="1"/>
  <c r="P14" i="1"/>
  <c r="S14" i="1" s="1"/>
  <c r="Q14" i="1"/>
  <c r="R14" i="1"/>
  <c r="P15" i="1"/>
  <c r="S15" i="1" s="1"/>
  <c r="Q15" i="1"/>
  <c r="R15" i="1"/>
  <c r="P16" i="1"/>
  <c r="S16" i="1" s="1"/>
  <c r="Q16" i="1"/>
  <c r="R16" i="1"/>
  <c r="P17" i="1"/>
  <c r="S17" i="1" s="1"/>
  <c r="Q17" i="1"/>
  <c r="R17" i="1"/>
  <c r="P18" i="1"/>
  <c r="S18" i="1" s="1"/>
  <c r="Q18" i="1"/>
  <c r="R18" i="1"/>
  <c r="P19" i="1"/>
  <c r="S19" i="1" s="1"/>
  <c r="Q19" i="1"/>
  <c r="R19" i="1"/>
  <c r="P20" i="1"/>
  <c r="S20" i="1" s="1"/>
  <c r="Q20" i="1"/>
  <c r="R20" i="1"/>
  <c r="P21" i="1"/>
  <c r="S21" i="1" s="1"/>
  <c r="Q21" i="1"/>
  <c r="R21" i="1"/>
  <c r="P22" i="1"/>
  <c r="S22" i="1" s="1"/>
  <c r="Q22" i="1"/>
  <c r="R22" i="1"/>
  <c r="P23" i="1"/>
  <c r="S23" i="1" s="1"/>
  <c r="Q23" i="1"/>
  <c r="R23" i="1"/>
  <c r="P24" i="1"/>
  <c r="S24" i="1" s="1"/>
  <c r="Q24" i="1"/>
  <c r="R24" i="1"/>
  <c r="P25" i="1"/>
  <c r="S25" i="1" s="1"/>
  <c r="Q25" i="1"/>
  <c r="R25" i="1"/>
  <c r="P26" i="1"/>
  <c r="S26" i="1" s="1"/>
  <c r="Q26" i="1"/>
  <c r="R26" i="1"/>
  <c r="P27" i="1"/>
  <c r="S27" i="1" s="1"/>
  <c r="Q27" i="1"/>
  <c r="R27" i="1"/>
  <c r="P28" i="1"/>
  <c r="S28" i="1" s="1"/>
  <c r="Q28" i="1"/>
  <c r="R28" i="1"/>
  <c r="P29" i="1"/>
  <c r="S29" i="1" s="1"/>
  <c r="Q29" i="1"/>
  <c r="R29" i="1"/>
  <c r="P30" i="1"/>
  <c r="S30" i="1" s="1"/>
  <c r="Q30" i="1"/>
  <c r="R30" i="1"/>
  <c r="P31" i="1"/>
  <c r="S31" i="1" s="1"/>
  <c r="Q31" i="1"/>
  <c r="R31" i="1"/>
  <c r="P32" i="1"/>
  <c r="S32" i="1" s="1"/>
  <c r="Q32" i="1"/>
  <c r="R32" i="1"/>
  <c r="P33" i="1"/>
  <c r="S33" i="1" s="1"/>
  <c r="Q33" i="1"/>
  <c r="R33" i="1"/>
  <c r="P34" i="1"/>
  <c r="S34" i="1" s="1"/>
  <c r="Q34" i="1"/>
  <c r="R34" i="1"/>
  <c r="P35" i="1"/>
  <c r="S35" i="1" s="1"/>
  <c r="Q35" i="1"/>
  <c r="R35" i="1"/>
  <c r="P36" i="1"/>
  <c r="S36" i="1" s="1"/>
  <c r="Q36" i="1"/>
  <c r="R36" i="1"/>
  <c r="P37" i="1"/>
  <c r="S37" i="1" s="1"/>
  <c r="Q37" i="1"/>
  <c r="R37" i="1"/>
  <c r="P38" i="1"/>
  <c r="S38" i="1" s="1"/>
  <c r="Q38" i="1"/>
  <c r="R38" i="1"/>
  <c r="P39" i="1"/>
  <c r="S39" i="1" s="1"/>
  <c r="Q39" i="1"/>
  <c r="R39" i="1"/>
  <c r="P40" i="1"/>
  <c r="S40" i="1" s="1"/>
  <c r="Q40" i="1"/>
  <c r="R40" i="1"/>
  <c r="P41" i="1"/>
  <c r="S41" i="1" s="1"/>
  <c r="Q41" i="1"/>
  <c r="R41" i="1"/>
  <c r="P42" i="1"/>
  <c r="S42" i="1" s="1"/>
  <c r="Q42" i="1"/>
  <c r="R42" i="1"/>
  <c r="P43" i="1"/>
  <c r="S43" i="1" s="1"/>
  <c r="Q43" i="1"/>
  <c r="R43" i="1"/>
  <c r="P44" i="1"/>
  <c r="S44" i="1" s="1"/>
  <c r="Q44" i="1"/>
  <c r="R44" i="1"/>
  <c r="P45" i="1"/>
  <c r="S45" i="1" s="1"/>
  <c r="Q45" i="1"/>
  <c r="R45" i="1"/>
  <c r="P46" i="1"/>
  <c r="S46" i="1" s="1"/>
  <c r="Q46" i="1"/>
  <c r="R46" i="1"/>
  <c r="P47" i="1"/>
  <c r="S47" i="1" s="1"/>
  <c r="Q47" i="1"/>
  <c r="R47" i="1"/>
  <c r="P48" i="1"/>
  <c r="S48" i="1" s="1"/>
  <c r="Q48" i="1"/>
  <c r="R48" i="1"/>
  <c r="P49" i="1"/>
  <c r="S49" i="1" s="1"/>
  <c r="Q49" i="1"/>
  <c r="R49" i="1"/>
  <c r="P50" i="1"/>
  <c r="S50" i="1" s="1"/>
  <c r="Q50" i="1"/>
  <c r="R50" i="1"/>
  <c r="P51" i="1"/>
  <c r="S51" i="1" s="1"/>
  <c r="Q51" i="1"/>
  <c r="R51" i="1"/>
  <c r="P52" i="1"/>
  <c r="S52" i="1" s="1"/>
  <c r="Q52" i="1"/>
  <c r="R52" i="1"/>
  <c r="P53" i="1"/>
  <c r="S53" i="1" s="1"/>
  <c r="Q53" i="1"/>
  <c r="R53" i="1"/>
  <c r="P54" i="1"/>
  <c r="S54" i="1" s="1"/>
  <c r="Q54" i="1"/>
  <c r="R54" i="1"/>
  <c r="P55" i="1"/>
  <c r="S55" i="1" s="1"/>
  <c r="Q55" i="1"/>
  <c r="R55" i="1"/>
  <c r="P56" i="1"/>
  <c r="S56" i="1" s="1"/>
  <c r="Q56" i="1"/>
  <c r="R56" i="1"/>
  <c r="P57" i="1"/>
  <c r="S57" i="1" s="1"/>
  <c r="Q57" i="1"/>
  <c r="R57" i="1"/>
  <c r="P58" i="1"/>
  <c r="S58" i="1" s="1"/>
  <c r="Q58" i="1"/>
  <c r="R58" i="1"/>
  <c r="P59" i="1"/>
  <c r="S59" i="1" s="1"/>
  <c r="Q59" i="1"/>
  <c r="R59" i="1"/>
  <c r="P60" i="1"/>
  <c r="S60" i="1" s="1"/>
  <c r="Q60" i="1"/>
  <c r="R60" i="1"/>
  <c r="P61" i="1"/>
  <c r="S61" i="1" s="1"/>
  <c r="Q61" i="1"/>
  <c r="R61" i="1"/>
  <c r="P62" i="1"/>
  <c r="S62" i="1" s="1"/>
  <c r="Q62" i="1"/>
  <c r="R62" i="1"/>
  <c r="P63" i="1"/>
  <c r="S63" i="1" s="1"/>
  <c r="Q63" i="1"/>
  <c r="R63" i="1"/>
  <c r="P64" i="1"/>
  <c r="S64" i="1" s="1"/>
  <c r="Q64" i="1"/>
  <c r="R64" i="1"/>
  <c r="P65" i="1"/>
  <c r="S65" i="1" s="1"/>
  <c r="Q65" i="1"/>
  <c r="R65" i="1"/>
  <c r="P66" i="1"/>
  <c r="S66" i="1" s="1"/>
  <c r="Q66" i="1"/>
  <c r="R66" i="1"/>
  <c r="P67" i="1"/>
  <c r="S67" i="1" s="1"/>
  <c r="Q67" i="1"/>
  <c r="R67" i="1"/>
  <c r="P68" i="1"/>
  <c r="S68" i="1" s="1"/>
  <c r="Q68" i="1"/>
  <c r="R68" i="1"/>
  <c r="P69" i="1"/>
  <c r="S69" i="1" s="1"/>
  <c r="Q69" i="1"/>
  <c r="R69" i="1"/>
  <c r="P70" i="1"/>
  <c r="S70" i="1" s="1"/>
  <c r="Q70" i="1"/>
  <c r="R70" i="1"/>
  <c r="P71" i="1"/>
  <c r="S71" i="1" s="1"/>
  <c r="Q71" i="1"/>
  <c r="R71" i="1"/>
  <c r="P72" i="1"/>
  <c r="S72" i="1" s="1"/>
  <c r="Q72" i="1"/>
  <c r="R72" i="1"/>
  <c r="P73" i="1"/>
  <c r="S73" i="1" s="1"/>
  <c r="Q73" i="1"/>
  <c r="R73" i="1"/>
  <c r="P74" i="1"/>
  <c r="S74" i="1" s="1"/>
  <c r="Q74" i="1"/>
  <c r="R74" i="1"/>
  <c r="P75" i="1"/>
  <c r="S75" i="1" s="1"/>
  <c r="Q75" i="1"/>
  <c r="R75" i="1"/>
  <c r="P76" i="1"/>
  <c r="S76" i="1" s="1"/>
  <c r="Q76" i="1"/>
  <c r="R76" i="1"/>
  <c r="P77" i="1"/>
  <c r="S77" i="1" s="1"/>
  <c r="Q77" i="1"/>
  <c r="R77" i="1"/>
  <c r="P78" i="1"/>
  <c r="S78" i="1" s="1"/>
  <c r="Q78" i="1"/>
  <c r="R78" i="1"/>
  <c r="P79" i="1"/>
  <c r="S79" i="1" s="1"/>
  <c r="Q79" i="1"/>
  <c r="R79" i="1"/>
  <c r="P80" i="1"/>
  <c r="S80" i="1" s="1"/>
  <c r="Q80" i="1"/>
  <c r="R80" i="1"/>
  <c r="P81" i="1"/>
  <c r="S81" i="1" s="1"/>
  <c r="Q81" i="1"/>
  <c r="R81" i="1"/>
  <c r="P82" i="1"/>
  <c r="S82" i="1" s="1"/>
  <c r="Q82" i="1"/>
  <c r="R82" i="1"/>
  <c r="P83" i="1"/>
  <c r="S83" i="1" s="1"/>
  <c r="Q83" i="1"/>
  <c r="R83" i="1"/>
  <c r="P84" i="1"/>
  <c r="S84" i="1" s="1"/>
  <c r="Q84" i="1"/>
  <c r="R84" i="1"/>
  <c r="P85" i="1"/>
  <c r="S85" i="1" s="1"/>
  <c r="Q85" i="1"/>
  <c r="R85" i="1"/>
  <c r="P86" i="1"/>
  <c r="S86" i="1" s="1"/>
  <c r="Q86" i="1"/>
  <c r="R86" i="1"/>
  <c r="P87" i="1"/>
  <c r="S87" i="1" s="1"/>
  <c r="Q87" i="1"/>
  <c r="R87" i="1"/>
  <c r="P88" i="1"/>
  <c r="S88" i="1" s="1"/>
  <c r="Q88" i="1"/>
  <c r="R88" i="1"/>
  <c r="P89" i="1"/>
  <c r="S89" i="1" s="1"/>
  <c r="Q89" i="1"/>
  <c r="R89" i="1"/>
  <c r="P90" i="1"/>
  <c r="S90" i="1" s="1"/>
  <c r="Q90" i="1"/>
  <c r="R90" i="1"/>
  <c r="P91" i="1"/>
  <c r="S91" i="1" s="1"/>
  <c r="Q91" i="1"/>
  <c r="R91" i="1"/>
  <c r="P92" i="1"/>
  <c r="S92" i="1" s="1"/>
  <c r="Q92" i="1"/>
  <c r="R92" i="1"/>
  <c r="P93" i="1"/>
  <c r="S93" i="1" s="1"/>
  <c r="Q93" i="1"/>
  <c r="R93" i="1"/>
  <c r="P94" i="1"/>
  <c r="S94" i="1" s="1"/>
  <c r="Q94" i="1"/>
  <c r="R94" i="1"/>
  <c r="P95" i="1"/>
  <c r="S95" i="1" s="1"/>
  <c r="Q95" i="1"/>
  <c r="R95" i="1"/>
  <c r="P96" i="1"/>
  <c r="S96" i="1" s="1"/>
  <c r="Q96" i="1"/>
  <c r="R96" i="1"/>
  <c r="P97" i="1"/>
  <c r="S97" i="1" s="1"/>
  <c r="Q97" i="1"/>
  <c r="R97" i="1"/>
  <c r="P98" i="1"/>
  <c r="S98" i="1" s="1"/>
  <c r="Q98" i="1"/>
  <c r="R98" i="1"/>
  <c r="P99" i="1"/>
  <c r="S99" i="1" s="1"/>
  <c r="Q99" i="1"/>
  <c r="R99" i="1"/>
  <c r="P100" i="1"/>
  <c r="S100" i="1" s="1"/>
  <c r="Q100" i="1"/>
  <c r="R100" i="1"/>
  <c r="P101" i="1"/>
  <c r="S101" i="1" s="1"/>
  <c r="Q101" i="1"/>
  <c r="R101" i="1"/>
  <c r="P102" i="1"/>
  <c r="S102" i="1" s="1"/>
  <c r="Q102" i="1"/>
  <c r="R102" i="1"/>
  <c r="P103" i="1"/>
  <c r="S103" i="1" s="1"/>
  <c r="Q103" i="1"/>
  <c r="R103" i="1"/>
  <c r="P104" i="1"/>
  <c r="S104" i="1" s="1"/>
  <c r="Q104" i="1"/>
  <c r="R104" i="1"/>
  <c r="P105" i="1"/>
  <c r="S105" i="1" s="1"/>
  <c r="Q105" i="1"/>
  <c r="R105" i="1"/>
  <c r="P106" i="1"/>
  <c r="S106" i="1" s="1"/>
  <c r="Q106" i="1"/>
  <c r="R106" i="1"/>
  <c r="P107" i="1"/>
  <c r="S107" i="1" s="1"/>
  <c r="Q107" i="1"/>
  <c r="R107" i="1"/>
  <c r="P108" i="1"/>
  <c r="S108" i="1" s="1"/>
  <c r="Q108" i="1"/>
  <c r="R108" i="1"/>
  <c r="P109" i="1"/>
  <c r="S109" i="1" s="1"/>
  <c r="Q109" i="1"/>
  <c r="R109" i="1"/>
  <c r="P110" i="1"/>
  <c r="S110" i="1" s="1"/>
  <c r="Q110" i="1"/>
  <c r="R110" i="1"/>
  <c r="P111" i="1"/>
  <c r="S111" i="1" s="1"/>
  <c r="Q111" i="1"/>
  <c r="R111" i="1"/>
  <c r="P112" i="1"/>
  <c r="S112" i="1" s="1"/>
  <c r="Q112" i="1"/>
  <c r="R112" i="1"/>
  <c r="P113" i="1"/>
  <c r="S113" i="1" s="1"/>
  <c r="Q113" i="1"/>
  <c r="R113" i="1"/>
  <c r="P114" i="1"/>
  <c r="S114" i="1" s="1"/>
  <c r="Q114" i="1"/>
  <c r="R114" i="1"/>
  <c r="P115" i="1"/>
  <c r="S115" i="1" s="1"/>
  <c r="Q115" i="1"/>
  <c r="R115" i="1"/>
  <c r="P116" i="1"/>
  <c r="S116" i="1" s="1"/>
  <c r="Q116" i="1"/>
  <c r="R116" i="1"/>
  <c r="P117" i="1"/>
  <c r="S117" i="1" s="1"/>
  <c r="Q117" i="1"/>
  <c r="R117" i="1"/>
  <c r="P118" i="1"/>
  <c r="S118" i="1" s="1"/>
  <c r="Q118" i="1"/>
  <c r="R118" i="1"/>
  <c r="P119" i="1"/>
  <c r="S119" i="1" s="1"/>
  <c r="Q119" i="1"/>
  <c r="R119" i="1"/>
  <c r="P120" i="1"/>
  <c r="S120" i="1" s="1"/>
  <c r="Q120" i="1"/>
  <c r="R120" i="1"/>
  <c r="P121" i="1"/>
  <c r="S121" i="1" s="1"/>
  <c r="Q121" i="1"/>
  <c r="R121" i="1"/>
  <c r="P122" i="1"/>
  <c r="S122" i="1" s="1"/>
  <c r="Q122" i="1"/>
  <c r="R122" i="1"/>
  <c r="P123" i="1"/>
  <c r="S123" i="1" s="1"/>
  <c r="Q123" i="1"/>
  <c r="R123" i="1"/>
  <c r="P124" i="1"/>
  <c r="S124" i="1" s="1"/>
  <c r="Q124" i="1"/>
  <c r="R124" i="1"/>
  <c r="P125" i="1"/>
  <c r="S125" i="1" s="1"/>
  <c r="Q125" i="1"/>
  <c r="R125" i="1"/>
  <c r="P126" i="1"/>
  <c r="S126" i="1" s="1"/>
  <c r="Q126" i="1"/>
  <c r="R126" i="1"/>
  <c r="P127" i="1"/>
  <c r="S127" i="1" s="1"/>
  <c r="Q127" i="1"/>
  <c r="R127" i="1"/>
  <c r="P128" i="1"/>
  <c r="S128" i="1" s="1"/>
  <c r="Q128" i="1"/>
  <c r="R128" i="1"/>
  <c r="P129" i="1"/>
  <c r="S129" i="1" s="1"/>
  <c r="Q129" i="1"/>
  <c r="R129" i="1"/>
  <c r="P130" i="1"/>
  <c r="S130" i="1" s="1"/>
  <c r="Q130" i="1"/>
  <c r="R130" i="1"/>
  <c r="P131" i="1"/>
  <c r="S131" i="1" s="1"/>
  <c r="Q131" i="1"/>
  <c r="R131" i="1"/>
  <c r="P132" i="1"/>
  <c r="S132" i="1" s="1"/>
  <c r="Q132" i="1"/>
  <c r="R132" i="1"/>
  <c r="P133" i="1"/>
  <c r="S133" i="1" s="1"/>
  <c r="Q133" i="1"/>
  <c r="R133" i="1"/>
  <c r="P134" i="1"/>
  <c r="S134" i="1" s="1"/>
  <c r="Q134" i="1"/>
  <c r="R134" i="1"/>
  <c r="P135" i="1"/>
  <c r="S135" i="1" s="1"/>
  <c r="Q135" i="1"/>
  <c r="R135" i="1"/>
  <c r="P136" i="1"/>
  <c r="S136" i="1" s="1"/>
  <c r="Q136" i="1"/>
  <c r="R136" i="1"/>
  <c r="P137" i="1"/>
  <c r="S137" i="1" s="1"/>
  <c r="Q137" i="1"/>
  <c r="R137" i="1"/>
  <c r="P138" i="1"/>
  <c r="S138" i="1" s="1"/>
  <c r="Q138" i="1"/>
  <c r="R138" i="1"/>
  <c r="P139" i="1"/>
  <c r="S139" i="1" s="1"/>
  <c r="Q139" i="1"/>
  <c r="R139" i="1"/>
  <c r="P140" i="1"/>
  <c r="S140" i="1" s="1"/>
  <c r="Q140" i="1"/>
  <c r="R140" i="1"/>
  <c r="P141" i="1"/>
  <c r="S141" i="1" s="1"/>
  <c r="Q141" i="1"/>
  <c r="R141" i="1"/>
  <c r="P142" i="1"/>
  <c r="S142" i="1" s="1"/>
  <c r="Q142" i="1"/>
  <c r="R142" i="1"/>
  <c r="P143" i="1"/>
  <c r="S143" i="1" s="1"/>
  <c r="Q143" i="1"/>
  <c r="R143" i="1"/>
  <c r="P144" i="1"/>
  <c r="S144" i="1" s="1"/>
  <c r="Q144" i="1"/>
  <c r="R144" i="1"/>
  <c r="P145" i="1"/>
  <c r="S145" i="1" s="1"/>
  <c r="Q145" i="1"/>
  <c r="R145" i="1"/>
  <c r="P146" i="1"/>
  <c r="S146" i="1" s="1"/>
  <c r="Q146" i="1"/>
  <c r="R146" i="1"/>
  <c r="P147" i="1"/>
  <c r="S147" i="1" s="1"/>
  <c r="Q147" i="1"/>
  <c r="R147" i="1"/>
  <c r="P148" i="1"/>
  <c r="S148" i="1" s="1"/>
  <c r="Q148" i="1"/>
  <c r="R148" i="1"/>
  <c r="P149" i="1"/>
  <c r="S149" i="1" s="1"/>
  <c r="Q149" i="1"/>
  <c r="R149" i="1"/>
  <c r="P150" i="1"/>
  <c r="S150" i="1" s="1"/>
  <c r="Q150" i="1"/>
  <c r="R150" i="1"/>
  <c r="P151" i="1"/>
  <c r="S151" i="1" s="1"/>
  <c r="Q151" i="1"/>
  <c r="R151" i="1"/>
  <c r="P152" i="1"/>
  <c r="S152" i="1" s="1"/>
  <c r="Q152" i="1"/>
  <c r="R152" i="1"/>
  <c r="P153" i="1"/>
  <c r="S153" i="1" s="1"/>
  <c r="Q153" i="1"/>
  <c r="R153" i="1"/>
  <c r="P154" i="1"/>
  <c r="S154" i="1" s="1"/>
  <c r="Q154" i="1"/>
  <c r="R154" i="1"/>
  <c r="P155" i="1"/>
  <c r="S155" i="1" s="1"/>
  <c r="Q155" i="1"/>
  <c r="R155" i="1"/>
  <c r="P156" i="1"/>
  <c r="S156" i="1" s="1"/>
  <c r="Q156" i="1"/>
  <c r="R156" i="1"/>
  <c r="P157" i="1"/>
  <c r="S157" i="1" s="1"/>
  <c r="Q157" i="1"/>
  <c r="R157" i="1"/>
  <c r="P158" i="1"/>
  <c r="S158" i="1" s="1"/>
  <c r="Q158" i="1"/>
  <c r="R158" i="1"/>
  <c r="P159" i="1"/>
  <c r="S159" i="1" s="1"/>
  <c r="Q159" i="1"/>
  <c r="R159" i="1"/>
  <c r="P160" i="1"/>
  <c r="S160" i="1" s="1"/>
  <c r="Q160" i="1"/>
  <c r="R160" i="1"/>
  <c r="P161" i="1"/>
  <c r="S161" i="1" s="1"/>
  <c r="Q161" i="1"/>
  <c r="R161" i="1"/>
  <c r="P162" i="1"/>
  <c r="S162" i="1" s="1"/>
  <c r="Q162" i="1"/>
  <c r="R162" i="1"/>
  <c r="P163" i="1"/>
  <c r="S163" i="1" s="1"/>
  <c r="Q163" i="1"/>
  <c r="R163" i="1"/>
  <c r="P164" i="1"/>
  <c r="S164" i="1" s="1"/>
  <c r="Q164" i="1"/>
  <c r="R164" i="1"/>
  <c r="P165" i="1"/>
  <c r="S165" i="1" s="1"/>
  <c r="Q165" i="1"/>
  <c r="R165" i="1"/>
  <c r="P166" i="1"/>
  <c r="S166" i="1" s="1"/>
  <c r="Q166" i="1"/>
  <c r="R166" i="1"/>
  <c r="P167" i="1"/>
  <c r="S167" i="1" s="1"/>
  <c r="Q167" i="1"/>
  <c r="R167" i="1"/>
  <c r="P168" i="1"/>
  <c r="S168" i="1" s="1"/>
  <c r="Q168" i="1"/>
  <c r="R168" i="1"/>
  <c r="P169" i="1"/>
  <c r="S169" i="1" s="1"/>
  <c r="Q169" i="1"/>
  <c r="R169" i="1"/>
  <c r="P170" i="1"/>
  <c r="S170" i="1" s="1"/>
  <c r="Q170" i="1"/>
  <c r="R170" i="1"/>
  <c r="P171" i="1"/>
  <c r="S171" i="1" s="1"/>
  <c r="Q171" i="1"/>
  <c r="R171" i="1"/>
  <c r="P172" i="1"/>
  <c r="S172" i="1" s="1"/>
  <c r="Q172" i="1"/>
  <c r="R172" i="1"/>
  <c r="P173" i="1"/>
  <c r="S173" i="1" s="1"/>
  <c r="Q173" i="1"/>
  <c r="R173" i="1"/>
  <c r="P174" i="1"/>
  <c r="S174" i="1" s="1"/>
  <c r="Q174" i="1"/>
  <c r="R174" i="1"/>
  <c r="P175" i="1"/>
  <c r="S175" i="1" s="1"/>
  <c r="Q175" i="1"/>
  <c r="R175" i="1"/>
  <c r="P176" i="1"/>
  <c r="S176" i="1" s="1"/>
  <c r="Q176" i="1"/>
  <c r="R176" i="1"/>
  <c r="P177" i="1"/>
  <c r="S177" i="1" s="1"/>
  <c r="Q177" i="1"/>
  <c r="R177" i="1"/>
  <c r="P178" i="1"/>
  <c r="S178" i="1" s="1"/>
  <c r="Q178" i="1"/>
  <c r="R178" i="1"/>
  <c r="P179" i="1"/>
  <c r="S179" i="1" s="1"/>
  <c r="Q179" i="1"/>
  <c r="R179" i="1"/>
  <c r="P180" i="1"/>
  <c r="S180" i="1" s="1"/>
  <c r="Q180" i="1"/>
  <c r="R180" i="1"/>
  <c r="P181" i="1"/>
  <c r="S181" i="1" s="1"/>
  <c r="Q181" i="1"/>
  <c r="R181" i="1"/>
  <c r="P182" i="1"/>
  <c r="S182" i="1" s="1"/>
  <c r="Q182" i="1"/>
  <c r="R182" i="1"/>
  <c r="P183" i="1"/>
  <c r="S183" i="1" s="1"/>
  <c r="Q183" i="1"/>
  <c r="R183" i="1"/>
  <c r="P184" i="1"/>
  <c r="S184" i="1" s="1"/>
  <c r="Q184" i="1"/>
  <c r="R184" i="1"/>
  <c r="P185" i="1"/>
  <c r="S185" i="1" s="1"/>
  <c r="Q185" i="1"/>
  <c r="R185" i="1"/>
  <c r="P186" i="1"/>
  <c r="S186" i="1" s="1"/>
  <c r="Q186" i="1"/>
  <c r="R186" i="1"/>
  <c r="P187" i="1"/>
  <c r="S187" i="1" s="1"/>
  <c r="Q187" i="1"/>
  <c r="R187" i="1"/>
  <c r="P188" i="1"/>
  <c r="S188" i="1" s="1"/>
  <c r="Q188" i="1"/>
  <c r="R188" i="1"/>
  <c r="P189" i="1"/>
  <c r="S189" i="1" s="1"/>
  <c r="Q189" i="1"/>
  <c r="R189" i="1"/>
  <c r="P190" i="1"/>
  <c r="S190" i="1" s="1"/>
  <c r="Q190" i="1"/>
  <c r="R190" i="1"/>
  <c r="P191" i="1"/>
  <c r="S191" i="1" s="1"/>
  <c r="Q191" i="1"/>
  <c r="R191" i="1"/>
  <c r="P192" i="1"/>
  <c r="S192" i="1" s="1"/>
  <c r="Q192" i="1"/>
  <c r="R192" i="1"/>
  <c r="P193" i="1"/>
  <c r="S193" i="1" s="1"/>
  <c r="Q193" i="1"/>
  <c r="R193" i="1"/>
  <c r="P194" i="1"/>
  <c r="S194" i="1" s="1"/>
  <c r="Q194" i="1"/>
  <c r="R194" i="1"/>
  <c r="P195" i="1"/>
  <c r="S195" i="1" s="1"/>
  <c r="Q195" i="1"/>
  <c r="R195" i="1"/>
  <c r="P196" i="1"/>
  <c r="S196" i="1" s="1"/>
  <c r="Q196" i="1"/>
  <c r="R196" i="1"/>
  <c r="P197" i="1"/>
  <c r="S197" i="1" s="1"/>
  <c r="Q197" i="1"/>
  <c r="R197" i="1"/>
  <c r="P198" i="1"/>
  <c r="S198" i="1" s="1"/>
  <c r="Q198" i="1"/>
  <c r="R198" i="1"/>
  <c r="P199" i="1"/>
  <c r="S199" i="1" s="1"/>
  <c r="Q199" i="1"/>
  <c r="R199" i="1"/>
  <c r="P200" i="1"/>
  <c r="S200" i="1" s="1"/>
  <c r="Q200" i="1"/>
  <c r="R200" i="1"/>
  <c r="P201" i="1"/>
  <c r="S201" i="1" s="1"/>
  <c r="Q201" i="1"/>
  <c r="R201" i="1"/>
  <c r="P202" i="1"/>
  <c r="S202" i="1" s="1"/>
  <c r="Q202" i="1"/>
  <c r="R202" i="1"/>
  <c r="P203" i="1"/>
  <c r="S203" i="1" s="1"/>
  <c r="Q203" i="1"/>
  <c r="R203" i="1"/>
  <c r="P204" i="1"/>
  <c r="S204" i="1" s="1"/>
  <c r="Q204" i="1"/>
  <c r="R204" i="1"/>
  <c r="P205" i="1"/>
  <c r="S205" i="1" s="1"/>
  <c r="Q205" i="1"/>
  <c r="R205" i="1"/>
  <c r="P206" i="1"/>
  <c r="S206" i="1" s="1"/>
  <c r="Q206" i="1"/>
  <c r="R206" i="1"/>
  <c r="P207" i="1"/>
  <c r="S207" i="1" s="1"/>
  <c r="Q207" i="1"/>
  <c r="R207" i="1"/>
  <c r="P208" i="1"/>
  <c r="S208" i="1" s="1"/>
  <c r="Q208" i="1"/>
  <c r="R208" i="1"/>
  <c r="P209" i="1"/>
  <c r="S209" i="1" s="1"/>
  <c r="Q209" i="1"/>
  <c r="R209" i="1"/>
  <c r="P210" i="1"/>
  <c r="S210" i="1" s="1"/>
  <c r="Q210" i="1"/>
  <c r="R210" i="1"/>
  <c r="P211" i="1"/>
  <c r="S211" i="1" s="1"/>
  <c r="Q211" i="1"/>
  <c r="R211" i="1"/>
  <c r="P212" i="1"/>
  <c r="S212" i="1" s="1"/>
  <c r="Q212" i="1"/>
  <c r="R212" i="1"/>
  <c r="P213" i="1"/>
  <c r="S213" i="1" s="1"/>
  <c r="Q213" i="1"/>
  <c r="R213" i="1"/>
  <c r="P214" i="1"/>
  <c r="S214" i="1" s="1"/>
  <c r="Q214" i="1"/>
  <c r="R214" i="1"/>
  <c r="P215" i="1"/>
  <c r="S215" i="1" s="1"/>
  <c r="Q215" i="1"/>
  <c r="R215" i="1"/>
  <c r="P216" i="1"/>
  <c r="S216" i="1" s="1"/>
  <c r="Q216" i="1"/>
  <c r="R216" i="1"/>
  <c r="P217" i="1"/>
  <c r="S217" i="1" s="1"/>
  <c r="Q217" i="1"/>
  <c r="R217" i="1"/>
  <c r="P218" i="1"/>
  <c r="S218" i="1" s="1"/>
  <c r="Q218" i="1"/>
  <c r="R218" i="1"/>
  <c r="P219" i="1"/>
  <c r="S219" i="1" s="1"/>
  <c r="Q219" i="1"/>
  <c r="R219" i="1"/>
  <c r="P220" i="1"/>
  <c r="S220" i="1" s="1"/>
  <c r="Q220" i="1"/>
  <c r="R220" i="1"/>
  <c r="P221" i="1"/>
  <c r="S221" i="1" s="1"/>
  <c r="Q221" i="1"/>
  <c r="R221" i="1"/>
  <c r="P222" i="1"/>
  <c r="S222" i="1" s="1"/>
  <c r="Q222" i="1"/>
  <c r="R222" i="1"/>
  <c r="P223" i="1"/>
  <c r="S223" i="1" s="1"/>
  <c r="Q223" i="1"/>
  <c r="R223" i="1"/>
  <c r="P224" i="1"/>
  <c r="S224" i="1" s="1"/>
  <c r="Q224" i="1"/>
  <c r="R224" i="1"/>
  <c r="P225" i="1"/>
  <c r="S225" i="1" s="1"/>
  <c r="Q225" i="1"/>
  <c r="R225" i="1"/>
  <c r="P226" i="1"/>
  <c r="S226" i="1" s="1"/>
  <c r="Q226" i="1"/>
  <c r="R226" i="1"/>
  <c r="P227" i="1"/>
  <c r="S227" i="1" s="1"/>
  <c r="Q227" i="1"/>
  <c r="R227" i="1"/>
  <c r="P228" i="1"/>
  <c r="S228" i="1" s="1"/>
  <c r="Q228" i="1"/>
  <c r="R228" i="1"/>
  <c r="P229" i="1"/>
  <c r="S229" i="1" s="1"/>
  <c r="Q229" i="1"/>
  <c r="R229" i="1"/>
  <c r="P230" i="1"/>
  <c r="S230" i="1" s="1"/>
  <c r="Q230" i="1"/>
  <c r="R230" i="1"/>
  <c r="P231" i="1"/>
  <c r="S231" i="1" s="1"/>
  <c r="Q231" i="1"/>
  <c r="R231" i="1"/>
  <c r="P232" i="1"/>
  <c r="S232" i="1" s="1"/>
  <c r="Q232" i="1"/>
  <c r="R232" i="1"/>
  <c r="P233" i="1"/>
  <c r="S233" i="1" s="1"/>
  <c r="Q233" i="1"/>
  <c r="R233" i="1"/>
  <c r="P234" i="1"/>
  <c r="S234" i="1" s="1"/>
  <c r="Q234" i="1"/>
  <c r="R234" i="1"/>
  <c r="P235" i="1"/>
  <c r="S235" i="1" s="1"/>
  <c r="Q235" i="1"/>
  <c r="R235" i="1"/>
  <c r="P236" i="1"/>
  <c r="S236" i="1" s="1"/>
  <c r="Q236" i="1"/>
  <c r="R236" i="1"/>
  <c r="P237" i="1"/>
  <c r="S237" i="1" s="1"/>
  <c r="Q237" i="1"/>
  <c r="R237" i="1"/>
  <c r="P238" i="1"/>
  <c r="S238" i="1" s="1"/>
  <c r="Q238" i="1"/>
  <c r="R238" i="1"/>
  <c r="P239" i="1"/>
  <c r="S239" i="1" s="1"/>
  <c r="Q239" i="1"/>
  <c r="R239" i="1"/>
  <c r="P240" i="1"/>
  <c r="S240" i="1" s="1"/>
  <c r="Q240" i="1"/>
  <c r="R240" i="1"/>
  <c r="P241" i="1"/>
  <c r="S241" i="1" s="1"/>
  <c r="Q241" i="1"/>
  <c r="R241" i="1"/>
  <c r="P242" i="1"/>
  <c r="S242" i="1" s="1"/>
  <c r="Q242" i="1"/>
  <c r="R242" i="1"/>
  <c r="P243" i="1"/>
  <c r="S243" i="1" s="1"/>
  <c r="Q243" i="1"/>
  <c r="R243" i="1"/>
  <c r="P244" i="1"/>
  <c r="S244" i="1" s="1"/>
  <c r="Q244" i="1"/>
  <c r="R244" i="1"/>
  <c r="P245" i="1"/>
  <c r="S245" i="1" s="1"/>
  <c r="Q245" i="1"/>
  <c r="R245" i="1"/>
  <c r="P246" i="1"/>
  <c r="S246" i="1" s="1"/>
  <c r="Q246" i="1"/>
  <c r="R246" i="1"/>
  <c r="P247" i="1"/>
  <c r="S247" i="1" s="1"/>
  <c r="Q247" i="1"/>
  <c r="R247" i="1"/>
  <c r="P248" i="1"/>
  <c r="S248" i="1" s="1"/>
  <c r="Q248" i="1"/>
  <c r="R248" i="1"/>
  <c r="P249" i="1"/>
  <c r="S249" i="1" s="1"/>
  <c r="Q249" i="1"/>
  <c r="R249" i="1"/>
  <c r="P250" i="1"/>
  <c r="S250" i="1" s="1"/>
  <c r="Q250" i="1"/>
  <c r="R250" i="1"/>
  <c r="P251" i="1"/>
  <c r="S251" i="1" s="1"/>
  <c r="Q251" i="1"/>
  <c r="R251" i="1"/>
  <c r="P252" i="1"/>
  <c r="S252" i="1" s="1"/>
  <c r="Q252" i="1"/>
  <c r="R252" i="1"/>
  <c r="P253" i="1"/>
  <c r="S253" i="1" s="1"/>
  <c r="Q253" i="1"/>
  <c r="R253" i="1"/>
  <c r="P254" i="1"/>
  <c r="S254" i="1" s="1"/>
  <c r="Q254" i="1"/>
  <c r="R254" i="1"/>
  <c r="P255" i="1"/>
  <c r="S255" i="1" s="1"/>
  <c r="Q255" i="1"/>
  <c r="R255" i="1"/>
  <c r="P256" i="1"/>
  <c r="S256" i="1" s="1"/>
  <c r="Q256" i="1"/>
  <c r="R256" i="1"/>
  <c r="P257" i="1"/>
  <c r="S257" i="1" s="1"/>
  <c r="Q257" i="1"/>
  <c r="R257" i="1"/>
  <c r="P258" i="1"/>
  <c r="S258" i="1" s="1"/>
  <c r="Q258" i="1"/>
  <c r="R258" i="1"/>
  <c r="P259" i="1"/>
  <c r="S259" i="1" s="1"/>
  <c r="Q259" i="1"/>
  <c r="R259" i="1"/>
  <c r="P260" i="1"/>
  <c r="S260" i="1" s="1"/>
  <c r="Q260" i="1"/>
  <c r="R260" i="1"/>
  <c r="P261" i="1"/>
  <c r="S261" i="1" s="1"/>
  <c r="Q261" i="1"/>
  <c r="R261" i="1"/>
  <c r="P262" i="1"/>
  <c r="S262" i="1" s="1"/>
  <c r="Q262" i="1"/>
  <c r="R262" i="1"/>
  <c r="P263" i="1"/>
  <c r="S263" i="1" s="1"/>
  <c r="Q263" i="1"/>
  <c r="R263" i="1"/>
  <c r="P264" i="1"/>
  <c r="S264" i="1" s="1"/>
  <c r="Q264" i="1"/>
  <c r="R264" i="1"/>
  <c r="P265" i="1"/>
  <c r="S265" i="1" s="1"/>
  <c r="Q265" i="1"/>
  <c r="R265" i="1"/>
  <c r="P266" i="1"/>
  <c r="S266" i="1" s="1"/>
  <c r="Q266" i="1"/>
  <c r="R266" i="1"/>
  <c r="P267" i="1"/>
  <c r="S267" i="1" s="1"/>
  <c r="Q267" i="1"/>
  <c r="R267" i="1"/>
  <c r="P268" i="1"/>
  <c r="S268" i="1" s="1"/>
  <c r="Q268" i="1"/>
  <c r="R268" i="1"/>
  <c r="P269" i="1"/>
  <c r="S269" i="1" s="1"/>
  <c r="Q269" i="1"/>
  <c r="R269" i="1"/>
  <c r="P270" i="1"/>
  <c r="S270" i="1" s="1"/>
  <c r="Q270" i="1"/>
  <c r="R270" i="1"/>
  <c r="P271" i="1"/>
  <c r="S271" i="1" s="1"/>
  <c r="Q271" i="1"/>
  <c r="R271" i="1"/>
  <c r="P272" i="1"/>
  <c r="S272" i="1" s="1"/>
  <c r="Q272" i="1"/>
  <c r="R272" i="1"/>
  <c r="P273" i="1"/>
  <c r="S273" i="1" s="1"/>
  <c r="Q273" i="1"/>
  <c r="R273" i="1"/>
  <c r="P274" i="1"/>
  <c r="S274" i="1" s="1"/>
  <c r="Q274" i="1"/>
  <c r="R274" i="1"/>
  <c r="P275" i="1"/>
  <c r="S275" i="1" s="1"/>
  <c r="Q275" i="1"/>
  <c r="R275" i="1"/>
  <c r="P276" i="1"/>
  <c r="S276" i="1" s="1"/>
  <c r="Q276" i="1"/>
  <c r="R276" i="1"/>
  <c r="P277" i="1"/>
  <c r="S277" i="1" s="1"/>
  <c r="Q277" i="1"/>
  <c r="R277" i="1"/>
  <c r="P278" i="1"/>
  <c r="S278" i="1" s="1"/>
  <c r="Q278" i="1"/>
  <c r="R278" i="1"/>
  <c r="P279" i="1"/>
  <c r="S279" i="1" s="1"/>
  <c r="Q279" i="1"/>
  <c r="R279" i="1"/>
  <c r="P280" i="1"/>
  <c r="S280" i="1" s="1"/>
  <c r="Q280" i="1"/>
  <c r="R280" i="1"/>
  <c r="P281" i="1"/>
  <c r="S281" i="1" s="1"/>
  <c r="Q281" i="1"/>
  <c r="R281" i="1"/>
  <c r="P282" i="1"/>
  <c r="S282" i="1" s="1"/>
  <c r="Q282" i="1"/>
  <c r="R282" i="1"/>
  <c r="P283" i="1"/>
  <c r="S283" i="1" s="1"/>
  <c r="Q283" i="1"/>
  <c r="R283" i="1"/>
  <c r="P284" i="1"/>
  <c r="S284" i="1" s="1"/>
  <c r="Q284" i="1"/>
  <c r="R284" i="1"/>
  <c r="P285" i="1"/>
  <c r="S285" i="1" s="1"/>
  <c r="Q285" i="1"/>
  <c r="R285" i="1"/>
  <c r="P286" i="1"/>
  <c r="S286" i="1" s="1"/>
  <c r="Q286" i="1"/>
  <c r="R286" i="1"/>
  <c r="P287" i="1"/>
  <c r="S287" i="1" s="1"/>
  <c r="Q287" i="1"/>
  <c r="R287" i="1"/>
  <c r="P288" i="1"/>
  <c r="S288" i="1" s="1"/>
  <c r="Q288" i="1"/>
  <c r="R288" i="1"/>
  <c r="P289" i="1"/>
  <c r="S289" i="1" s="1"/>
  <c r="Q289" i="1"/>
  <c r="R289" i="1"/>
  <c r="P290" i="1"/>
  <c r="S290" i="1" s="1"/>
  <c r="Q290" i="1"/>
  <c r="R290" i="1"/>
  <c r="P291" i="1"/>
  <c r="S291" i="1" s="1"/>
  <c r="Q291" i="1"/>
  <c r="R291" i="1"/>
  <c r="P292" i="1"/>
  <c r="S292" i="1" s="1"/>
  <c r="Q292" i="1"/>
  <c r="R292" i="1"/>
  <c r="P293" i="1"/>
  <c r="S293" i="1" s="1"/>
  <c r="Q293" i="1"/>
  <c r="R293" i="1"/>
  <c r="P294" i="1"/>
  <c r="S294" i="1" s="1"/>
  <c r="Q294" i="1"/>
  <c r="R294" i="1"/>
  <c r="P295" i="1"/>
  <c r="S295" i="1" s="1"/>
  <c r="Q295" i="1"/>
  <c r="R295" i="1"/>
  <c r="P296" i="1"/>
  <c r="S296" i="1" s="1"/>
  <c r="Q296" i="1"/>
  <c r="R296" i="1"/>
  <c r="P297" i="1"/>
  <c r="S297" i="1" s="1"/>
  <c r="Q297" i="1"/>
  <c r="R297" i="1"/>
  <c r="P298" i="1"/>
  <c r="S298" i="1" s="1"/>
  <c r="Q298" i="1"/>
  <c r="R298" i="1"/>
  <c r="P299" i="1"/>
  <c r="S299" i="1" s="1"/>
  <c r="Q299" i="1"/>
  <c r="R299" i="1"/>
  <c r="P300" i="1"/>
  <c r="S300" i="1" s="1"/>
  <c r="Q300" i="1"/>
  <c r="R300" i="1"/>
  <c r="P301" i="1"/>
  <c r="S301" i="1" s="1"/>
  <c r="Q301" i="1"/>
  <c r="R301" i="1"/>
  <c r="P302" i="1"/>
  <c r="S302" i="1" s="1"/>
  <c r="Q302" i="1"/>
  <c r="R302" i="1"/>
  <c r="P303" i="1"/>
  <c r="S303" i="1" s="1"/>
  <c r="Q303" i="1"/>
  <c r="R303" i="1"/>
  <c r="P304" i="1"/>
  <c r="S304" i="1" s="1"/>
  <c r="Q304" i="1"/>
  <c r="R304" i="1"/>
  <c r="P305" i="1"/>
  <c r="S305" i="1" s="1"/>
  <c r="Q305" i="1"/>
  <c r="R305" i="1"/>
  <c r="P306" i="1"/>
  <c r="S306" i="1" s="1"/>
  <c r="Q306" i="1"/>
  <c r="R306" i="1"/>
  <c r="P307" i="1"/>
  <c r="S307" i="1" s="1"/>
  <c r="Q307" i="1"/>
  <c r="R307" i="1"/>
  <c r="P308" i="1"/>
  <c r="S308" i="1" s="1"/>
  <c r="Q308" i="1"/>
  <c r="R308" i="1"/>
  <c r="P309" i="1"/>
  <c r="S309" i="1" s="1"/>
  <c r="Q309" i="1"/>
  <c r="R309" i="1"/>
  <c r="P310" i="1"/>
  <c r="S310" i="1" s="1"/>
  <c r="Q310" i="1"/>
  <c r="R310" i="1"/>
  <c r="P311" i="1"/>
  <c r="S311" i="1" s="1"/>
  <c r="Q311" i="1"/>
  <c r="R311" i="1"/>
  <c r="P312" i="1"/>
  <c r="S312" i="1" s="1"/>
  <c r="Q312" i="1"/>
  <c r="R312" i="1"/>
  <c r="P313" i="1"/>
  <c r="S313" i="1" s="1"/>
  <c r="Q313" i="1"/>
  <c r="R313" i="1"/>
  <c r="P314" i="1"/>
  <c r="S314" i="1" s="1"/>
  <c r="Q314" i="1"/>
  <c r="R314" i="1"/>
  <c r="P315" i="1"/>
  <c r="S315" i="1" s="1"/>
  <c r="Q315" i="1"/>
  <c r="R315" i="1"/>
  <c r="P316" i="1"/>
  <c r="S316" i="1" s="1"/>
  <c r="Q316" i="1"/>
  <c r="R316" i="1"/>
  <c r="P317" i="1"/>
  <c r="S317" i="1" s="1"/>
  <c r="Q317" i="1"/>
  <c r="R317" i="1"/>
  <c r="P318" i="1"/>
  <c r="S318" i="1" s="1"/>
  <c r="Q318" i="1"/>
  <c r="R318" i="1"/>
  <c r="P319" i="1"/>
  <c r="S319" i="1" s="1"/>
  <c r="Q319" i="1"/>
  <c r="R319" i="1"/>
  <c r="P320" i="1"/>
  <c r="S320" i="1" s="1"/>
  <c r="Q320" i="1"/>
  <c r="R320" i="1"/>
  <c r="P321" i="1"/>
  <c r="S321" i="1" s="1"/>
  <c r="Q321" i="1"/>
  <c r="R321" i="1"/>
  <c r="P322" i="1"/>
  <c r="S322" i="1" s="1"/>
  <c r="Q322" i="1"/>
  <c r="R322" i="1"/>
  <c r="P323" i="1"/>
  <c r="S323" i="1" s="1"/>
  <c r="Q323" i="1"/>
  <c r="R323" i="1"/>
  <c r="P324" i="1"/>
  <c r="S324" i="1" s="1"/>
  <c r="Q324" i="1"/>
  <c r="R324" i="1"/>
  <c r="P325" i="1"/>
  <c r="S325" i="1" s="1"/>
  <c r="Q325" i="1"/>
  <c r="R325" i="1"/>
  <c r="P326" i="1"/>
  <c r="S326" i="1" s="1"/>
  <c r="Q326" i="1"/>
  <c r="R326" i="1"/>
  <c r="P327" i="1"/>
  <c r="S327" i="1" s="1"/>
  <c r="Q327" i="1"/>
  <c r="R327" i="1"/>
  <c r="P328" i="1"/>
  <c r="S328" i="1" s="1"/>
  <c r="Q328" i="1"/>
  <c r="R328" i="1"/>
  <c r="P329" i="1"/>
  <c r="S329" i="1" s="1"/>
  <c r="Q329" i="1"/>
  <c r="R329" i="1"/>
  <c r="P330" i="1"/>
  <c r="S330" i="1" s="1"/>
  <c r="Q330" i="1"/>
  <c r="R330" i="1"/>
  <c r="P331" i="1"/>
  <c r="S331" i="1" s="1"/>
  <c r="Q331" i="1"/>
  <c r="R331" i="1"/>
  <c r="P332" i="1"/>
  <c r="S332" i="1" s="1"/>
  <c r="Q332" i="1"/>
  <c r="R332" i="1"/>
  <c r="P333" i="1"/>
  <c r="S333" i="1" s="1"/>
  <c r="Q333" i="1"/>
  <c r="R333" i="1"/>
  <c r="P334" i="1"/>
  <c r="S334" i="1" s="1"/>
  <c r="Q334" i="1"/>
  <c r="R334" i="1"/>
  <c r="P335" i="1"/>
  <c r="S335" i="1" s="1"/>
  <c r="Q335" i="1"/>
  <c r="R335" i="1"/>
  <c r="P336" i="1"/>
  <c r="S336" i="1" s="1"/>
  <c r="Q336" i="1"/>
  <c r="R336" i="1"/>
  <c r="P337" i="1"/>
  <c r="S337" i="1" s="1"/>
  <c r="Q337" i="1"/>
  <c r="R337" i="1"/>
  <c r="P338" i="1"/>
  <c r="S338" i="1" s="1"/>
  <c r="Q338" i="1"/>
  <c r="R338" i="1"/>
  <c r="P339" i="1"/>
  <c r="S339" i="1" s="1"/>
  <c r="Q339" i="1"/>
  <c r="R339" i="1"/>
  <c r="P340" i="1"/>
  <c r="S340" i="1" s="1"/>
  <c r="Q340" i="1"/>
  <c r="R340" i="1"/>
  <c r="P341" i="1"/>
  <c r="S341" i="1" s="1"/>
  <c r="Q341" i="1"/>
  <c r="R341" i="1"/>
  <c r="P342" i="1"/>
  <c r="S342" i="1" s="1"/>
  <c r="Q342" i="1"/>
  <c r="R342" i="1"/>
  <c r="P343" i="1"/>
  <c r="S343" i="1" s="1"/>
  <c r="Q343" i="1"/>
  <c r="R343" i="1"/>
  <c r="P344" i="1"/>
  <c r="S344" i="1" s="1"/>
  <c r="Q344" i="1"/>
  <c r="R344" i="1"/>
  <c r="P345" i="1"/>
  <c r="S345" i="1" s="1"/>
  <c r="Q345" i="1"/>
  <c r="R345" i="1"/>
  <c r="P346" i="1"/>
  <c r="S346" i="1" s="1"/>
  <c r="Q346" i="1"/>
  <c r="R346" i="1"/>
  <c r="P347" i="1"/>
  <c r="S347" i="1" s="1"/>
  <c r="Q347" i="1"/>
  <c r="R347" i="1"/>
  <c r="P348" i="1"/>
  <c r="S348" i="1" s="1"/>
  <c r="Q348" i="1"/>
  <c r="R348" i="1"/>
  <c r="P349" i="1"/>
  <c r="S349" i="1" s="1"/>
  <c r="Q349" i="1"/>
  <c r="R349" i="1"/>
  <c r="P350" i="1"/>
  <c r="S350" i="1" s="1"/>
  <c r="Q350" i="1"/>
  <c r="R350" i="1"/>
  <c r="P351" i="1"/>
  <c r="S351" i="1" s="1"/>
  <c r="Q351" i="1"/>
  <c r="R351" i="1"/>
  <c r="P352" i="1"/>
  <c r="S352" i="1" s="1"/>
  <c r="Q352" i="1"/>
  <c r="R352" i="1"/>
  <c r="P353" i="1"/>
  <c r="S353" i="1" s="1"/>
  <c r="Q353" i="1"/>
  <c r="R353" i="1"/>
  <c r="P354" i="1"/>
  <c r="S354" i="1" s="1"/>
  <c r="Q354" i="1"/>
  <c r="R354" i="1"/>
  <c r="P355" i="1"/>
  <c r="S355" i="1" s="1"/>
  <c r="Q355" i="1"/>
  <c r="R355" i="1"/>
  <c r="P356" i="1"/>
  <c r="S356" i="1" s="1"/>
  <c r="Q356" i="1"/>
  <c r="R356" i="1"/>
  <c r="P357" i="1"/>
  <c r="S357" i="1" s="1"/>
  <c r="Q357" i="1"/>
  <c r="R357" i="1"/>
  <c r="P358" i="1"/>
  <c r="S358" i="1" s="1"/>
  <c r="Q358" i="1"/>
  <c r="R358" i="1"/>
  <c r="P359" i="1"/>
  <c r="S359" i="1" s="1"/>
  <c r="Q359" i="1"/>
  <c r="R359" i="1"/>
  <c r="P360" i="1"/>
  <c r="S360" i="1" s="1"/>
  <c r="Q360" i="1"/>
  <c r="R360" i="1"/>
  <c r="P361" i="1"/>
  <c r="S361" i="1" s="1"/>
  <c r="Q361" i="1"/>
  <c r="R361" i="1"/>
  <c r="P362" i="1"/>
  <c r="S362" i="1" s="1"/>
  <c r="Q362" i="1"/>
  <c r="R362" i="1"/>
  <c r="P363" i="1"/>
  <c r="S363" i="1" s="1"/>
  <c r="Q363" i="1"/>
  <c r="R363" i="1"/>
  <c r="P364" i="1"/>
  <c r="S364" i="1" s="1"/>
  <c r="Q364" i="1"/>
  <c r="R364" i="1"/>
  <c r="P365" i="1"/>
  <c r="S365" i="1" s="1"/>
  <c r="Q365" i="1"/>
  <c r="R365" i="1"/>
  <c r="P366" i="1"/>
  <c r="S366" i="1" s="1"/>
  <c r="Q366" i="1"/>
  <c r="R366" i="1"/>
  <c r="P367" i="1"/>
  <c r="S367" i="1" s="1"/>
  <c r="Q367" i="1"/>
  <c r="R367" i="1"/>
  <c r="P368" i="1"/>
  <c r="S368" i="1" s="1"/>
  <c r="Q368" i="1"/>
  <c r="R368" i="1"/>
  <c r="P369" i="1"/>
  <c r="S369" i="1" s="1"/>
  <c r="Q369" i="1"/>
  <c r="R369" i="1"/>
  <c r="P370" i="1"/>
  <c r="S370" i="1" s="1"/>
  <c r="Q370" i="1"/>
  <c r="R370" i="1"/>
  <c r="P371" i="1"/>
  <c r="S371" i="1" s="1"/>
  <c r="Q371" i="1"/>
  <c r="R371" i="1"/>
  <c r="P372" i="1"/>
  <c r="S372" i="1" s="1"/>
  <c r="Q372" i="1"/>
  <c r="R372" i="1"/>
  <c r="P373" i="1"/>
  <c r="S373" i="1" s="1"/>
  <c r="Q373" i="1"/>
  <c r="R373" i="1"/>
  <c r="P374" i="1"/>
  <c r="S374" i="1" s="1"/>
  <c r="Q374" i="1"/>
  <c r="R374" i="1"/>
  <c r="P375" i="1"/>
  <c r="S375" i="1" s="1"/>
  <c r="Q375" i="1"/>
  <c r="R375" i="1"/>
  <c r="P376" i="1"/>
  <c r="S376" i="1" s="1"/>
  <c r="Q376" i="1"/>
  <c r="R376" i="1"/>
  <c r="P377" i="1"/>
  <c r="S377" i="1" s="1"/>
  <c r="Q377" i="1"/>
  <c r="R377" i="1"/>
  <c r="P378" i="1"/>
  <c r="S378" i="1" s="1"/>
  <c r="Q378" i="1"/>
  <c r="R378" i="1"/>
  <c r="P379" i="1"/>
  <c r="S379" i="1" s="1"/>
  <c r="Q379" i="1"/>
  <c r="R379" i="1"/>
  <c r="P380" i="1"/>
  <c r="S380" i="1" s="1"/>
  <c r="Q380" i="1"/>
  <c r="R380" i="1"/>
  <c r="P381" i="1"/>
  <c r="S381" i="1" s="1"/>
  <c r="Q381" i="1"/>
  <c r="R381" i="1"/>
  <c r="P382" i="1"/>
  <c r="S382" i="1" s="1"/>
  <c r="Q382" i="1"/>
  <c r="R382" i="1"/>
  <c r="P383" i="1"/>
  <c r="S383" i="1" s="1"/>
  <c r="Q383" i="1"/>
  <c r="R383" i="1"/>
  <c r="P384" i="1"/>
  <c r="S384" i="1" s="1"/>
  <c r="Q384" i="1"/>
  <c r="R384" i="1"/>
  <c r="P385" i="1"/>
  <c r="S385" i="1" s="1"/>
  <c r="Q385" i="1"/>
  <c r="R385" i="1"/>
  <c r="P386" i="1"/>
  <c r="S386" i="1" s="1"/>
  <c r="Q386" i="1"/>
  <c r="R386" i="1"/>
  <c r="P387" i="1"/>
  <c r="S387" i="1" s="1"/>
  <c r="Q387" i="1"/>
  <c r="R387" i="1"/>
  <c r="P388" i="1"/>
  <c r="S388" i="1" s="1"/>
  <c r="Q388" i="1"/>
  <c r="R388" i="1"/>
  <c r="P389" i="1"/>
  <c r="S389" i="1" s="1"/>
  <c r="Q389" i="1"/>
  <c r="R389" i="1"/>
  <c r="P390" i="1"/>
  <c r="S390" i="1" s="1"/>
  <c r="Q390" i="1"/>
  <c r="R390" i="1"/>
  <c r="P391" i="1"/>
  <c r="S391" i="1" s="1"/>
  <c r="Q391" i="1"/>
  <c r="R391" i="1"/>
  <c r="P392" i="1"/>
  <c r="S392" i="1" s="1"/>
  <c r="Q392" i="1"/>
  <c r="R392" i="1"/>
  <c r="P393" i="1"/>
  <c r="S393" i="1" s="1"/>
  <c r="Q393" i="1"/>
  <c r="R393" i="1"/>
  <c r="P394" i="1"/>
  <c r="S394" i="1" s="1"/>
  <c r="Q394" i="1"/>
  <c r="R394" i="1"/>
  <c r="P395" i="1"/>
  <c r="S395" i="1" s="1"/>
  <c r="Q395" i="1"/>
  <c r="R395" i="1"/>
  <c r="P396" i="1"/>
  <c r="S396" i="1" s="1"/>
  <c r="Q396" i="1"/>
  <c r="R396" i="1"/>
  <c r="P397" i="1"/>
  <c r="S397" i="1" s="1"/>
  <c r="Q397" i="1"/>
  <c r="R397" i="1"/>
  <c r="P398" i="1"/>
  <c r="S398" i="1" s="1"/>
  <c r="Q398" i="1"/>
  <c r="R398" i="1"/>
  <c r="P399" i="1"/>
  <c r="S399" i="1" s="1"/>
  <c r="Q399" i="1"/>
  <c r="R399" i="1"/>
  <c r="P400" i="1"/>
  <c r="S400" i="1" s="1"/>
  <c r="Q400" i="1"/>
  <c r="R400" i="1"/>
  <c r="P401" i="1"/>
  <c r="S401" i="1" s="1"/>
  <c r="Q401" i="1"/>
  <c r="R401" i="1"/>
  <c r="P402" i="1"/>
  <c r="S402" i="1" s="1"/>
  <c r="Q402" i="1"/>
  <c r="R402" i="1"/>
  <c r="P403" i="1"/>
  <c r="S403" i="1" s="1"/>
  <c r="Q403" i="1"/>
  <c r="R403" i="1"/>
  <c r="P404" i="1"/>
  <c r="S404" i="1" s="1"/>
  <c r="Q404" i="1"/>
  <c r="R404" i="1"/>
  <c r="P405" i="1"/>
  <c r="S405" i="1" s="1"/>
  <c r="Q405" i="1"/>
  <c r="R405" i="1"/>
  <c r="P406" i="1"/>
  <c r="S406" i="1" s="1"/>
  <c r="Q406" i="1"/>
  <c r="R406" i="1"/>
  <c r="P407" i="1"/>
  <c r="S407" i="1" s="1"/>
  <c r="Q407" i="1"/>
  <c r="R407" i="1"/>
  <c r="P408" i="1"/>
  <c r="S408" i="1" s="1"/>
  <c r="Q408" i="1"/>
  <c r="R408" i="1"/>
  <c r="P409" i="1"/>
  <c r="Q409" i="1"/>
  <c r="R409" i="1"/>
  <c r="S409" i="1"/>
  <c r="P410" i="1"/>
  <c r="S410" i="1" s="1"/>
  <c r="Q410" i="1"/>
  <c r="R410" i="1"/>
  <c r="P411" i="1"/>
  <c r="S411" i="1" s="1"/>
  <c r="Q411" i="1"/>
  <c r="R411" i="1"/>
  <c r="P412" i="1"/>
  <c r="Q412" i="1"/>
  <c r="R412" i="1"/>
  <c r="S412" i="1"/>
  <c r="P413" i="1"/>
  <c r="S413" i="1" s="1"/>
  <c r="Q413" i="1"/>
  <c r="R413" i="1"/>
  <c r="P414" i="1"/>
  <c r="S414" i="1" s="1"/>
  <c r="Q414" i="1"/>
  <c r="R414" i="1"/>
  <c r="P415" i="1"/>
  <c r="Q415" i="1"/>
  <c r="R415" i="1"/>
  <c r="S415" i="1"/>
  <c r="P416" i="1"/>
  <c r="S416" i="1" s="1"/>
  <c r="Q416" i="1"/>
  <c r="R416" i="1"/>
  <c r="P417" i="1"/>
  <c r="S417" i="1" s="1"/>
  <c r="Q417" i="1"/>
  <c r="R417" i="1"/>
  <c r="P418" i="1"/>
  <c r="Q418" i="1"/>
  <c r="R418" i="1"/>
  <c r="S418" i="1"/>
  <c r="P419" i="1"/>
  <c r="S419" i="1" s="1"/>
  <c r="Q419" i="1"/>
  <c r="R419" i="1"/>
  <c r="P420" i="1"/>
  <c r="S420" i="1" s="1"/>
  <c r="Q420" i="1"/>
  <c r="R420" i="1"/>
  <c r="P421" i="1"/>
  <c r="Q421" i="1"/>
  <c r="R421" i="1"/>
  <c r="S421" i="1"/>
  <c r="P422" i="1"/>
  <c r="S422" i="1" s="1"/>
  <c r="Q422" i="1"/>
  <c r="R422" i="1"/>
  <c r="P423" i="1"/>
  <c r="S423" i="1" s="1"/>
  <c r="Q423" i="1"/>
  <c r="R423" i="1"/>
  <c r="P424" i="1"/>
  <c r="Q424" i="1"/>
  <c r="R424" i="1"/>
  <c r="S424" i="1"/>
  <c r="P425" i="1"/>
  <c r="S425" i="1" s="1"/>
  <c r="Q425" i="1"/>
  <c r="R425" i="1"/>
  <c r="P426" i="1"/>
  <c r="S426" i="1" s="1"/>
  <c r="Q426" i="1"/>
  <c r="R426" i="1"/>
  <c r="P427" i="1"/>
  <c r="Q427" i="1"/>
  <c r="R427" i="1"/>
  <c r="S427" i="1"/>
  <c r="P428" i="1"/>
  <c r="S428" i="1" s="1"/>
  <c r="Q428" i="1"/>
  <c r="R428" i="1"/>
  <c r="P429" i="1"/>
  <c r="S429" i="1" s="1"/>
  <c r="Q429" i="1"/>
  <c r="R429" i="1"/>
  <c r="P430" i="1"/>
  <c r="Q430" i="1"/>
  <c r="R430" i="1"/>
  <c r="S430" i="1"/>
  <c r="P431" i="1"/>
  <c r="S431" i="1" s="1"/>
  <c r="Q431" i="1"/>
  <c r="R431" i="1"/>
  <c r="P432" i="1"/>
  <c r="S432" i="1" s="1"/>
  <c r="Q432" i="1"/>
  <c r="R432" i="1"/>
  <c r="P433" i="1"/>
  <c r="Q433" i="1"/>
  <c r="R433" i="1"/>
  <c r="S433" i="1"/>
  <c r="P434" i="1"/>
  <c r="S434" i="1" s="1"/>
  <c r="Q434" i="1"/>
  <c r="R434" i="1"/>
  <c r="P435" i="1"/>
  <c r="S435" i="1" s="1"/>
  <c r="Q435" i="1"/>
  <c r="R435" i="1"/>
  <c r="P436" i="1"/>
  <c r="Q436" i="1"/>
  <c r="R436" i="1"/>
  <c r="S436" i="1"/>
  <c r="P437" i="1"/>
  <c r="S437" i="1" s="1"/>
  <c r="Q437" i="1"/>
  <c r="R437" i="1"/>
  <c r="P438" i="1"/>
  <c r="S438" i="1" s="1"/>
  <c r="Q438" i="1"/>
  <c r="R438" i="1"/>
  <c r="P439" i="1"/>
  <c r="Q439" i="1"/>
  <c r="R439" i="1"/>
  <c r="S439" i="1"/>
  <c r="P440" i="1"/>
  <c r="S440" i="1" s="1"/>
  <c r="Q440" i="1"/>
  <c r="R440" i="1"/>
  <c r="P441" i="1"/>
  <c r="S441" i="1" s="1"/>
  <c r="Q441" i="1"/>
  <c r="R441" i="1"/>
  <c r="P442" i="1"/>
  <c r="Q442" i="1"/>
  <c r="R442" i="1"/>
  <c r="S442" i="1"/>
  <c r="P443" i="1"/>
  <c r="S443" i="1" s="1"/>
  <c r="Q443" i="1"/>
  <c r="R443" i="1"/>
  <c r="P444" i="1"/>
  <c r="S444" i="1" s="1"/>
  <c r="Q444" i="1"/>
  <c r="R444" i="1"/>
  <c r="P445" i="1"/>
  <c r="Q445" i="1"/>
  <c r="R445" i="1"/>
  <c r="S445" i="1"/>
  <c r="P446" i="1"/>
  <c r="S446" i="1" s="1"/>
  <c r="Q446" i="1"/>
  <c r="R446" i="1"/>
  <c r="P447" i="1"/>
  <c r="S447" i="1" s="1"/>
  <c r="Q447" i="1"/>
  <c r="R447" i="1"/>
  <c r="P448" i="1"/>
  <c r="Q448" i="1"/>
  <c r="R448" i="1"/>
  <c r="S448" i="1"/>
  <c r="P449" i="1"/>
  <c r="S449" i="1" s="1"/>
  <c r="Q449" i="1"/>
  <c r="R449" i="1"/>
  <c r="P450" i="1"/>
  <c r="S450" i="1" s="1"/>
  <c r="Q450" i="1"/>
  <c r="R450" i="1"/>
  <c r="P451" i="1"/>
  <c r="Q451" i="1"/>
  <c r="R451" i="1"/>
  <c r="S451" i="1"/>
  <c r="P452" i="1"/>
  <c r="S452" i="1" s="1"/>
  <c r="Q452" i="1"/>
  <c r="R452" i="1"/>
  <c r="P453" i="1"/>
  <c r="S453" i="1" s="1"/>
  <c r="Q453" i="1"/>
  <c r="R453" i="1"/>
  <c r="P454" i="1"/>
  <c r="Q454" i="1"/>
  <c r="R454" i="1"/>
  <c r="S454" i="1"/>
  <c r="P455" i="1"/>
  <c r="S455" i="1" s="1"/>
  <c r="Q455" i="1"/>
  <c r="R455" i="1"/>
  <c r="P456" i="1"/>
  <c r="S456" i="1" s="1"/>
  <c r="Q456" i="1"/>
  <c r="R456" i="1"/>
  <c r="P457" i="1"/>
  <c r="Q457" i="1"/>
  <c r="R457" i="1"/>
  <c r="S457" i="1"/>
  <c r="P458" i="1"/>
  <c r="S458" i="1" s="1"/>
  <c r="Q458" i="1"/>
  <c r="R458" i="1"/>
  <c r="P459" i="1"/>
  <c r="S459" i="1" s="1"/>
  <c r="Q459" i="1"/>
  <c r="R459" i="1"/>
  <c r="P460" i="1"/>
  <c r="Q460" i="1"/>
  <c r="R460" i="1"/>
  <c r="S460" i="1"/>
  <c r="P461" i="1"/>
  <c r="S461" i="1" s="1"/>
  <c r="Q461" i="1"/>
  <c r="R461" i="1"/>
  <c r="P462" i="1"/>
  <c r="S462" i="1" s="1"/>
  <c r="Q462" i="1"/>
  <c r="R462" i="1"/>
  <c r="P463" i="1"/>
  <c r="Q463" i="1"/>
  <c r="R463" i="1"/>
  <c r="S463" i="1"/>
  <c r="P464" i="1"/>
  <c r="S464" i="1" s="1"/>
  <c r="Q464" i="1"/>
  <c r="R464" i="1"/>
  <c r="P465" i="1"/>
  <c r="S465" i="1" s="1"/>
  <c r="Q465" i="1"/>
  <c r="R465" i="1"/>
  <c r="P466" i="1"/>
  <c r="Q466" i="1"/>
  <c r="R466" i="1"/>
  <c r="S466" i="1"/>
  <c r="P467" i="1"/>
  <c r="S467" i="1" s="1"/>
  <c r="Q467" i="1"/>
  <c r="R467" i="1"/>
  <c r="P468" i="1"/>
  <c r="S468" i="1" s="1"/>
  <c r="Q468" i="1"/>
  <c r="R468" i="1"/>
  <c r="P469" i="1"/>
  <c r="Q469" i="1"/>
  <c r="R469" i="1"/>
  <c r="S469" i="1"/>
  <c r="P470" i="1"/>
  <c r="S470" i="1" s="1"/>
  <c r="Q470" i="1"/>
  <c r="R470" i="1"/>
  <c r="P471" i="1"/>
  <c r="S471" i="1" s="1"/>
  <c r="Q471" i="1"/>
  <c r="R471" i="1"/>
  <c r="P472" i="1"/>
  <c r="Q472" i="1"/>
  <c r="R472" i="1"/>
  <c r="S472" i="1"/>
  <c r="P473" i="1"/>
  <c r="S473" i="1" s="1"/>
  <c r="Q473" i="1"/>
  <c r="R473" i="1"/>
  <c r="P474" i="1"/>
  <c r="S474" i="1" s="1"/>
  <c r="Q474" i="1"/>
  <c r="R474" i="1"/>
  <c r="P475" i="1"/>
  <c r="Q475" i="1"/>
  <c r="R475" i="1"/>
  <c r="S475" i="1"/>
  <c r="P476" i="1"/>
  <c r="S476" i="1" s="1"/>
  <c r="Q476" i="1"/>
  <c r="R476" i="1"/>
  <c r="P477" i="1"/>
  <c r="S477" i="1" s="1"/>
  <c r="Q477" i="1"/>
  <c r="R477" i="1"/>
  <c r="P478" i="1"/>
  <c r="Q478" i="1"/>
  <c r="R478" i="1"/>
  <c r="S478" i="1"/>
  <c r="P479" i="1"/>
  <c r="S479" i="1" s="1"/>
  <c r="Q479" i="1"/>
  <c r="R479" i="1"/>
  <c r="P480" i="1"/>
  <c r="S480" i="1" s="1"/>
  <c r="Q480" i="1"/>
  <c r="R480" i="1"/>
  <c r="P481" i="1"/>
  <c r="Q481" i="1"/>
  <c r="R481" i="1"/>
  <c r="S481" i="1"/>
  <c r="P482" i="1"/>
  <c r="S482" i="1" s="1"/>
  <c r="Q482" i="1"/>
  <c r="R482" i="1"/>
  <c r="P483" i="1"/>
  <c r="S483" i="1" s="1"/>
  <c r="Q483" i="1"/>
  <c r="R483" i="1"/>
  <c r="P484" i="1"/>
  <c r="Q484" i="1"/>
  <c r="R484" i="1"/>
  <c r="S484" i="1"/>
  <c r="P485" i="1"/>
  <c r="S485" i="1" s="1"/>
  <c r="Q485" i="1"/>
  <c r="R485" i="1"/>
  <c r="P486" i="1"/>
  <c r="S486" i="1" s="1"/>
  <c r="Q486" i="1"/>
  <c r="R486" i="1"/>
  <c r="P487" i="1"/>
  <c r="Q487" i="1"/>
  <c r="R487" i="1"/>
  <c r="S487" i="1"/>
  <c r="P488" i="1"/>
  <c r="S488" i="1" s="1"/>
  <c r="Q488" i="1"/>
  <c r="R488" i="1"/>
  <c r="P489" i="1"/>
  <c r="S489" i="1" s="1"/>
  <c r="Q489" i="1"/>
  <c r="R489" i="1"/>
  <c r="P490" i="1"/>
  <c r="Q490" i="1"/>
  <c r="R490" i="1"/>
  <c r="S490" i="1"/>
  <c r="P491" i="1"/>
  <c r="S491" i="1" s="1"/>
  <c r="Q491" i="1"/>
  <c r="R491" i="1"/>
  <c r="P492" i="1"/>
  <c r="S492" i="1" s="1"/>
  <c r="Q492" i="1"/>
  <c r="R492" i="1"/>
  <c r="P493" i="1"/>
  <c r="Q493" i="1"/>
  <c r="R493" i="1"/>
  <c r="S493" i="1"/>
  <c r="P494" i="1"/>
  <c r="S494" i="1" s="1"/>
  <c r="Q494" i="1"/>
  <c r="R494" i="1"/>
  <c r="P495" i="1"/>
  <c r="S495" i="1" s="1"/>
  <c r="Q495" i="1"/>
  <c r="R495" i="1"/>
  <c r="P496" i="1"/>
  <c r="Q496" i="1"/>
  <c r="R496" i="1"/>
  <c r="S496" i="1"/>
  <c r="P497" i="1"/>
  <c r="S497" i="1" s="1"/>
  <c r="Q497" i="1"/>
  <c r="R497" i="1"/>
  <c r="P498" i="1"/>
  <c r="S498" i="1" s="1"/>
  <c r="Q498" i="1"/>
  <c r="R498" i="1"/>
  <c r="P499" i="1"/>
  <c r="Q499" i="1"/>
  <c r="R499" i="1"/>
  <c r="S499" i="1"/>
  <c r="P500" i="1"/>
  <c r="S500" i="1" s="1"/>
  <c r="Q500" i="1"/>
  <c r="R500" i="1"/>
  <c r="P501" i="1"/>
  <c r="S501" i="1" s="1"/>
  <c r="Q501" i="1"/>
  <c r="R501" i="1"/>
  <c r="P502" i="1"/>
  <c r="Q502" i="1"/>
  <c r="R502" i="1"/>
  <c r="S502" i="1"/>
  <c r="P503" i="1"/>
  <c r="S503" i="1" s="1"/>
  <c r="Q503" i="1"/>
  <c r="R503" i="1"/>
  <c r="P504" i="1"/>
  <c r="S504" i="1" s="1"/>
  <c r="Q504" i="1"/>
  <c r="R504" i="1"/>
  <c r="P505" i="1"/>
  <c r="Q505" i="1"/>
  <c r="R505" i="1"/>
  <c r="S505" i="1"/>
  <c r="P506" i="1"/>
  <c r="S506" i="1" s="1"/>
  <c r="Q506" i="1"/>
  <c r="R506" i="1"/>
  <c r="P507" i="1"/>
  <c r="S507" i="1" s="1"/>
  <c r="Q507" i="1"/>
  <c r="R507" i="1"/>
  <c r="P508" i="1"/>
  <c r="Q508" i="1"/>
  <c r="R508" i="1"/>
  <c r="S508" i="1"/>
  <c r="P509" i="1"/>
  <c r="S509" i="1" s="1"/>
  <c r="Q509" i="1"/>
  <c r="R509" i="1"/>
  <c r="P510" i="1"/>
  <c r="S510" i="1" s="1"/>
  <c r="Q510" i="1"/>
  <c r="R510" i="1"/>
  <c r="P511" i="1"/>
  <c r="Q511" i="1"/>
  <c r="R511" i="1"/>
  <c r="S511" i="1"/>
  <c r="P512" i="1"/>
  <c r="S512" i="1" s="1"/>
  <c r="Q512" i="1"/>
  <c r="R512" i="1"/>
  <c r="P513" i="1"/>
  <c r="S513" i="1" s="1"/>
  <c r="Q513" i="1"/>
  <c r="R513" i="1"/>
  <c r="P514" i="1"/>
  <c r="Q514" i="1"/>
  <c r="R514" i="1"/>
  <c r="S514" i="1"/>
  <c r="P515" i="1"/>
  <c r="S515" i="1" s="1"/>
  <c r="Q515" i="1"/>
  <c r="R515" i="1"/>
  <c r="P516" i="1"/>
  <c r="S516" i="1" s="1"/>
  <c r="Q516" i="1"/>
  <c r="R516" i="1"/>
  <c r="P517" i="1"/>
  <c r="Q517" i="1"/>
  <c r="R517" i="1"/>
  <c r="S517" i="1"/>
  <c r="P518" i="1"/>
  <c r="S518" i="1" s="1"/>
  <c r="Q518" i="1"/>
  <c r="R518" i="1"/>
  <c r="P519" i="1"/>
  <c r="S519" i="1" s="1"/>
  <c r="Q519" i="1"/>
  <c r="R519" i="1"/>
  <c r="P520" i="1"/>
  <c r="Q520" i="1"/>
  <c r="R520" i="1"/>
  <c r="S520" i="1"/>
  <c r="P521" i="1"/>
  <c r="S521" i="1" s="1"/>
  <c r="Q521" i="1"/>
  <c r="R521" i="1"/>
  <c r="P522" i="1"/>
  <c r="S522" i="1" s="1"/>
  <c r="Q522" i="1"/>
  <c r="R522" i="1"/>
  <c r="P523" i="1"/>
  <c r="Q523" i="1"/>
  <c r="R523" i="1"/>
  <c r="S523" i="1"/>
  <c r="P524" i="1"/>
  <c r="S524" i="1" s="1"/>
  <c r="Q524" i="1"/>
  <c r="R524" i="1"/>
  <c r="P525" i="1"/>
  <c r="S525" i="1" s="1"/>
  <c r="Q525" i="1"/>
  <c r="R525" i="1"/>
  <c r="P526" i="1"/>
  <c r="Q526" i="1"/>
  <c r="R526" i="1"/>
  <c r="S526" i="1"/>
  <c r="P527" i="1"/>
  <c r="S527" i="1" s="1"/>
  <c r="Q527" i="1"/>
  <c r="R527" i="1"/>
  <c r="P528" i="1"/>
  <c r="S528" i="1" s="1"/>
  <c r="Q528" i="1"/>
  <c r="R528" i="1"/>
  <c r="P529" i="1"/>
  <c r="Q529" i="1"/>
  <c r="R529" i="1"/>
  <c r="S529" i="1"/>
  <c r="P530" i="1"/>
  <c r="S530" i="1" s="1"/>
  <c r="Q530" i="1"/>
  <c r="R530" i="1"/>
  <c r="P531" i="1"/>
  <c r="S531" i="1" s="1"/>
  <c r="Q531" i="1"/>
  <c r="R531" i="1"/>
  <c r="P532" i="1"/>
  <c r="Q532" i="1"/>
  <c r="R532" i="1"/>
  <c r="S532" i="1"/>
  <c r="P533" i="1"/>
  <c r="S533" i="1" s="1"/>
  <c r="Q533" i="1"/>
  <c r="R533" i="1"/>
  <c r="P534" i="1"/>
  <c r="S534" i="1" s="1"/>
  <c r="Q534" i="1"/>
  <c r="R534" i="1"/>
  <c r="P535" i="1"/>
  <c r="Q535" i="1"/>
  <c r="R535" i="1"/>
  <c r="S535" i="1"/>
  <c r="P536" i="1"/>
  <c r="S536" i="1" s="1"/>
  <c r="Q536" i="1"/>
  <c r="R536" i="1"/>
  <c r="P537" i="1"/>
  <c r="S537" i="1" s="1"/>
  <c r="Q537" i="1"/>
  <c r="R537" i="1"/>
  <c r="P538" i="1"/>
  <c r="Q538" i="1"/>
  <c r="R538" i="1"/>
  <c r="S538" i="1"/>
  <c r="P539" i="1"/>
  <c r="S539" i="1" s="1"/>
  <c r="Q539" i="1"/>
  <c r="R539" i="1"/>
  <c r="P540" i="1"/>
  <c r="S540" i="1" s="1"/>
  <c r="Q540" i="1"/>
  <c r="R540" i="1"/>
  <c r="P541" i="1"/>
  <c r="Q541" i="1"/>
  <c r="R541" i="1"/>
  <c r="S541" i="1"/>
  <c r="P542" i="1"/>
  <c r="S542" i="1" s="1"/>
  <c r="Q542" i="1"/>
  <c r="R542" i="1"/>
  <c r="P543" i="1"/>
  <c r="S543" i="1" s="1"/>
  <c r="Q543" i="1"/>
  <c r="R543" i="1"/>
  <c r="P544" i="1"/>
  <c r="Q544" i="1"/>
  <c r="R544" i="1"/>
  <c r="S544" i="1"/>
  <c r="P545" i="1"/>
  <c r="S545" i="1" s="1"/>
  <c r="Q545" i="1"/>
  <c r="R545" i="1"/>
  <c r="P546" i="1"/>
  <c r="S546" i="1" s="1"/>
  <c r="Q546" i="1"/>
  <c r="R546" i="1"/>
  <c r="P547" i="1"/>
  <c r="Q547" i="1"/>
  <c r="R547" i="1"/>
  <c r="S547" i="1"/>
  <c r="P548" i="1"/>
  <c r="S548" i="1" s="1"/>
  <c r="Q548" i="1"/>
  <c r="R548" i="1"/>
  <c r="P549" i="1"/>
  <c r="S549" i="1" s="1"/>
  <c r="Q549" i="1"/>
  <c r="R549" i="1"/>
  <c r="P550" i="1"/>
  <c r="Q550" i="1"/>
  <c r="R550" i="1"/>
  <c r="S550" i="1"/>
  <c r="P551" i="1"/>
  <c r="S551" i="1" s="1"/>
  <c r="Q551" i="1"/>
  <c r="R551" i="1"/>
  <c r="P552" i="1"/>
  <c r="S552" i="1" s="1"/>
  <c r="Q552" i="1"/>
  <c r="R552" i="1"/>
  <c r="P553" i="1"/>
  <c r="Q553" i="1"/>
  <c r="R553" i="1"/>
  <c r="S553" i="1"/>
  <c r="P554" i="1"/>
  <c r="S554" i="1" s="1"/>
  <c r="Q554" i="1"/>
  <c r="R554" i="1"/>
  <c r="P555" i="1"/>
  <c r="S555" i="1" s="1"/>
  <c r="Q555" i="1"/>
  <c r="R555" i="1"/>
  <c r="P556" i="1"/>
  <c r="Q556" i="1"/>
  <c r="R556" i="1"/>
  <c r="S556" i="1"/>
  <c r="P557" i="1"/>
  <c r="S557" i="1" s="1"/>
  <c r="Q557" i="1"/>
  <c r="R557" i="1"/>
  <c r="P558" i="1"/>
  <c r="S558" i="1" s="1"/>
  <c r="Q558" i="1"/>
  <c r="R558" i="1"/>
  <c r="P559" i="1"/>
  <c r="Q559" i="1"/>
  <c r="R559" i="1"/>
  <c r="S559" i="1"/>
  <c r="P560" i="1"/>
  <c r="Q560" i="1"/>
  <c r="R560" i="1"/>
  <c r="S560" i="1"/>
  <c r="P561" i="1"/>
  <c r="S561" i="1" s="1"/>
  <c r="Q561" i="1"/>
  <c r="R561" i="1"/>
  <c r="P562" i="1"/>
  <c r="Q562" i="1"/>
  <c r="R562" i="1"/>
  <c r="S562" i="1"/>
  <c r="P563" i="1"/>
  <c r="Q563" i="1"/>
  <c r="R563" i="1"/>
  <c r="S563" i="1"/>
  <c r="P564" i="1"/>
  <c r="S564" i="1" s="1"/>
  <c r="Q564" i="1"/>
  <c r="R564" i="1"/>
  <c r="P565" i="1"/>
  <c r="Q565" i="1"/>
  <c r="R565" i="1"/>
  <c r="S565" i="1"/>
  <c r="P566" i="1"/>
  <c r="S566" i="1" s="1"/>
  <c r="Q566" i="1"/>
  <c r="R566" i="1"/>
  <c r="P567" i="1"/>
  <c r="S567" i="1" s="1"/>
  <c r="Q567" i="1"/>
  <c r="R567" i="1"/>
  <c r="P568" i="1"/>
  <c r="Q568" i="1"/>
  <c r="R568" i="1"/>
  <c r="S568" i="1"/>
  <c r="P569" i="1"/>
  <c r="S569" i="1" s="1"/>
  <c r="Q569" i="1"/>
  <c r="R569" i="1"/>
  <c r="P570" i="1"/>
  <c r="S570" i="1" s="1"/>
  <c r="Q570" i="1"/>
  <c r="R570" i="1"/>
  <c r="P571" i="1"/>
  <c r="Q571" i="1"/>
  <c r="R571" i="1"/>
  <c r="S571" i="1"/>
  <c r="P572" i="1"/>
  <c r="Q572" i="1"/>
  <c r="R572" i="1"/>
  <c r="S572" i="1"/>
  <c r="P573" i="1"/>
  <c r="S573" i="1" s="1"/>
  <c r="Q573" i="1"/>
  <c r="R573" i="1"/>
  <c r="P574" i="1"/>
  <c r="Q574" i="1"/>
  <c r="R574" i="1"/>
  <c r="S574" i="1"/>
  <c r="P575" i="1"/>
  <c r="Q575" i="1"/>
  <c r="R575" i="1"/>
  <c r="S575" i="1"/>
  <c r="P576" i="1"/>
  <c r="S576" i="1" s="1"/>
  <c r="Q576" i="1"/>
  <c r="R576" i="1"/>
  <c r="P577" i="1"/>
  <c r="Q577" i="1"/>
  <c r="R577" i="1"/>
  <c r="S577" i="1"/>
  <c r="P578" i="1"/>
  <c r="Q578" i="1"/>
  <c r="R578" i="1"/>
  <c r="S578" i="1"/>
  <c r="P579" i="1"/>
  <c r="S579" i="1" s="1"/>
  <c r="Q579" i="1"/>
  <c r="R579" i="1"/>
  <c r="P580" i="1"/>
  <c r="Q580" i="1"/>
  <c r="R580" i="1"/>
  <c r="S580" i="1"/>
  <c r="P581" i="1"/>
  <c r="Q581" i="1"/>
  <c r="R581" i="1"/>
  <c r="S581" i="1"/>
  <c r="P582" i="1"/>
  <c r="S582" i="1" s="1"/>
  <c r="Q582" i="1"/>
  <c r="R582" i="1"/>
  <c r="P583" i="1"/>
  <c r="Q583" i="1"/>
  <c r="R583" i="1"/>
  <c r="S583" i="1"/>
  <c r="P584" i="1"/>
  <c r="Q584" i="1"/>
  <c r="R584" i="1"/>
  <c r="S584" i="1"/>
  <c r="P585" i="1"/>
  <c r="S585" i="1" s="1"/>
  <c r="Q585" i="1"/>
  <c r="R585" i="1"/>
  <c r="P586" i="1"/>
  <c r="Q586" i="1"/>
  <c r="R586" i="1"/>
  <c r="S586" i="1"/>
  <c r="P587" i="1"/>
  <c r="S587" i="1" s="1"/>
  <c r="Q587" i="1"/>
  <c r="R587" i="1"/>
  <c r="P588" i="1"/>
  <c r="S588" i="1" s="1"/>
  <c r="Q588" i="1"/>
  <c r="R588" i="1"/>
  <c r="P589" i="1"/>
  <c r="Q589" i="1"/>
  <c r="R589" i="1"/>
  <c r="S589" i="1"/>
  <c r="P590" i="1"/>
  <c r="S590" i="1" s="1"/>
  <c r="Q590" i="1"/>
  <c r="R590" i="1"/>
  <c r="P591" i="1"/>
  <c r="S591" i="1" s="1"/>
  <c r="Q591" i="1"/>
  <c r="R591" i="1"/>
  <c r="P592" i="1"/>
  <c r="Q592" i="1"/>
  <c r="R592" i="1"/>
  <c r="S592" i="1"/>
  <c r="P593" i="1"/>
  <c r="S593" i="1" s="1"/>
  <c r="Q593" i="1"/>
  <c r="R593" i="1"/>
  <c r="P594" i="1"/>
  <c r="S594" i="1" s="1"/>
  <c r="Q594" i="1"/>
  <c r="R594" i="1"/>
  <c r="P595" i="1"/>
  <c r="Q595" i="1"/>
  <c r="R595" i="1"/>
  <c r="S595" i="1"/>
  <c r="P596" i="1"/>
  <c r="Q596" i="1"/>
  <c r="R596" i="1"/>
  <c r="S596" i="1"/>
  <c r="P597" i="1"/>
  <c r="S597" i="1" s="1"/>
  <c r="Q597" i="1"/>
  <c r="R597" i="1"/>
  <c r="P598" i="1"/>
  <c r="Q598" i="1"/>
  <c r="R598" i="1"/>
  <c r="S598" i="1"/>
  <c r="P599" i="1"/>
  <c r="S599" i="1" s="1"/>
  <c r="Q599" i="1"/>
  <c r="R599" i="1"/>
  <c r="P600" i="1"/>
  <c r="S600" i="1" s="1"/>
  <c r="Q600" i="1"/>
  <c r="R600" i="1"/>
  <c r="P601" i="1"/>
  <c r="Q601" i="1"/>
  <c r="R601" i="1"/>
  <c r="S601" i="1"/>
  <c r="P602" i="1"/>
  <c r="S602" i="1" s="1"/>
  <c r="Q602" i="1"/>
  <c r="R602" i="1"/>
  <c r="P603" i="1"/>
  <c r="S603" i="1" s="1"/>
  <c r="Q603" i="1"/>
  <c r="R603" i="1"/>
  <c r="P604" i="1"/>
  <c r="Q604" i="1"/>
  <c r="R604" i="1"/>
  <c r="S604" i="1"/>
  <c r="P605" i="1"/>
  <c r="S605" i="1" s="1"/>
  <c r="Q605" i="1"/>
  <c r="R605" i="1"/>
  <c r="P606" i="1"/>
  <c r="S606" i="1" s="1"/>
  <c r="Q606" i="1"/>
  <c r="R606" i="1"/>
  <c r="P607" i="1"/>
  <c r="Q607" i="1"/>
  <c r="R607" i="1"/>
  <c r="S607" i="1"/>
  <c r="P608" i="1"/>
  <c r="Q608" i="1"/>
  <c r="R608" i="1"/>
  <c r="S608" i="1"/>
  <c r="P609" i="1"/>
  <c r="S609" i="1" s="1"/>
  <c r="Q609" i="1"/>
  <c r="R609" i="1"/>
  <c r="P610" i="1"/>
  <c r="Q610" i="1"/>
  <c r="R610" i="1"/>
  <c r="S610" i="1"/>
  <c r="P611" i="1"/>
  <c r="Q611" i="1"/>
  <c r="R611" i="1"/>
  <c r="S611" i="1"/>
  <c r="P612" i="1"/>
  <c r="S612" i="1" s="1"/>
  <c r="Q612" i="1"/>
  <c r="R612" i="1"/>
  <c r="P613" i="1"/>
  <c r="Q613" i="1"/>
  <c r="R613" i="1"/>
  <c r="S613" i="1"/>
  <c r="P614" i="1"/>
  <c r="Q614" i="1"/>
  <c r="R614" i="1"/>
  <c r="S614" i="1"/>
  <c r="P615" i="1"/>
  <c r="S615" i="1" s="1"/>
  <c r="Q615" i="1"/>
  <c r="R615" i="1"/>
  <c r="P616" i="1"/>
  <c r="Q616" i="1"/>
  <c r="R616" i="1"/>
  <c r="S616" i="1"/>
  <c r="P617" i="1"/>
  <c r="Q617" i="1"/>
  <c r="R617" i="1"/>
  <c r="S617" i="1"/>
  <c r="P618" i="1"/>
  <c r="S618" i="1" s="1"/>
  <c r="Q618" i="1"/>
  <c r="R618" i="1"/>
  <c r="P619" i="1"/>
  <c r="Q619" i="1"/>
  <c r="R619" i="1"/>
  <c r="S619" i="1"/>
  <c r="P620" i="1"/>
  <c r="S620" i="1" s="1"/>
  <c r="Q620" i="1"/>
  <c r="R620" i="1"/>
  <c r="P621" i="1"/>
  <c r="S621" i="1" s="1"/>
  <c r="Q621" i="1"/>
  <c r="R621" i="1"/>
  <c r="P622" i="1"/>
  <c r="Q622" i="1"/>
  <c r="R622" i="1"/>
  <c r="S622" i="1"/>
  <c r="P623" i="1"/>
  <c r="S623" i="1" s="1"/>
  <c r="Q623" i="1"/>
  <c r="R623" i="1"/>
  <c r="P624" i="1"/>
  <c r="S624" i="1" s="1"/>
  <c r="Q624" i="1"/>
  <c r="R624" i="1"/>
  <c r="P625" i="1"/>
  <c r="Q625" i="1"/>
  <c r="R625" i="1"/>
  <c r="S625" i="1"/>
  <c r="P626" i="1"/>
  <c r="S626" i="1" s="1"/>
  <c r="Q626" i="1"/>
  <c r="R626" i="1"/>
  <c r="P627" i="1"/>
  <c r="S627" i="1" s="1"/>
  <c r="Q627" i="1"/>
  <c r="R627" i="1"/>
  <c r="P628" i="1"/>
  <c r="Q628" i="1"/>
  <c r="R628" i="1"/>
  <c r="S628" i="1"/>
  <c r="P629" i="1"/>
  <c r="S629" i="1" s="1"/>
  <c r="Q629" i="1"/>
  <c r="R629" i="1"/>
  <c r="P630" i="1"/>
  <c r="S630" i="1" s="1"/>
  <c r="Q630" i="1"/>
  <c r="R630" i="1"/>
  <c r="P631" i="1"/>
  <c r="Q631" i="1"/>
  <c r="R631" i="1"/>
  <c r="S631" i="1"/>
  <c r="P632" i="1"/>
  <c r="Q632" i="1"/>
  <c r="R632" i="1"/>
  <c r="S632" i="1"/>
  <c r="P633" i="1"/>
  <c r="S633" i="1" s="1"/>
  <c r="Q633" i="1"/>
  <c r="R633" i="1"/>
  <c r="P634" i="1"/>
  <c r="Q634" i="1"/>
  <c r="R634" i="1"/>
  <c r="S634" i="1"/>
  <c r="P635" i="1"/>
  <c r="Q635" i="1"/>
  <c r="R635" i="1"/>
  <c r="S635" i="1"/>
  <c r="P636" i="1"/>
  <c r="S636" i="1" s="1"/>
  <c r="Q636" i="1"/>
  <c r="R636" i="1"/>
  <c r="P637" i="1"/>
  <c r="Q637" i="1"/>
  <c r="R637" i="1"/>
  <c r="S637" i="1"/>
  <c r="P638" i="1"/>
  <c r="S638" i="1" s="1"/>
  <c r="Q638" i="1"/>
  <c r="R638" i="1"/>
  <c r="P639" i="1"/>
  <c r="S639" i="1" s="1"/>
  <c r="Q639" i="1"/>
  <c r="R639" i="1"/>
  <c r="P640" i="1"/>
  <c r="Q640" i="1"/>
  <c r="R640" i="1"/>
  <c r="S640" i="1"/>
  <c r="P641" i="1"/>
  <c r="S641" i="1" s="1"/>
  <c r="Q641" i="1"/>
  <c r="R641" i="1"/>
  <c r="P642" i="1"/>
  <c r="S642" i="1" s="1"/>
  <c r="Q642" i="1"/>
  <c r="R642" i="1"/>
  <c r="P643" i="1"/>
  <c r="Q643" i="1"/>
  <c r="R643" i="1"/>
  <c r="S643" i="1"/>
  <c r="P644" i="1"/>
  <c r="Q644" i="1"/>
  <c r="R644" i="1"/>
  <c r="S644" i="1"/>
  <c r="P645" i="1"/>
  <c r="S645" i="1" s="1"/>
  <c r="Q645" i="1"/>
  <c r="R645" i="1"/>
  <c r="P646" i="1"/>
  <c r="Q646" i="1"/>
  <c r="R646" i="1"/>
  <c r="S646" i="1"/>
  <c r="P647" i="1"/>
  <c r="Q647" i="1"/>
  <c r="R647" i="1"/>
  <c r="S647" i="1"/>
  <c r="P648" i="1"/>
  <c r="S648" i="1" s="1"/>
  <c r="Q648" i="1"/>
  <c r="R648" i="1"/>
  <c r="P649" i="1"/>
  <c r="Q649" i="1"/>
  <c r="R649" i="1"/>
  <c r="S649" i="1"/>
  <c r="P650" i="1"/>
  <c r="Q650" i="1"/>
  <c r="R650" i="1"/>
  <c r="S650" i="1"/>
  <c r="P651" i="1"/>
  <c r="S651" i="1" s="1"/>
  <c r="Q651" i="1"/>
  <c r="R651" i="1"/>
  <c r="P652" i="1"/>
  <c r="Q652" i="1"/>
  <c r="R652" i="1"/>
  <c r="S652" i="1"/>
  <c r="P653" i="1"/>
  <c r="Q653" i="1"/>
  <c r="R653" i="1"/>
  <c r="S653" i="1"/>
  <c r="P654" i="1"/>
  <c r="S654" i="1" s="1"/>
  <c r="Q654" i="1"/>
  <c r="R654" i="1"/>
  <c r="P655" i="1"/>
  <c r="Q655" i="1"/>
  <c r="R655" i="1"/>
  <c r="S655" i="1"/>
  <c r="P656" i="1"/>
  <c r="S656" i="1" s="1"/>
  <c r="Q656" i="1"/>
  <c r="R656" i="1"/>
  <c r="P657" i="1"/>
  <c r="S657" i="1" s="1"/>
  <c r="Q657" i="1"/>
  <c r="R657" i="1"/>
  <c r="P658" i="1"/>
  <c r="Q658" i="1"/>
  <c r="R658" i="1"/>
  <c r="S658" i="1"/>
  <c r="P659" i="1"/>
  <c r="S659" i="1" s="1"/>
  <c r="Q659" i="1"/>
  <c r="R659" i="1"/>
  <c r="P660" i="1"/>
  <c r="Q660" i="1"/>
  <c r="R660" i="1"/>
  <c r="S660" i="1"/>
  <c r="P661" i="1"/>
  <c r="Q661" i="1"/>
  <c r="R661" i="1"/>
  <c r="S661" i="1"/>
  <c r="P662" i="1"/>
  <c r="S662" i="1" s="1"/>
  <c r="Q662" i="1"/>
  <c r="R662" i="1"/>
  <c r="P663" i="1"/>
  <c r="Q663" i="1"/>
  <c r="R663" i="1"/>
  <c r="S663" i="1"/>
  <c r="P664" i="1"/>
  <c r="Q664" i="1"/>
  <c r="R664" i="1"/>
  <c r="S664" i="1"/>
  <c r="P665" i="1"/>
  <c r="S665" i="1" s="1"/>
  <c r="Q665" i="1"/>
  <c r="R665" i="1"/>
  <c r="P666" i="1"/>
  <c r="Q666" i="1"/>
  <c r="R666" i="1"/>
  <c r="S666" i="1"/>
  <c r="P667" i="1"/>
  <c r="Q667" i="1"/>
  <c r="R667" i="1"/>
  <c r="S667" i="1"/>
  <c r="P668" i="1"/>
  <c r="S668" i="1" s="1"/>
  <c r="Q668" i="1"/>
  <c r="R668" i="1"/>
  <c r="P669" i="1"/>
  <c r="Q669" i="1"/>
  <c r="R669" i="1"/>
  <c r="S669" i="1"/>
  <c r="P670" i="1"/>
  <c r="Q670" i="1"/>
  <c r="R670" i="1"/>
  <c r="S670" i="1"/>
  <c r="P671" i="1"/>
  <c r="S671" i="1" s="1"/>
  <c r="Q671" i="1"/>
  <c r="R671" i="1"/>
  <c r="P672" i="1"/>
  <c r="Q672" i="1"/>
  <c r="R672" i="1"/>
  <c r="S672" i="1"/>
  <c r="P673" i="1"/>
  <c r="Q673" i="1"/>
  <c r="R673" i="1"/>
  <c r="S673" i="1"/>
  <c r="P674" i="1"/>
  <c r="S674" i="1" s="1"/>
  <c r="Q674" i="1"/>
  <c r="R674" i="1"/>
  <c r="P675" i="1"/>
  <c r="Q675" i="1"/>
  <c r="R675" i="1"/>
  <c r="S675" i="1"/>
  <c r="P676" i="1"/>
  <c r="Q676" i="1"/>
  <c r="R676" i="1"/>
  <c r="S676" i="1"/>
  <c r="P677" i="1"/>
  <c r="S677" i="1" s="1"/>
  <c r="Q677" i="1"/>
  <c r="R677" i="1"/>
  <c r="P678" i="1"/>
  <c r="Q678" i="1"/>
  <c r="R678" i="1"/>
  <c r="S678" i="1"/>
  <c r="P679" i="1"/>
  <c r="Q679" i="1"/>
  <c r="R679" i="1"/>
  <c r="S679" i="1"/>
  <c r="P680" i="1"/>
  <c r="S680" i="1" s="1"/>
  <c r="Q680" i="1"/>
  <c r="R680" i="1"/>
  <c r="P681" i="1"/>
  <c r="Q681" i="1"/>
  <c r="R681" i="1"/>
  <c r="S681" i="1"/>
  <c r="P682" i="1"/>
  <c r="Q682" i="1"/>
  <c r="R682" i="1"/>
  <c r="S682" i="1"/>
  <c r="P683" i="1"/>
  <c r="S683" i="1" s="1"/>
  <c r="Q683" i="1"/>
  <c r="R683" i="1"/>
  <c r="P684" i="1"/>
  <c r="Q684" i="1"/>
  <c r="R684" i="1"/>
  <c r="S684" i="1"/>
  <c r="P685" i="1"/>
  <c r="Q685" i="1"/>
  <c r="R685" i="1"/>
  <c r="S685" i="1"/>
  <c r="P686" i="1"/>
  <c r="S686" i="1" s="1"/>
  <c r="Q686" i="1"/>
  <c r="R686" i="1"/>
  <c r="P687" i="1"/>
  <c r="Q687" i="1"/>
  <c r="R687" i="1"/>
  <c r="S687" i="1"/>
  <c r="P688" i="1"/>
  <c r="Q688" i="1"/>
  <c r="R688" i="1"/>
  <c r="S688" i="1"/>
  <c r="P689" i="1"/>
  <c r="S689" i="1" s="1"/>
  <c r="Q689" i="1"/>
  <c r="R689" i="1"/>
  <c r="P690" i="1"/>
  <c r="Q690" i="1"/>
  <c r="R690" i="1"/>
  <c r="S690" i="1"/>
  <c r="P691" i="1"/>
  <c r="Q691" i="1"/>
  <c r="R691" i="1"/>
  <c r="S691" i="1"/>
  <c r="P692" i="1"/>
  <c r="S692" i="1" s="1"/>
  <c r="Q692" i="1"/>
  <c r="R692" i="1"/>
  <c r="P693" i="1"/>
  <c r="Q693" i="1"/>
  <c r="R693" i="1"/>
  <c r="S693" i="1"/>
  <c r="P694" i="1"/>
  <c r="Q694" i="1"/>
  <c r="R694" i="1"/>
  <c r="S694" i="1"/>
  <c r="P695" i="1"/>
  <c r="S695" i="1" s="1"/>
  <c r="Q695" i="1"/>
  <c r="R695" i="1"/>
  <c r="P696" i="1"/>
  <c r="Q696" i="1"/>
  <c r="R696" i="1"/>
  <c r="S696" i="1"/>
  <c r="P697" i="1"/>
  <c r="Q697" i="1"/>
  <c r="R697" i="1"/>
  <c r="S697" i="1"/>
  <c r="P698" i="1"/>
  <c r="S698" i="1" s="1"/>
  <c r="Q698" i="1"/>
  <c r="R698" i="1"/>
  <c r="P699" i="1"/>
  <c r="Q699" i="1"/>
  <c r="R699" i="1"/>
  <c r="S699" i="1"/>
  <c r="P700" i="1"/>
  <c r="Q700" i="1"/>
  <c r="R700" i="1"/>
  <c r="S700" i="1"/>
  <c r="P701" i="1"/>
  <c r="S701" i="1" s="1"/>
  <c r="Q701" i="1"/>
  <c r="R701" i="1"/>
  <c r="P702" i="1"/>
  <c r="Q702" i="1"/>
  <c r="R702" i="1"/>
  <c r="S702" i="1"/>
  <c r="P703" i="1"/>
  <c r="Q703" i="1"/>
  <c r="R703" i="1"/>
  <c r="S703" i="1"/>
  <c r="P704" i="1"/>
  <c r="S704" i="1" s="1"/>
  <c r="Q704" i="1"/>
  <c r="R704" i="1"/>
  <c r="P705" i="1"/>
  <c r="Q705" i="1"/>
  <c r="R705" i="1"/>
  <c r="S705" i="1"/>
  <c r="P706" i="1"/>
  <c r="Q706" i="1"/>
  <c r="R706" i="1"/>
  <c r="S706" i="1"/>
  <c r="P707" i="1"/>
  <c r="S707" i="1" s="1"/>
  <c r="Q707" i="1"/>
  <c r="R707" i="1"/>
  <c r="P708" i="1"/>
  <c r="Q708" i="1"/>
  <c r="R708" i="1"/>
  <c r="S708" i="1"/>
  <c r="P709" i="1"/>
  <c r="Q709" i="1"/>
  <c r="R709" i="1"/>
  <c r="S709" i="1"/>
  <c r="P710" i="1"/>
  <c r="S710" i="1" s="1"/>
  <c r="Q710" i="1"/>
  <c r="R710" i="1"/>
  <c r="P711" i="1"/>
  <c r="Q711" i="1"/>
  <c r="R711" i="1"/>
  <c r="S711" i="1"/>
  <c r="P712" i="1"/>
  <c r="Q712" i="1"/>
  <c r="R712" i="1"/>
  <c r="S712" i="1"/>
  <c r="P713" i="1"/>
  <c r="S713" i="1" s="1"/>
  <c r="Q713" i="1"/>
  <c r="R713" i="1"/>
  <c r="P714" i="1"/>
  <c r="Q714" i="1"/>
  <c r="R714" i="1"/>
  <c r="S714" i="1"/>
  <c r="P715" i="1"/>
  <c r="Q715" i="1"/>
  <c r="R715" i="1"/>
  <c r="S715" i="1"/>
  <c r="P716" i="1"/>
  <c r="S716" i="1" s="1"/>
  <c r="Q716" i="1"/>
  <c r="R716" i="1"/>
  <c r="P717" i="1"/>
  <c r="Q717" i="1"/>
  <c r="R717" i="1"/>
  <c r="S717" i="1"/>
  <c r="P718" i="1"/>
  <c r="Q718" i="1"/>
  <c r="R718" i="1"/>
  <c r="S718" i="1"/>
  <c r="P719" i="1"/>
  <c r="S719" i="1" s="1"/>
  <c r="Q719" i="1"/>
  <c r="R719" i="1"/>
  <c r="P720" i="1"/>
  <c r="Q720" i="1"/>
  <c r="R720" i="1"/>
  <c r="S720" i="1"/>
  <c r="P721" i="1"/>
  <c r="Q721" i="1"/>
  <c r="R721" i="1"/>
  <c r="S721" i="1"/>
  <c r="P722" i="1"/>
  <c r="S722" i="1" s="1"/>
  <c r="Q722" i="1"/>
  <c r="R722" i="1"/>
  <c r="P723" i="1"/>
  <c r="Q723" i="1"/>
  <c r="R723" i="1"/>
  <c r="S723" i="1"/>
  <c r="P724" i="1"/>
  <c r="Q724" i="1"/>
  <c r="R724" i="1"/>
  <c r="S724" i="1"/>
  <c r="P725" i="1"/>
  <c r="S725" i="1" s="1"/>
  <c r="Q725" i="1"/>
  <c r="R725" i="1"/>
  <c r="P726" i="1"/>
  <c r="Q726" i="1"/>
  <c r="R726" i="1"/>
  <c r="S726" i="1"/>
  <c r="P727" i="1"/>
  <c r="Q727" i="1"/>
  <c r="R727" i="1"/>
  <c r="S727" i="1"/>
  <c r="P728" i="1"/>
  <c r="S728" i="1" s="1"/>
  <c r="Q728" i="1"/>
  <c r="R728" i="1"/>
  <c r="P729" i="1"/>
  <c r="Q729" i="1"/>
  <c r="R729" i="1"/>
  <c r="S729" i="1"/>
  <c r="P730" i="1"/>
  <c r="Q730" i="1"/>
  <c r="R730" i="1"/>
  <c r="S730" i="1"/>
  <c r="P731" i="1"/>
  <c r="S731" i="1" s="1"/>
  <c r="Q731" i="1"/>
  <c r="R731" i="1"/>
  <c r="P732" i="1"/>
  <c r="Q732" i="1"/>
  <c r="R732" i="1"/>
  <c r="S732" i="1"/>
  <c r="P733" i="1"/>
  <c r="Q733" i="1"/>
  <c r="R733" i="1"/>
  <c r="S733" i="1"/>
  <c r="P734" i="1"/>
  <c r="S734" i="1" s="1"/>
  <c r="Q734" i="1"/>
  <c r="R734" i="1"/>
  <c r="P735" i="1"/>
  <c r="Q735" i="1"/>
  <c r="R735" i="1"/>
  <c r="S735" i="1"/>
  <c r="P736" i="1"/>
  <c r="Q736" i="1"/>
  <c r="R736" i="1"/>
  <c r="S736" i="1"/>
  <c r="P737" i="1"/>
  <c r="S737" i="1" s="1"/>
  <c r="Q737" i="1"/>
  <c r="R737" i="1"/>
  <c r="P738" i="1"/>
  <c r="Q738" i="1"/>
  <c r="R738" i="1"/>
  <c r="S738" i="1"/>
  <c r="P739" i="1"/>
  <c r="Q739" i="1"/>
  <c r="R739" i="1"/>
  <c r="S739" i="1"/>
  <c r="P740" i="1"/>
  <c r="S740" i="1" s="1"/>
  <c r="Q740" i="1"/>
  <c r="R740" i="1"/>
  <c r="P741" i="1"/>
  <c r="Q741" i="1"/>
  <c r="R741" i="1"/>
  <c r="S741" i="1"/>
  <c r="P742" i="1"/>
  <c r="Q742" i="1"/>
  <c r="R742" i="1"/>
  <c r="S742" i="1"/>
  <c r="P743" i="1"/>
  <c r="S743" i="1" s="1"/>
  <c r="Q743" i="1"/>
  <c r="R743" i="1"/>
  <c r="P744" i="1"/>
  <c r="Q744" i="1"/>
  <c r="R744" i="1"/>
  <c r="S744" i="1"/>
  <c r="P745" i="1"/>
  <c r="Q745" i="1"/>
  <c r="R745" i="1"/>
  <c r="S745" i="1"/>
  <c r="P746" i="1"/>
  <c r="S746" i="1" s="1"/>
  <c r="Q746" i="1"/>
  <c r="R746" i="1"/>
  <c r="P747" i="1"/>
  <c r="Q747" i="1"/>
  <c r="R747" i="1"/>
  <c r="S747" i="1"/>
  <c r="P748" i="1"/>
  <c r="Q748" i="1"/>
  <c r="R748" i="1"/>
  <c r="S748" i="1"/>
  <c r="P749" i="1"/>
  <c r="S749" i="1" s="1"/>
  <c r="Q749" i="1"/>
  <c r="R749" i="1"/>
  <c r="P750" i="1"/>
  <c r="Q750" i="1"/>
  <c r="R750" i="1"/>
  <c r="S750" i="1"/>
  <c r="P751" i="1"/>
  <c r="Q751" i="1"/>
  <c r="R751" i="1"/>
  <c r="S751" i="1"/>
  <c r="P752" i="1"/>
  <c r="S752" i="1" s="1"/>
  <c r="Q752" i="1"/>
  <c r="R752" i="1"/>
  <c r="P753" i="1"/>
  <c r="Q753" i="1"/>
  <c r="R753" i="1"/>
  <c r="S753" i="1"/>
  <c r="P754" i="1"/>
  <c r="Q754" i="1"/>
  <c r="R754" i="1"/>
  <c r="S754" i="1"/>
  <c r="P755" i="1"/>
  <c r="S755" i="1" s="1"/>
  <c r="Q755" i="1"/>
  <c r="R755" i="1"/>
  <c r="P756" i="1"/>
  <c r="Q756" i="1"/>
  <c r="R756" i="1"/>
  <c r="S756" i="1"/>
  <c r="P757" i="1"/>
  <c r="Q757" i="1"/>
  <c r="R757" i="1"/>
  <c r="S757" i="1"/>
  <c r="P758" i="1"/>
  <c r="S758" i="1" s="1"/>
  <c r="Q758" i="1"/>
  <c r="R758" i="1"/>
  <c r="P759" i="1"/>
  <c r="Q759" i="1"/>
  <c r="R759" i="1"/>
  <c r="S759" i="1"/>
  <c r="P760" i="1"/>
  <c r="Q760" i="1"/>
  <c r="R760" i="1"/>
  <c r="S760" i="1"/>
  <c r="P761" i="1"/>
  <c r="S761" i="1" s="1"/>
  <c r="Q761" i="1"/>
  <c r="R761" i="1"/>
  <c r="P762" i="1"/>
  <c r="Q762" i="1"/>
  <c r="R762" i="1"/>
  <c r="S762" i="1"/>
  <c r="P763" i="1"/>
  <c r="Q763" i="1"/>
  <c r="R763" i="1"/>
  <c r="S763" i="1"/>
  <c r="P764" i="1"/>
  <c r="S764" i="1" s="1"/>
  <c r="Q764" i="1"/>
  <c r="R764" i="1"/>
  <c r="P765" i="1"/>
  <c r="Q765" i="1"/>
  <c r="R765" i="1"/>
  <c r="S765" i="1"/>
  <c r="P766" i="1"/>
  <c r="Q766" i="1"/>
  <c r="R766" i="1"/>
  <c r="S766" i="1"/>
  <c r="P767" i="1"/>
  <c r="S767" i="1" s="1"/>
  <c r="Q767" i="1"/>
  <c r="R767" i="1"/>
  <c r="P768" i="1"/>
  <c r="Q768" i="1"/>
  <c r="R768" i="1"/>
  <c r="S768" i="1"/>
  <c r="P769" i="1"/>
  <c r="Q769" i="1"/>
  <c r="R769" i="1"/>
  <c r="S769" i="1"/>
  <c r="P770" i="1"/>
  <c r="S770" i="1" s="1"/>
  <c r="Q770" i="1"/>
  <c r="R770" i="1"/>
  <c r="P771" i="1"/>
  <c r="Q771" i="1"/>
  <c r="R771" i="1"/>
  <c r="S771" i="1"/>
  <c r="P772" i="1"/>
  <c r="Q772" i="1"/>
  <c r="R772" i="1"/>
  <c r="S772" i="1"/>
  <c r="P773" i="1"/>
  <c r="S773" i="1" s="1"/>
  <c r="Q773" i="1"/>
  <c r="R773" i="1"/>
  <c r="P774" i="1"/>
  <c r="Q774" i="1"/>
  <c r="R774" i="1"/>
  <c r="S774" i="1"/>
  <c r="P775" i="1"/>
  <c r="Q775" i="1"/>
  <c r="R775" i="1"/>
  <c r="S775" i="1"/>
  <c r="P776" i="1"/>
  <c r="S776" i="1" s="1"/>
  <c r="Q776" i="1"/>
  <c r="R776" i="1"/>
  <c r="P777" i="1"/>
  <c r="Q777" i="1"/>
  <c r="R777" i="1"/>
  <c r="S777" i="1"/>
  <c r="P778" i="1"/>
  <c r="Q778" i="1"/>
  <c r="R778" i="1"/>
  <c r="S778" i="1"/>
  <c r="P779" i="1"/>
  <c r="S779" i="1" s="1"/>
  <c r="Q779" i="1"/>
  <c r="R779" i="1"/>
  <c r="P780" i="1"/>
  <c r="Q780" i="1"/>
  <c r="R780" i="1"/>
  <c r="S780" i="1"/>
  <c r="P781" i="1"/>
  <c r="Q781" i="1"/>
  <c r="R781" i="1"/>
  <c r="S781" i="1"/>
  <c r="P782" i="1"/>
  <c r="S782" i="1" s="1"/>
  <c r="Q782" i="1"/>
  <c r="R782" i="1"/>
  <c r="P783" i="1"/>
  <c r="Q783" i="1"/>
  <c r="R783" i="1"/>
  <c r="S783" i="1"/>
  <c r="P784" i="1"/>
  <c r="Q784" i="1"/>
  <c r="R784" i="1"/>
  <c r="S784" i="1"/>
  <c r="P785" i="1"/>
  <c r="S785" i="1" s="1"/>
  <c r="Q785" i="1"/>
  <c r="R785" i="1"/>
  <c r="P786" i="1"/>
  <c r="Q786" i="1"/>
  <c r="R786" i="1"/>
  <c r="S786" i="1"/>
  <c r="P787" i="1"/>
  <c r="Q787" i="1"/>
  <c r="R787" i="1"/>
  <c r="S787" i="1"/>
  <c r="P788" i="1"/>
  <c r="S788" i="1" s="1"/>
  <c r="Q788" i="1"/>
  <c r="R788" i="1"/>
  <c r="P789" i="1"/>
  <c r="Q789" i="1"/>
  <c r="R789" i="1"/>
  <c r="S789" i="1"/>
  <c r="P790" i="1"/>
  <c r="Q790" i="1"/>
  <c r="R790" i="1"/>
  <c r="S790" i="1"/>
  <c r="P791" i="1"/>
  <c r="S791" i="1" s="1"/>
  <c r="Q791" i="1"/>
  <c r="R791" i="1"/>
  <c r="P792" i="1"/>
  <c r="Q792" i="1"/>
  <c r="R792" i="1"/>
  <c r="S792" i="1"/>
  <c r="P793" i="1"/>
  <c r="Q793" i="1"/>
  <c r="R793" i="1"/>
  <c r="S793" i="1"/>
  <c r="P794" i="1"/>
  <c r="S794" i="1" s="1"/>
  <c r="Q794" i="1"/>
  <c r="R794" i="1"/>
  <c r="P795" i="1"/>
  <c r="Q795" i="1"/>
  <c r="R795" i="1"/>
  <c r="S795" i="1"/>
  <c r="P796" i="1"/>
  <c r="Q796" i="1"/>
  <c r="R796" i="1"/>
  <c r="S796" i="1"/>
  <c r="P797" i="1"/>
  <c r="S797" i="1" s="1"/>
  <c r="Q797" i="1"/>
  <c r="R797" i="1"/>
  <c r="P798" i="1"/>
  <c r="Q798" i="1"/>
  <c r="R798" i="1"/>
  <c r="S798" i="1"/>
  <c r="P799" i="1"/>
  <c r="Q799" i="1"/>
  <c r="R799" i="1"/>
  <c r="S799" i="1"/>
  <c r="P800" i="1"/>
  <c r="S800" i="1" s="1"/>
  <c r="Q800" i="1"/>
  <c r="R800" i="1"/>
  <c r="P801" i="1"/>
  <c r="Q801" i="1"/>
  <c r="R801" i="1"/>
  <c r="S801" i="1"/>
  <c r="P802" i="1"/>
  <c r="Q802" i="1"/>
  <c r="R802" i="1"/>
  <c r="S802" i="1"/>
  <c r="P803" i="1"/>
  <c r="S803" i="1" s="1"/>
  <c r="Q803" i="1"/>
  <c r="R803" i="1"/>
  <c r="P804" i="1"/>
  <c r="Q804" i="1"/>
  <c r="R804" i="1"/>
  <c r="S804" i="1"/>
  <c r="P805" i="1"/>
  <c r="Q805" i="1"/>
  <c r="R805" i="1"/>
  <c r="S805" i="1"/>
  <c r="P806" i="1"/>
  <c r="S806" i="1" s="1"/>
  <c r="Q806" i="1"/>
  <c r="R806" i="1"/>
  <c r="P807" i="1"/>
  <c r="Q807" i="1"/>
  <c r="R807" i="1"/>
  <c r="S807" i="1"/>
  <c r="P808" i="1"/>
  <c r="Q808" i="1"/>
  <c r="R808" i="1"/>
  <c r="S808" i="1"/>
  <c r="P809" i="1"/>
  <c r="S809" i="1" s="1"/>
  <c r="Q809" i="1"/>
  <c r="R809" i="1"/>
  <c r="P810" i="1"/>
  <c r="Q810" i="1"/>
  <c r="R810" i="1"/>
  <c r="S810" i="1"/>
  <c r="P811" i="1"/>
  <c r="S811" i="1" s="1"/>
  <c r="Q811" i="1"/>
  <c r="R811" i="1"/>
  <c r="P812" i="1"/>
  <c r="S812" i="1" s="1"/>
  <c r="Q812" i="1"/>
  <c r="R812" i="1"/>
  <c r="P813" i="1"/>
  <c r="Q813" i="1"/>
  <c r="R813" i="1"/>
  <c r="S813" i="1"/>
  <c r="P814" i="1"/>
  <c r="Q814" i="1"/>
  <c r="R814" i="1"/>
  <c r="S814" i="1"/>
  <c r="P815" i="1"/>
  <c r="S815" i="1" s="1"/>
  <c r="Q815" i="1"/>
  <c r="R815" i="1"/>
  <c r="P816" i="1"/>
  <c r="Q816" i="1"/>
  <c r="R816" i="1"/>
  <c r="S816" i="1"/>
  <c r="P817" i="1"/>
  <c r="Q817" i="1"/>
  <c r="R817" i="1"/>
  <c r="S817" i="1"/>
  <c r="P818" i="1"/>
  <c r="S818" i="1" s="1"/>
  <c r="Q818" i="1"/>
  <c r="R818" i="1"/>
  <c r="P819" i="1"/>
  <c r="Q819" i="1"/>
  <c r="R819" i="1"/>
  <c r="S819" i="1"/>
  <c r="P820" i="1"/>
  <c r="S820" i="1" s="1"/>
  <c r="Q820" i="1"/>
  <c r="R820" i="1"/>
  <c r="P821" i="1"/>
  <c r="S821" i="1" s="1"/>
  <c r="Q821" i="1"/>
  <c r="R821" i="1"/>
  <c r="P822" i="1"/>
  <c r="Q822" i="1"/>
  <c r="R822" i="1"/>
  <c r="S822" i="1"/>
  <c r="P823" i="1"/>
  <c r="S823" i="1" s="1"/>
  <c r="Q823" i="1"/>
  <c r="R823" i="1"/>
  <c r="P824" i="1"/>
  <c r="S824" i="1" s="1"/>
  <c r="Q824" i="1"/>
  <c r="R824" i="1"/>
  <c r="P825" i="1"/>
  <c r="Q825" i="1"/>
  <c r="R825" i="1"/>
  <c r="S825" i="1"/>
  <c r="P826" i="1"/>
  <c r="S826" i="1" s="1"/>
  <c r="Q826" i="1"/>
  <c r="R826" i="1"/>
  <c r="P827" i="1"/>
  <c r="S827" i="1" s="1"/>
  <c r="Q827" i="1"/>
  <c r="R827" i="1"/>
  <c r="P828" i="1"/>
  <c r="Q828" i="1"/>
  <c r="R828" i="1"/>
  <c r="S828" i="1"/>
  <c r="P829" i="1"/>
  <c r="Q829" i="1"/>
  <c r="R829" i="1"/>
  <c r="S829" i="1"/>
  <c r="P830" i="1"/>
  <c r="S830" i="1" s="1"/>
  <c r="Q830" i="1"/>
  <c r="R830" i="1"/>
  <c r="P831" i="1"/>
  <c r="Q831" i="1"/>
  <c r="R831" i="1"/>
  <c r="S831" i="1"/>
  <c r="P832" i="1"/>
  <c r="Q832" i="1"/>
  <c r="R832" i="1"/>
  <c r="S832" i="1"/>
  <c r="P833" i="1"/>
  <c r="S833" i="1" s="1"/>
  <c r="Q833" i="1"/>
  <c r="R833" i="1"/>
  <c r="P834" i="1"/>
  <c r="Q834" i="1"/>
  <c r="R834" i="1"/>
  <c r="S834" i="1"/>
  <c r="P835" i="1"/>
  <c r="Q835" i="1"/>
  <c r="R835" i="1"/>
  <c r="S835" i="1"/>
  <c r="P836" i="1"/>
  <c r="S836" i="1" s="1"/>
  <c r="Q836" i="1"/>
  <c r="R836" i="1"/>
  <c r="P837" i="1"/>
  <c r="Q837" i="1"/>
  <c r="R837" i="1"/>
  <c r="S837" i="1"/>
  <c r="P838" i="1"/>
  <c r="Q838" i="1"/>
  <c r="R838" i="1"/>
  <c r="S838" i="1"/>
  <c r="P839" i="1"/>
  <c r="S839" i="1" s="1"/>
  <c r="Q839" i="1"/>
  <c r="R839" i="1"/>
  <c r="P840" i="1"/>
  <c r="Q840" i="1"/>
  <c r="R840" i="1"/>
  <c r="S840" i="1"/>
  <c r="P841" i="1"/>
  <c r="Q841" i="1"/>
  <c r="R841" i="1"/>
  <c r="S841" i="1"/>
  <c r="P842" i="1"/>
  <c r="S842" i="1" s="1"/>
  <c r="Q842" i="1"/>
  <c r="R842" i="1"/>
  <c r="P843" i="1"/>
  <c r="Q843" i="1"/>
  <c r="R843" i="1"/>
  <c r="S843" i="1"/>
  <c r="P844" i="1"/>
  <c r="S844" i="1" s="1"/>
  <c r="Q844" i="1"/>
  <c r="R844" i="1"/>
  <c r="P845" i="1"/>
  <c r="S845" i="1" s="1"/>
  <c r="Q845" i="1"/>
  <c r="R845" i="1"/>
  <c r="P846" i="1"/>
  <c r="Q846" i="1"/>
  <c r="R846" i="1"/>
  <c r="S846" i="1"/>
  <c r="P847" i="1"/>
  <c r="S847" i="1" s="1"/>
  <c r="Q847" i="1"/>
  <c r="R847" i="1"/>
  <c r="P848" i="1"/>
  <c r="S848" i="1" s="1"/>
  <c r="Q848" i="1"/>
  <c r="R848" i="1"/>
  <c r="P849" i="1"/>
  <c r="Q849" i="1"/>
  <c r="R849" i="1"/>
  <c r="S849" i="1"/>
  <c r="P850" i="1"/>
  <c r="Q850" i="1"/>
  <c r="R850" i="1"/>
  <c r="S850" i="1"/>
  <c r="P851" i="1"/>
  <c r="S851" i="1" s="1"/>
  <c r="Q851" i="1"/>
  <c r="R851" i="1"/>
  <c r="P852" i="1"/>
  <c r="Q852" i="1"/>
  <c r="R852" i="1"/>
  <c r="S852" i="1"/>
  <c r="P853" i="1"/>
  <c r="Q853" i="1"/>
  <c r="R853" i="1"/>
  <c r="S853" i="1"/>
  <c r="P854" i="1"/>
  <c r="S854" i="1" s="1"/>
  <c r="Q854" i="1"/>
  <c r="R854" i="1"/>
  <c r="P855" i="1"/>
  <c r="Q855" i="1"/>
  <c r="R855" i="1"/>
  <c r="S855" i="1"/>
  <c r="P856" i="1"/>
  <c r="S856" i="1" s="1"/>
  <c r="Q856" i="1"/>
  <c r="R856" i="1"/>
  <c r="P857" i="1"/>
  <c r="S857" i="1" s="1"/>
  <c r="Q857" i="1"/>
  <c r="R857" i="1"/>
  <c r="P858" i="1"/>
  <c r="Q858" i="1"/>
  <c r="R858" i="1"/>
  <c r="S858" i="1"/>
  <c r="P859" i="1"/>
  <c r="S859" i="1" s="1"/>
  <c r="Q859" i="1"/>
  <c r="R859" i="1"/>
  <c r="P860" i="1"/>
  <c r="S860" i="1" s="1"/>
  <c r="Q860" i="1"/>
  <c r="R860" i="1"/>
  <c r="P861" i="1"/>
  <c r="Q861" i="1"/>
  <c r="R861" i="1"/>
  <c r="S861" i="1"/>
  <c r="P862" i="1"/>
  <c r="S862" i="1" s="1"/>
  <c r="Q862" i="1"/>
  <c r="R862" i="1"/>
  <c r="P863" i="1"/>
  <c r="S863" i="1" s="1"/>
  <c r="Q863" i="1"/>
  <c r="R863" i="1"/>
  <c r="P864" i="1"/>
  <c r="Q864" i="1"/>
  <c r="R864" i="1"/>
  <c r="S864" i="1"/>
  <c r="P865" i="1"/>
  <c r="Q865" i="1"/>
  <c r="R865" i="1"/>
  <c r="S865" i="1"/>
  <c r="P866" i="1"/>
  <c r="S866" i="1" s="1"/>
  <c r="Q866" i="1"/>
  <c r="R866" i="1"/>
  <c r="P867" i="1"/>
  <c r="Q867" i="1"/>
  <c r="R867" i="1"/>
  <c r="S867" i="1"/>
  <c r="P868" i="1"/>
  <c r="Q868" i="1"/>
  <c r="R868" i="1"/>
  <c r="S868" i="1"/>
  <c r="P869" i="1"/>
  <c r="S869" i="1" s="1"/>
  <c r="Q869" i="1"/>
  <c r="R869" i="1"/>
  <c r="P870" i="1"/>
  <c r="Q870" i="1"/>
  <c r="R870" i="1"/>
  <c r="S870" i="1"/>
  <c r="P871" i="1"/>
  <c r="Q871" i="1"/>
  <c r="R871" i="1"/>
  <c r="S871" i="1"/>
  <c r="P872" i="1"/>
  <c r="S872" i="1" s="1"/>
  <c r="Q872" i="1"/>
  <c r="R872" i="1"/>
  <c r="P873" i="1"/>
  <c r="Q873" i="1"/>
  <c r="R873" i="1"/>
  <c r="S873" i="1"/>
  <c r="P874" i="1"/>
  <c r="Q874" i="1"/>
  <c r="R874" i="1"/>
  <c r="S874" i="1"/>
  <c r="P875" i="1"/>
  <c r="S875" i="1" s="1"/>
  <c r="Q875" i="1"/>
  <c r="R875" i="1"/>
  <c r="P876" i="1"/>
  <c r="Q876" i="1"/>
  <c r="R876" i="1"/>
  <c r="S876" i="1"/>
  <c r="P877" i="1"/>
  <c r="Q877" i="1"/>
  <c r="R877" i="1"/>
  <c r="S877" i="1"/>
  <c r="P878" i="1"/>
  <c r="S878" i="1" s="1"/>
  <c r="Q878" i="1"/>
  <c r="R878" i="1"/>
  <c r="P879" i="1"/>
  <c r="Q879" i="1"/>
  <c r="R879" i="1"/>
  <c r="S879" i="1"/>
  <c r="P880" i="1"/>
  <c r="S880" i="1" s="1"/>
  <c r="Q880" i="1"/>
  <c r="R880" i="1"/>
  <c r="P881" i="1"/>
  <c r="S881" i="1" s="1"/>
  <c r="Q881" i="1"/>
  <c r="R881" i="1"/>
  <c r="P882" i="1"/>
  <c r="Q882" i="1"/>
  <c r="R882" i="1"/>
  <c r="S882" i="1"/>
  <c r="P883" i="1"/>
  <c r="S883" i="1" s="1"/>
  <c r="Q883" i="1"/>
  <c r="R883" i="1"/>
  <c r="P884" i="1"/>
  <c r="S884" i="1" s="1"/>
  <c r="Q884" i="1"/>
  <c r="R884" i="1"/>
  <c r="P885" i="1"/>
  <c r="Q885" i="1"/>
  <c r="R885" i="1"/>
  <c r="S885" i="1"/>
  <c r="P886" i="1"/>
  <c r="Q886" i="1"/>
  <c r="R886" i="1"/>
  <c r="S886" i="1"/>
  <c r="P887" i="1"/>
  <c r="S887" i="1" s="1"/>
  <c r="Q887" i="1"/>
  <c r="R887" i="1"/>
  <c r="P888" i="1"/>
  <c r="Q888" i="1"/>
  <c r="R888" i="1"/>
  <c r="S888" i="1"/>
  <c r="P889" i="1"/>
  <c r="Q889" i="1"/>
  <c r="R889" i="1"/>
  <c r="S889" i="1"/>
  <c r="P890" i="1"/>
  <c r="S890" i="1" s="1"/>
  <c r="Q890" i="1"/>
  <c r="R890" i="1"/>
  <c r="P891" i="1"/>
  <c r="Q891" i="1"/>
  <c r="R891" i="1"/>
  <c r="S891" i="1"/>
  <c r="P892" i="1"/>
  <c r="S892" i="1" s="1"/>
  <c r="Q892" i="1"/>
  <c r="R892" i="1"/>
  <c r="P893" i="1"/>
  <c r="S893" i="1" s="1"/>
  <c r="Q893" i="1"/>
  <c r="R893" i="1"/>
  <c r="P894" i="1"/>
  <c r="Q894" i="1"/>
  <c r="R894" i="1"/>
  <c r="S894" i="1"/>
  <c r="P895" i="1"/>
  <c r="S895" i="1" s="1"/>
  <c r="Q895" i="1"/>
  <c r="R895" i="1"/>
  <c r="P896" i="1"/>
  <c r="S896" i="1" s="1"/>
  <c r="Q896" i="1"/>
  <c r="R896" i="1"/>
  <c r="P897" i="1"/>
  <c r="Q897" i="1"/>
  <c r="R897" i="1"/>
  <c r="S897" i="1"/>
  <c r="P898" i="1"/>
  <c r="S898" i="1" s="1"/>
  <c r="Q898" i="1"/>
  <c r="R898" i="1"/>
  <c r="P899" i="1"/>
  <c r="S899" i="1" s="1"/>
  <c r="Q899" i="1"/>
  <c r="R899" i="1"/>
  <c r="P900" i="1"/>
  <c r="Q900" i="1"/>
  <c r="R900" i="1"/>
  <c r="S900" i="1"/>
  <c r="P901" i="1"/>
  <c r="Q901" i="1"/>
  <c r="R901" i="1"/>
  <c r="S901" i="1"/>
  <c r="P902" i="1"/>
  <c r="S902" i="1" s="1"/>
  <c r="Q902" i="1"/>
  <c r="R902" i="1"/>
  <c r="P903" i="1"/>
  <c r="Q903" i="1"/>
  <c r="R903" i="1"/>
  <c r="S903" i="1"/>
  <c r="P904" i="1"/>
  <c r="Q904" i="1"/>
  <c r="R904" i="1"/>
  <c r="S904" i="1"/>
  <c r="P905" i="1"/>
  <c r="S905" i="1" s="1"/>
  <c r="Q905" i="1"/>
  <c r="R905" i="1"/>
  <c r="P906" i="1"/>
  <c r="Q906" i="1"/>
  <c r="R906" i="1"/>
  <c r="S906" i="1"/>
  <c r="P907" i="1"/>
  <c r="Q907" i="1"/>
  <c r="R907" i="1"/>
  <c r="S907" i="1"/>
  <c r="P908" i="1"/>
  <c r="S908" i="1" s="1"/>
  <c r="Q908" i="1"/>
  <c r="R908" i="1"/>
  <c r="P909" i="1"/>
  <c r="Q909" i="1"/>
  <c r="R909" i="1"/>
  <c r="S909" i="1"/>
  <c r="P910" i="1"/>
  <c r="Q910" i="1"/>
  <c r="R910" i="1"/>
  <c r="S910" i="1"/>
  <c r="P911" i="1"/>
  <c r="S911" i="1" s="1"/>
  <c r="Q911" i="1"/>
  <c r="R911" i="1"/>
  <c r="P912" i="1"/>
  <c r="Q912" i="1"/>
  <c r="R912" i="1"/>
  <c r="S912" i="1"/>
  <c r="P913" i="1"/>
  <c r="Q913" i="1"/>
  <c r="R913" i="1"/>
  <c r="S913" i="1"/>
  <c r="P914" i="1"/>
  <c r="S914" i="1" s="1"/>
  <c r="Q914" i="1"/>
  <c r="R914" i="1"/>
  <c r="P915" i="1"/>
  <c r="Q915" i="1"/>
  <c r="R915" i="1"/>
  <c r="S915" i="1"/>
  <c r="P916" i="1"/>
  <c r="S916" i="1" s="1"/>
  <c r="Q916" i="1"/>
  <c r="R916" i="1"/>
  <c r="P917" i="1"/>
  <c r="S917" i="1" s="1"/>
  <c r="Q917" i="1"/>
  <c r="R917" i="1"/>
  <c r="P918" i="1"/>
  <c r="Q918" i="1"/>
  <c r="R918" i="1"/>
  <c r="S918" i="1"/>
  <c r="P919" i="1"/>
  <c r="S919" i="1" s="1"/>
  <c r="Q919" i="1"/>
  <c r="R919" i="1"/>
  <c r="P920" i="1"/>
  <c r="S920" i="1" s="1"/>
  <c r="Q920" i="1"/>
  <c r="R920" i="1"/>
  <c r="P921" i="1"/>
  <c r="Q921" i="1"/>
  <c r="R921" i="1"/>
  <c r="S921" i="1"/>
  <c r="P922" i="1"/>
  <c r="Q922" i="1"/>
  <c r="R922" i="1"/>
  <c r="S922" i="1"/>
  <c r="P923" i="1"/>
  <c r="S923" i="1" s="1"/>
  <c r="Q923" i="1"/>
  <c r="R923" i="1"/>
  <c r="P924" i="1"/>
  <c r="Q924" i="1"/>
  <c r="R924" i="1"/>
  <c r="S924" i="1"/>
  <c r="P925" i="1"/>
  <c r="Q925" i="1"/>
  <c r="R925" i="1"/>
  <c r="S925" i="1"/>
  <c r="P926" i="1"/>
  <c r="S926" i="1" s="1"/>
  <c r="Q926" i="1"/>
  <c r="R926" i="1"/>
  <c r="P927" i="1"/>
  <c r="Q927" i="1"/>
  <c r="R927" i="1"/>
  <c r="S927" i="1"/>
  <c r="P928" i="1"/>
  <c r="S928" i="1" s="1"/>
  <c r="Q928" i="1"/>
  <c r="R928" i="1"/>
  <c r="P929" i="1"/>
  <c r="S929" i="1" s="1"/>
  <c r="Q929" i="1"/>
  <c r="R929" i="1"/>
  <c r="P930" i="1"/>
  <c r="Q930" i="1"/>
  <c r="R930" i="1"/>
  <c r="S930" i="1"/>
  <c r="P931" i="1"/>
  <c r="S931" i="1" s="1"/>
  <c r="Q931" i="1"/>
  <c r="R931" i="1"/>
  <c r="P932" i="1"/>
  <c r="S932" i="1" s="1"/>
  <c r="Q932" i="1"/>
  <c r="R932" i="1"/>
  <c r="P933" i="1"/>
  <c r="Q933" i="1"/>
  <c r="R933" i="1"/>
  <c r="S933" i="1"/>
  <c r="P934" i="1"/>
  <c r="S934" i="1" s="1"/>
  <c r="Q934" i="1"/>
  <c r="R934" i="1"/>
  <c r="P935" i="1"/>
  <c r="S935" i="1" s="1"/>
  <c r="Q935" i="1"/>
  <c r="R935" i="1"/>
  <c r="P936" i="1"/>
  <c r="Q936" i="1"/>
  <c r="R936" i="1"/>
  <c r="S936" i="1"/>
  <c r="P937" i="1"/>
  <c r="Q937" i="1"/>
  <c r="R937" i="1"/>
  <c r="S937" i="1"/>
  <c r="P938" i="1"/>
  <c r="S938" i="1" s="1"/>
  <c r="Q938" i="1"/>
  <c r="R938" i="1"/>
  <c r="P939" i="1"/>
  <c r="Q939" i="1"/>
  <c r="R939" i="1"/>
  <c r="S939" i="1"/>
  <c r="P940" i="1"/>
  <c r="Q940" i="1"/>
  <c r="R940" i="1"/>
  <c r="S940" i="1"/>
  <c r="P941" i="1"/>
  <c r="S941" i="1" s="1"/>
  <c r="Q941" i="1"/>
  <c r="R941" i="1"/>
  <c r="P942" i="1"/>
  <c r="Q942" i="1"/>
  <c r="R942" i="1"/>
  <c r="S942" i="1"/>
  <c r="P943" i="1"/>
  <c r="Q943" i="1"/>
  <c r="R943" i="1"/>
  <c r="S943" i="1"/>
  <c r="P944" i="1"/>
  <c r="S944" i="1" s="1"/>
  <c r="Q944" i="1"/>
  <c r="R944" i="1"/>
  <c r="P945" i="1"/>
  <c r="Q945" i="1"/>
  <c r="R945" i="1"/>
  <c r="S945" i="1"/>
  <c r="P946" i="1"/>
  <c r="Q946" i="1"/>
  <c r="R946" i="1"/>
  <c r="S946" i="1"/>
  <c r="P947" i="1"/>
  <c r="S947" i="1" s="1"/>
  <c r="Q947" i="1"/>
  <c r="R947" i="1"/>
  <c r="P948" i="1"/>
  <c r="Q948" i="1"/>
  <c r="R948" i="1"/>
  <c r="S948" i="1"/>
  <c r="P949" i="1"/>
  <c r="Q949" i="1"/>
  <c r="R949" i="1"/>
  <c r="S949" i="1"/>
  <c r="P950" i="1"/>
  <c r="S950" i="1" s="1"/>
  <c r="Q950" i="1"/>
  <c r="R950" i="1"/>
  <c r="P951" i="1"/>
  <c r="Q951" i="1"/>
  <c r="R951" i="1"/>
  <c r="S951" i="1"/>
  <c r="P952" i="1"/>
  <c r="S952" i="1" s="1"/>
  <c r="Q952" i="1"/>
  <c r="R952" i="1"/>
  <c r="P953" i="1"/>
  <c r="S953" i="1" s="1"/>
  <c r="Q953" i="1"/>
  <c r="R953" i="1"/>
  <c r="P954" i="1"/>
  <c r="Q954" i="1"/>
  <c r="R954" i="1"/>
  <c r="S954" i="1"/>
  <c r="P955" i="1"/>
  <c r="S955" i="1" s="1"/>
  <c r="Q955" i="1"/>
  <c r="R955" i="1"/>
  <c r="P956" i="1"/>
  <c r="S956" i="1" s="1"/>
  <c r="Q956" i="1"/>
  <c r="R956" i="1"/>
  <c r="P957" i="1"/>
  <c r="Q957" i="1"/>
  <c r="R957" i="1"/>
  <c r="S957" i="1"/>
  <c r="P958" i="1"/>
  <c r="Q958" i="1"/>
  <c r="R958" i="1"/>
  <c r="S958" i="1"/>
  <c r="P959" i="1"/>
  <c r="S959" i="1" s="1"/>
  <c r="Q959" i="1"/>
  <c r="R959" i="1"/>
  <c r="P960" i="1"/>
  <c r="Q960" i="1"/>
  <c r="R960" i="1"/>
  <c r="S960" i="1"/>
  <c r="P961" i="1"/>
  <c r="Q961" i="1"/>
  <c r="R961" i="1"/>
  <c r="S961" i="1"/>
  <c r="P962" i="1"/>
  <c r="S962" i="1" s="1"/>
  <c r="Q962" i="1"/>
  <c r="R962" i="1"/>
  <c r="P963" i="1"/>
  <c r="Q963" i="1"/>
  <c r="R963" i="1"/>
  <c r="S963" i="1"/>
  <c r="P964" i="1"/>
  <c r="S964" i="1" s="1"/>
  <c r="Q964" i="1"/>
  <c r="R964" i="1"/>
  <c r="P965" i="1"/>
  <c r="S965" i="1" s="1"/>
  <c r="Q965" i="1"/>
  <c r="R965" i="1"/>
  <c r="P966" i="1"/>
  <c r="Q966" i="1"/>
  <c r="R966" i="1"/>
  <c r="S966" i="1"/>
  <c r="P967" i="1"/>
  <c r="S967" i="1" s="1"/>
  <c r="Q967" i="1"/>
  <c r="R967" i="1"/>
  <c r="P968" i="1"/>
  <c r="S968" i="1" s="1"/>
  <c r="Q968" i="1"/>
  <c r="R968" i="1"/>
  <c r="P969" i="1"/>
  <c r="Q969" i="1"/>
  <c r="R969" i="1"/>
  <c r="S969" i="1"/>
  <c r="P970" i="1"/>
  <c r="S970" i="1" s="1"/>
  <c r="Q970" i="1"/>
  <c r="R970" i="1"/>
  <c r="P971" i="1"/>
  <c r="S971" i="1" s="1"/>
  <c r="Q971" i="1"/>
  <c r="R971" i="1"/>
  <c r="P972" i="1"/>
  <c r="Q972" i="1"/>
  <c r="R972" i="1"/>
  <c r="S972" i="1"/>
  <c r="P973" i="1"/>
  <c r="Q973" i="1"/>
  <c r="R973" i="1"/>
  <c r="S973" i="1"/>
  <c r="P974" i="1"/>
  <c r="S974" i="1" s="1"/>
  <c r="Q974" i="1"/>
  <c r="R974" i="1"/>
  <c r="P975" i="1"/>
  <c r="Q975" i="1"/>
  <c r="R975" i="1"/>
  <c r="S975" i="1"/>
  <c r="P976" i="1"/>
  <c r="Q976" i="1"/>
  <c r="R976" i="1"/>
  <c r="S976" i="1"/>
  <c r="P977" i="1"/>
  <c r="S977" i="1" s="1"/>
  <c r="Q977" i="1"/>
  <c r="R977" i="1"/>
  <c r="P978" i="1"/>
  <c r="Q978" i="1"/>
  <c r="R978" i="1"/>
  <c r="S978" i="1"/>
  <c r="P979" i="1"/>
  <c r="Q979" i="1"/>
  <c r="R979" i="1"/>
  <c r="S979" i="1"/>
  <c r="P980" i="1"/>
  <c r="S980" i="1" s="1"/>
  <c r="Q980" i="1"/>
  <c r="R980" i="1"/>
  <c r="P981" i="1"/>
  <c r="Q981" i="1"/>
  <c r="R981" i="1"/>
  <c r="S981" i="1"/>
  <c r="P982" i="1"/>
  <c r="Q982" i="1"/>
  <c r="R982" i="1"/>
  <c r="S982" i="1"/>
  <c r="P983" i="1"/>
  <c r="S983" i="1" s="1"/>
  <c r="Q983" i="1"/>
  <c r="R983" i="1"/>
  <c r="P984" i="1"/>
  <c r="Q984" i="1"/>
  <c r="R984" i="1"/>
  <c r="S984" i="1"/>
  <c r="P985" i="1"/>
  <c r="Q985" i="1"/>
  <c r="R985" i="1"/>
  <c r="S985" i="1"/>
  <c r="P986" i="1"/>
  <c r="S986" i="1" s="1"/>
  <c r="Q986" i="1"/>
  <c r="R986" i="1"/>
  <c r="P987" i="1"/>
  <c r="Q987" i="1"/>
  <c r="R987" i="1"/>
  <c r="S987" i="1"/>
  <c r="P988" i="1"/>
  <c r="S988" i="1" s="1"/>
  <c r="Q988" i="1"/>
  <c r="R988" i="1"/>
  <c r="P989" i="1"/>
  <c r="S989" i="1" s="1"/>
  <c r="Q989" i="1"/>
  <c r="R989" i="1"/>
  <c r="P990" i="1"/>
  <c r="Q990" i="1"/>
  <c r="R990" i="1"/>
  <c r="S990" i="1"/>
  <c r="P991" i="1"/>
  <c r="S991" i="1" s="1"/>
  <c r="Q991" i="1"/>
  <c r="R991" i="1"/>
  <c r="P992" i="1"/>
  <c r="S992" i="1" s="1"/>
  <c r="Q992" i="1"/>
  <c r="R992" i="1"/>
  <c r="P993" i="1"/>
  <c r="Q993" i="1"/>
  <c r="R993" i="1"/>
  <c r="S993" i="1"/>
  <c r="P994" i="1"/>
  <c r="Q994" i="1"/>
  <c r="R994" i="1"/>
  <c r="S994" i="1"/>
  <c r="P995" i="1"/>
  <c r="S995" i="1" s="1"/>
  <c r="Q995" i="1"/>
  <c r="R995" i="1"/>
  <c r="P996" i="1"/>
  <c r="Q996" i="1"/>
  <c r="R996" i="1"/>
  <c r="S996" i="1"/>
  <c r="P997" i="1"/>
  <c r="Q997" i="1"/>
  <c r="R997" i="1"/>
  <c r="S997" i="1"/>
  <c r="P998" i="1"/>
  <c r="S998" i="1" s="1"/>
  <c r="Q998" i="1"/>
  <c r="R998" i="1"/>
  <c r="P999" i="1"/>
  <c r="Q999" i="1"/>
  <c r="R999" i="1"/>
  <c r="S999" i="1"/>
  <c r="P1000" i="1"/>
  <c r="S1000" i="1" s="1"/>
  <c r="Q1000" i="1"/>
  <c r="R1000" i="1"/>
  <c r="P1001" i="1"/>
  <c r="S1001" i="1" s="1"/>
  <c r="Q1001" i="1"/>
  <c r="R1001" i="1"/>
  <c r="P1002" i="1"/>
  <c r="Q1002" i="1"/>
  <c r="R1002" i="1"/>
  <c r="S1002" i="1"/>
  <c r="P1003" i="1"/>
  <c r="S1003" i="1" s="1"/>
  <c r="Q1003" i="1"/>
  <c r="R1003" i="1"/>
  <c r="P1004" i="1"/>
  <c r="S1004" i="1" s="1"/>
  <c r="Q1004" i="1"/>
  <c r="R1004" i="1"/>
  <c r="P1005" i="1"/>
  <c r="Q1005" i="1"/>
  <c r="R1005" i="1"/>
  <c r="S1005" i="1"/>
  <c r="P1006" i="1"/>
  <c r="S1006" i="1" s="1"/>
  <c r="Q1006" i="1"/>
  <c r="R1006" i="1"/>
  <c r="P1007" i="1"/>
  <c r="S1007" i="1" s="1"/>
  <c r="Q1007" i="1"/>
  <c r="R1007" i="1"/>
  <c r="P1008" i="1"/>
  <c r="Q1008" i="1"/>
  <c r="R1008" i="1"/>
  <c r="S1008" i="1"/>
  <c r="P1009" i="1"/>
  <c r="Q1009" i="1"/>
  <c r="R1009" i="1"/>
  <c r="S1009" i="1"/>
  <c r="P1010" i="1"/>
  <c r="S1010" i="1" s="1"/>
  <c r="Q1010" i="1"/>
  <c r="R1010" i="1"/>
  <c r="P1011" i="1"/>
  <c r="Q1011" i="1"/>
  <c r="R1011" i="1"/>
  <c r="S1011" i="1"/>
  <c r="P1012" i="1"/>
  <c r="Q1012" i="1"/>
  <c r="R1012" i="1"/>
  <c r="S1012" i="1"/>
  <c r="P1013" i="1"/>
  <c r="S1013" i="1" s="1"/>
  <c r="Q1013" i="1"/>
  <c r="R1013" i="1"/>
  <c r="P1014" i="1"/>
  <c r="Q1014" i="1"/>
  <c r="R1014" i="1"/>
  <c r="S1014" i="1"/>
  <c r="P1015" i="1"/>
  <c r="Q1015" i="1"/>
  <c r="R1015" i="1"/>
  <c r="S1015" i="1"/>
  <c r="P1016" i="1"/>
  <c r="S1016" i="1" s="1"/>
  <c r="Q1016" i="1"/>
  <c r="R1016" i="1"/>
  <c r="P1017" i="1"/>
  <c r="Q1017" i="1"/>
  <c r="R1017" i="1"/>
  <c r="S1017" i="1"/>
  <c r="P1018" i="1"/>
  <c r="Q1018" i="1"/>
  <c r="R1018" i="1"/>
  <c r="S1018" i="1"/>
  <c r="P1019" i="1"/>
  <c r="S1019" i="1" s="1"/>
  <c r="Q1019" i="1"/>
  <c r="R1019" i="1"/>
  <c r="P1020" i="1"/>
  <c r="Q1020" i="1"/>
  <c r="R1020" i="1"/>
  <c r="S1020" i="1"/>
  <c r="P1021" i="1"/>
  <c r="Q1021" i="1"/>
  <c r="R1021" i="1"/>
  <c r="S1021" i="1"/>
  <c r="P1022" i="1"/>
  <c r="S1022" i="1" s="1"/>
  <c r="Q1022" i="1"/>
  <c r="R1022" i="1"/>
  <c r="P1023" i="1"/>
  <c r="Q1023" i="1"/>
  <c r="R1023" i="1"/>
  <c r="S1023" i="1"/>
  <c r="P1024" i="1"/>
  <c r="S1024" i="1" s="1"/>
  <c r="Q1024" i="1"/>
  <c r="R1024" i="1"/>
  <c r="P1025" i="1"/>
  <c r="S1025" i="1" s="1"/>
  <c r="Q1025" i="1"/>
  <c r="R1025" i="1"/>
  <c r="P1026" i="1"/>
  <c r="Q1026" i="1"/>
  <c r="R1026" i="1"/>
  <c r="S1026" i="1"/>
  <c r="P1027" i="1"/>
  <c r="S1027" i="1" s="1"/>
  <c r="Q1027" i="1"/>
  <c r="R1027" i="1"/>
  <c r="P1028" i="1"/>
  <c r="S1028" i="1" s="1"/>
  <c r="Q1028" i="1"/>
  <c r="R1028" i="1"/>
  <c r="P1029" i="1"/>
  <c r="Q1029" i="1"/>
  <c r="R1029" i="1"/>
  <c r="S1029" i="1"/>
  <c r="P1030" i="1"/>
  <c r="Q1030" i="1"/>
  <c r="R1030" i="1"/>
  <c r="S1030" i="1"/>
  <c r="P1031" i="1"/>
  <c r="S1031" i="1" s="1"/>
  <c r="Q1031" i="1"/>
  <c r="R1031" i="1"/>
  <c r="P1032" i="1"/>
  <c r="Q1032" i="1"/>
  <c r="R1032" i="1"/>
  <c r="S1032" i="1"/>
  <c r="P1033" i="1"/>
  <c r="Q1033" i="1"/>
  <c r="R1033" i="1"/>
  <c r="S1033" i="1"/>
  <c r="P1034" i="1"/>
  <c r="S1034" i="1" s="1"/>
  <c r="Q1034" i="1"/>
  <c r="R1034" i="1"/>
  <c r="P1035" i="1"/>
  <c r="Q1035" i="1"/>
  <c r="R1035" i="1"/>
  <c r="S1035" i="1"/>
  <c r="P1036" i="1"/>
  <c r="S1036" i="1" s="1"/>
  <c r="Q1036" i="1"/>
  <c r="R1036" i="1"/>
  <c r="P1037" i="1"/>
  <c r="S1037" i="1" s="1"/>
  <c r="Q1037" i="1"/>
  <c r="R1037" i="1"/>
  <c r="P1038" i="1"/>
  <c r="Q1038" i="1"/>
  <c r="R1038" i="1"/>
  <c r="S1038" i="1"/>
  <c r="P1039" i="1"/>
  <c r="S1039" i="1" s="1"/>
  <c r="Q1039" i="1"/>
  <c r="R1039" i="1"/>
  <c r="P1040" i="1"/>
  <c r="S1040" i="1" s="1"/>
  <c r="Q1040" i="1"/>
  <c r="R1040" i="1"/>
  <c r="P1041" i="1"/>
  <c r="Q1041" i="1"/>
  <c r="R1041" i="1"/>
  <c r="S1041" i="1"/>
  <c r="P1042" i="1"/>
  <c r="S1042" i="1" s="1"/>
  <c r="Q1042" i="1"/>
  <c r="R1042" i="1"/>
  <c r="P1043" i="1"/>
  <c r="S1043" i="1" s="1"/>
  <c r="Q1043" i="1"/>
  <c r="R1043" i="1"/>
  <c r="P1044" i="1"/>
  <c r="Q1044" i="1"/>
  <c r="R1044" i="1"/>
  <c r="S1044" i="1"/>
  <c r="P1045" i="1"/>
  <c r="Q1045" i="1"/>
  <c r="R1045" i="1"/>
  <c r="S1045" i="1"/>
  <c r="P1046" i="1"/>
  <c r="S1046" i="1" s="1"/>
  <c r="Q1046" i="1"/>
  <c r="R1046" i="1"/>
  <c r="P1047" i="1"/>
  <c r="Q1047" i="1"/>
  <c r="R1047" i="1"/>
  <c r="S1047" i="1"/>
  <c r="P1048" i="1"/>
  <c r="Q1048" i="1"/>
  <c r="R1048" i="1"/>
  <c r="S1048" i="1"/>
  <c r="P1049" i="1"/>
  <c r="S1049" i="1" s="1"/>
  <c r="Q1049" i="1"/>
  <c r="R1049" i="1"/>
  <c r="P1050" i="1"/>
  <c r="Q1050" i="1"/>
  <c r="R1050" i="1"/>
  <c r="S1050" i="1"/>
  <c r="P1051" i="1"/>
  <c r="Q1051" i="1"/>
  <c r="R1051" i="1"/>
  <c r="S1051" i="1"/>
  <c r="P1052" i="1"/>
  <c r="S1052" i="1" s="1"/>
  <c r="Q1052" i="1"/>
  <c r="R1052" i="1"/>
  <c r="P1053" i="1"/>
  <c r="Q1053" i="1"/>
  <c r="R1053" i="1"/>
  <c r="S1053" i="1"/>
  <c r="P1054" i="1"/>
  <c r="Q1054" i="1"/>
  <c r="R1054" i="1"/>
  <c r="S1054" i="1"/>
  <c r="P1055" i="1"/>
  <c r="S1055" i="1" s="1"/>
  <c r="Q1055" i="1"/>
  <c r="R1055" i="1"/>
  <c r="P1056" i="1"/>
  <c r="Q1056" i="1"/>
  <c r="R1056" i="1"/>
  <c r="S1056" i="1"/>
  <c r="P1057" i="1"/>
  <c r="Q1057" i="1"/>
  <c r="R1057" i="1"/>
  <c r="S1057" i="1"/>
  <c r="P1058" i="1"/>
  <c r="S1058" i="1" s="1"/>
  <c r="Q1058" i="1"/>
  <c r="R1058" i="1"/>
  <c r="P1059" i="1"/>
  <c r="Q1059" i="1"/>
  <c r="R1059" i="1"/>
  <c r="S1059" i="1"/>
  <c r="P1060" i="1"/>
  <c r="S1060" i="1" s="1"/>
  <c r="Q1060" i="1"/>
  <c r="R1060" i="1"/>
  <c r="P1061" i="1"/>
  <c r="S1061" i="1" s="1"/>
  <c r="Q1061" i="1"/>
  <c r="R1061" i="1"/>
  <c r="P1062" i="1"/>
  <c r="Q1062" i="1"/>
  <c r="R1062" i="1"/>
  <c r="S1062" i="1"/>
  <c r="P1063" i="1"/>
  <c r="S1063" i="1" s="1"/>
  <c r="Q1063" i="1"/>
  <c r="R1063" i="1"/>
  <c r="P1064" i="1"/>
  <c r="S1064" i="1" s="1"/>
  <c r="Q1064" i="1"/>
  <c r="R1064" i="1"/>
  <c r="P1065" i="1"/>
  <c r="Q1065" i="1"/>
  <c r="R1065" i="1"/>
  <c r="S1065" i="1"/>
  <c r="P1066" i="1"/>
  <c r="Q1066" i="1"/>
  <c r="R1066" i="1"/>
  <c r="S1066" i="1"/>
  <c r="P1067" i="1"/>
  <c r="S1067" i="1" s="1"/>
  <c r="Q1067" i="1"/>
  <c r="R1067" i="1"/>
  <c r="P1068" i="1"/>
  <c r="Q1068" i="1"/>
  <c r="R1068" i="1"/>
  <c r="S1068" i="1"/>
  <c r="P1069" i="1"/>
  <c r="Q1069" i="1"/>
  <c r="R1069" i="1"/>
  <c r="S1069" i="1"/>
  <c r="P1070" i="1"/>
  <c r="S1070" i="1" s="1"/>
  <c r="Q1070" i="1"/>
  <c r="R1070" i="1"/>
  <c r="P1071" i="1"/>
  <c r="Q1071" i="1"/>
  <c r="R1071" i="1"/>
  <c r="S1071" i="1"/>
  <c r="P1072" i="1"/>
  <c r="S1072" i="1" s="1"/>
  <c r="Q1072" i="1"/>
  <c r="R1072" i="1"/>
  <c r="P1073" i="1"/>
  <c r="S1073" i="1" s="1"/>
  <c r="Q1073" i="1"/>
  <c r="R1073" i="1"/>
  <c r="P1074" i="1"/>
  <c r="Q1074" i="1"/>
  <c r="R1074" i="1"/>
  <c r="S1074" i="1"/>
  <c r="P1075" i="1"/>
  <c r="S1075" i="1" s="1"/>
  <c r="Q1075" i="1"/>
  <c r="R1075" i="1"/>
  <c r="P1076" i="1"/>
  <c r="S1076" i="1" s="1"/>
  <c r="Q1076" i="1"/>
  <c r="R1076" i="1"/>
  <c r="P1077" i="1"/>
  <c r="Q1077" i="1"/>
  <c r="R1077" i="1"/>
  <c r="S1077" i="1"/>
  <c r="P1078" i="1"/>
  <c r="S1078" i="1" s="1"/>
  <c r="Q1078" i="1"/>
  <c r="R1078" i="1"/>
  <c r="P1079" i="1"/>
  <c r="S1079" i="1" s="1"/>
  <c r="Q1079" i="1"/>
  <c r="R1079" i="1"/>
  <c r="P1080" i="1"/>
  <c r="Q1080" i="1"/>
  <c r="R1080" i="1"/>
  <c r="S1080" i="1"/>
  <c r="P1081" i="1"/>
  <c r="Q1081" i="1"/>
  <c r="R1081" i="1"/>
  <c r="S1081" i="1"/>
  <c r="P1082" i="1"/>
  <c r="S1082" i="1" s="1"/>
  <c r="Q1082" i="1"/>
  <c r="R1082" i="1"/>
  <c r="P1083" i="1"/>
  <c r="Q1083" i="1"/>
  <c r="R1083" i="1"/>
  <c r="S1083" i="1"/>
  <c r="P1084" i="1"/>
  <c r="Q1084" i="1"/>
  <c r="R1084" i="1"/>
  <c r="S1084" i="1"/>
  <c r="P1085" i="1"/>
  <c r="S1085" i="1" s="1"/>
  <c r="Q1085" i="1"/>
  <c r="R1085" i="1"/>
  <c r="P1086" i="1"/>
  <c r="Q1086" i="1"/>
  <c r="R1086" i="1"/>
  <c r="S1086" i="1"/>
  <c r="P1087" i="1"/>
  <c r="Q1087" i="1"/>
  <c r="R1087" i="1"/>
  <c r="S1087" i="1"/>
  <c r="P1088" i="1"/>
  <c r="S1088" i="1" s="1"/>
  <c r="Q1088" i="1"/>
  <c r="R1088" i="1"/>
  <c r="P1089" i="1"/>
  <c r="Q1089" i="1"/>
  <c r="R1089" i="1"/>
  <c r="S1089" i="1"/>
  <c r="P1090" i="1"/>
  <c r="Q1090" i="1"/>
  <c r="R1090" i="1"/>
  <c r="S1090" i="1"/>
  <c r="P1091" i="1"/>
  <c r="S1091" i="1" s="1"/>
  <c r="Q1091" i="1"/>
  <c r="R1091" i="1"/>
  <c r="P1092" i="1"/>
  <c r="Q1092" i="1"/>
  <c r="R1092" i="1"/>
  <c r="S1092" i="1"/>
  <c r="P1093" i="1"/>
  <c r="Q1093" i="1"/>
  <c r="R1093" i="1"/>
  <c r="S1093" i="1"/>
  <c r="P1094" i="1"/>
  <c r="S1094" i="1" s="1"/>
  <c r="Q1094" i="1"/>
  <c r="R1094" i="1"/>
  <c r="P1095" i="1"/>
  <c r="Q1095" i="1"/>
  <c r="R1095" i="1"/>
  <c r="S1095" i="1"/>
  <c r="P1096" i="1"/>
  <c r="S1096" i="1" s="1"/>
  <c r="Q1096" i="1"/>
  <c r="R1096" i="1"/>
  <c r="P1097" i="1"/>
  <c r="S1097" i="1" s="1"/>
  <c r="Q1097" i="1"/>
  <c r="R1097" i="1"/>
  <c r="P1098" i="1"/>
  <c r="Q1098" i="1"/>
  <c r="R1098" i="1"/>
  <c r="S1098" i="1"/>
  <c r="P1099" i="1"/>
  <c r="S1099" i="1" s="1"/>
  <c r="Q1099" i="1"/>
  <c r="R1099" i="1"/>
  <c r="P1100" i="1"/>
  <c r="S1100" i="1" s="1"/>
  <c r="Q1100" i="1"/>
  <c r="R1100" i="1"/>
  <c r="P1101" i="1"/>
  <c r="Q1101" i="1"/>
  <c r="R1101" i="1"/>
  <c r="S1101" i="1"/>
  <c r="P1102" i="1"/>
  <c r="Q1102" i="1"/>
  <c r="R1102" i="1"/>
  <c r="S1102" i="1"/>
  <c r="P1103" i="1"/>
  <c r="S1103" i="1" s="1"/>
  <c r="Q1103" i="1"/>
  <c r="R1103" i="1"/>
  <c r="P1104" i="1"/>
  <c r="Q1104" i="1"/>
  <c r="R1104" i="1"/>
  <c r="S1104" i="1"/>
  <c r="P1105" i="1"/>
  <c r="Q1105" i="1"/>
  <c r="R1105" i="1"/>
  <c r="S1105" i="1"/>
  <c r="P1106" i="1"/>
  <c r="S1106" i="1" s="1"/>
  <c r="Q1106" i="1"/>
  <c r="R1106" i="1"/>
  <c r="P1107" i="1"/>
  <c r="Q1107" i="1"/>
  <c r="R1107" i="1"/>
  <c r="S1107" i="1"/>
  <c r="P1108" i="1"/>
  <c r="S1108" i="1" s="1"/>
  <c r="Q1108" i="1"/>
  <c r="R1108" i="1"/>
  <c r="P1109" i="1"/>
  <c r="S1109" i="1" s="1"/>
  <c r="Q1109" i="1"/>
  <c r="R1109" i="1"/>
  <c r="P1110" i="1"/>
  <c r="Q1110" i="1"/>
  <c r="R1110" i="1"/>
  <c r="S1110" i="1"/>
  <c r="P1111" i="1"/>
  <c r="S1111" i="1" s="1"/>
  <c r="Q1111" i="1"/>
  <c r="R1111" i="1"/>
  <c r="P1112" i="1"/>
  <c r="S1112" i="1" s="1"/>
  <c r="Q1112" i="1"/>
  <c r="R1112" i="1"/>
  <c r="P1113" i="1"/>
  <c r="Q1113" i="1"/>
  <c r="R1113" i="1"/>
  <c r="S1113" i="1"/>
  <c r="P1114" i="1"/>
  <c r="S1114" i="1" s="1"/>
  <c r="Q1114" i="1"/>
  <c r="R1114" i="1"/>
  <c r="P1115" i="1"/>
  <c r="S1115" i="1" s="1"/>
  <c r="Q1115" i="1"/>
  <c r="R1115" i="1"/>
  <c r="P1116" i="1"/>
  <c r="Q1116" i="1"/>
  <c r="R1116" i="1"/>
  <c r="S1116" i="1"/>
  <c r="P1117" i="1"/>
  <c r="Q1117" i="1"/>
  <c r="R1117" i="1"/>
  <c r="S1117" i="1"/>
  <c r="P1118" i="1"/>
  <c r="S1118" i="1" s="1"/>
  <c r="Q1118" i="1"/>
  <c r="R1118" i="1"/>
  <c r="P1119" i="1"/>
  <c r="Q1119" i="1"/>
  <c r="R1119" i="1"/>
  <c r="S1119" i="1"/>
  <c r="P1120" i="1"/>
  <c r="Q1120" i="1"/>
  <c r="R1120" i="1"/>
  <c r="S1120" i="1"/>
  <c r="P1121" i="1"/>
  <c r="S1121" i="1" s="1"/>
  <c r="Q1121" i="1"/>
  <c r="R1121" i="1"/>
  <c r="P1122" i="1"/>
  <c r="Q1122" i="1"/>
  <c r="R1122" i="1"/>
  <c r="S1122" i="1"/>
  <c r="P1123" i="1"/>
  <c r="Q1123" i="1"/>
  <c r="R1123" i="1"/>
  <c r="S1123" i="1"/>
  <c r="P1124" i="1"/>
  <c r="S1124" i="1" s="1"/>
  <c r="Q1124" i="1"/>
  <c r="R1124" i="1"/>
  <c r="P1125" i="1"/>
  <c r="Q1125" i="1"/>
  <c r="R1125" i="1"/>
  <c r="S1125" i="1"/>
  <c r="P1126" i="1"/>
  <c r="Q1126" i="1"/>
  <c r="R1126" i="1"/>
  <c r="S1126" i="1"/>
  <c r="P1127" i="1"/>
  <c r="S1127" i="1" s="1"/>
  <c r="Q1127" i="1"/>
  <c r="R1127" i="1"/>
  <c r="P1128" i="1"/>
  <c r="Q1128" i="1"/>
  <c r="R1128" i="1"/>
  <c r="S1128" i="1"/>
  <c r="P1129" i="1"/>
  <c r="Q1129" i="1"/>
  <c r="R1129" i="1"/>
  <c r="S1129" i="1"/>
  <c r="P1130" i="1"/>
  <c r="S1130" i="1" s="1"/>
  <c r="Q1130" i="1"/>
  <c r="R1130" i="1"/>
  <c r="P1131" i="1"/>
  <c r="Q1131" i="1"/>
  <c r="R1131" i="1"/>
  <c r="S1131" i="1"/>
  <c r="P1132" i="1"/>
  <c r="S1132" i="1" s="1"/>
  <c r="Q1132" i="1"/>
  <c r="R1132" i="1"/>
  <c r="P1133" i="1"/>
  <c r="S1133" i="1" s="1"/>
  <c r="Q1133" i="1"/>
  <c r="R1133" i="1"/>
  <c r="P1134" i="1"/>
  <c r="Q1134" i="1"/>
  <c r="R1134" i="1"/>
  <c r="S1134" i="1"/>
  <c r="P1135" i="1"/>
  <c r="S1135" i="1" s="1"/>
  <c r="Q1135" i="1"/>
  <c r="R1135" i="1"/>
  <c r="P1136" i="1"/>
  <c r="S1136" i="1" s="1"/>
  <c r="Q1136" i="1"/>
  <c r="R1136" i="1"/>
  <c r="P1137" i="1"/>
  <c r="Q1137" i="1"/>
  <c r="R1137" i="1"/>
  <c r="S1137" i="1"/>
  <c r="P1138" i="1"/>
  <c r="Q1138" i="1"/>
  <c r="R1138" i="1"/>
  <c r="S1138" i="1"/>
  <c r="P1139" i="1"/>
  <c r="S1139" i="1" s="1"/>
  <c r="Q1139" i="1"/>
  <c r="R1139" i="1"/>
  <c r="P1140" i="1"/>
  <c r="Q1140" i="1"/>
  <c r="R1140" i="1"/>
  <c r="S1140" i="1"/>
  <c r="P1141" i="1"/>
  <c r="S1141" i="1" s="1"/>
  <c r="Q1141" i="1"/>
  <c r="R1141" i="1"/>
  <c r="P1142" i="1"/>
  <c r="S1142" i="1" s="1"/>
  <c r="Q1142" i="1"/>
  <c r="R1142" i="1"/>
  <c r="P1143" i="1"/>
  <c r="Q1143" i="1"/>
  <c r="R1143" i="1"/>
  <c r="S1143" i="1"/>
  <c r="P1144" i="1"/>
  <c r="S1144" i="1" s="1"/>
  <c r="Q1144" i="1"/>
  <c r="R1144" i="1"/>
  <c r="P1145" i="1"/>
  <c r="S1145" i="1" s="1"/>
  <c r="Q1145" i="1"/>
  <c r="R1145" i="1"/>
  <c r="P1146" i="1"/>
  <c r="Q1146" i="1"/>
  <c r="R1146" i="1"/>
  <c r="S1146" i="1"/>
  <c r="P1147" i="1"/>
  <c r="S1147" i="1" s="1"/>
  <c r="Q1147" i="1"/>
  <c r="R1147" i="1"/>
  <c r="P1148" i="1"/>
  <c r="S1148" i="1" s="1"/>
  <c r="Q1148" i="1"/>
  <c r="R1148" i="1"/>
  <c r="P1149" i="1"/>
  <c r="Q1149" i="1"/>
  <c r="R1149" i="1"/>
  <c r="S1149" i="1"/>
  <c r="P1150" i="1"/>
  <c r="S1150" i="1" s="1"/>
  <c r="Q1150" i="1"/>
  <c r="R1150" i="1"/>
  <c r="P1151" i="1"/>
  <c r="S1151" i="1" s="1"/>
  <c r="Q1151" i="1"/>
  <c r="R1151" i="1"/>
  <c r="P1152" i="1"/>
  <c r="Q1152" i="1"/>
  <c r="R1152" i="1"/>
  <c r="S1152" i="1"/>
  <c r="P1153" i="1"/>
  <c r="Q1153" i="1"/>
  <c r="R1153" i="1"/>
  <c r="S1153" i="1"/>
  <c r="P1154" i="1"/>
  <c r="S1154" i="1" s="1"/>
  <c r="Q1154" i="1"/>
  <c r="R1154" i="1"/>
  <c r="P1155" i="1"/>
  <c r="Q1155" i="1"/>
  <c r="R1155" i="1"/>
  <c r="S1155" i="1"/>
  <c r="P1156" i="1"/>
  <c r="Q1156" i="1"/>
  <c r="R1156" i="1"/>
  <c r="S1156" i="1"/>
  <c r="P1157" i="1"/>
  <c r="S1157" i="1" s="1"/>
  <c r="Q1157" i="1"/>
  <c r="R1157" i="1"/>
  <c r="P1158" i="1"/>
  <c r="Q1158" i="1"/>
  <c r="R1158" i="1"/>
  <c r="S1158" i="1"/>
  <c r="P1159" i="1"/>
  <c r="Q1159" i="1"/>
  <c r="R1159" i="1"/>
  <c r="S1159" i="1"/>
  <c r="P1160" i="1"/>
  <c r="S1160" i="1" s="1"/>
  <c r="Q1160" i="1"/>
  <c r="R1160" i="1"/>
  <c r="P1161" i="1"/>
  <c r="Q1161" i="1"/>
  <c r="R1161" i="1"/>
  <c r="S1161" i="1"/>
  <c r="P1162" i="1"/>
  <c r="Q1162" i="1"/>
  <c r="R1162" i="1"/>
  <c r="S1162" i="1"/>
  <c r="P1163" i="1"/>
  <c r="S1163" i="1" s="1"/>
  <c r="Q1163" i="1"/>
  <c r="R1163" i="1"/>
  <c r="P1164" i="1"/>
  <c r="Q1164" i="1"/>
  <c r="R1164" i="1"/>
  <c r="S1164" i="1"/>
  <c r="P1165" i="1"/>
  <c r="Q1165" i="1"/>
  <c r="R1165" i="1"/>
  <c r="S1165" i="1"/>
  <c r="P1166" i="1"/>
  <c r="S1166" i="1" s="1"/>
  <c r="Q1166" i="1"/>
  <c r="R1166" i="1"/>
  <c r="P1167" i="1"/>
  <c r="Q1167" i="1"/>
  <c r="R1167" i="1"/>
  <c r="S1167" i="1"/>
  <c r="P1168" i="1"/>
  <c r="Q1168" i="1"/>
  <c r="R1168" i="1"/>
  <c r="S1168" i="1"/>
  <c r="P1169" i="1"/>
  <c r="S1169" i="1" s="1"/>
  <c r="Q1169" i="1"/>
  <c r="R1169" i="1"/>
  <c r="P1170" i="1"/>
  <c r="Q1170" i="1"/>
  <c r="R1170" i="1"/>
  <c r="S1170" i="1"/>
  <c r="P1171" i="1"/>
  <c r="Q1171" i="1"/>
  <c r="R1171" i="1"/>
  <c r="S1171" i="1"/>
  <c r="P1172" i="1"/>
  <c r="S1172" i="1" s="1"/>
  <c r="Q1172" i="1"/>
  <c r="R1172" i="1"/>
  <c r="P1173" i="1"/>
  <c r="Q1173" i="1"/>
  <c r="R1173" i="1"/>
  <c r="S1173" i="1"/>
  <c r="P1174" i="1"/>
  <c r="Q1174" i="1"/>
  <c r="R1174" i="1"/>
  <c r="S1174" i="1"/>
  <c r="P1175" i="1"/>
  <c r="S1175" i="1" s="1"/>
  <c r="Q1175" i="1"/>
  <c r="R1175" i="1"/>
  <c r="P1176" i="1"/>
  <c r="Q1176" i="1"/>
  <c r="R1176" i="1"/>
  <c r="S1176" i="1"/>
  <c r="P1177" i="1"/>
  <c r="Q1177" i="1"/>
  <c r="R1177" i="1"/>
  <c r="S1177" i="1"/>
  <c r="P1178" i="1"/>
  <c r="S1178" i="1" s="1"/>
  <c r="Q1178" i="1"/>
  <c r="R1178" i="1"/>
  <c r="P1179" i="1"/>
  <c r="Q1179" i="1"/>
  <c r="R1179" i="1"/>
  <c r="S1179" i="1"/>
  <c r="P1180" i="1"/>
  <c r="Q1180" i="1"/>
  <c r="R1180" i="1"/>
  <c r="S1180" i="1"/>
  <c r="P1181" i="1"/>
  <c r="S1181" i="1" s="1"/>
  <c r="Q1181" i="1"/>
  <c r="R1181" i="1"/>
  <c r="P1182" i="1"/>
  <c r="Q1182" i="1"/>
  <c r="R1182" i="1"/>
  <c r="S1182" i="1"/>
  <c r="P1183" i="1"/>
  <c r="Q1183" i="1"/>
  <c r="R1183" i="1"/>
  <c r="S1183" i="1"/>
  <c r="P1184" i="1"/>
  <c r="S1184" i="1" s="1"/>
  <c r="Q1184" i="1"/>
  <c r="R1184" i="1"/>
  <c r="P1185" i="1"/>
  <c r="Q1185" i="1"/>
  <c r="R1185" i="1"/>
  <c r="S1185" i="1"/>
  <c r="P1186" i="1"/>
  <c r="Q1186" i="1"/>
  <c r="R1186" i="1"/>
  <c r="S1186" i="1"/>
  <c r="P1187" i="1"/>
  <c r="S1187" i="1" s="1"/>
  <c r="Q1187" i="1"/>
  <c r="R1187" i="1"/>
  <c r="P1188" i="1"/>
  <c r="Q1188" i="1"/>
  <c r="R1188" i="1"/>
  <c r="S1188" i="1"/>
  <c r="P1189" i="1"/>
  <c r="Q1189" i="1"/>
  <c r="R1189" i="1"/>
  <c r="S1189" i="1"/>
  <c r="P1190" i="1"/>
  <c r="S1190" i="1" s="1"/>
  <c r="Q1190" i="1"/>
  <c r="R1190" i="1"/>
  <c r="P1191" i="1"/>
  <c r="Q1191" i="1"/>
  <c r="R1191" i="1"/>
  <c r="S1191" i="1"/>
  <c r="P1192" i="1"/>
  <c r="Q1192" i="1"/>
  <c r="R1192" i="1"/>
  <c r="S1192" i="1"/>
  <c r="P1193" i="1"/>
  <c r="S1193" i="1" s="1"/>
  <c r="Q1193" i="1"/>
  <c r="R1193" i="1"/>
  <c r="P1194" i="1"/>
  <c r="Q1194" i="1"/>
  <c r="R1194" i="1"/>
  <c r="S1194" i="1"/>
  <c r="P1195" i="1"/>
  <c r="Q1195" i="1"/>
  <c r="R1195" i="1"/>
  <c r="S1195" i="1"/>
  <c r="P1196" i="1"/>
  <c r="S1196" i="1" s="1"/>
  <c r="Q1196" i="1"/>
  <c r="R1196" i="1"/>
  <c r="P1197" i="1"/>
  <c r="Q1197" i="1"/>
  <c r="R1197" i="1"/>
  <c r="S1197" i="1"/>
  <c r="P1198" i="1"/>
  <c r="Q1198" i="1"/>
  <c r="R1198" i="1"/>
  <c r="S1198" i="1"/>
  <c r="P1199" i="1"/>
  <c r="S1199" i="1" s="1"/>
  <c r="Q1199" i="1"/>
  <c r="R1199" i="1"/>
  <c r="P1200" i="1"/>
  <c r="Q1200" i="1"/>
  <c r="R1200" i="1"/>
  <c r="S1200" i="1"/>
  <c r="P1201" i="1"/>
  <c r="Q1201" i="1"/>
  <c r="R1201" i="1"/>
  <c r="S1201" i="1"/>
  <c r="P1202" i="1"/>
  <c r="S1202" i="1" s="1"/>
  <c r="Q1202" i="1"/>
  <c r="R1202" i="1"/>
  <c r="P1203" i="1"/>
  <c r="Q1203" i="1"/>
  <c r="R1203" i="1"/>
  <c r="S1203" i="1"/>
  <c r="P1204" i="1"/>
  <c r="Q1204" i="1"/>
  <c r="R1204" i="1"/>
  <c r="S1204" i="1"/>
  <c r="P1205" i="1"/>
  <c r="S1205" i="1" s="1"/>
  <c r="Q1205" i="1"/>
  <c r="R1205" i="1"/>
  <c r="P1206" i="1"/>
  <c r="Q1206" i="1"/>
  <c r="R1206" i="1"/>
  <c r="S1206" i="1"/>
  <c r="P1207" i="1"/>
  <c r="Q1207" i="1"/>
  <c r="R1207" i="1"/>
  <c r="S1207" i="1"/>
  <c r="P1208" i="1"/>
  <c r="S1208" i="1" s="1"/>
  <c r="Q1208" i="1"/>
  <c r="R1208" i="1"/>
  <c r="P1209" i="1"/>
  <c r="Q1209" i="1"/>
  <c r="R1209" i="1"/>
  <c r="S1209" i="1"/>
  <c r="P1210" i="1"/>
  <c r="Q1210" i="1"/>
  <c r="R1210" i="1"/>
  <c r="S1210" i="1"/>
  <c r="P1211" i="1"/>
  <c r="S1211" i="1" s="1"/>
  <c r="Q1211" i="1"/>
  <c r="R1211" i="1"/>
  <c r="P1212" i="1"/>
  <c r="Q1212" i="1"/>
  <c r="R1212" i="1"/>
  <c r="S1212" i="1"/>
  <c r="P1213" i="1"/>
  <c r="Q1213" i="1"/>
  <c r="R1213" i="1"/>
  <c r="S1213" i="1"/>
  <c r="P1214" i="1"/>
  <c r="S1214" i="1" s="1"/>
  <c r="Q1214" i="1"/>
  <c r="R1214" i="1"/>
  <c r="P1215" i="1"/>
  <c r="Q1215" i="1"/>
  <c r="R1215" i="1"/>
  <c r="S1215" i="1"/>
  <c r="P1216" i="1"/>
  <c r="Q1216" i="1"/>
  <c r="R1216" i="1"/>
  <c r="S1216" i="1"/>
  <c r="P1217" i="1"/>
  <c r="S1217" i="1" s="1"/>
  <c r="Q1217" i="1"/>
  <c r="R1217" i="1"/>
  <c r="P1218" i="1"/>
  <c r="Q1218" i="1"/>
  <c r="R1218" i="1"/>
  <c r="S1218" i="1"/>
  <c r="P1219" i="1"/>
  <c r="Q1219" i="1"/>
  <c r="R1219" i="1"/>
  <c r="S1219" i="1"/>
  <c r="BO3" i="1" l="1"/>
  <c r="BQ3" i="1" s="1"/>
  <c r="AZ123" i="1"/>
  <c r="AZ144" i="1"/>
  <c r="BA107" i="1"/>
  <c r="BA148" i="1"/>
  <c r="AZ119" i="1"/>
  <c r="AZ124" i="1"/>
  <c r="AZ171" i="1"/>
  <c r="BA126" i="1"/>
  <c r="BA112" i="1"/>
  <c r="BA105" i="1"/>
  <c r="AZ121" i="1"/>
  <c r="BA144" i="1"/>
  <c r="AZ157" i="1"/>
  <c r="AZ159" i="1"/>
  <c r="BA134" i="1"/>
  <c r="BA161" i="1"/>
  <c r="BA145" i="1"/>
  <c r="AZ164" i="1"/>
  <c r="BA124" i="1"/>
  <c r="BA116" i="1"/>
  <c r="AZ149" i="1"/>
  <c r="AZ147" i="1"/>
  <c r="AZ106" i="1"/>
  <c r="BA93" i="1"/>
  <c r="BA174" i="1"/>
  <c r="AZ174" i="1"/>
  <c r="AZ131" i="1"/>
  <c r="BA171" i="1"/>
  <c r="BA103" i="1"/>
  <c r="BA96" i="1"/>
  <c r="BA166" i="1"/>
  <c r="BA172" i="1"/>
  <c r="BA163" i="1"/>
  <c r="BA170" i="1"/>
  <c r="BA152" i="1"/>
  <c r="AZ93" i="1"/>
  <c r="AZ135" i="1"/>
  <c r="BA122" i="1"/>
  <c r="AZ166" i="1"/>
  <c r="BA100" i="1"/>
  <c r="BA156" i="1"/>
  <c r="BA167" i="1"/>
  <c r="AZ137" i="1"/>
  <c r="BA140" i="1"/>
  <c r="BA114" i="1"/>
  <c r="AZ129" i="1"/>
  <c r="AZ102" i="1"/>
  <c r="BA139" i="1"/>
  <c r="BA135" i="1"/>
  <c r="BA165" i="1"/>
  <c r="BA146" i="1"/>
  <c r="AZ101" i="1"/>
  <c r="BA123" i="1"/>
  <c r="AZ153" i="1"/>
  <c r="AZ143" i="1"/>
  <c r="BA141" i="1"/>
  <c r="BA149" i="1"/>
  <c r="AZ99" i="1"/>
  <c r="AZ140" i="1"/>
  <c r="AZ112" i="1"/>
  <c r="BA173" i="1"/>
  <c r="AZ96" i="1"/>
  <c r="BA120" i="1"/>
  <c r="AZ165" i="1"/>
  <c r="BA128" i="1"/>
  <c r="BA164" i="1"/>
  <c r="AZ158" i="1"/>
  <c r="AZ162" i="1"/>
  <c r="BA115" i="1"/>
  <c r="AZ126" i="1"/>
  <c r="AZ167" i="1"/>
  <c r="BA121" i="1"/>
  <c r="AZ120" i="1"/>
  <c r="BA154" i="1"/>
  <c r="AZ150" i="1"/>
  <c r="AZ114" i="1"/>
  <c r="AZ104" i="1"/>
  <c r="AZ117" i="1"/>
  <c r="AZ136" i="1"/>
  <c r="BA117" i="1"/>
  <c r="BA130" i="1"/>
  <c r="AZ97" i="1"/>
  <c r="BA138" i="1"/>
  <c r="AZ127" i="1"/>
  <c r="BA168" i="1"/>
  <c r="BA147" i="1"/>
  <c r="AZ95" i="1"/>
  <c r="BA106" i="1"/>
  <c r="BA101" i="1"/>
  <c r="AZ110" i="1"/>
  <c r="BA118" i="1"/>
  <c r="BA97" i="1"/>
  <c r="AZ122" i="1"/>
  <c r="BA136" i="1"/>
  <c r="AZ133" i="1"/>
  <c r="BA131" i="1"/>
  <c r="AZ155" i="1"/>
  <c r="AZ141" i="1"/>
  <c r="AZ125" i="1"/>
  <c r="AZ151" i="1"/>
  <c r="AZ148" i="1"/>
  <c r="BA129" i="1"/>
  <c r="BA162" i="1"/>
  <c r="BA133" i="1"/>
  <c r="BA102" i="1"/>
  <c r="AZ134" i="1"/>
  <c r="AZ146" i="1"/>
  <c r="AZ113" i="1"/>
  <c r="BA98" i="1"/>
  <c r="BA113" i="1"/>
  <c r="AZ115" i="1"/>
  <c r="AZ98" i="1"/>
  <c r="AZ109" i="1"/>
  <c r="AZ145" i="1"/>
  <c r="AZ107" i="1"/>
  <c r="AZ116" i="1"/>
  <c r="BA125" i="1"/>
  <c r="BA119" i="1"/>
  <c r="BA110" i="1"/>
  <c r="BA159" i="1"/>
  <c r="AZ103" i="1"/>
  <c r="AZ111" i="1"/>
  <c r="AZ170" i="1"/>
  <c r="AZ118" i="1"/>
  <c r="AZ138" i="1"/>
  <c r="BA150" i="1"/>
  <c r="BA158" i="1"/>
  <c r="BA111" i="1"/>
  <c r="AZ130" i="1"/>
  <c r="BA95" i="1"/>
  <c r="BA94" i="1"/>
  <c r="AZ154" i="1"/>
  <c r="AZ128" i="1"/>
  <c r="BA169" i="1"/>
  <c r="AZ169" i="1"/>
  <c r="AZ100" i="1"/>
  <c r="BA127" i="1"/>
  <c r="AZ105" i="1"/>
  <c r="BA142" i="1"/>
  <c r="BA99" i="1"/>
  <c r="BA160" i="1"/>
  <c r="BA143" i="1"/>
  <c r="AZ139" i="1"/>
  <c r="AZ108" i="1"/>
  <c r="BA132" i="1"/>
  <c r="AZ173" i="1"/>
  <c r="AZ163" i="1"/>
  <c r="AZ172" i="1"/>
  <c r="BA153" i="1"/>
  <c r="BA157" i="1"/>
  <c r="AZ152" i="1"/>
  <c r="AZ156" i="1"/>
  <c r="AZ161" i="1"/>
  <c r="BA137" i="1"/>
  <c r="AZ160" i="1"/>
  <c r="BA109" i="1"/>
  <c r="BA151" i="1"/>
  <c r="BA155" i="1"/>
  <c r="AZ94" i="1"/>
  <c r="AZ168" i="1"/>
  <c r="BA108" i="1"/>
  <c r="AZ142" i="1"/>
  <c r="AZ132" i="1"/>
  <c r="BA104" i="1"/>
  <c r="BI4" i="1" l="1"/>
  <c r="BI5" i="1" s="1"/>
  <c r="BI6" i="1" s="1"/>
  <c r="BI7" i="1" s="1"/>
  <c r="BI8" i="1" s="1"/>
  <c r="BI9" i="1" s="1"/>
  <c r="BI10" i="1" s="1"/>
  <c r="BI11" i="1" s="1"/>
  <c r="BI12" i="1" s="1"/>
  <c r="BI13" i="1" s="1"/>
  <c r="BI14" i="1" s="1"/>
  <c r="BI15" i="1" s="1"/>
  <c r="BI16" i="1" s="1"/>
  <c r="BI17" i="1" s="1"/>
  <c r="BI18" i="1" s="1"/>
  <c r="BJ147" i="1"/>
  <c r="BD163" i="1"/>
  <c r="BL161" i="1"/>
  <c r="BE129" i="1"/>
  <c r="BC172" i="1"/>
  <c r="BL174" i="1"/>
  <c r="BL151" i="1"/>
  <c r="BE134" i="1"/>
  <c r="BK158" i="1"/>
  <c r="BK151" i="1"/>
  <c r="BK156" i="1"/>
  <c r="BL171" i="1"/>
  <c r="BL167" i="1"/>
  <c r="BD159" i="1"/>
  <c r="BC140" i="1"/>
  <c r="BL139" i="1"/>
  <c r="BJ126" i="1"/>
  <c r="BC148" i="1"/>
  <c r="BE124" i="1"/>
  <c r="BC146" i="1"/>
  <c r="BD144" i="1"/>
  <c r="BE136" i="1"/>
  <c r="BK159" i="1"/>
  <c r="BL136" i="1"/>
  <c r="BC138" i="1"/>
  <c r="BJ142" i="1"/>
  <c r="BD155" i="1"/>
  <c r="BJ140" i="1"/>
  <c r="BJ164" i="1"/>
  <c r="BK145" i="1"/>
  <c r="BE159" i="1"/>
  <c r="BC143" i="1"/>
  <c r="BK128" i="1"/>
  <c r="BK125" i="1"/>
  <c r="BD166" i="1"/>
  <c r="BL164" i="1"/>
  <c r="BE141" i="1"/>
  <c r="BC127" i="1"/>
  <c r="BE143" i="1"/>
  <c r="BL130" i="1"/>
  <c r="BE152" i="1"/>
  <c r="BD146" i="1"/>
  <c r="BE167" i="1"/>
  <c r="BC162" i="1"/>
  <c r="BJ172" i="1"/>
  <c r="BD156" i="1"/>
  <c r="BK163" i="1"/>
  <c r="BE170" i="1"/>
  <c r="BE169" i="1"/>
  <c r="BL160" i="1"/>
  <c r="BJ132" i="1"/>
  <c r="BE157" i="1"/>
  <c r="BJ137" i="1"/>
  <c r="BJ160" i="1"/>
  <c r="BD125" i="1"/>
  <c r="BE127" i="1"/>
  <c r="BL145" i="1"/>
  <c r="BC151" i="1"/>
  <c r="BD157" i="1"/>
  <c r="BE164" i="1"/>
  <c r="BJ170" i="1"/>
  <c r="BD170" i="1"/>
  <c r="BK142" i="1"/>
  <c r="BK139" i="1"/>
  <c r="BK152" i="1"/>
  <c r="BJ152" i="1"/>
  <c r="BL157" i="1"/>
  <c r="BC154" i="1"/>
  <c r="BL127" i="1"/>
  <c r="BC145" i="1"/>
  <c r="BC130" i="1"/>
  <c r="BE153" i="1"/>
  <c r="BD161" i="1"/>
  <c r="BL141" i="1"/>
  <c r="BJ143" i="1"/>
  <c r="BL149" i="1"/>
  <c r="BJ174" i="1"/>
  <c r="BD140" i="1"/>
  <c r="BE130" i="1"/>
  <c r="BJ135" i="1"/>
  <c r="BJ149" i="1"/>
  <c r="BK169" i="1"/>
  <c r="BL126" i="1"/>
  <c r="BK144" i="1"/>
  <c r="BJ162" i="1"/>
  <c r="BD168" i="1"/>
  <c r="BE171" i="1"/>
  <c r="BJ145" i="1"/>
  <c r="BE172" i="1"/>
  <c r="BK168" i="1"/>
  <c r="BC160" i="1"/>
  <c r="BE155" i="1"/>
  <c r="BK134" i="1"/>
  <c r="BD152" i="1"/>
  <c r="BK146" i="1"/>
  <c r="BJ148" i="1"/>
  <c r="BC141" i="1"/>
  <c r="BJ133" i="1"/>
  <c r="BE133" i="1"/>
  <c r="BC139" i="1"/>
  <c r="BD153" i="1"/>
  <c r="BK157" i="1"/>
  <c r="BC157" i="1"/>
  <c r="BK135" i="1"/>
  <c r="BL144" i="1"/>
  <c r="BD154" i="1"/>
  <c r="BK129" i="1"/>
  <c r="BK162" i="1"/>
  <c r="BD147" i="1"/>
  <c r="BC170" i="1"/>
  <c r="BE131" i="1"/>
  <c r="BL147" i="1"/>
  <c r="BE135" i="1"/>
  <c r="BE156" i="1"/>
  <c r="BC166" i="1"/>
  <c r="BK161" i="1"/>
  <c r="BD131" i="1"/>
  <c r="BL142" i="1"/>
  <c r="BC169" i="1"/>
  <c r="BE128" i="1"/>
  <c r="BD141" i="1"/>
  <c r="BK171" i="1"/>
  <c r="BJ141" i="1"/>
  <c r="BJ156" i="1"/>
  <c r="BL158" i="1"/>
  <c r="BJ169" i="1"/>
  <c r="BD132" i="1"/>
  <c r="BC126" i="1"/>
  <c r="BC147" i="1"/>
  <c r="BC133" i="1"/>
  <c r="BJ124" i="1"/>
  <c r="BD133" i="1"/>
  <c r="BJ155" i="1"/>
  <c r="BJ131" i="1"/>
  <c r="BC125" i="1"/>
  <c r="BC164" i="1"/>
  <c r="BL133" i="1"/>
  <c r="BL128" i="1"/>
  <c r="BE174" i="1"/>
  <c r="BJ139" i="1"/>
  <c r="BL140" i="1"/>
  <c r="BC134" i="1"/>
  <c r="BL156" i="1"/>
  <c r="BE126" i="1"/>
  <c r="BC158" i="1"/>
  <c r="BL137" i="1"/>
  <c r="BJ130" i="1"/>
  <c r="BK131" i="1"/>
  <c r="BJ158" i="1"/>
  <c r="BK174" i="1"/>
  <c r="BC129" i="1"/>
  <c r="BK137" i="1"/>
  <c r="BC159" i="1"/>
  <c r="BC136" i="1"/>
  <c r="BC128" i="1"/>
  <c r="BK170" i="1"/>
  <c r="BD167" i="1"/>
  <c r="BJ136" i="1"/>
  <c r="BC132" i="1"/>
  <c r="BE158" i="1"/>
  <c r="BD160" i="1"/>
  <c r="BK127" i="1"/>
  <c r="BE144" i="1"/>
  <c r="BJ154" i="1"/>
  <c r="BE137" i="1"/>
  <c r="BJ171" i="1"/>
  <c r="BC131" i="1"/>
  <c r="BK154" i="1"/>
  <c r="BC174" i="1"/>
  <c r="BJ128" i="1"/>
  <c r="BJ166" i="1"/>
  <c r="BJ161" i="1"/>
  <c r="BE173" i="1"/>
  <c r="BE151" i="1"/>
  <c r="BD173" i="1"/>
  <c r="BJ153" i="1"/>
  <c r="BC137" i="1"/>
  <c r="BK164" i="1"/>
  <c r="BC163" i="1"/>
  <c r="BJ134" i="1"/>
  <c r="BL135" i="1"/>
  <c r="BK153" i="1"/>
  <c r="BE148" i="1"/>
  <c r="BD164" i="1"/>
  <c r="BE146" i="1"/>
  <c r="BJ159" i="1"/>
  <c r="BK167" i="1"/>
  <c r="BJ173" i="1"/>
  <c r="BE132" i="1"/>
  <c r="BJ165" i="1"/>
  <c r="BC142" i="1"/>
  <c r="BE138" i="1"/>
  <c r="BL131" i="1"/>
  <c r="BD148" i="1"/>
  <c r="BL125" i="1"/>
  <c r="BE149" i="1"/>
  <c r="BD126" i="1"/>
  <c r="BD139" i="1"/>
  <c r="BK130" i="1"/>
  <c r="BD137" i="1"/>
  <c r="BC171" i="1"/>
  <c r="BJ138" i="1"/>
  <c r="BD129" i="1"/>
  <c r="BD174" i="1"/>
  <c r="BK155" i="1"/>
  <c r="BK165" i="1"/>
  <c r="BC152" i="1"/>
  <c r="BC155" i="1"/>
  <c r="BK143" i="1"/>
  <c r="BL132" i="1"/>
  <c r="BD127" i="1"/>
  <c r="BK140" i="1"/>
  <c r="BD151" i="1"/>
  <c r="BD128" i="1"/>
  <c r="BD165" i="1"/>
  <c r="BE139" i="1"/>
  <c r="BD138" i="1"/>
  <c r="BC161" i="1"/>
  <c r="BE150" i="1"/>
  <c r="BC165" i="1"/>
  <c r="BK147" i="1"/>
  <c r="BJ167" i="1"/>
  <c r="BL172" i="1"/>
  <c r="BD158" i="1"/>
  <c r="BE147" i="1"/>
  <c r="BC153" i="1"/>
  <c r="BL170" i="1"/>
  <c r="BJ129" i="1"/>
  <c r="BD145" i="1"/>
  <c r="BL154" i="1"/>
  <c r="BL129" i="1"/>
  <c r="BK124" i="1"/>
  <c r="BD142" i="1"/>
  <c r="BL148" i="1"/>
  <c r="BK141" i="1"/>
  <c r="BL162" i="1"/>
  <c r="BK172" i="1"/>
  <c r="BC167" i="1"/>
  <c r="BL143" i="1"/>
  <c r="BD172" i="1"/>
  <c r="BK132" i="1"/>
  <c r="BJ146" i="1"/>
  <c r="BD162" i="1"/>
  <c r="BD149" i="1"/>
  <c r="BL150" i="1"/>
  <c r="BL173" i="1"/>
  <c r="BE142" i="1"/>
  <c r="BD143" i="1"/>
  <c r="BJ163" i="1"/>
  <c r="BL134" i="1"/>
  <c r="BK126" i="1"/>
  <c r="BE162" i="1"/>
  <c r="BC144" i="1"/>
  <c r="BE166" i="1"/>
  <c r="BE145" i="1"/>
  <c r="BL165" i="1"/>
  <c r="BK138" i="1"/>
  <c r="BJ125" i="1"/>
  <c r="BL153" i="1"/>
  <c r="BE165" i="1"/>
  <c r="BK148" i="1"/>
  <c r="BL138" i="1"/>
  <c r="BJ144" i="1"/>
  <c r="BD169" i="1"/>
  <c r="BD124" i="1"/>
  <c r="BL146" i="1"/>
  <c r="BD130" i="1"/>
  <c r="BK149" i="1"/>
  <c r="BK136" i="1"/>
  <c r="BD171" i="1"/>
  <c r="BC173" i="1"/>
  <c r="BD135" i="1"/>
  <c r="BC124" i="1"/>
  <c r="BK150" i="1"/>
  <c r="BK133" i="1"/>
  <c r="BJ151" i="1"/>
  <c r="BK160" i="1"/>
  <c r="BL166" i="1"/>
  <c r="BE168" i="1"/>
  <c r="BE163" i="1"/>
  <c r="BL168" i="1"/>
  <c r="BK173" i="1"/>
  <c r="BL159" i="1"/>
  <c r="BC149" i="1"/>
  <c r="BD150" i="1"/>
  <c r="BJ150" i="1"/>
  <c r="BC150" i="1"/>
  <c r="BE140" i="1"/>
  <c r="BC135" i="1"/>
  <c r="BE154" i="1"/>
  <c r="BL124" i="1"/>
  <c r="BD136" i="1"/>
  <c r="BL163" i="1"/>
  <c r="BL155" i="1"/>
  <c r="BJ127" i="1"/>
  <c r="BJ168" i="1"/>
  <c r="BJ157" i="1"/>
  <c r="BK166" i="1"/>
  <c r="BL152" i="1"/>
  <c r="BE125" i="1"/>
  <c r="BD134" i="1"/>
  <c r="BC168" i="1"/>
  <c r="BL169" i="1"/>
  <c r="BC156" i="1"/>
  <c r="BE161" i="1"/>
  <c r="BE160" i="1"/>
  <c r="BF174" i="1" l="1"/>
  <c r="BM174" i="1"/>
  <c r="BM173" i="1"/>
  <c r="BF173" i="1"/>
  <c r="BM172" i="1"/>
  <c r="BF172" i="1"/>
  <c r="BM171" i="1"/>
  <c r="BF171" i="1"/>
  <c r="BF170" i="1"/>
  <c r="BM170" i="1"/>
  <c r="BF169" i="1"/>
  <c r="BM169" i="1"/>
  <c r="BM166" i="1"/>
  <c r="BM168" i="1"/>
  <c r="BF167" i="1"/>
  <c r="BM167" i="1"/>
  <c r="BF168" i="1"/>
  <c r="BF166" i="1"/>
  <c r="BM165" i="1"/>
  <c r="BF165" i="1"/>
  <c r="BF164" i="1"/>
  <c r="BM164" i="1"/>
  <c r="BF163" i="1"/>
  <c r="BM163" i="1"/>
  <c r="BM162" i="1"/>
  <c r="BF162" i="1"/>
  <c r="BM159" i="1"/>
  <c r="BM160" i="1"/>
  <c r="BF159" i="1"/>
  <c r="BF161" i="1"/>
  <c r="BF160" i="1"/>
  <c r="BM161" i="1"/>
  <c r="BM158" i="1"/>
  <c r="BF158" i="1"/>
  <c r="BM157" i="1"/>
  <c r="BF157" i="1"/>
  <c r="BM156" i="1"/>
  <c r="BF156" i="1"/>
  <c r="BF155" i="1"/>
  <c r="BM155" i="1"/>
  <c r="BM154" i="1"/>
  <c r="BM153" i="1"/>
  <c r="BM152" i="1"/>
  <c r="BF152" i="1"/>
  <c r="BF153" i="1"/>
  <c r="BF154" i="1"/>
  <c r="BF151" i="1"/>
  <c r="BM151" i="1"/>
  <c r="BF150" i="1"/>
  <c r="BM150" i="1"/>
  <c r="BF149" i="1"/>
  <c r="BM149" i="1"/>
  <c r="BM148" i="1"/>
  <c r="BF148" i="1"/>
  <c r="BF147" i="1"/>
  <c r="BM147" i="1"/>
  <c r="BM146" i="1"/>
  <c r="BF146" i="1"/>
  <c r="BM145" i="1"/>
  <c r="BF145" i="1"/>
  <c r="BM144" i="1"/>
  <c r="BF144" i="1"/>
  <c r="BM143" i="1"/>
  <c r="BF143" i="1"/>
  <c r="BM142" i="1"/>
  <c r="BF142" i="1"/>
  <c r="BF141" i="1"/>
  <c r="BM141" i="1"/>
  <c r="BF138" i="1"/>
  <c r="BF140" i="1"/>
  <c r="BF139" i="1"/>
  <c r="BM139" i="1"/>
  <c r="BM138" i="1"/>
  <c r="BM140" i="1"/>
  <c r="BM137" i="1"/>
  <c r="BF137" i="1"/>
  <c r="BF136" i="1"/>
  <c r="BM136" i="1"/>
  <c r="BM135" i="1"/>
  <c r="BF135" i="1"/>
  <c r="BF134" i="1"/>
  <c r="BM134" i="1"/>
  <c r="BF131" i="1"/>
  <c r="BM132" i="1"/>
  <c r="BF133" i="1"/>
  <c r="BM131" i="1"/>
  <c r="BF132" i="1"/>
  <c r="BM133" i="1"/>
  <c r="BM130" i="1"/>
  <c r="BF130" i="1"/>
  <c r="BM129" i="1"/>
  <c r="BF129" i="1"/>
  <c r="BM128" i="1"/>
  <c r="BF128" i="1"/>
  <c r="BF127" i="1"/>
  <c r="BM127" i="1"/>
  <c r="BF124" i="1"/>
  <c r="BF125" i="1"/>
  <c r="BM126" i="1"/>
  <c r="BM124" i="1"/>
  <c r="BF126" i="1"/>
  <c r="BM125" i="1"/>
  <c r="BI19" i="1"/>
  <c r="BI20" i="1" s="1"/>
  <c r="BI21" i="1" s="1"/>
  <c r="BB4" i="1"/>
  <c r="BI22" i="1" l="1"/>
  <c r="BI23" i="1" s="1"/>
  <c r="BI24" i="1" s="1"/>
  <c r="BI25" i="1" s="1"/>
  <c r="BI26" i="1" s="1"/>
  <c r="BI27" i="1" s="1"/>
  <c r="BI28" i="1" s="1"/>
  <c r="BI29" i="1" s="1"/>
  <c r="BI30" i="1" s="1"/>
  <c r="BI31" i="1" s="1"/>
  <c r="BI32" i="1" s="1"/>
  <c r="BI33" i="1" s="1"/>
  <c r="BI34" i="1" s="1"/>
  <c r="BI35" i="1" s="1"/>
  <c r="BI36" i="1" s="1"/>
  <c r="BI37" i="1" s="1"/>
  <c r="BI38" i="1" s="1"/>
  <c r="BI39" i="1" s="1"/>
  <c r="BI40" i="1" s="1"/>
  <c r="BI41" i="1" s="1"/>
  <c r="BI42" i="1" s="1"/>
  <c r="BI43" i="1" s="1"/>
  <c r="BI44" i="1" s="1"/>
  <c r="BI45" i="1" s="1"/>
  <c r="BI46" i="1" s="1"/>
  <c r="BI47" i="1" s="1"/>
  <c r="BI48" i="1" s="1"/>
  <c r="BI49" i="1" s="1"/>
  <c r="BI50" i="1" s="1"/>
  <c r="BI51" i="1" s="1"/>
  <c r="BI52" i="1" s="1"/>
  <c r="BI53" i="1" s="1"/>
  <c r="BI54" i="1" s="1"/>
  <c r="BI55" i="1" s="1"/>
  <c r="BI56" i="1" s="1"/>
  <c r="BI57" i="1" s="1"/>
  <c r="BI58" i="1" s="1"/>
  <c r="BI59" i="1" s="1"/>
  <c r="BI60" i="1" s="1"/>
  <c r="BI61" i="1" s="1"/>
  <c r="BI62" i="1" s="1"/>
  <c r="BI63" i="1" s="1"/>
  <c r="BI64" i="1" s="1"/>
  <c r="BI65" i="1" s="1"/>
  <c r="BI66" i="1" s="1"/>
  <c r="BI67" i="1" s="1"/>
  <c r="BI68" i="1" s="1"/>
  <c r="BI69" i="1" s="1"/>
  <c r="BI70" i="1" s="1"/>
  <c r="BI71" i="1" s="1"/>
  <c r="BI72" i="1" s="1"/>
  <c r="BI73" i="1" s="1"/>
  <c r="BI74" i="1" s="1"/>
  <c r="BI75" i="1" s="1"/>
  <c r="BI76" i="1" s="1"/>
  <c r="BI77" i="1" s="1"/>
  <c r="BI78" i="1" s="1"/>
  <c r="BI79" i="1" s="1"/>
  <c r="BI80" i="1" s="1"/>
  <c r="BI81" i="1" s="1"/>
  <c r="BI82" i="1" s="1"/>
  <c r="BI83" i="1" s="1"/>
  <c r="BI84" i="1" s="1"/>
  <c r="BI85" i="1" s="1"/>
  <c r="BI86" i="1" s="1"/>
  <c r="BI87" i="1" s="1"/>
  <c r="BI88" i="1" s="1"/>
  <c r="BI89" i="1" s="1"/>
  <c r="BI90" i="1" s="1"/>
  <c r="BI91" i="1" s="1"/>
  <c r="BI92" i="1" s="1"/>
  <c r="BI93" i="1" s="1"/>
  <c r="BI94" i="1" s="1"/>
  <c r="BI95" i="1" s="1"/>
  <c r="BI96" i="1" s="1"/>
  <c r="BI97" i="1" s="1"/>
  <c r="BI98" i="1" s="1"/>
  <c r="BI99" i="1" s="1"/>
  <c r="BI100" i="1" s="1"/>
  <c r="BI101" i="1" s="1"/>
  <c r="BI102" i="1" s="1"/>
  <c r="BI103" i="1" s="1"/>
  <c r="BI104" i="1" s="1"/>
  <c r="BI105" i="1" s="1"/>
  <c r="BI106" i="1" s="1"/>
  <c r="BI107" i="1" s="1"/>
  <c r="BI108" i="1" s="1"/>
  <c r="BI109" i="1" s="1"/>
  <c r="BI110" i="1" s="1"/>
  <c r="BI111" i="1" s="1"/>
  <c r="BI112" i="1" s="1"/>
  <c r="BI113" i="1" s="1"/>
  <c r="BI114" i="1" s="1"/>
  <c r="BI115" i="1" s="1"/>
  <c r="BI116" i="1" s="1"/>
  <c r="BI117" i="1" s="1"/>
  <c r="BI118" i="1" s="1"/>
  <c r="BI119" i="1" s="1"/>
  <c r="BI120" i="1" s="1"/>
  <c r="BI121" i="1" s="1"/>
  <c r="BI122" i="1" s="1"/>
  <c r="BI123" i="1" s="1"/>
  <c r="BI124" i="1" s="1"/>
  <c r="BI125" i="1" s="1"/>
  <c r="BI126" i="1" s="1"/>
  <c r="BI127" i="1" s="1"/>
  <c r="BI128" i="1" s="1"/>
  <c r="BI129" i="1" s="1"/>
  <c r="BI130" i="1" s="1"/>
  <c r="BI131" i="1" s="1"/>
  <c r="BI132" i="1" s="1"/>
  <c r="BI133" i="1" s="1"/>
  <c r="BI134" i="1" s="1"/>
  <c r="BI135" i="1" s="1"/>
  <c r="BI136" i="1" s="1"/>
  <c r="BI137" i="1" s="1"/>
  <c r="BI138" i="1" s="1"/>
  <c r="BI139" i="1" s="1"/>
  <c r="BI140" i="1" s="1"/>
  <c r="BI141" i="1" s="1"/>
  <c r="BI142" i="1" s="1"/>
  <c r="BI143" i="1" s="1"/>
  <c r="BI144" i="1" s="1"/>
  <c r="BI145" i="1" s="1"/>
  <c r="BI146" i="1" s="1"/>
  <c r="BI147" i="1" s="1"/>
  <c r="BI148" i="1" s="1"/>
  <c r="BI149" i="1" s="1"/>
  <c r="BI150" i="1" s="1"/>
  <c r="BI151" i="1" s="1"/>
  <c r="BI152" i="1" s="1"/>
  <c r="BI153" i="1" s="1"/>
  <c r="BI154" i="1" s="1"/>
  <c r="BI155" i="1" s="1"/>
  <c r="BI156" i="1" s="1"/>
  <c r="BI157" i="1" s="1"/>
  <c r="BI158" i="1" s="1"/>
  <c r="BI159" i="1" s="1"/>
  <c r="BI160" i="1" s="1"/>
  <c r="BI161" i="1" s="1"/>
  <c r="BI162" i="1" s="1"/>
  <c r="BI163" i="1" s="1"/>
  <c r="BI164" i="1" s="1"/>
  <c r="BI165" i="1" s="1"/>
  <c r="BI166" i="1" s="1"/>
  <c r="BI167" i="1" s="1"/>
  <c r="BI168" i="1" s="1"/>
  <c r="BI169" i="1" s="1"/>
  <c r="BI170" i="1" s="1"/>
  <c r="BI171" i="1" s="1"/>
  <c r="BI172" i="1" s="1"/>
  <c r="BI173" i="1" s="1"/>
  <c r="BI174" i="1" s="1"/>
  <c r="BI175" i="1" s="1"/>
  <c r="BB5" i="1"/>
  <c r="BO4" i="1"/>
  <c r="BQ4" i="1" s="1"/>
  <c r="BB6" i="1" l="1"/>
  <c r="BO5" i="1"/>
  <c r="BQ5" i="1" s="1"/>
  <c r="BB7" i="1" l="1"/>
  <c r="BO6" i="1"/>
  <c r="BQ6" i="1" s="1"/>
  <c r="BO7" i="1" l="1"/>
  <c r="BQ7" i="1" s="1"/>
  <c r="BB8" i="1"/>
  <c r="BB9" i="1" s="1"/>
  <c r="BB10" i="1" s="1"/>
  <c r="BB11" i="1" s="1"/>
  <c r="BB12" i="1" s="1"/>
  <c r="BB13" i="1" s="1"/>
  <c r="BB14" i="1" s="1"/>
  <c r="BB15" i="1" s="1"/>
  <c r="BB16" i="1" s="1"/>
  <c r="BB17" i="1" s="1"/>
  <c r="BB18" i="1" s="1"/>
  <c r="BB19" i="1" s="1"/>
  <c r="BB20" i="1" s="1"/>
  <c r="BB21" i="1" s="1"/>
  <c r="BB22" i="1" l="1"/>
  <c r="BB23" i="1" s="1"/>
  <c r="BB24" i="1" s="1"/>
  <c r="BB25" i="1" s="1"/>
  <c r="BB26" i="1" s="1"/>
  <c r="BB27" i="1" s="1"/>
  <c r="BB28" i="1" s="1"/>
  <c r="BB29" i="1" s="1"/>
  <c r="BB30" i="1" s="1"/>
  <c r="BB31" i="1" s="1"/>
  <c r="BB32" i="1" s="1"/>
  <c r="BB33" i="1" s="1"/>
  <c r="BB34" i="1" s="1"/>
  <c r="BB35" i="1" s="1"/>
  <c r="BB36" i="1" s="1"/>
  <c r="BB37" i="1" s="1"/>
  <c r="BB38" i="1" s="1"/>
  <c r="BB39" i="1" s="1"/>
  <c r="BB40" i="1" s="1"/>
  <c r="BB41" i="1" s="1"/>
  <c r="BB42" i="1" s="1"/>
  <c r="BB43" i="1" s="1"/>
  <c r="BB44" i="1" s="1"/>
  <c r="BB45" i="1" s="1"/>
  <c r="BB46" i="1" s="1"/>
  <c r="BB47" i="1" s="1"/>
  <c r="BB48" i="1" s="1"/>
  <c r="BB49" i="1" s="1"/>
  <c r="BB50" i="1" s="1"/>
  <c r="BB51" i="1" s="1"/>
  <c r="BB52" i="1" s="1"/>
  <c r="BB53" i="1" s="1"/>
  <c r="BB54" i="1" s="1"/>
  <c r="BB55" i="1" s="1"/>
  <c r="BB56" i="1" s="1"/>
  <c r="BB57" i="1" s="1"/>
  <c r="BB58" i="1" s="1"/>
  <c r="BB59" i="1" s="1"/>
  <c r="BB60" i="1" s="1"/>
  <c r="BB61" i="1" s="1"/>
  <c r="BB62" i="1" s="1"/>
  <c r="BB63" i="1" s="1"/>
  <c r="BB64" i="1" s="1"/>
  <c r="BB65" i="1" s="1"/>
  <c r="BB66" i="1" s="1"/>
  <c r="BB67" i="1" s="1"/>
  <c r="BB68" i="1" s="1"/>
  <c r="BB69" i="1" s="1"/>
  <c r="BB70" i="1" s="1"/>
  <c r="BB71" i="1" s="1"/>
  <c r="BB72" i="1" s="1"/>
  <c r="BB73" i="1" s="1"/>
  <c r="BB74" i="1" s="1"/>
  <c r="BB75" i="1" s="1"/>
  <c r="BB76" i="1" s="1"/>
  <c r="BB77" i="1" s="1"/>
  <c r="BB78" i="1" s="1"/>
  <c r="BB79" i="1" s="1"/>
  <c r="BB80" i="1" s="1"/>
  <c r="BB81" i="1" s="1"/>
  <c r="BB82" i="1" s="1"/>
  <c r="BB83" i="1" s="1"/>
  <c r="BB84" i="1" s="1"/>
  <c r="BB85" i="1" s="1"/>
  <c r="BB86" i="1" s="1"/>
  <c r="BB87" i="1" s="1"/>
  <c r="BB88" i="1" s="1"/>
  <c r="BB89" i="1" s="1"/>
  <c r="BB90" i="1" s="1"/>
  <c r="BB91" i="1" s="1"/>
  <c r="BB92" i="1" s="1"/>
  <c r="BB93" i="1" s="1"/>
  <c r="BB94" i="1" s="1"/>
  <c r="BB95" i="1" s="1"/>
  <c r="BB96" i="1" s="1"/>
  <c r="BB97" i="1" s="1"/>
  <c r="BB98" i="1" s="1"/>
  <c r="BB99" i="1" s="1"/>
  <c r="BB100" i="1" s="1"/>
  <c r="BB101" i="1" s="1"/>
  <c r="BB102" i="1" s="1"/>
  <c r="BB103" i="1" s="1"/>
  <c r="BB104" i="1" s="1"/>
  <c r="BB105" i="1" s="1"/>
  <c r="BB106" i="1" s="1"/>
  <c r="BB107" i="1" s="1"/>
  <c r="BB108" i="1" s="1"/>
  <c r="BB109" i="1" s="1"/>
  <c r="BB110" i="1" s="1"/>
  <c r="BB111" i="1" s="1"/>
  <c r="BB112" i="1" s="1"/>
  <c r="BB113" i="1" s="1"/>
  <c r="BB114" i="1" s="1"/>
  <c r="BB115" i="1" s="1"/>
  <c r="BB116" i="1" s="1"/>
  <c r="BB117" i="1" s="1"/>
  <c r="BB118" i="1" s="1"/>
  <c r="BB119" i="1" s="1"/>
  <c r="BB120" i="1" s="1"/>
  <c r="BB121" i="1" s="1"/>
  <c r="BB122" i="1" s="1"/>
  <c r="BB123" i="1" s="1"/>
  <c r="BB124" i="1" s="1"/>
  <c r="BB125" i="1" s="1"/>
  <c r="BB126" i="1" s="1"/>
  <c r="BB127" i="1" s="1"/>
  <c r="BB128" i="1" s="1"/>
  <c r="BB129" i="1" s="1"/>
  <c r="BB130" i="1" s="1"/>
  <c r="BB131" i="1" s="1"/>
  <c r="BB132" i="1" s="1"/>
  <c r="BB133" i="1" s="1"/>
  <c r="BB134" i="1" s="1"/>
  <c r="BB135" i="1" s="1"/>
  <c r="BB136" i="1" s="1"/>
  <c r="BB137" i="1" s="1"/>
  <c r="BB138" i="1" s="1"/>
  <c r="BB139" i="1" s="1"/>
  <c r="BB140" i="1" s="1"/>
  <c r="BB141" i="1" s="1"/>
  <c r="BB142" i="1" s="1"/>
  <c r="BB143" i="1" s="1"/>
  <c r="BB144" i="1" s="1"/>
  <c r="BB145" i="1" s="1"/>
  <c r="BB146" i="1" s="1"/>
  <c r="BB147" i="1" s="1"/>
  <c r="BB148" i="1" s="1"/>
  <c r="BB149" i="1" s="1"/>
  <c r="BB150" i="1" s="1"/>
  <c r="BB151" i="1" s="1"/>
  <c r="BB152" i="1" s="1"/>
  <c r="BB153" i="1" s="1"/>
  <c r="BB154" i="1" s="1"/>
  <c r="BB155" i="1" s="1"/>
  <c r="BB156" i="1" s="1"/>
  <c r="BB157" i="1" s="1"/>
  <c r="BB158" i="1" s="1"/>
  <c r="BB159" i="1" s="1"/>
  <c r="BB160" i="1" s="1"/>
  <c r="BB161" i="1" s="1"/>
  <c r="BB162" i="1" s="1"/>
  <c r="BB163" i="1" s="1"/>
  <c r="BB164" i="1" s="1"/>
  <c r="BB165" i="1" s="1"/>
  <c r="BB166" i="1" s="1"/>
  <c r="BB167" i="1" s="1"/>
  <c r="BB168" i="1" s="1"/>
  <c r="BB169" i="1" s="1"/>
  <c r="BB170" i="1" s="1"/>
  <c r="BB171" i="1" s="1"/>
  <c r="BB172" i="1" s="1"/>
  <c r="BB173" i="1" s="1"/>
  <c r="BB174" i="1" s="1"/>
  <c r="BB175" i="1" s="1"/>
  <c r="BE98" i="1"/>
  <c r="BK104" i="1"/>
  <c r="BA41" i="1"/>
  <c r="BJ100" i="1"/>
  <c r="BA48" i="1"/>
  <c r="AZ29" i="1"/>
  <c r="BC118" i="1"/>
  <c r="BL112" i="1"/>
  <c r="BE102" i="1"/>
  <c r="BK97" i="1"/>
  <c r="BA44" i="1"/>
  <c r="BA53" i="1"/>
  <c r="AZ46" i="1"/>
  <c r="BK111" i="1"/>
  <c r="BC115" i="1"/>
  <c r="AZ63" i="1"/>
  <c r="BA55" i="1"/>
  <c r="BJ103" i="1"/>
  <c r="BA3" i="1"/>
  <c r="BA90" i="1"/>
  <c r="BA17" i="1"/>
  <c r="BD120" i="1"/>
  <c r="BJ114" i="1"/>
  <c r="BL93" i="1"/>
  <c r="AZ80" i="1"/>
  <c r="BD109" i="1"/>
  <c r="BC103" i="1"/>
  <c r="BL117" i="1"/>
  <c r="AZ87" i="1"/>
  <c r="BJ107" i="1"/>
  <c r="BD115" i="1"/>
  <c r="BE117" i="1"/>
  <c r="BJ113" i="1"/>
  <c r="AZ6" i="1"/>
  <c r="BC120" i="1"/>
  <c r="BC114" i="1"/>
  <c r="BA79" i="1"/>
  <c r="BA29" i="1"/>
  <c r="BL119" i="1"/>
  <c r="BA63" i="1"/>
  <c r="AZ25" i="1"/>
  <c r="BA75" i="1"/>
  <c r="BC100" i="1"/>
  <c r="BE112" i="1"/>
  <c r="BD97" i="1"/>
  <c r="BC95" i="1"/>
  <c r="BL108" i="1"/>
  <c r="AZ44" i="1"/>
  <c r="BD116" i="1"/>
  <c r="BL98" i="1"/>
  <c r="BA35" i="1"/>
  <c r="BJ121" i="1"/>
  <c r="AZ84" i="1"/>
  <c r="AZ37" i="1"/>
  <c r="AZ50" i="1"/>
  <c r="BE96" i="1"/>
  <c r="BD117" i="1"/>
  <c r="BK108" i="1"/>
  <c r="AZ36" i="1"/>
  <c r="AZ89" i="1"/>
  <c r="AZ17" i="1"/>
  <c r="AZ16" i="1"/>
  <c r="BD121" i="1"/>
  <c r="BA23" i="1"/>
  <c r="AZ38" i="1"/>
  <c r="BA9" i="1"/>
  <c r="AZ33" i="1"/>
  <c r="BK98" i="1"/>
  <c r="BA30" i="1"/>
  <c r="AZ90" i="1"/>
  <c r="BA86" i="1"/>
  <c r="BA10" i="1"/>
  <c r="BD112" i="1"/>
  <c r="AZ83" i="1"/>
  <c r="BA27" i="1"/>
  <c r="BL105" i="1"/>
  <c r="BK105" i="1"/>
  <c r="BA18" i="1"/>
  <c r="BL107" i="1"/>
  <c r="AZ13" i="1"/>
  <c r="BJ96" i="1"/>
  <c r="BJ123" i="1"/>
  <c r="BA11" i="1"/>
  <c r="AZ77" i="1"/>
  <c r="BJ99" i="1"/>
  <c r="AZ61" i="1"/>
  <c r="BK121" i="1"/>
  <c r="BA87" i="1"/>
  <c r="BD113" i="1"/>
  <c r="AZ42" i="1"/>
  <c r="BA64" i="1"/>
  <c r="BC117" i="1"/>
  <c r="BK99" i="1"/>
  <c r="BD123" i="1"/>
  <c r="BA91" i="1"/>
  <c r="AZ39" i="1"/>
  <c r="BL118" i="1"/>
  <c r="BA43" i="1"/>
  <c r="BD122" i="1"/>
  <c r="BJ116" i="1"/>
  <c r="BL116" i="1"/>
  <c r="BA76" i="1"/>
  <c r="BA6" i="1"/>
  <c r="BA14" i="1"/>
  <c r="AZ19" i="1"/>
  <c r="AZ43" i="1"/>
  <c r="BJ111" i="1"/>
  <c r="AZ24" i="1"/>
  <c r="BA12" i="1"/>
  <c r="BL114" i="1"/>
  <c r="BR7" i="1"/>
  <c r="AZ10" i="1"/>
  <c r="BA36" i="1"/>
  <c r="BK118" i="1"/>
  <c r="AZ91" i="1"/>
  <c r="BA46" i="1"/>
  <c r="BA68" i="1"/>
  <c r="BJ109" i="1"/>
  <c r="BA80" i="1"/>
  <c r="BA77" i="1"/>
  <c r="BK106" i="1"/>
  <c r="AZ53" i="1"/>
  <c r="AZ4" i="1"/>
  <c r="BK110" i="1"/>
  <c r="AZ64" i="1"/>
  <c r="BA88" i="1"/>
  <c r="BE104" i="1"/>
  <c r="BA71" i="1"/>
  <c r="BJ104" i="1"/>
  <c r="BA42" i="1"/>
  <c r="BA52" i="1"/>
  <c r="BK93" i="1"/>
  <c r="BA59" i="1"/>
  <c r="BA54" i="1"/>
  <c r="BA39" i="1"/>
  <c r="BC99" i="1"/>
  <c r="AZ49" i="1"/>
  <c r="AZ79" i="1"/>
  <c r="BJ98" i="1"/>
  <c r="BA74" i="1"/>
  <c r="BE109" i="1"/>
  <c r="BE110" i="1"/>
  <c r="BK96" i="1"/>
  <c r="BJ94" i="1"/>
  <c r="AZ8" i="1"/>
  <c r="BC96" i="1"/>
  <c r="AZ35" i="1"/>
  <c r="BA15" i="1"/>
  <c r="BA66" i="1"/>
  <c r="BE122" i="1"/>
  <c r="BJ118" i="1"/>
  <c r="BA16" i="1"/>
  <c r="AZ78" i="1"/>
  <c r="BK95" i="1"/>
  <c r="AZ59" i="1"/>
  <c r="BK113" i="1"/>
  <c r="BD114" i="1"/>
  <c r="AZ72" i="1"/>
  <c r="BK102" i="1"/>
  <c r="AZ57" i="1"/>
  <c r="BL123" i="1"/>
  <c r="BD94" i="1"/>
  <c r="BD110" i="1"/>
  <c r="BR4" i="1"/>
  <c r="BK119" i="1"/>
  <c r="BA51" i="1"/>
  <c r="BA25" i="1"/>
  <c r="BD108" i="1"/>
  <c r="BL101" i="1"/>
  <c r="BA60" i="1"/>
  <c r="BD106" i="1"/>
  <c r="BK122" i="1"/>
  <c r="AZ76" i="1"/>
  <c r="BC111" i="1"/>
  <c r="BA83" i="1"/>
  <c r="AZ23" i="1"/>
  <c r="BC105" i="1"/>
  <c r="BK109" i="1"/>
  <c r="BE115" i="1"/>
  <c r="BC108" i="1"/>
  <c r="BA89" i="1"/>
  <c r="BJ93" i="1"/>
  <c r="BK120" i="1"/>
  <c r="BA19" i="1"/>
  <c r="BJ112" i="1"/>
  <c r="AZ55" i="1"/>
  <c r="BE94" i="1"/>
  <c r="AZ73" i="1"/>
  <c r="BD107" i="1"/>
  <c r="BL100" i="1"/>
  <c r="AZ74" i="1"/>
  <c r="BA49" i="1"/>
  <c r="BA65" i="1"/>
  <c r="BA26" i="1"/>
  <c r="AZ58" i="1"/>
  <c r="BE119" i="1"/>
  <c r="BE123" i="1"/>
  <c r="BK123" i="1"/>
  <c r="AZ65" i="1"/>
  <c r="BK100" i="1"/>
  <c r="AZ41" i="1"/>
  <c r="AZ88" i="1"/>
  <c r="BA92" i="1"/>
  <c r="AZ92" i="1"/>
  <c r="BA58" i="1"/>
  <c r="BC98" i="1"/>
  <c r="BD105" i="1"/>
  <c r="AZ68" i="1"/>
  <c r="BD102" i="1"/>
  <c r="BD98" i="1"/>
  <c r="BK107" i="1"/>
  <c r="BD93" i="1"/>
  <c r="BE118" i="1"/>
  <c r="BA40" i="1"/>
  <c r="BJ108" i="1"/>
  <c r="BA45" i="1"/>
  <c r="AZ32" i="1"/>
  <c r="BE99" i="1"/>
  <c r="BE95" i="1"/>
  <c r="AZ31" i="1"/>
  <c r="BK112" i="1"/>
  <c r="AZ12" i="1"/>
  <c r="BL115" i="1"/>
  <c r="AZ86" i="1"/>
  <c r="BA50" i="1"/>
  <c r="BL120" i="1"/>
  <c r="BA20" i="1"/>
  <c r="AZ66" i="1"/>
  <c r="BC113" i="1"/>
  <c r="BA5" i="1"/>
  <c r="AZ52" i="1"/>
  <c r="BA8" i="1"/>
  <c r="AZ60" i="1"/>
  <c r="AZ56" i="1"/>
  <c r="BK101" i="1"/>
  <c r="AZ45" i="1"/>
  <c r="BA69" i="1"/>
  <c r="BJ97" i="1"/>
  <c r="BE113" i="1"/>
  <c r="BC107" i="1"/>
  <c r="BA70" i="1"/>
  <c r="AZ82" i="1"/>
  <c r="AZ18" i="1"/>
  <c r="BC122" i="1"/>
  <c r="BL106" i="1"/>
  <c r="AZ3" i="1"/>
  <c r="BK115" i="1"/>
  <c r="AZ26" i="1"/>
  <c r="BA31" i="1"/>
  <c r="AZ62" i="1"/>
  <c r="AZ81" i="1"/>
  <c r="AZ48" i="1"/>
  <c r="BC112" i="1"/>
  <c r="BE97" i="1"/>
  <c r="BL104" i="1"/>
  <c r="BC110" i="1"/>
  <c r="AZ85" i="1"/>
  <c r="BL96" i="1"/>
  <c r="BJ110" i="1"/>
  <c r="BC106" i="1"/>
  <c r="BA7" i="1"/>
  <c r="BJ117" i="1"/>
  <c r="BE121" i="1"/>
  <c r="BC119" i="1"/>
  <c r="BA81" i="1"/>
  <c r="AZ70" i="1"/>
  <c r="BA4" i="1"/>
  <c r="BJ120" i="1"/>
  <c r="AZ7" i="1"/>
  <c r="BD119" i="1"/>
  <c r="BD100" i="1"/>
  <c r="BE93" i="1"/>
  <c r="BD104" i="1"/>
  <c r="BJ115" i="1"/>
  <c r="AZ27" i="1"/>
  <c r="BA22" i="1"/>
  <c r="AZ69" i="1"/>
  <c r="BR6" i="1"/>
  <c r="AZ20" i="1"/>
  <c r="AZ54" i="1"/>
  <c r="AZ9" i="1"/>
  <c r="AZ14" i="1"/>
  <c r="BL95" i="1"/>
  <c r="BE101" i="1"/>
  <c r="BC102" i="1"/>
  <c r="BJ95" i="1"/>
  <c r="BL103" i="1"/>
  <c r="BD118" i="1"/>
  <c r="AZ22" i="1"/>
  <c r="BK117" i="1"/>
  <c r="BE105" i="1"/>
  <c r="BA21" i="1"/>
  <c r="BA72" i="1"/>
  <c r="BL109" i="1"/>
  <c r="AZ5" i="1"/>
  <c r="BA61" i="1"/>
  <c r="BA56" i="1"/>
  <c r="BK116" i="1"/>
  <c r="BC121" i="1"/>
  <c r="BE111" i="1"/>
  <c r="AZ67" i="1"/>
  <c r="BA13" i="1"/>
  <c r="BD111" i="1"/>
  <c r="AZ34" i="1"/>
  <c r="BK103" i="1"/>
  <c r="BJ119" i="1"/>
  <c r="BA38" i="1"/>
  <c r="BA37" i="1"/>
  <c r="BC97" i="1"/>
  <c r="BE106" i="1"/>
  <c r="BC109" i="1"/>
  <c r="AZ30" i="1"/>
  <c r="BE120" i="1"/>
  <c r="BA62" i="1"/>
  <c r="AZ51" i="1"/>
  <c r="BC93" i="1"/>
  <c r="BJ102" i="1"/>
  <c r="BC101" i="1"/>
  <c r="BL99" i="1"/>
  <c r="BL122" i="1"/>
  <c r="BD103" i="1"/>
  <c r="BJ106" i="1"/>
  <c r="BE107" i="1"/>
  <c r="BA24" i="1"/>
  <c r="BA85" i="1"/>
  <c r="BA78" i="1"/>
  <c r="AZ21" i="1"/>
  <c r="BE100" i="1"/>
  <c r="BC123" i="1"/>
  <c r="BC94" i="1"/>
  <c r="BA33" i="1"/>
  <c r="AZ11" i="1"/>
  <c r="BJ105" i="1"/>
  <c r="BA67" i="1"/>
  <c r="BL102" i="1"/>
  <c r="BD101" i="1"/>
  <c r="BL111" i="1"/>
  <c r="BA34" i="1"/>
  <c r="BA32" i="1"/>
  <c r="BJ122" i="1"/>
  <c r="BL110" i="1"/>
  <c r="BL113" i="1"/>
  <c r="BA57" i="1"/>
  <c r="BE114" i="1"/>
  <c r="BD96" i="1"/>
  <c r="AZ75" i="1"/>
  <c r="BA28" i="1"/>
  <c r="BC104" i="1"/>
  <c r="BE108" i="1"/>
  <c r="AZ28" i="1"/>
  <c r="BD99" i="1"/>
  <c r="BC116" i="1"/>
  <c r="BK94" i="1"/>
  <c r="AZ40" i="1"/>
  <c r="BD95" i="1"/>
  <c r="BL121" i="1"/>
  <c r="BA73" i="1"/>
  <c r="BA82" i="1"/>
  <c r="BE116" i="1"/>
  <c r="BA47" i="1"/>
  <c r="BE103" i="1"/>
  <c r="AZ71" i="1"/>
  <c r="BK114" i="1"/>
  <c r="BR5" i="1"/>
  <c r="BA84" i="1"/>
  <c r="BL94" i="1"/>
  <c r="BJ101" i="1"/>
  <c r="BL97" i="1"/>
  <c r="AZ15" i="1"/>
  <c r="AZ47" i="1"/>
  <c r="BF99" i="1" l="1"/>
  <c r="BM118" i="1"/>
  <c r="BM97" i="1"/>
  <c r="BF106" i="1"/>
  <c r="BM109" i="1"/>
  <c r="BF96" i="1"/>
  <c r="BM114" i="1"/>
  <c r="BF118" i="1"/>
  <c r="BF109" i="1"/>
  <c r="BM98" i="1"/>
  <c r="BF117" i="1"/>
  <c r="BF94" i="1"/>
  <c r="BM113" i="1"/>
  <c r="BF100" i="1"/>
  <c r="BF108" i="1"/>
  <c r="BF101" i="1"/>
  <c r="BM122" i="1"/>
  <c r="BF110" i="1"/>
  <c r="BF114" i="1"/>
  <c r="BF123" i="1"/>
  <c r="BM99" i="1"/>
  <c r="BM105" i="1"/>
  <c r="BF95" i="1"/>
  <c r="BF93" i="1"/>
  <c r="BF121" i="1"/>
  <c r="BF97" i="1"/>
  <c r="BM102" i="1"/>
  <c r="BM111" i="1"/>
  <c r="BF122" i="1"/>
  <c r="BM116" i="1"/>
  <c r="BM110" i="1"/>
  <c r="BF104" i="1"/>
  <c r="BM100" i="1"/>
  <c r="BF119" i="1"/>
  <c r="BF113" i="1"/>
  <c r="BM94" i="1"/>
  <c r="BM107" i="1"/>
  <c r="BM101" i="1"/>
  <c r="BM93" i="1"/>
  <c r="BM112" i="1"/>
  <c r="BF112" i="1"/>
  <c r="BF120" i="1"/>
  <c r="BM95" i="1"/>
  <c r="BM123" i="1"/>
  <c r="BF115" i="1"/>
  <c r="BM115" i="1"/>
  <c r="BM106" i="1"/>
  <c r="BM103" i="1"/>
  <c r="BM119" i="1"/>
  <c r="BF98" i="1"/>
  <c r="BM117" i="1"/>
  <c r="BF102" i="1"/>
  <c r="BM96" i="1"/>
  <c r="BM121" i="1"/>
  <c r="BF116" i="1"/>
  <c r="BM108" i="1"/>
  <c r="BF105" i="1"/>
  <c r="BM104" i="1"/>
  <c r="BF103" i="1"/>
  <c r="BF107" i="1"/>
  <c r="BM120" i="1"/>
  <c r="BF111" i="1"/>
  <c r="BE22" i="1"/>
  <c r="BE17" i="1"/>
  <c r="BC20" i="1"/>
  <c r="BJ58" i="1"/>
  <c r="BD18" i="1"/>
  <c r="BD85" i="1"/>
  <c r="BL10" i="1"/>
  <c r="BD45" i="1"/>
  <c r="BD22" i="1"/>
  <c r="BE6" i="1"/>
  <c r="BL85" i="1"/>
  <c r="BC53" i="1"/>
  <c r="BK5" i="1"/>
  <c r="BK74" i="1"/>
  <c r="BL52" i="1"/>
  <c r="BL45" i="1"/>
  <c r="BC73" i="1"/>
  <c r="BL11" i="1"/>
  <c r="BD86" i="1"/>
  <c r="BD87" i="1"/>
  <c r="BJ65" i="1"/>
  <c r="BJ79" i="1"/>
  <c r="BK82" i="1"/>
  <c r="BK63" i="1"/>
  <c r="BL17" i="1"/>
  <c r="BL60" i="1"/>
  <c r="BJ52" i="1"/>
  <c r="BK77" i="1"/>
  <c r="BJ33" i="1"/>
  <c r="BD28" i="1"/>
  <c r="BK12" i="1"/>
  <c r="BK23" i="1"/>
  <c r="BL18" i="1"/>
  <c r="BK34" i="1"/>
  <c r="BC50" i="1"/>
  <c r="BD16" i="1"/>
  <c r="BD26" i="1"/>
  <c r="BC47" i="1"/>
  <c r="BE32" i="1"/>
  <c r="BL87" i="1"/>
  <c r="BL29" i="1"/>
  <c r="BE44" i="1"/>
  <c r="BC14" i="1"/>
  <c r="BJ30" i="1"/>
  <c r="BK89" i="1"/>
  <c r="BJ82" i="1"/>
  <c r="BE26" i="1"/>
  <c r="BE62" i="1"/>
  <c r="BE33" i="1"/>
  <c r="BJ17" i="1"/>
  <c r="BJ8" i="1"/>
  <c r="BK54" i="1"/>
  <c r="BJ48" i="1"/>
  <c r="BK53" i="1"/>
  <c r="BD9" i="1"/>
  <c r="BL61" i="1"/>
  <c r="BE45" i="1"/>
  <c r="BJ44" i="1"/>
  <c r="BK69" i="1"/>
  <c r="BJ85" i="1"/>
  <c r="BL89" i="1"/>
  <c r="BL56" i="1"/>
  <c r="BC23" i="1"/>
  <c r="BL80" i="1"/>
  <c r="BD89" i="1"/>
  <c r="BL83" i="1"/>
  <c r="BC91" i="1"/>
  <c r="BD64" i="1"/>
  <c r="BC37" i="1"/>
  <c r="BE84" i="1"/>
  <c r="BL66" i="1"/>
  <c r="BL35" i="1"/>
  <c r="BJ84" i="1"/>
  <c r="BE76" i="1"/>
  <c r="BL82" i="1"/>
  <c r="BC63" i="1"/>
  <c r="BJ88" i="1"/>
  <c r="BD77" i="1"/>
  <c r="BK31" i="1"/>
  <c r="BL27" i="1"/>
  <c r="BE92" i="1"/>
  <c r="BJ9" i="1"/>
  <c r="BE53" i="1"/>
  <c r="BL67" i="1"/>
  <c r="BJ50" i="1"/>
  <c r="BJ72" i="1"/>
  <c r="BJ76" i="1"/>
  <c r="BJ36" i="1"/>
  <c r="BE61" i="1"/>
  <c r="BJ54" i="1"/>
  <c r="BK70" i="1"/>
  <c r="BJ16" i="1"/>
  <c r="BK42" i="1"/>
  <c r="BJ3" i="1"/>
  <c r="BC49" i="1"/>
  <c r="BL69" i="1"/>
  <c r="BE27" i="1"/>
  <c r="BK19" i="1"/>
  <c r="BE42" i="1"/>
  <c r="BK66" i="1"/>
  <c r="BE19" i="1"/>
  <c r="BJ62" i="1"/>
  <c r="BC17" i="1"/>
  <c r="BD37" i="1"/>
  <c r="BC89" i="1"/>
  <c r="BE11" i="1"/>
  <c r="BL62" i="1"/>
  <c r="BD84" i="1"/>
  <c r="BL65" i="1"/>
  <c r="BJ46" i="1"/>
  <c r="BJ73" i="1"/>
  <c r="BJ60" i="1"/>
  <c r="BK17" i="1"/>
  <c r="BE56" i="1"/>
  <c r="BC28" i="1"/>
  <c r="BL22" i="1"/>
  <c r="BJ47" i="1"/>
  <c r="BL12" i="1"/>
  <c r="BK92" i="1"/>
  <c r="BC83" i="1"/>
  <c r="BD51" i="1"/>
  <c r="BL7" i="1"/>
  <c r="BJ71" i="1"/>
  <c r="BJ87" i="1"/>
  <c r="BJ61" i="1"/>
  <c r="BK18" i="1"/>
  <c r="BL84" i="1"/>
  <c r="BE50" i="1"/>
  <c r="BE23" i="1"/>
  <c r="BL14" i="1"/>
  <c r="BL16" i="1"/>
  <c r="BC13" i="1"/>
  <c r="BC80" i="1"/>
  <c r="BK14" i="1"/>
  <c r="BL59" i="1"/>
  <c r="BD65" i="1"/>
  <c r="BD27" i="1"/>
  <c r="BC6" i="1"/>
  <c r="BK55" i="1"/>
  <c r="BE80" i="1"/>
  <c r="BK47" i="1"/>
  <c r="BC48" i="1"/>
  <c r="BJ91" i="1"/>
  <c r="BD72" i="1"/>
  <c r="BD57" i="1"/>
  <c r="BD35" i="1"/>
  <c r="BJ68" i="1"/>
  <c r="BC39" i="1"/>
  <c r="BL44" i="1"/>
  <c r="BE34" i="1"/>
  <c r="BL78" i="1"/>
  <c r="BD56" i="1"/>
  <c r="BJ18" i="1"/>
  <c r="BD88" i="1"/>
  <c r="BJ39" i="1"/>
  <c r="BC55" i="1"/>
  <c r="BJ5" i="1"/>
  <c r="BC32" i="1"/>
  <c r="BK41" i="1"/>
  <c r="BC9" i="1"/>
  <c r="BE89" i="1"/>
  <c r="BK36" i="1"/>
  <c r="BK44" i="1"/>
  <c r="BL19" i="1"/>
  <c r="BE67" i="1"/>
  <c r="BE79" i="1"/>
  <c r="BC84" i="1"/>
  <c r="BE58" i="1"/>
  <c r="BJ41" i="1"/>
  <c r="BC66" i="1"/>
  <c r="BC58" i="1"/>
  <c r="BK38" i="1"/>
  <c r="BK24" i="1"/>
  <c r="BE88" i="1"/>
  <c r="BD78" i="1"/>
  <c r="BE57" i="1"/>
  <c r="BC71" i="1"/>
  <c r="BL53" i="1"/>
  <c r="BL3" i="1"/>
  <c r="BK43" i="1"/>
  <c r="BD49" i="1"/>
  <c r="BJ12" i="1"/>
  <c r="BK57" i="1"/>
  <c r="BK73" i="1"/>
  <c r="BL36" i="1"/>
  <c r="BC44" i="1"/>
  <c r="BD48" i="1"/>
  <c r="BD40" i="1"/>
  <c r="BC72" i="1"/>
  <c r="BD6" i="1"/>
  <c r="BL4" i="1"/>
  <c r="BL55" i="1"/>
  <c r="BJ23" i="1"/>
  <c r="BC30" i="1"/>
  <c r="BL32" i="1"/>
  <c r="BD7" i="1"/>
  <c r="BJ53" i="1"/>
  <c r="BD81" i="1"/>
  <c r="BJ77" i="1"/>
  <c r="BL40" i="1"/>
  <c r="BE38" i="1"/>
  <c r="BK32" i="1"/>
  <c r="BL51" i="1"/>
  <c r="BL72" i="1"/>
  <c r="BD69" i="1"/>
  <c r="BJ90" i="1"/>
  <c r="BD20" i="1"/>
  <c r="BC24" i="1"/>
  <c r="BK72" i="1"/>
  <c r="BD33" i="1"/>
  <c r="BK20" i="1"/>
  <c r="BD30" i="1"/>
  <c r="BD50" i="1"/>
  <c r="BD13" i="1"/>
  <c r="BJ78" i="1"/>
  <c r="BL31" i="1"/>
  <c r="BD75" i="1"/>
  <c r="BE21" i="1"/>
  <c r="BK87" i="1"/>
  <c r="BJ43" i="1"/>
  <c r="BK52" i="1"/>
  <c r="BE25" i="1"/>
  <c r="BC43" i="1"/>
  <c r="BJ45" i="1"/>
  <c r="BJ66" i="1"/>
  <c r="BL88" i="1"/>
  <c r="BK58" i="1"/>
  <c r="BC12" i="1"/>
  <c r="BE9" i="1"/>
  <c r="BC68" i="1"/>
  <c r="BE91" i="1"/>
  <c r="BE10" i="1"/>
  <c r="BC45" i="1"/>
  <c r="BC76" i="1"/>
  <c r="BD62" i="1"/>
  <c r="BJ55" i="1"/>
  <c r="BJ38" i="1"/>
  <c r="BK56" i="1"/>
  <c r="BE12" i="1"/>
  <c r="BD54" i="1"/>
  <c r="BD73" i="1"/>
  <c r="BK28" i="1"/>
  <c r="BL42" i="1"/>
  <c r="BE86" i="1"/>
  <c r="BC42" i="1"/>
  <c r="BJ22" i="1"/>
  <c r="BD92" i="1"/>
  <c r="BD4" i="1"/>
  <c r="BD55" i="1"/>
  <c r="BE7" i="1"/>
  <c r="BE81" i="1"/>
  <c r="BC34" i="1"/>
  <c r="BE60" i="1"/>
  <c r="BL33" i="1"/>
  <c r="BD3" i="1"/>
  <c r="BD59" i="1"/>
  <c r="BC82" i="1"/>
  <c r="BC3" i="1"/>
  <c r="BL37" i="1"/>
  <c r="BK90" i="1"/>
  <c r="BD68" i="1"/>
  <c r="BJ7" i="1"/>
  <c r="BC29" i="1"/>
  <c r="BE87" i="1"/>
  <c r="BD63" i="1"/>
  <c r="BC59" i="1"/>
  <c r="BD15" i="1"/>
  <c r="BJ80" i="1"/>
  <c r="BL76" i="1"/>
  <c r="BC35" i="1"/>
  <c r="BJ59" i="1"/>
  <c r="BL24" i="1"/>
  <c r="BK61" i="1"/>
  <c r="BK35" i="1"/>
  <c r="BC7" i="1"/>
  <c r="BC31" i="1"/>
  <c r="BJ32" i="1"/>
  <c r="BJ83" i="1"/>
  <c r="BE48" i="1"/>
  <c r="BL75" i="1"/>
  <c r="BJ25" i="1"/>
  <c r="BC21" i="1"/>
  <c r="BL9" i="1"/>
  <c r="BC4" i="1"/>
  <c r="BK15" i="1"/>
  <c r="BE71" i="1"/>
  <c r="BL8" i="1"/>
  <c r="BL43" i="1"/>
  <c r="BK81" i="1"/>
  <c r="BE70" i="1"/>
  <c r="BJ24" i="1"/>
  <c r="BK49" i="1"/>
  <c r="BD34" i="1"/>
  <c r="BL47" i="1"/>
  <c r="BL26" i="1"/>
  <c r="BK40" i="1"/>
  <c r="BD53" i="1"/>
  <c r="BJ89" i="1"/>
  <c r="BD44" i="1"/>
  <c r="BD41" i="1"/>
  <c r="BE15" i="1"/>
  <c r="BD29" i="1"/>
  <c r="BJ11" i="1"/>
  <c r="BE24" i="1"/>
  <c r="BD11" i="1"/>
  <c r="BC22" i="1"/>
  <c r="BE73" i="1"/>
  <c r="BE82" i="1"/>
  <c r="BD8" i="1"/>
  <c r="BJ27" i="1"/>
  <c r="BK83" i="1"/>
  <c r="BE41" i="1"/>
  <c r="BL77" i="1"/>
  <c r="BE51" i="1"/>
  <c r="BE43" i="1"/>
  <c r="BK71" i="1"/>
  <c r="BE52" i="1"/>
  <c r="BD25" i="1"/>
  <c r="BL15" i="1"/>
  <c r="BD79" i="1"/>
  <c r="BK8" i="1"/>
  <c r="BC75" i="1"/>
  <c r="BD43" i="1"/>
  <c r="BE54" i="1"/>
  <c r="BL13" i="1"/>
  <c r="BE18" i="1"/>
  <c r="BC38" i="1"/>
  <c r="BJ70" i="1"/>
  <c r="BK26" i="1"/>
  <c r="BL38" i="1"/>
  <c r="BL41" i="1"/>
  <c r="BC5" i="1"/>
  <c r="BJ14" i="1"/>
  <c r="BC16" i="1"/>
  <c r="BJ74" i="1"/>
  <c r="BE63" i="1"/>
  <c r="BC81" i="1"/>
  <c r="BC79" i="1"/>
  <c r="BE4" i="1"/>
  <c r="BC90" i="1"/>
  <c r="BD17" i="1"/>
  <c r="BD58" i="1"/>
  <c r="BD21" i="1"/>
  <c r="BL86" i="1"/>
  <c r="BK39" i="1"/>
  <c r="BL23" i="1"/>
  <c r="BK27" i="1"/>
  <c r="BD31" i="1"/>
  <c r="BC46" i="1"/>
  <c r="BK51" i="1"/>
  <c r="BC78" i="1"/>
  <c r="BD70" i="1"/>
  <c r="BL90" i="1"/>
  <c r="BK45" i="1"/>
  <c r="BC87" i="1"/>
  <c r="BL25" i="1"/>
  <c r="BD23" i="1"/>
  <c r="BK37" i="1"/>
  <c r="BK84" i="1"/>
  <c r="BE77" i="1"/>
  <c r="BE85" i="1"/>
  <c r="BL81" i="1"/>
  <c r="BC70" i="1"/>
  <c r="BE46" i="1"/>
  <c r="BC8" i="1"/>
  <c r="BJ26" i="1"/>
  <c r="BD60" i="1"/>
  <c r="BD76" i="1"/>
  <c r="BC88" i="1"/>
  <c r="BK6" i="1"/>
  <c r="BE55" i="1"/>
  <c r="BL68" i="1"/>
  <c r="BC67" i="1"/>
  <c r="BK25" i="1"/>
  <c r="BC15" i="1"/>
  <c r="BK79" i="1"/>
  <c r="BK86" i="1"/>
  <c r="BJ67" i="1"/>
  <c r="BK68" i="1"/>
  <c r="BE39" i="1"/>
  <c r="BE65" i="1"/>
  <c r="BL34" i="1"/>
  <c r="BK33" i="1"/>
  <c r="BL28" i="1"/>
  <c r="BJ49" i="1"/>
  <c r="BD19" i="1"/>
  <c r="BE49" i="1"/>
  <c r="BL70" i="1"/>
  <c r="BE31" i="1"/>
  <c r="BL21" i="1"/>
  <c r="BL54" i="1"/>
  <c r="BC36" i="1"/>
  <c r="BL57" i="1"/>
  <c r="BK64" i="1"/>
  <c r="BD83" i="1"/>
  <c r="BC77" i="1"/>
  <c r="BJ63" i="1"/>
  <c r="BE75" i="1"/>
  <c r="BC26" i="1"/>
  <c r="BJ20" i="1"/>
  <c r="BJ28" i="1"/>
  <c r="BK21" i="1"/>
  <c r="BK85" i="1"/>
  <c r="BE74" i="1"/>
  <c r="BD10" i="1"/>
  <c r="BK29" i="1"/>
  <c r="BK80" i="1"/>
  <c r="BE36" i="1"/>
  <c r="BE14" i="1"/>
  <c r="BC54" i="1"/>
  <c r="BD71" i="1"/>
  <c r="BE68" i="1"/>
  <c r="BC61" i="1"/>
  <c r="BK13" i="1"/>
  <c r="BK22" i="1"/>
  <c r="BK88" i="1"/>
  <c r="BK62" i="1"/>
  <c r="BJ69" i="1"/>
  <c r="BC10" i="1"/>
  <c r="BK65" i="1"/>
  <c r="BJ75" i="1"/>
  <c r="BC52" i="1"/>
  <c r="BJ15" i="1"/>
  <c r="BJ37" i="1"/>
  <c r="BC85" i="1"/>
  <c r="BK10" i="1"/>
  <c r="BD39" i="1"/>
  <c r="BC65" i="1"/>
  <c r="BC92" i="1"/>
  <c r="BJ35" i="1"/>
  <c r="BJ21" i="1"/>
  <c r="BJ81" i="1"/>
  <c r="BK4" i="1"/>
  <c r="BL91" i="1"/>
  <c r="BL39" i="1"/>
  <c r="BL79" i="1"/>
  <c r="BD42" i="1"/>
  <c r="BD36" i="1"/>
  <c r="BL46" i="1"/>
  <c r="BD74" i="1"/>
  <c r="BE47" i="1"/>
  <c r="BK48" i="1"/>
  <c r="BJ6" i="1"/>
  <c r="BD46" i="1"/>
  <c r="BL20" i="1"/>
  <c r="BJ40" i="1"/>
  <c r="BC41" i="1"/>
  <c r="BD32" i="1"/>
  <c r="BK50" i="1"/>
  <c r="BJ51" i="1"/>
  <c r="BL50" i="1"/>
  <c r="BD91" i="1"/>
  <c r="BL6" i="1"/>
  <c r="BJ42" i="1"/>
  <c r="BE40" i="1"/>
  <c r="BJ56" i="1"/>
  <c r="BE78" i="1"/>
  <c r="BC56" i="1"/>
  <c r="BE59" i="1"/>
  <c r="BE37" i="1"/>
  <c r="BJ29" i="1"/>
  <c r="BC86" i="1"/>
  <c r="BD47" i="1"/>
  <c r="BK75" i="1"/>
  <c r="BD52" i="1"/>
  <c r="BL58" i="1"/>
  <c r="BJ57" i="1"/>
  <c r="BL74" i="1"/>
  <c r="BE69" i="1"/>
  <c r="BE35" i="1"/>
  <c r="BE5" i="1"/>
  <c r="BL49" i="1"/>
  <c r="BE64" i="1"/>
  <c r="BD80" i="1"/>
  <c r="BD5" i="1"/>
  <c r="BC60" i="1"/>
  <c r="BD67" i="1"/>
  <c r="BK7" i="1"/>
  <c r="BC57" i="1"/>
  <c r="BE30" i="1"/>
  <c r="BC25" i="1"/>
  <c r="BC64" i="1"/>
  <c r="BK30" i="1"/>
  <c r="BK76" i="1"/>
  <c r="BD82" i="1"/>
  <c r="BL63" i="1"/>
  <c r="BC27" i="1"/>
  <c r="BJ92" i="1"/>
  <c r="BJ4" i="1"/>
  <c r="BK9" i="1"/>
  <c r="BJ19" i="1"/>
  <c r="BC33" i="1"/>
  <c r="BL71" i="1"/>
  <c r="BD12" i="1"/>
  <c r="BE8" i="1"/>
  <c r="BD90" i="1"/>
  <c r="BC19" i="1"/>
  <c r="BE72" i="1"/>
  <c r="BD66" i="1"/>
  <c r="BL48" i="1"/>
  <c r="BE66" i="1"/>
  <c r="BE28" i="1"/>
  <c r="BJ86" i="1"/>
  <c r="BK59" i="1"/>
  <c r="BC40" i="1"/>
  <c r="BD38" i="1"/>
  <c r="BC11" i="1"/>
  <c r="BD24" i="1"/>
  <c r="BK11" i="1"/>
  <c r="BJ31" i="1"/>
  <c r="BL92" i="1"/>
  <c r="BC74" i="1"/>
  <c r="BC69" i="1"/>
  <c r="BL64" i="1"/>
  <c r="BL5" i="1"/>
  <c r="BJ34" i="1"/>
  <c r="BK60" i="1"/>
  <c r="BC51" i="1"/>
  <c r="BD61" i="1"/>
  <c r="BJ13" i="1"/>
  <c r="BK46" i="1"/>
  <c r="BD14" i="1"/>
  <c r="BC18" i="1"/>
  <c r="BL30" i="1"/>
  <c r="BJ10" i="1"/>
  <c r="BJ64" i="1"/>
  <c r="BK3" i="1"/>
  <c r="BE16" i="1"/>
  <c r="BE13" i="1"/>
  <c r="BE20" i="1"/>
  <c r="BE29" i="1"/>
  <c r="BE3" i="1"/>
  <c r="BK78" i="1"/>
  <c r="BK91" i="1"/>
  <c r="BE90" i="1"/>
  <c r="BC62" i="1"/>
  <c r="BL73" i="1"/>
  <c r="BK16" i="1"/>
  <c r="BE83" i="1"/>
  <c r="BK67" i="1"/>
  <c r="BM62" i="1" l="1"/>
  <c r="BF90" i="1"/>
  <c r="BF7" i="1"/>
  <c r="BM30" i="1"/>
  <c r="BM51" i="1"/>
  <c r="BM17" i="1"/>
  <c r="BF32" i="1"/>
  <c r="BM82" i="1"/>
  <c r="BF14" i="1"/>
  <c r="BM83" i="1"/>
  <c r="BF79" i="1"/>
  <c r="BM5" i="1"/>
  <c r="BF40" i="1"/>
  <c r="BM46" i="1"/>
  <c r="BF36" i="1"/>
  <c r="BF81" i="1"/>
  <c r="BM66" i="1"/>
  <c r="BM25" i="1"/>
  <c r="BM78" i="1"/>
  <c r="BM59" i="1"/>
  <c r="BF55" i="1"/>
  <c r="BM56" i="1"/>
  <c r="BM32" i="1"/>
  <c r="BM74" i="1"/>
  <c r="BF35" i="1"/>
  <c r="BF24" i="1"/>
  <c r="BF89" i="1"/>
  <c r="BF68" i="1"/>
  <c r="BM6" i="1"/>
  <c r="BF16" i="1"/>
  <c r="BM39" i="1"/>
  <c r="BF49" i="1"/>
  <c r="BF47" i="1"/>
  <c r="BM14" i="1"/>
  <c r="BM80" i="1"/>
  <c r="BM90" i="1"/>
  <c r="BM3" i="1"/>
  <c r="BF5" i="1"/>
  <c r="BF28" i="1"/>
  <c r="BM63" i="1"/>
  <c r="BF33" i="1"/>
  <c r="BF31" i="1"/>
  <c r="BF59" i="1"/>
  <c r="BF17" i="1"/>
  <c r="BM16" i="1"/>
  <c r="BF50" i="1"/>
  <c r="BM40" i="1"/>
  <c r="BM19" i="1"/>
  <c r="BM18" i="1"/>
  <c r="BM54" i="1"/>
  <c r="BF77" i="1"/>
  <c r="BM4" i="1"/>
  <c r="BM70" i="1"/>
  <c r="BF29" i="1"/>
  <c r="BM92" i="1"/>
  <c r="BF38" i="1"/>
  <c r="BM7" i="1"/>
  <c r="BM36" i="1"/>
  <c r="BF84" i="1"/>
  <c r="BM45" i="1"/>
  <c r="BF9" i="1"/>
  <c r="BF27" i="1"/>
  <c r="BM77" i="1"/>
  <c r="BM76" i="1"/>
  <c r="BF39" i="1"/>
  <c r="BM72" i="1"/>
  <c r="BM33" i="1"/>
  <c r="BM48" i="1"/>
  <c r="BM49" i="1"/>
  <c r="BM53" i="1"/>
  <c r="BM68" i="1"/>
  <c r="BM50" i="1"/>
  <c r="BF3" i="1"/>
  <c r="BM52" i="1"/>
  <c r="BF75" i="1"/>
  <c r="BF82" i="1"/>
  <c r="BM47" i="1"/>
  <c r="BM43" i="1"/>
  <c r="BF64" i="1"/>
  <c r="BF30" i="1"/>
  <c r="BM9" i="1"/>
  <c r="BF87" i="1"/>
  <c r="BF21" i="1"/>
  <c r="BF25" i="1"/>
  <c r="BM23" i="1"/>
  <c r="BM91" i="1"/>
  <c r="BM86" i="1"/>
  <c r="BF19" i="1"/>
  <c r="BM81" i="1"/>
  <c r="BF48" i="1"/>
  <c r="BM42" i="1"/>
  <c r="BF57" i="1"/>
  <c r="BM21" i="1"/>
  <c r="BM79" i="1"/>
  <c r="BF43" i="1"/>
  <c r="BM35" i="1"/>
  <c r="BM67" i="1"/>
  <c r="BF34" i="1"/>
  <c r="BM65" i="1"/>
  <c r="BM64" i="1"/>
  <c r="BF92" i="1"/>
  <c r="BF72" i="1"/>
  <c r="BM88" i="1"/>
  <c r="BM10" i="1"/>
  <c r="BF60" i="1"/>
  <c r="BF65" i="1"/>
  <c r="BF6" i="1"/>
  <c r="BF63" i="1"/>
  <c r="BF12" i="1"/>
  <c r="BF15" i="1"/>
  <c r="BF18" i="1"/>
  <c r="BF44" i="1"/>
  <c r="BF73" i="1"/>
  <c r="BF78" i="1"/>
  <c r="BF85" i="1"/>
  <c r="BF67" i="1"/>
  <c r="BM84" i="1"/>
  <c r="BM37" i="1"/>
  <c r="BM22" i="1"/>
  <c r="BM13" i="1"/>
  <c r="BM15" i="1"/>
  <c r="BM27" i="1"/>
  <c r="BF42" i="1"/>
  <c r="BF80" i="1"/>
  <c r="BM28" i="1"/>
  <c r="BF52" i="1"/>
  <c r="BM12" i="1"/>
  <c r="BF13" i="1"/>
  <c r="BF51" i="1"/>
  <c r="BM75" i="1"/>
  <c r="BF88" i="1"/>
  <c r="BF37" i="1"/>
  <c r="BF53" i="1"/>
  <c r="BF41" i="1"/>
  <c r="BM34" i="1"/>
  <c r="BM57" i="1"/>
  <c r="BF10" i="1"/>
  <c r="BF22" i="1"/>
  <c r="BF91" i="1"/>
  <c r="BM24" i="1"/>
  <c r="BM69" i="1"/>
  <c r="BM26" i="1"/>
  <c r="BF8" i="1"/>
  <c r="BF71" i="1"/>
  <c r="BF69" i="1"/>
  <c r="BM11" i="1"/>
  <c r="BM60" i="1"/>
  <c r="BF74" i="1"/>
  <c r="BF70" i="1"/>
  <c r="BM38" i="1"/>
  <c r="BM61" i="1"/>
  <c r="BF23" i="1"/>
  <c r="BM20" i="1"/>
  <c r="BF86" i="1"/>
  <c r="BM55" i="1"/>
  <c r="BM87" i="1"/>
  <c r="BF4" i="1"/>
  <c r="BM31" i="1"/>
  <c r="BM29" i="1"/>
  <c r="BF61" i="1"/>
  <c r="BM71" i="1"/>
  <c r="BM58" i="1"/>
  <c r="BF26" i="1"/>
  <c r="BF76" i="1"/>
  <c r="BM85" i="1"/>
  <c r="BF20" i="1"/>
  <c r="BF62" i="1"/>
  <c r="BM8" i="1"/>
  <c r="BM89" i="1"/>
  <c r="BF45" i="1"/>
  <c r="BF58" i="1"/>
  <c r="BF46" i="1"/>
  <c r="BF11" i="1"/>
  <c r="BF56" i="1"/>
  <c r="BF54" i="1"/>
  <c r="BF66" i="1"/>
  <c r="BF83" i="1"/>
  <c r="BM44" i="1"/>
  <c r="BM73" i="1"/>
  <c r="BM41" i="1"/>
</calcChain>
</file>

<file path=xl/sharedStrings.xml><?xml version="1.0" encoding="utf-8"?>
<sst xmlns="http://schemas.openxmlformats.org/spreadsheetml/2006/main" count="4369" uniqueCount="192">
  <si>
    <t>Date</t>
  </si>
  <si>
    <t xml:space="preserve"> Time</t>
  </si>
  <si>
    <t xml:space="preserve"> XL-time</t>
  </si>
  <si>
    <t xml:space="preserve"> avg_Hr</t>
  </si>
  <si>
    <t xml:space="preserve">  max_Hr</t>
  </si>
  <si>
    <t xml:space="preserve"> min_Hr</t>
  </si>
  <si>
    <t xml:space="preserve"> </t>
  </si>
  <si>
    <t>avg_Rr</t>
  </si>
  <si>
    <t xml:space="preserve"> max_Rr</t>
  </si>
  <si>
    <t xml:space="preserve"> min_Rr</t>
  </si>
  <si>
    <t>high</t>
  </si>
  <si>
    <t>low</t>
  </si>
  <si>
    <t>avg</t>
  </si>
  <si>
    <t>avg+</t>
  </si>
  <si>
    <t>hi</t>
  </si>
  <si>
    <t>lo</t>
  </si>
  <si>
    <t>hr</t>
  </si>
  <si>
    <t>cnt</t>
  </si>
  <si>
    <t>D3:D17</t>
  </si>
  <si>
    <t>D18:D36</t>
  </si>
  <si>
    <t>D37:D60</t>
  </si>
  <si>
    <t>D61:D80</t>
  </si>
  <si>
    <t>D81:D101</t>
  </si>
  <si>
    <t>D102:D122</t>
  </si>
  <si>
    <t>D123:D146</t>
  </si>
  <si>
    <t>D147:D165</t>
  </si>
  <si>
    <t>D166:D187</t>
  </si>
  <si>
    <t>D188:D208</t>
  </si>
  <si>
    <t>D209:D228</t>
  </si>
  <si>
    <t>D229:D250</t>
  </si>
  <si>
    <t>D251:D270</t>
  </si>
  <si>
    <t>D271:D293</t>
  </si>
  <si>
    <t>D294:D311</t>
  </si>
  <si>
    <t>D312:D332</t>
  </si>
  <si>
    <t>D333:D351</t>
  </si>
  <si>
    <t>D352:D371</t>
  </si>
  <si>
    <t>D372:D391</t>
  </si>
  <si>
    <t>D392:D410</t>
  </si>
  <si>
    <t>D411:D429</t>
  </si>
  <si>
    <t>D430:D447</t>
  </si>
  <si>
    <t>D448:D469</t>
  </si>
  <si>
    <t>D470:D486</t>
  </si>
  <si>
    <t>D487:D507</t>
  </si>
  <si>
    <t>D508:D525</t>
  </si>
  <si>
    <t>D526:D543</t>
  </si>
  <si>
    <t>D544:D564</t>
  </si>
  <si>
    <t>D565:D585</t>
  </si>
  <si>
    <t>D586:D606</t>
  </si>
  <si>
    <t>D607:D626</t>
  </si>
  <si>
    <t>D627:D649</t>
  </si>
  <si>
    <t>D650:D671</t>
  </si>
  <si>
    <t>D672:D691</t>
  </si>
  <si>
    <t>D692:D714</t>
  </si>
  <si>
    <t>D715:D733</t>
  </si>
  <si>
    <t>D734:D752</t>
  </si>
  <si>
    <t>D753:D767</t>
  </si>
  <si>
    <t>D768:D787</t>
  </si>
  <si>
    <t>D788:D811</t>
  </si>
  <si>
    <t>D812:D831</t>
  </si>
  <si>
    <t>D832:D849</t>
  </si>
  <si>
    <t>D850:D873</t>
  </si>
  <si>
    <t>D874:D891</t>
  </si>
  <si>
    <t>D892:D914</t>
  </si>
  <si>
    <t>D915:D931</t>
  </si>
  <si>
    <t>D932:D953</t>
  </si>
  <si>
    <t>D954:D976</t>
  </si>
  <si>
    <t>D977:D996</t>
  </si>
  <si>
    <t>D997:D1018</t>
  </si>
  <si>
    <t>D1019:D1040</t>
  </si>
  <si>
    <t>D1041:D1056</t>
  </si>
  <si>
    <t>D1057:D1077</t>
  </si>
  <si>
    <t>D1078:D1100</t>
  </si>
  <si>
    <t>D1101:D1123</t>
  </si>
  <si>
    <t>D1124:D1146</t>
  </si>
  <si>
    <t>D1147:D1168</t>
  </si>
  <si>
    <t>D1169:D1192</t>
  </si>
  <si>
    <t>D1193:D1212</t>
  </si>
  <si>
    <t>D1213:D1236</t>
  </si>
  <si>
    <t>D1237:D1260</t>
  </si>
  <si>
    <t>D1261:D1280</t>
  </si>
  <si>
    <t>D1281:D1304</t>
  </si>
  <si>
    <t>D1305:D1326</t>
  </si>
  <si>
    <t>D1327:D1350</t>
  </si>
  <si>
    <t>D1351:D1374</t>
  </si>
  <si>
    <t>D1375:D1393</t>
  </si>
  <si>
    <t>D1394:D1417</t>
  </si>
  <si>
    <t>D1418:D1438</t>
  </si>
  <si>
    <t>D1439:D1462</t>
  </si>
  <si>
    <t>D1463:D1483</t>
  </si>
  <si>
    <t>D1484:D1503</t>
  </si>
  <si>
    <t>D1504:D1526</t>
  </si>
  <si>
    <t>D1527:D1550</t>
  </si>
  <si>
    <t>D1551:D1573</t>
  </si>
  <si>
    <t>D1574:D1597</t>
  </si>
  <si>
    <t>D1598:D1621</t>
  </si>
  <si>
    <t>D1622:D1638</t>
  </si>
  <si>
    <t>D1639:D1662</t>
  </si>
  <si>
    <t>D1663:D1685</t>
  </si>
  <si>
    <t>D1686:D1708</t>
  </si>
  <si>
    <t>D1709:D1732</t>
  </si>
  <si>
    <t>D1733:D1749</t>
  </si>
  <si>
    <t>D1750:D1768</t>
  </si>
  <si>
    <t>D1769:D1789</t>
  </si>
  <si>
    <t>D1790:D1810</t>
  </si>
  <si>
    <t>D1811:D1834</t>
  </si>
  <si>
    <t>D1835:D1858</t>
  </si>
  <si>
    <t>D1859:D1882</t>
  </si>
  <si>
    <t>D1883:D1905</t>
  </si>
  <si>
    <t>D1906:D1926</t>
  </si>
  <si>
    <t>D1927:D1950</t>
  </si>
  <si>
    <t>D1951:D1959</t>
  </si>
  <si>
    <t>D1960:D1977</t>
  </si>
  <si>
    <t>D1978:D1992</t>
  </si>
  <si>
    <t>D1993:D2009</t>
  </si>
  <si>
    <t>D2010:D2023</t>
  </si>
  <si>
    <t>D2024:D2038</t>
  </si>
  <si>
    <t>D2039:D2054</t>
  </si>
  <si>
    <t>D2055:D2071</t>
  </si>
  <si>
    <t>D2072:D2089</t>
  </si>
  <si>
    <t>D2090:D2111</t>
  </si>
  <si>
    <t>D2112:D2133</t>
  </si>
  <si>
    <t>D2134:D2157</t>
  </si>
  <si>
    <t>D2158:D2175</t>
  </si>
  <si>
    <t>D2176:D2199</t>
  </si>
  <si>
    <t>E2200:E2223</t>
  </si>
  <si>
    <t>D2224:D2247</t>
  </si>
  <si>
    <t>D2248:D2271</t>
  </si>
  <si>
    <t>D2272:D2295</t>
  </si>
  <si>
    <t>D2296:D2319</t>
  </si>
  <si>
    <t>D2320:D2343</t>
  </si>
  <si>
    <t>D2344:D2367</t>
  </si>
  <si>
    <t>D2368:D2391</t>
  </si>
  <si>
    <t>D2392:D2410</t>
  </si>
  <si>
    <t>D2411:D2434</t>
  </si>
  <si>
    <t>D2435:D2458</t>
  </si>
  <si>
    <t>D2459:D2482</t>
  </si>
  <si>
    <t>D2483:D2506</t>
  </si>
  <si>
    <t>D2507:D2530</t>
  </si>
  <si>
    <t>D2531:D2554</t>
  </si>
  <si>
    <t>D2555:D2578</t>
  </si>
  <si>
    <t>D2579:D2602</t>
  </si>
  <si>
    <t>D2603:D2626</t>
  </si>
  <si>
    <t>D2627:D2647</t>
  </si>
  <si>
    <t>D2648:D2671</t>
  </si>
  <si>
    <t>D2672:D2695</t>
  </si>
  <si>
    <t>D2696:D2719</t>
  </si>
  <si>
    <t>D2720:D2743</t>
  </si>
  <si>
    <t>D2744:D2767</t>
  </si>
  <si>
    <t>D2768:D2791</t>
  </si>
  <si>
    <t>D2792:D2815</t>
  </si>
  <si>
    <t>D2816:D2830</t>
  </si>
  <si>
    <t>D2831:D2843</t>
  </si>
  <si>
    <t>D2844:D2865</t>
  </si>
  <si>
    <t>D2866:D2880</t>
  </si>
  <si>
    <t>D2881:D2894</t>
  </si>
  <si>
    <t>D2895:D2911</t>
  </si>
  <si>
    <t>D2912:D2927</t>
  </si>
  <si>
    <t>D2928:D2946</t>
  </si>
  <si>
    <t>D2947:D2963</t>
  </si>
  <si>
    <t>D2964:D2978</t>
  </si>
  <si>
    <t>D2979:D2993</t>
  </si>
  <si>
    <t>D2994:D3014</t>
  </si>
  <si>
    <t>D3015:D3029</t>
  </si>
  <si>
    <t>D3030:D3044</t>
  </si>
  <si>
    <t>D3045:D3060</t>
  </si>
  <si>
    <t>D3061:D3077</t>
  </si>
  <si>
    <t>D3078:D3095</t>
  </si>
  <si>
    <t>D3096:D3118</t>
  </si>
  <si>
    <t>D3119:D3138</t>
  </si>
  <si>
    <t>D3139:D3154</t>
  </si>
  <si>
    <t>D3155:D3171</t>
  </si>
  <si>
    <t>D3172:D3188</t>
  </si>
  <si>
    <t>D3189:D3205</t>
  </si>
  <si>
    <t>D3206:D3223</t>
  </si>
  <si>
    <t>D3224:D3242</t>
  </si>
  <si>
    <t>D3243:D3264</t>
  </si>
  <si>
    <t>D3265:D3288</t>
  </si>
  <si>
    <t>D3289:D3307</t>
  </si>
  <si>
    <t>D3308:D3327</t>
  </si>
  <si>
    <t>D3328:D3351</t>
  </si>
  <si>
    <t>D3352:D3366</t>
  </si>
  <si>
    <t>D3367:D3390</t>
  </si>
  <si>
    <t>D3391:D3414</t>
  </si>
  <si>
    <t>D3415:D3425</t>
  </si>
  <si>
    <t>D3426:D3449</t>
  </si>
  <si>
    <t>D3450:D3471</t>
  </si>
  <si>
    <t>D3472:D3495</t>
  </si>
  <si>
    <t>D3496:D3519</t>
  </si>
  <si>
    <t>D3520:D3524</t>
  </si>
  <si>
    <t>D3525:D3527</t>
  </si>
  <si>
    <t>HR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</si>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</sst>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FF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21" fontId="0" fillId="0" borderId="0" xfId="0" applyNumberFormat="1"/>
    <xf numFmtId="21" fontId="0" fillId="0" borderId="10" xfId="0" applyNumberFormat="1" applyBorder="1"/>
    <xf numFmtId="22" fontId="0" fillId="0" borderId="10" xfId="0" applyNumberFormat="1" applyBorder="1"/>
    <xf numFmtId="0" fontId="0" fillId="0" borderId="10" xfId="0" applyBorder="1"/>
    <xf numFmtId="22" fontId="0" fillId="0" borderId="0" xfId="0" applyNumberFormat="1"/>
    <xf numFmtId="21" fontId="0" fillId="0" borderId="11" xfId="0" applyNumberFormat="1" applyBorder="1"/>
    <xf numFmtId="22" fontId="0" fillId="0" borderId="11" xfId="0" applyNumberFormat="1" applyBorder="1"/>
    <xf numFmtId="0" fontId="0" fillId="0" borderId="11" xfId="0" applyBorder="1"/>
    <xf numFmtId="164" fontId="0" fillId="0" borderId="0" xfId="0" applyNumberFormat="1"/>
    <xf numFmtId="165" fontId="0" fillId="0" borderId="0" xfId="0" applyNumberFormat="1"/>
    <xf numFmtId="0" fontId="18" fillId="0" borderId="0" xfId="0" applyFont="1"/>
    <xf numFmtId="14" fontId="0" fillId="0" borderId="10" xfId="0" applyNumberFormat="1" applyBorder="1"/>
    <xf numFmtId="14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 Heart Rate-Sprecker.chair </a:t>
            </a:r>
          </a:p>
        </c:rich>
      </c:tx>
      <c:overlay val="1"/>
    </c:title>
    <c:autoTitleDeleted val="0"/>
    <c:plotArea>
      <c:layout/>
      <c:stockChart>
        <c:ser>
          <c:idx val="0"/>
          <c:order val="0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J.LivRm_PVitalsag_2'!$BB$98:$BB$175</c:f>
              <c:numCache>
                <c:formatCode>m/d/yy;@</c:formatCode>
                <c:ptCount val="78"/>
                <c:pt idx="0">
                  <c:v>45397</c:v>
                </c:pt>
                <c:pt idx="1">
                  <c:v>45398</c:v>
                </c:pt>
                <c:pt idx="2">
                  <c:v>45399</c:v>
                </c:pt>
                <c:pt idx="3">
                  <c:v>45400</c:v>
                </c:pt>
                <c:pt idx="4">
                  <c:v>45401</c:v>
                </c:pt>
                <c:pt idx="5">
                  <c:v>45402</c:v>
                </c:pt>
                <c:pt idx="6">
                  <c:v>45403</c:v>
                </c:pt>
                <c:pt idx="7">
                  <c:v>45404</c:v>
                </c:pt>
                <c:pt idx="8">
                  <c:v>45405</c:v>
                </c:pt>
                <c:pt idx="9">
                  <c:v>45406</c:v>
                </c:pt>
                <c:pt idx="10">
                  <c:v>45407</c:v>
                </c:pt>
                <c:pt idx="11">
                  <c:v>45408</c:v>
                </c:pt>
                <c:pt idx="12">
                  <c:v>45409</c:v>
                </c:pt>
                <c:pt idx="13">
                  <c:v>45410</c:v>
                </c:pt>
                <c:pt idx="14">
                  <c:v>45411</c:v>
                </c:pt>
                <c:pt idx="15">
                  <c:v>45412</c:v>
                </c:pt>
                <c:pt idx="16">
                  <c:v>45413</c:v>
                </c:pt>
                <c:pt idx="17">
                  <c:v>45414</c:v>
                </c:pt>
                <c:pt idx="18">
                  <c:v>45415</c:v>
                </c:pt>
                <c:pt idx="19">
                  <c:v>45416</c:v>
                </c:pt>
                <c:pt idx="20">
                  <c:v>45417</c:v>
                </c:pt>
                <c:pt idx="21">
                  <c:v>45418</c:v>
                </c:pt>
                <c:pt idx="22">
                  <c:v>45419</c:v>
                </c:pt>
                <c:pt idx="23">
                  <c:v>45420</c:v>
                </c:pt>
                <c:pt idx="24">
                  <c:v>45421</c:v>
                </c:pt>
                <c:pt idx="25">
                  <c:v>45422</c:v>
                </c:pt>
                <c:pt idx="26">
                  <c:v>45423</c:v>
                </c:pt>
                <c:pt idx="27">
                  <c:v>45424</c:v>
                </c:pt>
                <c:pt idx="28">
                  <c:v>45425</c:v>
                </c:pt>
                <c:pt idx="29">
                  <c:v>45426</c:v>
                </c:pt>
                <c:pt idx="30">
                  <c:v>45427</c:v>
                </c:pt>
                <c:pt idx="31">
                  <c:v>45428</c:v>
                </c:pt>
                <c:pt idx="32">
                  <c:v>45429</c:v>
                </c:pt>
                <c:pt idx="33">
                  <c:v>45430</c:v>
                </c:pt>
                <c:pt idx="34">
                  <c:v>45431</c:v>
                </c:pt>
                <c:pt idx="35">
                  <c:v>45432</c:v>
                </c:pt>
                <c:pt idx="36">
                  <c:v>45433</c:v>
                </c:pt>
                <c:pt idx="37">
                  <c:v>45434</c:v>
                </c:pt>
                <c:pt idx="38">
                  <c:v>45435</c:v>
                </c:pt>
                <c:pt idx="39">
                  <c:v>45436</c:v>
                </c:pt>
                <c:pt idx="40">
                  <c:v>45437</c:v>
                </c:pt>
                <c:pt idx="41">
                  <c:v>45438</c:v>
                </c:pt>
                <c:pt idx="42">
                  <c:v>45439</c:v>
                </c:pt>
                <c:pt idx="43">
                  <c:v>45440</c:v>
                </c:pt>
                <c:pt idx="44">
                  <c:v>45441</c:v>
                </c:pt>
                <c:pt idx="45">
                  <c:v>45442</c:v>
                </c:pt>
                <c:pt idx="46">
                  <c:v>45443</c:v>
                </c:pt>
                <c:pt idx="47">
                  <c:v>45444</c:v>
                </c:pt>
                <c:pt idx="48">
                  <c:v>45445</c:v>
                </c:pt>
                <c:pt idx="49">
                  <c:v>45446</c:v>
                </c:pt>
                <c:pt idx="50">
                  <c:v>45447</c:v>
                </c:pt>
                <c:pt idx="51">
                  <c:v>45448</c:v>
                </c:pt>
                <c:pt idx="52">
                  <c:v>45449</c:v>
                </c:pt>
                <c:pt idx="53">
                  <c:v>45450</c:v>
                </c:pt>
                <c:pt idx="54">
                  <c:v>45451</c:v>
                </c:pt>
                <c:pt idx="55">
                  <c:v>45452</c:v>
                </c:pt>
                <c:pt idx="56">
                  <c:v>45453</c:v>
                </c:pt>
                <c:pt idx="57">
                  <c:v>45454</c:v>
                </c:pt>
                <c:pt idx="58">
                  <c:v>45455</c:v>
                </c:pt>
                <c:pt idx="59">
                  <c:v>45456</c:v>
                </c:pt>
                <c:pt idx="60">
                  <c:v>45457</c:v>
                </c:pt>
                <c:pt idx="61">
                  <c:v>45458</c:v>
                </c:pt>
                <c:pt idx="62">
                  <c:v>45459</c:v>
                </c:pt>
                <c:pt idx="63">
                  <c:v>45460</c:v>
                </c:pt>
                <c:pt idx="64">
                  <c:v>45461</c:v>
                </c:pt>
                <c:pt idx="65">
                  <c:v>45462</c:v>
                </c:pt>
                <c:pt idx="66">
                  <c:v>45463</c:v>
                </c:pt>
                <c:pt idx="67">
                  <c:v>45464</c:v>
                </c:pt>
                <c:pt idx="68">
                  <c:v>45465</c:v>
                </c:pt>
                <c:pt idx="69">
                  <c:v>45466</c:v>
                </c:pt>
                <c:pt idx="70">
                  <c:v>45467</c:v>
                </c:pt>
                <c:pt idx="71">
                  <c:v>45468</c:v>
                </c:pt>
                <c:pt idx="72">
                  <c:v>45469</c:v>
                </c:pt>
                <c:pt idx="73">
                  <c:v>45470</c:v>
                </c:pt>
                <c:pt idx="74">
                  <c:v>45471</c:v>
                </c:pt>
                <c:pt idx="75">
                  <c:v>45472</c:v>
                </c:pt>
                <c:pt idx="76">
                  <c:v>45473</c:v>
                </c:pt>
                <c:pt idx="77">
                  <c:v>45474</c:v>
                </c:pt>
              </c:numCache>
            </c:numRef>
          </c:cat>
          <c:val>
            <c:numRef>
              <c:f>'934297-0122 J.LivRm_PVitalsag_2'!$BC$98:$BC$175</c:f>
              <c:numCache>
                <c:formatCode>0.0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E1-AB49-A5A7-C1454D2B049E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J.LivRm_PVitalsag_2'!$BB$98:$BB$175</c:f>
              <c:numCache>
                <c:formatCode>m/d/yy;@</c:formatCode>
                <c:ptCount val="78"/>
                <c:pt idx="0">
                  <c:v>45397</c:v>
                </c:pt>
                <c:pt idx="1">
                  <c:v>45398</c:v>
                </c:pt>
                <c:pt idx="2">
                  <c:v>45399</c:v>
                </c:pt>
                <c:pt idx="3">
                  <c:v>45400</c:v>
                </c:pt>
                <c:pt idx="4">
                  <c:v>45401</c:v>
                </c:pt>
                <c:pt idx="5">
                  <c:v>45402</c:v>
                </c:pt>
                <c:pt idx="6">
                  <c:v>45403</c:v>
                </c:pt>
                <c:pt idx="7">
                  <c:v>45404</c:v>
                </c:pt>
                <c:pt idx="8">
                  <c:v>45405</c:v>
                </c:pt>
                <c:pt idx="9">
                  <c:v>45406</c:v>
                </c:pt>
                <c:pt idx="10">
                  <c:v>45407</c:v>
                </c:pt>
                <c:pt idx="11">
                  <c:v>45408</c:v>
                </c:pt>
                <c:pt idx="12">
                  <c:v>45409</c:v>
                </c:pt>
                <c:pt idx="13">
                  <c:v>45410</c:v>
                </c:pt>
                <c:pt idx="14">
                  <c:v>45411</c:v>
                </c:pt>
                <c:pt idx="15">
                  <c:v>45412</c:v>
                </c:pt>
                <c:pt idx="16">
                  <c:v>45413</c:v>
                </c:pt>
                <c:pt idx="17">
                  <c:v>45414</c:v>
                </c:pt>
                <c:pt idx="18">
                  <c:v>45415</c:v>
                </c:pt>
                <c:pt idx="19">
                  <c:v>45416</c:v>
                </c:pt>
                <c:pt idx="20">
                  <c:v>45417</c:v>
                </c:pt>
                <c:pt idx="21">
                  <c:v>45418</c:v>
                </c:pt>
                <c:pt idx="22">
                  <c:v>45419</c:v>
                </c:pt>
                <c:pt idx="23">
                  <c:v>45420</c:v>
                </c:pt>
                <c:pt idx="24">
                  <c:v>45421</c:v>
                </c:pt>
                <c:pt idx="25">
                  <c:v>45422</c:v>
                </c:pt>
                <c:pt idx="26">
                  <c:v>45423</c:v>
                </c:pt>
                <c:pt idx="27">
                  <c:v>45424</c:v>
                </c:pt>
                <c:pt idx="28">
                  <c:v>45425</c:v>
                </c:pt>
                <c:pt idx="29">
                  <c:v>45426</c:v>
                </c:pt>
                <c:pt idx="30">
                  <c:v>45427</c:v>
                </c:pt>
                <c:pt idx="31">
                  <c:v>45428</c:v>
                </c:pt>
                <c:pt idx="32">
                  <c:v>45429</c:v>
                </c:pt>
                <c:pt idx="33">
                  <c:v>45430</c:v>
                </c:pt>
                <c:pt idx="34">
                  <c:v>45431</c:v>
                </c:pt>
                <c:pt idx="35">
                  <c:v>45432</c:v>
                </c:pt>
                <c:pt idx="36">
                  <c:v>45433</c:v>
                </c:pt>
                <c:pt idx="37">
                  <c:v>45434</c:v>
                </c:pt>
                <c:pt idx="38">
                  <c:v>45435</c:v>
                </c:pt>
                <c:pt idx="39">
                  <c:v>45436</c:v>
                </c:pt>
                <c:pt idx="40">
                  <c:v>45437</c:v>
                </c:pt>
                <c:pt idx="41">
                  <c:v>45438</c:v>
                </c:pt>
                <c:pt idx="42">
                  <c:v>45439</c:v>
                </c:pt>
                <c:pt idx="43">
                  <c:v>45440</c:v>
                </c:pt>
                <c:pt idx="44">
                  <c:v>45441</c:v>
                </c:pt>
                <c:pt idx="45">
                  <c:v>45442</c:v>
                </c:pt>
                <c:pt idx="46">
                  <c:v>45443</c:v>
                </c:pt>
                <c:pt idx="47">
                  <c:v>45444</c:v>
                </c:pt>
                <c:pt idx="48">
                  <c:v>45445</c:v>
                </c:pt>
                <c:pt idx="49">
                  <c:v>45446</c:v>
                </c:pt>
                <c:pt idx="50">
                  <c:v>45447</c:v>
                </c:pt>
                <c:pt idx="51">
                  <c:v>45448</c:v>
                </c:pt>
                <c:pt idx="52">
                  <c:v>45449</c:v>
                </c:pt>
                <c:pt idx="53">
                  <c:v>45450</c:v>
                </c:pt>
                <c:pt idx="54">
                  <c:v>45451</c:v>
                </c:pt>
                <c:pt idx="55">
                  <c:v>45452</c:v>
                </c:pt>
                <c:pt idx="56">
                  <c:v>45453</c:v>
                </c:pt>
                <c:pt idx="57">
                  <c:v>45454</c:v>
                </c:pt>
                <c:pt idx="58">
                  <c:v>45455</c:v>
                </c:pt>
                <c:pt idx="59">
                  <c:v>45456</c:v>
                </c:pt>
                <c:pt idx="60">
                  <c:v>45457</c:v>
                </c:pt>
                <c:pt idx="61">
                  <c:v>45458</c:v>
                </c:pt>
                <c:pt idx="62">
                  <c:v>45459</c:v>
                </c:pt>
                <c:pt idx="63">
                  <c:v>45460</c:v>
                </c:pt>
                <c:pt idx="64">
                  <c:v>45461</c:v>
                </c:pt>
                <c:pt idx="65">
                  <c:v>45462</c:v>
                </c:pt>
                <c:pt idx="66">
                  <c:v>45463</c:v>
                </c:pt>
                <c:pt idx="67">
                  <c:v>45464</c:v>
                </c:pt>
                <c:pt idx="68">
                  <c:v>45465</c:v>
                </c:pt>
                <c:pt idx="69">
                  <c:v>45466</c:v>
                </c:pt>
                <c:pt idx="70">
                  <c:v>45467</c:v>
                </c:pt>
                <c:pt idx="71">
                  <c:v>45468</c:v>
                </c:pt>
                <c:pt idx="72">
                  <c:v>45469</c:v>
                </c:pt>
                <c:pt idx="73">
                  <c:v>45470</c:v>
                </c:pt>
                <c:pt idx="74">
                  <c:v>45471</c:v>
                </c:pt>
                <c:pt idx="75">
                  <c:v>45472</c:v>
                </c:pt>
                <c:pt idx="76">
                  <c:v>45473</c:v>
                </c:pt>
                <c:pt idx="77">
                  <c:v>45474</c:v>
                </c:pt>
              </c:numCache>
            </c:numRef>
          </c:cat>
          <c:val>
            <c:numRef>
              <c:f>'934297-0122 J.LivRm_PVitalsag_2'!$BD$98:$BD$175</c:f>
              <c:numCache>
                <c:formatCode>General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E1-AB49-A5A7-C1454D2B049E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J.LivRm_PVitalsag_2'!$BB$98:$BB$175</c:f>
              <c:numCache>
                <c:formatCode>m/d/yy;@</c:formatCode>
                <c:ptCount val="78"/>
                <c:pt idx="0">
                  <c:v>45397</c:v>
                </c:pt>
                <c:pt idx="1">
                  <c:v>45398</c:v>
                </c:pt>
                <c:pt idx="2">
                  <c:v>45399</c:v>
                </c:pt>
                <c:pt idx="3">
                  <c:v>45400</c:v>
                </c:pt>
                <c:pt idx="4">
                  <c:v>45401</c:v>
                </c:pt>
                <c:pt idx="5">
                  <c:v>45402</c:v>
                </c:pt>
                <c:pt idx="6">
                  <c:v>45403</c:v>
                </c:pt>
                <c:pt idx="7">
                  <c:v>45404</c:v>
                </c:pt>
                <c:pt idx="8">
                  <c:v>45405</c:v>
                </c:pt>
                <c:pt idx="9">
                  <c:v>45406</c:v>
                </c:pt>
                <c:pt idx="10">
                  <c:v>45407</c:v>
                </c:pt>
                <c:pt idx="11">
                  <c:v>45408</c:v>
                </c:pt>
                <c:pt idx="12">
                  <c:v>45409</c:v>
                </c:pt>
                <c:pt idx="13">
                  <c:v>45410</c:v>
                </c:pt>
                <c:pt idx="14">
                  <c:v>45411</c:v>
                </c:pt>
                <c:pt idx="15">
                  <c:v>45412</c:v>
                </c:pt>
                <c:pt idx="16">
                  <c:v>45413</c:v>
                </c:pt>
                <c:pt idx="17">
                  <c:v>45414</c:v>
                </c:pt>
                <c:pt idx="18">
                  <c:v>45415</c:v>
                </c:pt>
                <c:pt idx="19">
                  <c:v>45416</c:v>
                </c:pt>
                <c:pt idx="20">
                  <c:v>45417</c:v>
                </c:pt>
                <c:pt idx="21">
                  <c:v>45418</c:v>
                </c:pt>
                <c:pt idx="22">
                  <c:v>45419</c:v>
                </c:pt>
                <c:pt idx="23">
                  <c:v>45420</c:v>
                </c:pt>
                <c:pt idx="24">
                  <c:v>45421</c:v>
                </c:pt>
                <c:pt idx="25">
                  <c:v>45422</c:v>
                </c:pt>
                <c:pt idx="26">
                  <c:v>45423</c:v>
                </c:pt>
                <c:pt idx="27">
                  <c:v>45424</c:v>
                </c:pt>
                <c:pt idx="28">
                  <c:v>45425</c:v>
                </c:pt>
                <c:pt idx="29">
                  <c:v>45426</c:v>
                </c:pt>
                <c:pt idx="30">
                  <c:v>45427</c:v>
                </c:pt>
                <c:pt idx="31">
                  <c:v>45428</c:v>
                </c:pt>
                <c:pt idx="32">
                  <c:v>45429</c:v>
                </c:pt>
                <c:pt idx="33">
                  <c:v>45430</c:v>
                </c:pt>
                <c:pt idx="34">
                  <c:v>45431</c:v>
                </c:pt>
                <c:pt idx="35">
                  <c:v>45432</c:v>
                </c:pt>
                <c:pt idx="36">
                  <c:v>45433</c:v>
                </c:pt>
                <c:pt idx="37">
                  <c:v>45434</c:v>
                </c:pt>
                <c:pt idx="38">
                  <c:v>45435</c:v>
                </c:pt>
                <c:pt idx="39">
                  <c:v>45436</c:v>
                </c:pt>
                <c:pt idx="40">
                  <c:v>45437</c:v>
                </c:pt>
                <c:pt idx="41">
                  <c:v>45438</c:v>
                </c:pt>
                <c:pt idx="42">
                  <c:v>45439</c:v>
                </c:pt>
                <c:pt idx="43">
                  <c:v>45440</c:v>
                </c:pt>
                <c:pt idx="44">
                  <c:v>45441</c:v>
                </c:pt>
                <c:pt idx="45">
                  <c:v>45442</c:v>
                </c:pt>
                <c:pt idx="46">
                  <c:v>45443</c:v>
                </c:pt>
                <c:pt idx="47">
                  <c:v>45444</c:v>
                </c:pt>
                <c:pt idx="48">
                  <c:v>45445</c:v>
                </c:pt>
                <c:pt idx="49">
                  <c:v>45446</c:v>
                </c:pt>
                <c:pt idx="50">
                  <c:v>45447</c:v>
                </c:pt>
                <c:pt idx="51">
                  <c:v>45448</c:v>
                </c:pt>
                <c:pt idx="52">
                  <c:v>45449</c:v>
                </c:pt>
                <c:pt idx="53">
                  <c:v>45450</c:v>
                </c:pt>
                <c:pt idx="54">
                  <c:v>45451</c:v>
                </c:pt>
                <c:pt idx="55">
                  <c:v>45452</c:v>
                </c:pt>
                <c:pt idx="56">
                  <c:v>45453</c:v>
                </c:pt>
                <c:pt idx="57">
                  <c:v>45454</c:v>
                </c:pt>
                <c:pt idx="58">
                  <c:v>45455</c:v>
                </c:pt>
                <c:pt idx="59">
                  <c:v>45456</c:v>
                </c:pt>
                <c:pt idx="60">
                  <c:v>45457</c:v>
                </c:pt>
                <c:pt idx="61">
                  <c:v>45458</c:v>
                </c:pt>
                <c:pt idx="62">
                  <c:v>45459</c:v>
                </c:pt>
                <c:pt idx="63">
                  <c:v>45460</c:v>
                </c:pt>
                <c:pt idx="64">
                  <c:v>45461</c:v>
                </c:pt>
                <c:pt idx="65">
                  <c:v>45462</c:v>
                </c:pt>
                <c:pt idx="66">
                  <c:v>45463</c:v>
                </c:pt>
                <c:pt idx="67">
                  <c:v>45464</c:v>
                </c:pt>
                <c:pt idx="68">
                  <c:v>45465</c:v>
                </c:pt>
                <c:pt idx="69">
                  <c:v>45466</c:v>
                </c:pt>
                <c:pt idx="70">
                  <c:v>45467</c:v>
                </c:pt>
                <c:pt idx="71">
                  <c:v>45468</c:v>
                </c:pt>
                <c:pt idx="72">
                  <c:v>45469</c:v>
                </c:pt>
                <c:pt idx="73">
                  <c:v>45470</c:v>
                </c:pt>
                <c:pt idx="74">
                  <c:v>45471</c:v>
                </c:pt>
                <c:pt idx="75">
                  <c:v>45472</c:v>
                </c:pt>
                <c:pt idx="76">
                  <c:v>45473</c:v>
                </c:pt>
                <c:pt idx="77">
                  <c:v>45474</c:v>
                </c:pt>
              </c:numCache>
            </c:numRef>
          </c:cat>
          <c:val>
            <c:numRef>
              <c:f>'934297-0122 J.LivRm_PVitalsag_2'!$BE$98:$BE$175</c:f>
              <c:numCache>
                <c:formatCode>General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E1-AB49-A5A7-C1454D2B049E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J.LivRm_PVitalsag_2'!$BB$98:$BB$175</c:f>
              <c:numCache>
                <c:formatCode>m/d/yy;@</c:formatCode>
                <c:ptCount val="78"/>
                <c:pt idx="0">
                  <c:v>45397</c:v>
                </c:pt>
                <c:pt idx="1">
                  <c:v>45398</c:v>
                </c:pt>
                <c:pt idx="2">
                  <c:v>45399</c:v>
                </c:pt>
                <c:pt idx="3">
                  <c:v>45400</c:v>
                </c:pt>
                <c:pt idx="4">
                  <c:v>45401</c:v>
                </c:pt>
                <c:pt idx="5">
                  <c:v>45402</c:v>
                </c:pt>
                <c:pt idx="6">
                  <c:v>45403</c:v>
                </c:pt>
                <c:pt idx="7">
                  <c:v>45404</c:v>
                </c:pt>
                <c:pt idx="8">
                  <c:v>45405</c:v>
                </c:pt>
                <c:pt idx="9">
                  <c:v>45406</c:v>
                </c:pt>
                <c:pt idx="10">
                  <c:v>45407</c:v>
                </c:pt>
                <c:pt idx="11">
                  <c:v>45408</c:v>
                </c:pt>
                <c:pt idx="12">
                  <c:v>45409</c:v>
                </c:pt>
                <c:pt idx="13">
                  <c:v>45410</c:v>
                </c:pt>
                <c:pt idx="14">
                  <c:v>45411</c:v>
                </c:pt>
                <c:pt idx="15">
                  <c:v>45412</c:v>
                </c:pt>
                <c:pt idx="16">
                  <c:v>45413</c:v>
                </c:pt>
                <c:pt idx="17">
                  <c:v>45414</c:v>
                </c:pt>
                <c:pt idx="18">
                  <c:v>45415</c:v>
                </c:pt>
                <c:pt idx="19">
                  <c:v>45416</c:v>
                </c:pt>
                <c:pt idx="20">
                  <c:v>45417</c:v>
                </c:pt>
                <c:pt idx="21">
                  <c:v>45418</c:v>
                </c:pt>
                <c:pt idx="22">
                  <c:v>45419</c:v>
                </c:pt>
                <c:pt idx="23">
                  <c:v>45420</c:v>
                </c:pt>
                <c:pt idx="24">
                  <c:v>45421</c:v>
                </c:pt>
                <c:pt idx="25">
                  <c:v>45422</c:v>
                </c:pt>
                <c:pt idx="26">
                  <c:v>45423</c:v>
                </c:pt>
                <c:pt idx="27">
                  <c:v>45424</c:v>
                </c:pt>
                <c:pt idx="28">
                  <c:v>45425</c:v>
                </c:pt>
                <c:pt idx="29">
                  <c:v>45426</c:v>
                </c:pt>
                <c:pt idx="30">
                  <c:v>45427</c:v>
                </c:pt>
                <c:pt idx="31">
                  <c:v>45428</c:v>
                </c:pt>
                <c:pt idx="32">
                  <c:v>45429</c:v>
                </c:pt>
                <c:pt idx="33">
                  <c:v>45430</c:v>
                </c:pt>
                <c:pt idx="34">
                  <c:v>45431</c:v>
                </c:pt>
                <c:pt idx="35">
                  <c:v>45432</c:v>
                </c:pt>
                <c:pt idx="36">
                  <c:v>45433</c:v>
                </c:pt>
                <c:pt idx="37">
                  <c:v>45434</c:v>
                </c:pt>
                <c:pt idx="38">
                  <c:v>45435</c:v>
                </c:pt>
                <c:pt idx="39">
                  <c:v>45436</c:v>
                </c:pt>
                <c:pt idx="40">
                  <c:v>45437</c:v>
                </c:pt>
                <c:pt idx="41">
                  <c:v>45438</c:v>
                </c:pt>
                <c:pt idx="42">
                  <c:v>45439</c:v>
                </c:pt>
                <c:pt idx="43">
                  <c:v>45440</c:v>
                </c:pt>
                <c:pt idx="44">
                  <c:v>45441</c:v>
                </c:pt>
                <c:pt idx="45">
                  <c:v>45442</c:v>
                </c:pt>
                <c:pt idx="46">
                  <c:v>45443</c:v>
                </c:pt>
                <c:pt idx="47">
                  <c:v>45444</c:v>
                </c:pt>
                <c:pt idx="48">
                  <c:v>45445</c:v>
                </c:pt>
                <c:pt idx="49">
                  <c:v>45446</c:v>
                </c:pt>
                <c:pt idx="50">
                  <c:v>45447</c:v>
                </c:pt>
                <c:pt idx="51">
                  <c:v>45448</c:v>
                </c:pt>
                <c:pt idx="52">
                  <c:v>45449</c:v>
                </c:pt>
                <c:pt idx="53">
                  <c:v>45450</c:v>
                </c:pt>
                <c:pt idx="54">
                  <c:v>45451</c:v>
                </c:pt>
                <c:pt idx="55">
                  <c:v>45452</c:v>
                </c:pt>
                <c:pt idx="56">
                  <c:v>45453</c:v>
                </c:pt>
                <c:pt idx="57">
                  <c:v>45454</c:v>
                </c:pt>
                <c:pt idx="58">
                  <c:v>45455</c:v>
                </c:pt>
                <c:pt idx="59">
                  <c:v>45456</c:v>
                </c:pt>
                <c:pt idx="60">
                  <c:v>45457</c:v>
                </c:pt>
                <c:pt idx="61">
                  <c:v>45458</c:v>
                </c:pt>
                <c:pt idx="62">
                  <c:v>45459</c:v>
                </c:pt>
                <c:pt idx="63">
                  <c:v>45460</c:v>
                </c:pt>
                <c:pt idx="64">
                  <c:v>45461</c:v>
                </c:pt>
                <c:pt idx="65">
                  <c:v>45462</c:v>
                </c:pt>
                <c:pt idx="66">
                  <c:v>45463</c:v>
                </c:pt>
                <c:pt idx="67">
                  <c:v>45464</c:v>
                </c:pt>
                <c:pt idx="68">
                  <c:v>45465</c:v>
                </c:pt>
                <c:pt idx="69">
                  <c:v>45466</c:v>
                </c:pt>
                <c:pt idx="70">
                  <c:v>45467</c:v>
                </c:pt>
                <c:pt idx="71">
                  <c:v>45468</c:v>
                </c:pt>
                <c:pt idx="72">
                  <c:v>45469</c:v>
                </c:pt>
                <c:pt idx="73">
                  <c:v>45470</c:v>
                </c:pt>
                <c:pt idx="74">
                  <c:v>45471</c:v>
                </c:pt>
                <c:pt idx="75">
                  <c:v>45472</c:v>
                </c:pt>
                <c:pt idx="76">
                  <c:v>45473</c:v>
                </c:pt>
                <c:pt idx="77">
                  <c:v>45474</c:v>
                </c:pt>
              </c:numCache>
            </c:numRef>
          </c:cat>
          <c:val>
            <c:numRef>
              <c:f>'934297-0122 J.LivRm_PVitalsag_2'!$BF$98:$BF$175</c:f>
              <c:numCache>
                <c:formatCode>0.0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E1-AB49-A5A7-C1454D2B0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upDownBars>
          <c:gapWidth val="150"/>
          <c:upBars>
            <c:spPr>
              <a:solidFill>
                <a:srgbClr val="FF0000"/>
              </a:solidFill>
            </c:spPr>
          </c:upBars>
          <c:downBars/>
        </c:upDownBars>
        <c:axId val="226434048"/>
        <c:axId val="226448128"/>
      </c:stockChart>
      <c:dateAx>
        <c:axId val="226434048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crossAx val="226448128"/>
        <c:crosses val="autoZero"/>
        <c:auto val="1"/>
        <c:lblOffset val="100"/>
        <c:baseTimeUnit val="days"/>
        <c:majorUnit val="1"/>
        <c:majorTimeUnit val="days"/>
      </c:dateAx>
      <c:valAx>
        <c:axId val="226448128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2264340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 Respiratory Rate-Sprecker.chair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4.3074854292621437E-2"/>
          <c:y val="3.9524946259545612E-2"/>
          <c:w val="0.93979497199496742"/>
          <c:h val="0.83118133988907494"/>
        </c:manualLayout>
      </c:layout>
      <c:stockChart>
        <c:ser>
          <c:idx val="0"/>
          <c:order val="0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J.LivRm_PVitalsag_2'!$BI$98:$BI$175</c:f>
              <c:numCache>
                <c:formatCode>m/d/yy;@</c:formatCode>
                <c:ptCount val="78"/>
                <c:pt idx="0">
                  <c:v>45397</c:v>
                </c:pt>
                <c:pt idx="1">
                  <c:v>45398</c:v>
                </c:pt>
                <c:pt idx="2">
                  <c:v>45399</c:v>
                </c:pt>
                <c:pt idx="3">
                  <c:v>45400</c:v>
                </c:pt>
                <c:pt idx="4">
                  <c:v>45401</c:v>
                </c:pt>
                <c:pt idx="5">
                  <c:v>45402</c:v>
                </c:pt>
                <c:pt idx="6">
                  <c:v>45403</c:v>
                </c:pt>
                <c:pt idx="7">
                  <c:v>45404</c:v>
                </c:pt>
                <c:pt idx="8">
                  <c:v>45405</c:v>
                </c:pt>
                <c:pt idx="9">
                  <c:v>45406</c:v>
                </c:pt>
                <c:pt idx="10">
                  <c:v>45407</c:v>
                </c:pt>
                <c:pt idx="11">
                  <c:v>45408</c:v>
                </c:pt>
                <c:pt idx="12">
                  <c:v>45409</c:v>
                </c:pt>
                <c:pt idx="13">
                  <c:v>45410</c:v>
                </c:pt>
                <c:pt idx="14">
                  <c:v>45411</c:v>
                </c:pt>
                <c:pt idx="15">
                  <c:v>45412</c:v>
                </c:pt>
                <c:pt idx="16">
                  <c:v>45413</c:v>
                </c:pt>
                <c:pt idx="17">
                  <c:v>45414</c:v>
                </c:pt>
                <c:pt idx="18">
                  <c:v>45415</c:v>
                </c:pt>
                <c:pt idx="19">
                  <c:v>45416</c:v>
                </c:pt>
                <c:pt idx="20">
                  <c:v>45417</c:v>
                </c:pt>
                <c:pt idx="21">
                  <c:v>45418</c:v>
                </c:pt>
                <c:pt idx="22">
                  <c:v>45419</c:v>
                </c:pt>
                <c:pt idx="23">
                  <c:v>45420</c:v>
                </c:pt>
                <c:pt idx="24">
                  <c:v>45421</c:v>
                </c:pt>
                <c:pt idx="25">
                  <c:v>45422</c:v>
                </c:pt>
                <c:pt idx="26">
                  <c:v>45423</c:v>
                </c:pt>
                <c:pt idx="27">
                  <c:v>45424</c:v>
                </c:pt>
                <c:pt idx="28">
                  <c:v>45425</c:v>
                </c:pt>
                <c:pt idx="29">
                  <c:v>45426</c:v>
                </c:pt>
                <c:pt idx="30">
                  <c:v>45427</c:v>
                </c:pt>
                <c:pt idx="31">
                  <c:v>45428</c:v>
                </c:pt>
                <c:pt idx="32">
                  <c:v>45429</c:v>
                </c:pt>
                <c:pt idx="33">
                  <c:v>45430</c:v>
                </c:pt>
                <c:pt idx="34">
                  <c:v>45431</c:v>
                </c:pt>
                <c:pt idx="35">
                  <c:v>45432</c:v>
                </c:pt>
                <c:pt idx="36">
                  <c:v>45433</c:v>
                </c:pt>
                <c:pt idx="37">
                  <c:v>45434</c:v>
                </c:pt>
                <c:pt idx="38">
                  <c:v>45435</c:v>
                </c:pt>
                <c:pt idx="39">
                  <c:v>45436</c:v>
                </c:pt>
                <c:pt idx="40">
                  <c:v>45437</c:v>
                </c:pt>
                <c:pt idx="41">
                  <c:v>45438</c:v>
                </c:pt>
                <c:pt idx="42">
                  <c:v>45439</c:v>
                </c:pt>
                <c:pt idx="43">
                  <c:v>45440</c:v>
                </c:pt>
                <c:pt idx="44">
                  <c:v>45441</c:v>
                </c:pt>
                <c:pt idx="45">
                  <c:v>45442</c:v>
                </c:pt>
                <c:pt idx="46">
                  <c:v>45443</c:v>
                </c:pt>
                <c:pt idx="47">
                  <c:v>45444</c:v>
                </c:pt>
                <c:pt idx="48">
                  <c:v>45445</c:v>
                </c:pt>
                <c:pt idx="49">
                  <c:v>45446</c:v>
                </c:pt>
                <c:pt idx="50">
                  <c:v>45447</c:v>
                </c:pt>
                <c:pt idx="51">
                  <c:v>45448</c:v>
                </c:pt>
                <c:pt idx="52">
                  <c:v>45449</c:v>
                </c:pt>
                <c:pt idx="53">
                  <c:v>45450</c:v>
                </c:pt>
                <c:pt idx="54">
                  <c:v>45451</c:v>
                </c:pt>
                <c:pt idx="55">
                  <c:v>45452</c:v>
                </c:pt>
                <c:pt idx="56">
                  <c:v>45453</c:v>
                </c:pt>
                <c:pt idx="57">
                  <c:v>45454</c:v>
                </c:pt>
                <c:pt idx="58">
                  <c:v>45455</c:v>
                </c:pt>
                <c:pt idx="59">
                  <c:v>45456</c:v>
                </c:pt>
                <c:pt idx="60">
                  <c:v>45457</c:v>
                </c:pt>
                <c:pt idx="61">
                  <c:v>45458</c:v>
                </c:pt>
                <c:pt idx="62">
                  <c:v>45459</c:v>
                </c:pt>
                <c:pt idx="63">
                  <c:v>45460</c:v>
                </c:pt>
                <c:pt idx="64">
                  <c:v>45461</c:v>
                </c:pt>
                <c:pt idx="65">
                  <c:v>45462</c:v>
                </c:pt>
                <c:pt idx="66">
                  <c:v>45463</c:v>
                </c:pt>
                <c:pt idx="67">
                  <c:v>45464</c:v>
                </c:pt>
                <c:pt idx="68">
                  <c:v>45465</c:v>
                </c:pt>
                <c:pt idx="69">
                  <c:v>45466</c:v>
                </c:pt>
                <c:pt idx="70">
                  <c:v>45467</c:v>
                </c:pt>
                <c:pt idx="71">
                  <c:v>45468</c:v>
                </c:pt>
                <c:pt idx="72">
                  <c:v>45469</c:v>
                </c:pt>
                <c:pt idx="73">
                  <c:v>45470</c:v>
                </c:pt>
                <c:pt idx="74">
                  <c:v>45471</c:v>
                </c:pt>
                <c:pt idx="75">
                  <c:v>45472</c:v>
                </c:pt>
                <c:pt idx="76">
                  <c:v>45473</c:v>
                </c:pt>
                <c:pt idx="77">
                  <c:v>45474</c:v>
                </c:pt>
              </c:numCache>
            </c:numRef>
          </c:cat>
          <c:val>
            <c:numRef>
              <c:f>'934297-0122 J.LivRm_PVitalsag_2'!$BJ$98:$BJ$175</c:f>
              <c:numCache>
                <c:formatCode>0.0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70-7342-AA8F-CB93BB757FB1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J.LivRm_PVitalsag_2'!$BI$98:$BI$175</c:f>
              <c:numCache>
                <c:formatCode>m/d/yy;@</c:formatCode>
                <c:ptCount val="78"/>
                <c:pt idx="0">
                  <c:v>45397</c:v>
                </c:pt>
                <c:pt idx="1">
                  <c:v>45398</c:v>
                </c:pt>
                <c:pt idx="2">
                  <c:v>45399</c:v>
                </c:pt>
                <c:pt idx="3">
                  <c:v>45400</c:v>
                </c:pt>
                <c:pt idx="4">
                  <c:v>45401</c:v>
                </c:pt>
                <c:pt idx="5">
                  <c:v>45402</c:v>
                </c:pt>
                <c:pt idx="6">
                  <c:v>45403</c:v>
                </c:pt>
                <c:pt idx="7">
                  <c:v>45404</c:v>
                </c:pt>
                <c:pt idx="8">
                  <c:v>45405</c:v>
                </c:pt>
                <c:pt idx="9">
                  <c:v>45406</c:v>
                </c:pt>
                <c:pt idx="10">
                  <c:v>45407</c:v>
                </c:pt>
                <c:pt idx="11">
                  <c:v>45408</c:v>
                </c:pt>
                <c:pt idx="12">
                  <c:v>45409</c:v>
                </c:pt>
                <c:pt idx="13">
                  <c:v>45410</c:v>
                </c:pt>
                <c:pt idx="14">
                  <c:v>45411</c:v>
                </c:pt>
                <c:pt idx="15">
                  <c:v>45412</c:v>
                </c:pt>
                <c:pt idx="16">
                  <c:v>45413</c:v>
                </c:pt>
                <c:pt idx="17">
                  <c:v>45414</c:v>
                </c:pt>
                <c:pt idx="18">
                  <c:v>45415</c:v>
                </c:pt>
                <c:pt idx="19">
                  <c:v>45416</c:v>
                </c:pt>
                <c:pt idx="20">
                  <c:v>45417</c:v>
                </c:pt>
                <c:pt idx="21">
                  <c:v>45418</c:v>
                </c:pt>
                <c:pt idx="22">
                  <c:v>45419</c:v>
                </c:pt>
                <c:pt idx="23">
                  <c:v>45420</c:v>
                </c:pt>
                <c:pt idx="24">
                  <c:v>45421</c:v>
                </c:pt>
                <c:pt idx="25">
                  <c:v>45422</c:v>
                </c:pt>
                <c:pt idx="26">
                  <c:v>45423</c:v>
                </c:pt>
                <c:pt idx="27">
                  <c:v>45424</c:v>
                </c:pt>
                <c:pt idx="28">
                  <c:v>45425</c:v>
                </c:pt>
                <c:pt idx="29">
                  <c:v>45426</c:v>
                </c:pt>
                <c:pt idx="30">
                  <c:v>45427</c:v>
                </c:pt>
                <c:pt idx="31">
                  <c:v>45428</c:v>
                </c:pt>
                <c:pt idx="32">
                  <c:v>45429</c:v>
                </c:pt>
                <c:pt idx="33">
                  <c:v>45430</c:v>
                </c:pt>
                <c:pt idx="34">
                  <c:v>45431</c:v>
                </c:pt>
                <c:pt idx="35">
                  <c:v>45432</c:v>
                </c:pt>
                <c:pt idx="36">
                  <c:v>45433</c:v>
                </c:pt>
                <c:pt idx="37">
                  <c:v>45434</c:v>
                </c:pt>
                <c:pt idx="38">
                  <c:v>45435</c:v>
                </c:pt>
                <c:pt idx="39">
                  <c:v>45436</c:v>
                </c:pt>
                <c:pt idx="40">
                  <c:v>45437</c:v>
                </c:pt>
                <c:pt idx="41">
                  <c:v>45438</c:v>
                </c:pt>
                <c:pt idx="42">
                  <c:v>45439</c:v>
                </c:pt>
                <c:pt idx="43">
                  <c:v>45440</c:v>
                </c:pt>
                <c:pt idx="44">
                  <c:v>45441</c:v>
                </c:pt>
                <c:pt idx="45">
                  <c:v>45442</c:v>
                </c:pt>
                <c:pt idx="46">
                  <c:v>45443</c:v>
                </c:pt>
                <c:pt idx="47">
                  <c:v>45444</c:v>
                </c:pt>
                <c:pt idx="48">
                  <c:v>45445</c:v>
                </c:pt>
                <c:pt idx="49">
                  <c:v>45446</c:v>
                </c:pt>
                <c:pt idx="50">
                  <c:v>45447</c:v>
                </c:pt>
                <c:pt idx="51">
                  <c:v>45448</c:v>
                </c:pt>
                <c:pt idx="52">
                  <c:v>45449</c:v>
                </c:pt>
                <c:pt idx="53">
                  <c:v>45450</c:v>
                </c:pt>
                <c:pt idx="54">
                  <c:v>45451</c:v>
                </c:pt>
                <c:pt idx="55">
                  <c:v>45452</c:v>
                </c:pt>
                <c:pt idx="56">
                  <c:v>45453</c:v>
                </c:pt>
                <c:pt idx="57">
                  <c:v>45454</c:v>
                </c:pt>
                <c:pt idx="58">
                  <c:v>45455</c:v>
                </c:pt>
                <c:pt idx="59">
                  <c:v>45456</c:v>
                </c:pt>
                <c:pt idx="60">
                  <c:v>45457</c:v>
                </c:pt>
                <c:pt idx="61">
                  <c:v>45458</c:v>
                </c:pt>
                <c:pt idx="62">
                  <c:v>45459</c:v>
                </c:pt>
                <c:pt idx="63">
                  <c:v>45460</c:v>
                </c:pt>
                <c:pt idx="64">
                  <c:v>45461</c:v>
                </c:pt>
                <c:pt idx="65">
                  <c:v>45462</c:v>
                </c:pt>
                <c:pt idx="66">
                  <c:v>45463</c:v>
                </c:pt>
                <c:pt idx="67">
                  <c:v>45464</c:v>
                </c:pt>
                <c:pt idx="68">
                  <c:v>45465</c:v>
                </c:pt>
                <c:pt idx="69">
                  <c:v>45466</c:v>
                </c:pt>
                <c:pt idx="70">
                  <c:v>45467</c:v>
                </c:pt>
                <c:pt idx="71">
                  <c:v>45468</c:v>
                </c:pt>
                <c:pt idx="72">
                  <c:v>45469</c:v>
                </c:pt>
                <c:pt idx="73">
                  <c:v>45470</c:v>
                </c:pt>
                <c:pt idx="74">
                  <c:v>45471</c:v>
                </c:pt>
                <c:pt idx="75">
                  <c:v>45472</c:v>
                </c:pt>
                <c:pt idx="76">
                  <c:v>45473</c:v>
                </c:pt>
                <c:pt idx="77">
                  <c:v>45474</c:v>
                </c:pt>
              </c:numCache>
            </c:numRef>
          </c:cat>
          <c:val>
            <c:numRef>
              <c:f>'934297-0122 J.LivRm_PVitalsag_2'!$BK$98:$BK$175</c:f>
              <c:numCache>
                <c:formatCode>General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70-7342-AA8F-CB93BB757FB1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J.LivRm_PVitalsag_2'!$BI$98:$BI$175</c:f>
              <c:numCache>
                <c:formatCode>m/d/yy;@</c:formatCode>
                <c:ptCount val="78"/>
                <c:pt idx="0">
                  <c:v>45397</c:v>
                </c:pt>
                <c:pt idx="1">
                  <c:v>45398</c:v>
                </c:pt>
                <c:pt idx="2">
                  <c:v>45399</c:v>
                </c:pt>
                <c:pt idx="3">
                  <c:v>45400</c:v>
                </c:pt>
                <c:pt idx="4">
                  <c:v>45401</c:v>
                </c:pt>
                <c:pt idx="5">
                  <c:v>45402</c:v>
                </c:pt>
                <c:pt idx="6">
                  <c:v>45403</c:v>
                </c:pt>
                <c:pt idx="7">
                  <c:v>45404</c:v>
                </c:pt>
                <c:pt idx="8">
                  <c:v>45405</c:v>
                </c:pt>
                <c:pt idx="9">
                  <c:v>45406</c:v>
                </c:pt>
                <c:pt idx="10">
                  <c:v>45407</c:v>
                </c:pt>
                <c:pt idx="11">
                  <c:v>45408</c:v>
                </c:pt>
                <c:pt idx="12">
                  <c:v>45409</c:v>
                </c:pt>
                <c:pt idx="13">
                  <c:v>45410</c:v>
                </c:pt>
                <c:pt idx="14">
                  <c:v>45411</c:v>
                </c:pt>
                <c:pt idx="15">
                  <c:v>45412</c:v>
                </c:pt>
                <c:pt idx="16">
                  <c:v>45413</c:v>
                </c:pt>
                <c:pt idx="17">
                  <c:v>45414</c:v>
                </c:pt>
                <c:pt idx="18">
                  <c:v>45415</c:v>
                </c:pt>
                <c:pt idx="19">
                  <c:v>45416</c:v>
                </c:pt>
                <c:pt idx="20">
                  <c:v>45417</c:v>
                </c:pt>
                <c:pt idx="21">
                  <c:v>45418</c:v>
                </c:pt>
                <c:pt idx="22">
                  <c:v>45419</c:v>
                </c:pt>
                <c:pt idx="23">
                  <c:v>45420</c:v>
                </c:pt>
                <c:pt idx="24">
                  <c:v>45421</c:v>
                </c:pt>
                <c:pt idx="25">
                  <c:v>45422</c:v>
                </c:pt>
                <c:pt idx="26">
                  <c:v>45423</c:v>
                </c:pt>
                <c:pt idx="27">
                  <c:v>45424</c:v>
                </c:pt>
                <c:pt idx="28">
                  <c:v>45425</c:v>
                </c:pt>
                <c:pt idx="29">
                  <c:v>45426</c:v>
                </c:pt>
                <c:pt idx="30">
                  <c:v>45427</c:v>
                </c:pt>
                <c:pt idx="31">
                  <c:v>45428</c:v>
                </c:pt>
                <c:pt idx="32">
                  <c:v>45429</c:v>
                </c:pt>
                <c:pt idx="33">
                  <c:v>45430</c:v>
                </c:pt>
                <c:pt idx="34">
                  <c:v>45431</c:v>
                </c:pt>
                <c:pt idx="35">
                  <c:v>45432</c:v>
                </c:pt>
                <c:pt idx="36">
                  <c:v>45433</c:v>
                </c:pt>
                <c:pt idx="37">
                  <c:v>45434</c:v>
                </c:pt>
                <c:pt idx="38">
                  <c:v>45435</c:v>
                </c:pt>
                <c:pt idx="39">
                  <c:v>45436</c:v>
                </c:pt>
                <c:pt idx="40">
                  <c:v>45437</c:v>
                </c:pt>
                <c:pt idx="41">
                  <c:v>45438</c:v>
                </c:pt>
                <c:pt idx="42">
                  <c:v>45439</c:v>
                </c:pt>
                <c:pt idx="43">
                  <c:v>45440</c:v>
                </c:pt>
                <c:pt idx="44">
                  <c:v>45441</c:v>
                </c:pt>
                <c:pt idx="45">
                  <c:v>45442</c:v>
                </c:pt>
                <c:pt idx="46">
                  <c:v>45443</c:v>
                </c:pt>
                <c:pt idx="47">
                  <c:v>45444</c:v>
                </c:pt>
                <c:pt idx="48">
                  <c:v>45445</c:v>
                </c:pt>
                <c:pt idx="49">
                  <c:v>45446</c:v>
                </c:pt>
                <c:pt idx="50">
                  <c:v>45447</c:v>
                </c:pt>
                <c:pt idx="51">
                  <c:v>45448</c:v>
                </c:pt>
                <c:pt idx="52">
                  <c:v>45449</c:v>
                </c:pt>
                <c:pt idx="53">
                  <c:v>45450</c:v>
                </c:pt>
                <c:pt idx="54">
                  <c:v>45451</c:v>
                </c:pt>
                <c:pt idx="55">
                  <c:v>45452</c:v>
                </c:pt>
                <c:pt idx="56">
                  <c:v>45453</c:v>
                </c:pt>
                <c:pt idx="57">
                  <c:v>45454</c:v>
                </c:pt>
                <c:pt idx="58">
                  <c:v>45455</c:v>
                </c:pt>
                <c:pt idx="59">
                  <c:v>45456</c:v>
                </c:pt>
                <c:pt idx="60">
                  <c:v>45457</c:v>
                </c:pt>
                <c:pt idx="61">
                  <c:v>45458</c:v>
                </c:pt>
                <c:pt idx="62">
                  <c:v>45459</c:v>
                </c:pt>
                <c:pt idx="63">
                  <c:v>45460</c:v>
                </c:pt>
                <c:pt idx="64">
                  <c:v>45461</c:v>
                </c:pt>
                <c:pt idx="65">
                  <c:v>45462</c:v>
                </c:pt>
                <c:pt idx="66">
                  <c:v>45463</c:v>
                </c:pt>
                <c:pt idx="67">
                  <c:v>45464</c:v>
                </c:pt>
                <c:pt idx="68">
                  <c:v>45465</c:v>
                </c:pt>
                <c:pt idx="69">
                  <c:v>45466</c:v>
                </c:pt>
                <c:pt idx="70">
                  <c:v>45467</c:v>
                </c:pt>
                <c:pt idx="71">
                  <c:v>45468</c:v>
                </c:pt>
                <c:pt idx="72">
                  <c:v>45469</c:v>
                </c:pt>
                <c:pt idx="73">
                  <c:v>45470</c:v>
                </c:pt>
                <c:pt idx="74">
                  <c:v>45471</c:v>
                </c:pt>
                <c:pt idx="75">
                  <c:v>45472</c:v>
                </c:pt>
                <c:pt idx="76">
                  <c:v>45473</c:v>
                </c:pt>
                <c:pt idx="77">
                  <c:v>45474</c:v>
                </c:pt>
              </c:numCache>
            </c:numRef>
          </c:cat>
          <c:val>
            <c:numRef>
              <c:f>'934297-0122 J.LivRm_PVitalsag_2'!$BL$98:$BL$175</c:f>
              <c:numCache>
                <c:formatCode>General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70-7342-AA8F-CB93BB757FB1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J.LivRm_PVitalsag_2'!$BI$98:$BI$175</c:f>
              <c:numCache>
                <c:formatCode>m/d/yy;@</c:formatCode>
                <c:ptCount val="78"/>
                <c:pt idx="0">
                  <c:v>45397</c:v>
                </c:pt>
                <c:pt idx="1">
                  <c:v>45398</c:v>
                </c:pt>
                <c:pt idx="2">
                  <c:v>45399</c:v>
                </c:pt>
                <c:pt idx="3">
                  <c:v>45400</c:v>
                </c:pt>
                <c:pt idx="4">
                  <c:v>45401</c:v>
                </c:pt>
                <c:pt idx="5">
                  <c:v>45402</c:v>
                </c:pt>
                <c:pt idx="6">
                  <c:v>45403</c:v>
                </c:pt>
                <c:pt idx="7">
                  <c:v>45404</c:v>
                </c:pt>
                <c:pt idx="8">
                  <c:v>45405</c:v>
                </c:pt>
                <c:pt idx="9">
                  <c:v>45406</c:v>
                </c:pt>
                <c:pt idx="10">
                  <c:v>45407</c:v>
                </c:pt>
                <c:pt idx="11">
                  <c:v>45408</c:v>
                </c:pt>
                <c:pt idx="12">
                  <c:v>45409</c:v>
                </c:pt>
                <c:pt idx="13">
                  <c:v>45410</c:v>
                </c:pt>
                <c:pt idx="14">
                  <c:v>45411</c:v>
                </c:pt>
                <c:pt idx="15">
                  <c:v>45412</c:v>
                </c:pt>
                <c:pt idx="16">
                  <c:v>45413</c:v>
                </c:pt>
                <c:pt idx="17">
                  <c:v>45414</c:v>
                </c:pt>
                <c:pt idx="18">
                  <c:v>45415</c:v>
                </c:pt>
                <c:pt idx="19">
                  <c:v>45416</c:v>
                </c:pt>
                <c:pt idx="20">
                  <c:v>45417</c:v>
                </c:pt>
                <c:pt idx="21">
                  <c:v>45418</c:v>
                </c:pt>
                <c:pt idx="22">
                  <c:v>45419</c:v>
                </c:pt>
                <c:pt idx="23">
                  <c:v>45420</c:v>
                </c:pt>
                <c:pt idx="24">
                  <c:v>45421</c:v>
                </c:pt>
                <c:pt idx="25">
                  <c:v>45422</c:v>
                </c:pt>
                <c:pt idx="26">
                  <c:v>45423</c:v>
                </c:pt>
                <c:pt idx="27">
                  <c:v>45424</c:v>
                </c:pt>
                <c:pt idx="28">
                  <c:v>45425</c:v>
                </c:pt>
                <c:pt idx="29">
                  <c:v>45426</c:v>
                </c:pt>
                <c:pt idx="30">
                  <c:v>45427</c:v>
                </c:pt>
                <c:pt idx="31">
                  <c:v>45428</c:v>
                </c:pt>
                <c:pt idx="32">
                  <c:v>45429</c:v>
                </c:pt>
                <c:pt idx="33">
                  <c:v>45430</c:v>
                </c:pt>
                <c:pt idx="34">
                  <c:v>45431</c:v>
                </c:pt>
                <c:pt idx="35">
                  <c:v>45432</c:v>
                </c:pt>
                <c:pt idx="36">
                  <c:v>45433</c:v>
                </c:pt>
                <c:pt idx="37">
                  <c:v>45434</c:v>
                </c:pt>
                <c:pt idx="38">
                  <c:v>45435</c:v>
                </c:pt>
                <c:pt idx="39">
                  <c:v>45436</c:v>
                </c:pt>
                <c:pt idx="40">
                  <c:v>45437</c:v>
                </c:pt>
                <c:pt idx="41">
                  <c:v>45438</c:v>
                </c:pt>
                <c:pt idx="42">
                  <c:v>45439</c:v>
                </c:pt>
                <c:pt idx="43">
                  <c:v>45440</c:v>
                </c:pt>
                <c:pt idx="44">
                  <c:v>45441</c:v>
                </c:pt>
                <c:pt idx="45">
                  <c:v>45442</c:v>
                </c:pt>
                <c:pt idx="46">
                  <c:v>45443</c:v>
                </c:pt>
                <c:pt idx="47">
                  <c:v>45444</c:v>
                </c:pt>
                <c:pt idx="48">
                  <c:v>45445</c:v>
                </c:pt>
                <c:pt idx="49">
                  <c:v>45446</c:v>
                </c:pt>
                <c:pt idx="50">
                  <c:v>45447</c:v>
                </c:pt>
                <c:pt idx="51">
                  <c:v>45448</c:v>
                </c:pt>
                <c:pt idx="52">
                  <c:v>45449</c:v>
                </c:pt>
                <c:pt idx="53">
                  <c:v>45450</c:v>
                </c:pt>
                <c:pt idx="54">
                  <c:v>45451</c:v>
                </c:pt>
                <c:pt idx="55">
                  <c:v>45452</c:v>
                </c:pt>
                <c:pt idx="56">
                  <c:v>45453</c:v>
                </c:pt>
                <c:pt idx="57">
                  <c:v>45454</c:v>
                </c:pt>
                <c:pt idx="58">
                  <c:v>45455</c:v>
                </c:pt>
                <c:pt idx="59">
                  <c:v>45456</c:v>
                </c:pt>
                <c:pt idx="60">
                  <c:v>45457</c:v>
                </c:pt>
                <c:pt idx="61">
                  <c:v>45458</c:v>
                </c:pt>
                <c:pt idx="62">
                  <c:v>45459</c:v>
                </c:pt>
                <c:pt idx="63">
                  <c:v>45460</c:v>
                </c:pt>
                <c:pt idx="64">
                  <c:v>45461</c:v>
                </c:pt>
                <c:pt idx="65">
                  <c:v>45462</c:v>
                </c:pt>
                <c:pt idx="66">
                  <c:v>45463</c:v>
                </c:pt>
                <c:pt idx="67">
                  <c:v>45464</c:v>
                </c:pt>
                <c:pt idx="68">
                  <c:v>45465</c:v>
                </c:pt>
                <c:pt idx="69">
                  <c:v>45466</c:v>
                </c:pt>
                <c:pt idx="70">
                  <c:v>45467</c:v>
                </c:pt>
                <c:pt idx="71">
                  <c:v>45468</c:v>
                </c:pt>
                <c:pt idx="72">
                  <c:v>45469</c:v>
                </c:pt>
                <c:pt idx="73">
                  <c:v>45470</c:v>
                </c:pt>
                <c:pt idx="74">
                  <c:v>45471</c:v>
                </c:pt>
                <c:pt idx="75">
                  <c:v>45472</c:v>
                </c:pt>
                <c:pt idx="76">
                  <c:v>45473</c:v>
                </c:pt>
                <c:pt idx="77">
                  <c:v>45474</c:v>
                </c:pt>
              </c:numCache>
            </c:numRef>
          </c:cat>
          <c:val>
            <c:numRef>
              <c:f>'934297-0122 J.LivRm_PVitalsag_2'!$BM$98:$BM$175</c:f>
              <c:numCache>
                <c:formatCode>0.0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70-7342-AA8F-CB93BB757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upDownBars>
          <c:gapWidth val="150"/>
          <c:upBars>
            <c:spPr>
              <a:solidFill>
                <a:srgbClr val="FF0000"/>
              </a:solidFill>
            </c:spPr>
          </c:upBars>
          <c:downBars/>
        </c:upDownBars>
        <c:axId val="226484992"/>
        <c:axId val="226486528"/>
      </c:stockChart>
      <c:dateAx>
        <c:axId val="226484992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crossAx val="226486528"/>
        <c:crosses val="autoZero"/>
        <c:auto val="1"/>
        <c:lblOffset val="100"/>
        <c:baseTimeUnit val="days"/>
        <c:majorUnit val="1"/>
        <c:majorTimeUnit val="days"/>
      </c:dateAx>
      <c:valAx>
        <c:axId val="226486528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2264849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Heart Rate</a:t>
            </a:r>
          </a:p>
        </c:rich>
      </c:tx>
      <c:overlay val="1"/>
    </c:title>
    <c:autoTitleDeleted val="0"/>
    <c:plotArea>
      <c:layout/>
      <c:stockChart>
        <c:ser>
          <c:idx val="0"/>
          <c:order val="0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J.LivRm_PVitalsag_2'!$O$930:$O$1216</c:f>
              <c:numCache>
                <c:formatCode>m/d/yy\ h:mm</c:formatCode>
                <c:ptCount val="287"/>
                <c:pt idx="0">
                  <c:v>45459.166666666664</c:v>
                </c:pt>
                <c:pt idx="1">
                  <c:v>45459.208333333336</c:v>
                </c:pt>
                <c:pt idx="2">
                  <c:v>45459.25</c:v>
                </c:pt>
                <c:pt idx="3">
                  <c:v>45459.291666666664</c:v>
                </c:pt>
                <c:pt idx="4">
                  <c:v>45459.333333333336</c:v>
                </c:pt>
                <c:pt idx="5">
                  <c:v>45459.375</c:v>
                </c:pt>
                <c:pt idx="6">
                  <c:v>45459.416666666664</c:v>
                </c:pt>
                <c:pt idx="7">
                  <c:v>45459.458333333336</c:v>
                </c:pt>
                <c:pt idx="8">
                  <c:v>45459.5</c:v>
                </c:pt>
                <c:pt idx="9">
                  <c:v>45459.541666666664</c:v>
                </c:pt>
                <c:pt idx="10">
                  <c:v>45459.583333333336</c:v>
                </c:pt>
                <c:pt idx="11">
                  <c:v>45459.625</c:v>
                </c:pt>
                <c:pt idx="12">
                  <c:v>45459.666666666664</c:v>
                </c:pt>
                <c:pt idx="13">
                  <c:v>45459.708333333336</c:v>
                </c:pt>
                <c:pt idx="14">
                  <c:v>45459.75</c:v>
                </c:pt>
                <c:pt idx="15">
                  <c:v>45459.791666666664</c:v>
                </c:pt>
                <c:pt idx="16">
                  <c:v>45459.833333333336</c:v>
                </c:pt>
                <c:pt idx="17">
                  <c:v>45459.875</c:v>
                </c:pt>
                <c:pt idx="18">
                  <c:v>45460</c:v>
                </c:pt>
                <c:pt idx="19">
                  <c:v>45460.041666666664</c:v>
                </c:pt>
                <c:pt idx="20">
                  <c:v>45460.083333333336</c:v>
                </c:pt>
                <c:pt idx="21">
                  <c:v>45460.125</c:v>
                </c:pt>
                <c:pt idx="22">
                  <c:v>45460.166666666664</c:v>
                </c:pt>
                <c:pt idx="23">
                  <c:v>45460.208333333336</c:v>
                </c:pt>
                <c:pt idx="24">
                  <c:v>45460.25</c:v>
                </c:pt>
                <c:pt idx="25">
                  <c:v>45460.291666666664</c:v>
                </c:pt>
                <c:pt idx="26">
                  <c:v>45460.333333333336</c:v>
                </c:pt>
                <c:pt idx="27">
                  <c:v>45460.375</c:v>
                </c:pt>
                <c:pt idx="28">
                  <c:v>45460.416666666664</c:v>
                </c:pt>
                <c:pt idx="29">
                  <c:v>45460.458333333336</c:v>
                </c:pt>
                <c:pt idx="30">
                  <c:v>45460.5</c:v>
                </c:pt>
                <c:pt idx="31">
                  <c:v>45460.541666666664</c:v>
                </c:pt>
                <c:pt idx="32">
                  <c:v>45460.583333333336</c:v>
                </c:pt>
                <c:pt idx="33">
                  <c:v>45460.625</c:v>
                </c:pt>
                <c:pt idx="34">
                  <c:v>45460.666666666664</c:v>
                </c:pt>
                <c:pt idx="35">
                  <c:v>45460.708333333336</c:v>
                </c:pt>
                <c:pt idx="36">
                  <c:v>45460.75</c:v>
                </c:pt>
                <c:pt idx="37">
                  <c:v>45460.791666666664</c:v>
                </c:pt>
                <c:pt idx="38">
                  <c:v>45460.833333333336</c:v>
                </c:pt>
                <c:pt idx="39">
                  <c:v>45460.875</c:v>
                </c:pt>
                <c:pt idx="40">
                  <c:v>45460.916666666664</c:v>
                </c:pt>
                <c:pt idx="41">
                  <c:v>45460.958333333336</c:v>
                </c:pt>
                <c:pt idx="42">
                  <c:v>45461</c:v>
                </c:pt>
                <c:pt idx="43">
                  <c:v>45461.041666666664</c:v>
                </c:pt>
                <c:pt idx="44">
                  <c:v>45461.083333333336</c:v>
                </c:pt>
                <c:pt idx="45">
                  <c:v>45461.125</c:v>
                </c:pt>
                <c:pt idx="46">
                  <c:v>45461.166666666664</c:v>
                </c:pt>
                <c:pt idx="47">
                  <c:v>45461.208333333336</c:v>
                </c:pt>
                <c:pt idx="48">
                  <c:v>45461.25</c:v>
                </c:pt>
                <c:pt idx="49">
                  <c:v>45461.291666666664</c:v>
                </c:pt>
                <c:pt idx="50">
                  <c:v>45461.333333333336</c:v>
                </c:pt>
                <c:pt idx="51">
                  <c:v>45461.375</c:v>
                </c:pt>
                <c:pt idx="52">
                  <c:v>45461.416666666664</c:v>
                </c:pt>
                <c:pt idx="53">
                  <c:v>45461.458333333336</c:v>
                </c:pt>
                <c:pt idx="54">
                  <c:v>45461.5</c:v>
                </c:pt>
                <c:pt idx="55">
                  <c:v>45461.541666666664</c:v>
                </c:pt>
                <c:pt idx="56">
                  <c:v>45461.583333333336</c:v>
                </c:pt>
                <c:pt idx="57">
                  <c:v>45461.625</c:v>
                </c:pt>
                <c:pt idx="58">
                  <c:v>45461.666666666664</c:v>
                </c:pt>
                <c:pt idx="59">
                  <c:v>45461.708333333336</c:v>
                </c:pt>
                <c:pt idx="60">
                  <c:v>45461.75</c:v>
                </c:pt>
                <c:pt idx="61">
                  <c:v>45461.791666666664</c:v>
                </c:pt>
                <c:pt idx="62">
                  <c:v>45461.833333333336</c:v>
                </c:pt>
                <c:pt idx="63">
                  <c:v>45461.875</c:v>
                </c:pt>
                <c:pt idx="64">
                  <c:v>45461.958333333336</c:v>
                </c:pt>
                <c:pt idx="65">
                  <c:v>45462.166666666664</c:v>
                </c:pt>
                <c:pt idx="66">
                  <c:v>45462.208333333336</c:v>
                </c:pt>
                <c:pt idx="67">
                  <c:v>45462.25</c:v>
                </c:pt>
                <c:pt idx="68">
                  <c:v>45462.291666666664</c:v>
                </c:pt>
                <c:pt idx="69">
                  <c:v>45462.333333333336</c:v>
                </c:pt>
                <c:pt idx="70">
                  <c:v>45462.375</c:v>
                </c:pt>
                <c:pt idx="71">
                  <c:v>45462.416666666664</c:v>
                </c:pt>
                <c:pt idx="72">
                  <c:v>45462.458333333336</c:v>
                </c:pt>
                <c:pt idx="73">
                  <c:v>45462.5</c:v>
                </c:pt>
                <c:pt idx="74">
                  <c:v>45462.541666666664</c:v>
                </c:pt>
                <c:pt idx="75">
                  <c:v>45462.583333333336</c:v>
                </c:pt>
                <c:pt idx="76">
                  <c:v>45462.625</c:v>
                </c:pt>
                <c:pt idx="77">
                  <c:v>45462.666666666664</c:v>
                </c:pt>
                <c:pt idx="78">
                  <c:v>45462.708333333336</c:v>
                </c:pt>
                <c:pt idx="79">
                  <c:v>45462.75</c:v>
                </c:pt>
                <c:pt idx="80">
                  <c:v>45462.791666666664</c:v>
                </c:pt>
                <c:pt idx="81">
                  <c:v>45462.833333333336</c:v>
                </c:pt>
                <c:pt idx="82">
                  <c:v>45462.875</c:v>
                </c:pt>
                <c:pt idx="83">
                  <c:v>45462.916666666664</c:v>
                </c:pt>
                <c:pt idx="84">
                  <c:v>45463.125</c:v>
                </c:pt>
                <c:pt idx="85">
                  <c:v>45463.166666666664</c:v>
                </c:pt>
                <c:pt idx="86">
                  <c:v>45463.208333333336</c:v>
                </c:pt>
                <c:pt idx="87">
                  <c:v>45463.25</c:v>
                </c:pt>
                <c:pt idx="88">
                  <c:v>45463.291666666664</c:v>
                </c:pt>
                <c:pt idx="89">
                  <c:v>45463.333333333336</c:v>
                </c:pt>
                <c:pt idx="90">
                  <c:v>45463.375</c:v>
                </c:pt>
                <c:pt idx="91">
                  <c:v>45463.416666666664</c:v>
                </c:pt>
                <c:pt idx="92">
                  <c:v>45463.458333333336</c:v>
                </c:pt>
                <c:pt idx="93">
                  <c:v>45463.5</c:v>
                </c:pt>
                <c:pt idx="94">
                  <c:v>45463.541666666664</c:v>
                </c:pt>
                <c:pt idx="95">
                  <c:v>45463.583333333336</c:v>
                </c:pt>
                <c:pt idx="96">
                  <c:v>45463.625</c:v>
                </c:pt>
                <c:pt idx="97">
                  <c:v>45463.666666666664</c:v>
                </c:pt>
                <c:pt idx="98">
                  <c:v>45463.708333333336</c:v>
                </c:pt>
                <c:pt idx="99">
                  <c:v>45463.75</c:v>
                </c:pt>
                <c:pt idx="100">
                  <c:v>45463.791666666664</c:v>
                </c:pt>
                <c:pt idx="101">
                  <c:v>45463.833333333336</c:v>
                </c:pt>
                <c:pt idx="102">
                  <c:v>45463.875</c:v>
                </c:pt>
                <c:pt idx="103">
                  <c:v>45463.916666666664</c:v>
                </c:pt>
                <c:pt idx="104">
                  <c:v>45463.958333333336</c:v>
                </c:pt>
                <c:pt idx="105">
                  <c:v>45464</c:v>
                </c:pt>
                <c:pt idx="106">
                  <c:v>45464.041666666664</c:v>
                </c:pt>
                <c:pt idx="107">
                  <c:v>45464.083333333336</c:v>
                </c:pt>
                <c:pt idx="108">
                  <c:v>45464.125</c:v>
                </c:pt>
                <c:pt idx="109">
                  <c:v>45464.166666666664</c:v>
                </c:pt>
                <c:pt idx="110">
                  <c:v>45464.208333333336</c:v>
                </c:pt>
                <c:pt idx="111">
                  <c:v>45464.25</c:v>
                </c:pt>
                <c:pt idx="112">
                  <c:v>45464.291666666664</c:v>
                </c:pt>
                <c:pt idx="113">
                  <c:v>45464.333333333336</c:v>
                </c:pt>
                <c:pt idx="114">
                  <c:v>45464.375</c:v>
                </c:pt>
                <c:pt idx="115">
                  <c:v>45464.416666666664</c:v>
                </c:pt>
                <c:pt idx="116">
                  <c:v>45464.458333333336</c:v>
                </c:pt>
                <c:pt idx="117">
                  <c:v>45464.5</c:v>
                </c:pt>
                <c:pt idx="118">
                  <c:v>45464.541666666664</c:v>
                </c:pt>
                <c:pt idx="119">
                  <c:v>45464.583333333336</c:v>
                </c:pt>
                <c:pt idx="120">
                  <c:v>45464.625</c:v>
                </c:pt>
                <c:pt idx="121">
                  <c:v>45464.666666666664</c:v>
                </c:pt>
                <c:pt idx="122">
                  <c:v>45464.708333333336</c:v>
                </c:pt>
                <c:pt idx="123">
                  <c:v>45464.75</c:v>
                </c:pt>
                <c:pt idx="124">
                  <c:v>45464.791666666664</c:v>
                </c:pt>
                <c:pt idx="125">
                  <c:v>45464.833333333336</c:v>
                </c:pt>
                <c:pt idx="126">
                  <c:v>45464.875</c:v>
                </c:pt>
                <c:pt idx="127">
                  <c:v>45465.291666666664</c:v>
                </c:pt>
                <c:pt idx="128">
                  <c:v>45465.333333333336</c:v>
                </c:pt>
                <c:pt idx="129">
                  <c:v>45465.375</c:v>
                </c:pt>
                <c:pt idx="130">
                  <c:v>45465.416666666664</c:v>
                </c:pt>
                <c:pt idx="131">
                  <c:v>45465.458333333336</c:v>
                </c:pt>
                <c:pt idx="132">
                  <c:v>45465.5</c:v>
                </c:pt>
                <c:pt idx="133">
                  <c:v>45465.541666666664</c:v>
                </c:pt>
                <c:pt idx="134">
                  <c:v>45465.583333333336</c:v>
                </c:pt>
                <c:pt idx="135">
                  <c:v>45465.625</c:v>
                </c:pt>
                <c:pt idx="136">
                  <c:v>45465.666666666664</c:v>
                </c:pt>
                <c:pt idx="137">
                  <c:v>45465.708333333336</c:v>
                </c:pt>
                <c:pt idx="138">
                  <c:v>45465.75</c:v>
                </c:pt>
                <c:pt idx="139">
                  <c:v>45465.791666666664</c:v>
                </c:pt>
                <c:pt idx="140">
                  <c:v>45465.833333333336</c:v>
                </c:pt>
                <c:pt idx="141">
                  <c:v>45465.875</c:v>
                </c:pt>
                <c:pt idx="142">
                  <c:v>45465.916666666664</c:v>
                </c:pt>
                <c:pt idx="143">
                  <c:v>45465.958333333336</c:v>
                </c:pt>
                <c:pt idx="144">
                  <c:v>45466</c:v>
                </c:pt>
                <c:pt idx="145">
                  <c:v>45466.041666666664</c:v>
                </c:pt>
                <c:pt idx="146">
                  <c:v>45466.083333333336</c:v>
                </c:pt>
                <c:pt idx="147">
                  <c:v>45466.125</c:v>
                </c:pt>
                <c:pt idx="148">
                  <c:v>45466.166666666664</c:v>
                </c:pt>
                <c:pt idx="149">
                  <c:v>45466.208333333336</c:v>
                </c:pt>
                <c:pt idx="150">
                  <c:v>45466.25</c:v>
                </c:pt>
                <c:pt idx="151">
                  <c:v>45466.291666666664</c:v>
                </c:pt>
                <c:pt idx="152">
                  <c:v>45466.333333333336</c:v>
                </c:pt>
                <c:pt idx="153">
                  <c:v>45466.375</c:v>
                </c:pt>
                <c:pt idx="154">
                  <c:v>45466.416666666664</c:v>
                </c:pt>
                <c:pt idx="155">
                  <c:v>45466.458333333336</c:v>
                </c:pt>
                <c:pt idx="156">
                  <c:v>45466.5</c:v>
                </c:pt>
                <c:pt idx="157">
                  <c:v>45466.541666666664</c:v>
                </c:pt>
                <c:pt idx="158">
                  <c:v>45466.583333333336</c:v>
                </c:pt>
                <c:pt idx="159">
                  <c:v>45466.625</c:v>
                </c:pt>
                <c:pt idx="160">
                  <c:v>45466.666666666664</c:v>
                </c:pt>
                <c:pt idx="161">
                  <c:v>45466.708333333336</c:v>
                </c:pt>
                <c:pt idx="162">
                  <c:v>45466.75</c:v>
                </c:pt>
                <c:pt idx="163">
                  <c:v>45466.791666666664</c:v>
                </c:pt>
                <c:pt idx="164">
                  <c:v>45466.833333333336</c:v>
                </c:pt>
                <c:pt idx="165">
                  <c:v>45466.875</c:v>
                </c:pt>
                <c:pt idx="166">
                  <c:v>45466.916666666664</c:v>
                </c:pt>
                <c:pt idx="167">
                  <c:v>45466.958333333336</c:v>
                </c:pt>
                <c:pt idx="168">
                  <c:v>45467</c:v>
                </c:pt>
                <c:pt idx="169">
                  <c:v>45467.041666666664</c:v>
                </c:pt>
                <c:pt idx="170">
                  <c:v>45467.083333333336</c:v>
                </c:pt>
                <c:pt idx="171">
                  <c:v>45467.125</c:v>
                </c:pt>
                <c:pt idx="172">
                  <c:v>45467.166666666664</c:v>
                </c:pt>
                <c:pt idx="173">
                  <c:v>45467.208333333336</c:v>
                </c:pt>
                <c:pt idx="174">
                  <c:v>45467.25</c:v>
                </c:pt>
                <c:pt idx="175">
                  <c:v>45467.291666666664</c:v>
                </c:pt>
                <c:pt idx="176">
                  <c:v>45467.333333333336</c:v>
                </c:pt>
                <c:pt idx="177">
                  <c:v>45467.375</c:v>
                </c:pt>
                <c:pt idx="178">
                  <c:v>45467.416666666664</c:v>
                </c:pt>
                <c:pt idx="179">
                  <c:v>45467.458333333336</c:v>
                </c:pt>
                <c:pt idx="180">
                  <c:v>45467.958333333336</c:v>
                </c:pt>
                <c:pt idx="181">
                  <c:v>45468</c:v>
                </c:pt>
                <c:pt idx="182">
                  <c:v>45468.041666666664</c:v>
                </c:pt>
                <c:pt idx="183">
                  <c:v>45468.083333333336</c:v>
                </c:pt>
                <c:pt idx="184">
                  <c:v>45468.125</c:v>
                </c:pt>
                <c:pt idx="185">
                  <c:v>45468.166666666664</c:v>
                </c:pt>
                <c:pt idx="186">
                  <c:v>45468.208333333336</c:v>
                </c:pt>
                <c:pt idx="187">
                  <c:v>45468.333333333336</c:v>
                </c:pt>
                <c:pt idx="188">
                  <c:v>45468.375</c:v>
                </c:pt>
                <c:pt idx="189">
                  <c:v>45468.416666666664</c:v>
                </c:pt>
                <c:pt idx="190">
                  <c:v>45468.458333333336</c:v>
                </c:pt>
                <c:pt idx="191">
                  <c:v>45468.5</c:v>
                </c:pt>
                <c:pt idx="192">
                  <c:v>45468.541666666664</c:v>
                </c:pt>
                <c:pt idx="193">
                  <c:v>45468.583333333336</c:v>
                </c:pt>
                <c:pt idx="194">
                  <c:v>45468.625</c:v>
                </c:pt>
                <c:pt idx="195">
                  <c:v>45468.666666666664</c:v>
                </c:pt>
                <c:pt idx="196">
                  <c:v>45468.708333333336</c:v>
                </c:pt>
                <c:pt idx="197">
                  <c:v>45468.75</c:v>
                </c:pt>
                <c:pt idx="198">
                  <c:v>45468.791666666664</c:v>
                </c:pt>
                <c:pt idx="199">
                  <c:v>45468.833333333336</c:v>
                </c:pt>
                <c:pt idx="200">
                  <c:v>45468.875</c:v>
                </c:pt>
                <c:pt idx="201">
                  <c:v>45468.916666666664</c:v>
                </c:pt>
                <c:pt idx="202">
                  <c:v>45468.958333333336</c:v>
                </c:pt>
                <c:pt idx="203">
                  <c:v>45469</c:v>
                </c:pt>
                <c:pt idx="204">
                  <c:v>45469.041666666664</c:v>
                </c:pt>
                <c:pt idx="205">
                  <c:v>45469.083333333336</c:v>
                </c:pt>
                <c:pt idx="206">
                  <c:v>45469.125</c:v>
                </c:pt>
                <c:pt idx="207">
                  <c:v>45469.166666666664</c:v>
                </c:pt>
                <c:pt idx="208">
                  <c:v>45469.208333333336</c:v>
                </c:pt>
                <c:pt idx="209">
                  <c:v>45469.25</c:v>
                </c:pt>
                <c:pt idx="210">
                  <c:v>45469.291666666664</c:v>
                </c:pt>
                <c:pt idx="211">
                  <c:v>45469.333333333336</c:v>
                </c:pt>
                <c:pt idx="212">
                  <c:v>45469.375</c:v>
                </c:pt>
                <c:pt idx="213">
                  <c:v>45469.416666666664</c:v>
                </c:pt>
                <c:pt idx="214">
                  <c:v>45469.458333333336</c:v>
                </c:pt>
                <c:pt idx="215">
                  <c:v>45469.5</c:v>
                </c:pt>
                <c:pt idx="216">
                  <c:v>45469.541666666664</c:v>
                </c:pt>
                <c:pt idx="217">
                  <c:v>45469.666666666664</c:v>
                </c:pt>
                <c:pt idx="218">
                  <c:v>45469.708333333336</c:v>
                </c:pt>
                <c:pt idx="219">
                  <c:v>45469.75</c:v>
                </c:pt>
                <c:pt idx="220">
                  <c:v>45469.791666666664</c:v>
                </c:pt>
                <c:pt idx="221">
                  <c:v>45469.833333333336</c:v>
                </c:pt>
                <c:pt idx="222">
                  <c:v>45469.875</c:v>
                </c:pt>
                <c:pt idx="223">
                  <c:v>45469.916666666664</c:v>
                </c:pt>
                <c:pt idx="224">
                  <c:v>45469.958333333336</c:v>
                </c:pt>
                <c:pt idx="225">
                  <c:v>45470</c:v>
                </c:pt>
                <c:pt idx="226">
                  <c:v>45470.041666666664</c:v>
                </c:pt>
                <c:pt idx="227">
                  <c:v>45470.083333333336</c:v>
                </c:pt>
                <c:pt idx="228">
                  <c:v>45470.125</c:v>
                </c:pt>
                <c:pt idx="229">
                  <c:v>45470.166666666664</c:v>
                </c:pt>
                <c:pt idx="230">
                  <c:v>45470.208333333336</c:v>
                </c:pt>
                <c:pt idx="231">
                  <c:v>45470.25</c:v>
                </c:pt>
                <c:pt idx="232">
                  <c:v>45470.291666666664</c:v>
                </c:pt>
                <c:pt idx="233">
                  <c:v>45470.333333333336</c:v>
                </c:pt>
                <c:pt idx="234">
                  <c:v>45470.375</c:v>
                </c:pt>
                <c:pt idx="235">
                  <c:v>45470.416666666664</c:v>
                </c:pt>
                <c:pt idx="236">
                  <c:v>45470.458333333336</c:v>
                </c:pt>
                <c:pt idx="237">
                  <c:v>45470.5</c:v>
                </c:pt>
                <c:pt idx="238">
                  <c:v>45470.541666666664</c:v>
                </c:pt>
                <c:pt idx="239">
                  <c:v>45470.583333333336</c:v>
                </c:pt>
                <c:pt idx="240">
                  <c:v>45470.625</c:v>
                </c:pt>
                <c:pt idx="241">
                  <c:v>45470.666666666664</c:v>
                </c:pt>
                <c:pt idx="242">
                  <c:v>45470.708333333336</c:v>
                </c:pt>
                <c:pt idx="243">
                  <c:v>45470.75</c:v>
                </c:pt>
                <c:pt idx="244">
                  <c:v>45470.791666666664</c:v>
                </c:pt>
                <c:pt idx="245">
                  <c:v>45470.833333333336</c:v>
                </c:pt>
                <c:pt idx="246">
                  <c:v>45470.875</c:v>
                </c:pt>
                <c:pt idx="247">
                  <c:v>45470.916666666664</c:v>
                </c:pt>
                <c:pt idx="248">
                  <c:v>45470.958333333336</c:v>
                </c:pt>
                <c:pt idx="249">
                  <c:v>45471</c:v>
                </c:pt>
                <c:pt idx="250">
                  <c:v>45471.041666666664</c:v>
                </c:pt>
                <c:pt idx="251">
                  <c:v>45471.083333333336</c:v>
                </c:pt>
                <c:pt idx="252">
                  <c:v>45471.125</c:v>
                </c:pt>
                <c:pt idx="253">
                  <c:v>45471.166666666664</c:v>
                </c:pt>
                <c:pt idx="254">
                  <c:v>45471.208333333336</c:v>
                </c:pt>
                <c:pt idx="255">
                  <c:v>45471.25</c:v>
                </c:pt>
                <c:pt idx="256">
                  <c:v>45471.291666666664</c:v>
                </c:pt>
                <c:pt idx="257">
                  <c:v>45471.333333333336</c:v>
                </c:pt>
                <c:pt idx="258">
                  <c:v>45471.375</c:v>
                </c:pt>
                <c:pt idx="259">
                  <c:v>45471.416666666664</c:v>
                </c:pt>
                <c:pt idx="260">
                  <c:v>45471.458333333336</c:v>
                </c:pt>
                <c:pt idx="261">
                  <c:v>45471.5</c:v>
                </c:pt>
                <c:pt idx="262">
                  <c:v>45471.541666666664</c:v>
                </c:pt>
                <c:pt idx="263">
                  <c:v>45471.583333333336</c:v>
                </c:pt>
                <c:pt idx="264">
                  <c:v>45471.625</c:v>
                </c:pt>
                <c:pt idx="265">
                  <c:v>45471.666666666664</c:v>
                </c:pt>
                <c:pt idx="266">
                  <c:v>45471.708333333336</c:v>
                </c:pt>
                <c:pt idx="267">
                  <c:v>45471.75</c:v>
                </c:pt>
                <c:pt idx="268">
                  <c:v>45471.791666666664</c:v>
                </c:pt>
                <c:pt idx="269">
                  <c:v>45471.833333333336</c:v>
                </c:pt>
                <c:pt idx="270">
                  <c:v>45471.875</c:v>
                </c:pt>
                <c:pt idx="271">
                  <c:v>45471.916666666664</c:v>
                </c:pt>
                <c:pt idx="272">
                  <c:v>45471.958333333336</c:v>
                </c:pt>
                <c:pt idx="273">
                  <c:v>45472</c:v>
                </c:pt>
                <c:pt idx="274">
                  <c:v>45472.041666666664</c:v>
                </c:pt>
                <c:pt idx="275">
                  <c:v>45472.083333333336</c:v>
                </c:pt>
                <c:pt idx="276">
                  <c:v>45472.125</c:v>
                </c:pt>
                <c:pt idx="277">
                  <c:v>45472.166666666664</c:v>
                </c:pt>
                <c:pt idx="278">
                  <c:v>45472.208333333336</c:v>
                </c:pt>
                <c:pt idx="279">
                  <c:v>45472.25</c:v>
                </c:pt>
                <c:pt idx="280">
                  <c:v>45472.291666666664</c:v>
                </c:pt>
                <c:pt idx="281">
                  <c:v>45472.333333333336</c:v>
                </c:pt>
                <c:pt idx="282">
                  <c:v>45472.375</c:v>
                </c:pt>
                <c:pt idx="283">
                  <c:v>45472.416666666664</c:v>
                </c:pt>
                <c:pt idx="284">
                  <c:v>45472.708333333336</c:v>
                </c:pt>
                <c:pt idx="285">
                  <c:v>45472.75</c:v>
                </c:pt>
                <c:pt idx="286">
                  <c:v>45472.791666666664</c:v>
                </c:pt>
              </c:numCache>
            </c:numRef>
          </c:cat>
          <c:val>
            <c:numRef>
              <c:f>'934297-0122 J.LivRm_PVitalsag_2'!$P$930:$P$1216</c:f>
              <c:numCache>
                <c:formatCode>General</c:formatCode>
                <c:ptCount val="287"/>
                <c:pt idx="0">
                  <c:v>59.3</c:v>
                </c:pt>
                <c:pt idx="1">
                  <c:v>62.8</c:v>
                </c:pt>
                <c:pt idx="2">
                  <c:v>63.3</c:v>
                </c:pt>
                <c:pt idx="3">
                  <c:v>60.7</c:v>
                </c:pt>
                <c:pt idx="4">
                  <c:v>57</c:v>
                </c:pt>
                <c:pt idx="5">
                  <c:v>60.7</c:v>
                </c:pt>
                <c:pt idx="6">
                  <c:v>64.2</c:v>
                </c:pt>
                <c:pt idx="7">
                  <c:v>59.4</c:v>
                </c:pt>
                <c:pt idx="8">
                  <c:v>54</c:v>
                </c:pt>
                <c:pt idx="9">
                  <c:v>56.1</c:v>
                </c:pt>
                <c:pt idx="10">
                  <c:v>60.6</c:v>
                </c:pt>
                <c:pt idx="11">
                  <c:v>62.1</c:v>
                </c:pt>
                <c:pt idx="12">
                  <c:v>57.5</c:v>
                </c:pt>
                <c:pt idx="13">
                  <c:v>57.8</c:v>
                </c:pt>
                <c:pt idx="14">
                  <c:v>57.9</c:v>
                </c:pt>
                <c:pt idx="15">
                  <c:v>56.9</c:v>
                </c:pt>
                <c:pt idx="16">
                  <c:v>59.9</c:v>
                </c:pt>
                <c:pt idx="17">
                  <c:v>60.8</c:v>
                </c:pt>
                <c:pt idx="18">
                  <c:v>54.2</c:v>
                </c:pt>
                <c:pt idx="19">
                  <c:v>65.3</c:v>
                </c:pt>
                <c:pt idx="20">
                  <c:v>62.1</c:v>
                </c:pt>
                <c:pt idx="21">
                  <c:v>59.4</c:v>
                </c:pt>
                <c:pt idx="22">
                  <c:v>56.8</c:v>
                </c:pt>
                <c:pt idx="23">
                  <c:v>59.6</c:v>
                </c:pt>
                <c:pt idx="24">
                  <c:v>59.6</c:v>
                </c:pt>
                <c:pt idx="25">
                  <c:v>57.3</c:v>
                </c:pt>
                <c:pt idx="26">
                  <c:v>64.7</c:v>
                </c:pt>
                <c:pt idx="27">
                  <c:v>61.6</c:v>
                </c:pt>
                <c:pt idx="28">
                  <c:v>59.7</c:v>
                </c:pt>
                <c:pt idx="29">
                  <c:v>61.1</c:v>
                </c:pt>
                <c:pt idx="30">
                  <c:v>64.2</c:v>
                </c:pt>
                <c:pt idx="31">
                  <c:v>64.7</c:v>
                </c:pt>
                <c:pt idx="32">
                  <c:v>62</c:v>
                </c:pt>
                <c:pt idx="33">
                  <c:v>57.2</c:v>
                </c:pt>
                <c:pt idx="34">
                  <c:v>60</c:v>
                </c:pt>
                <c:pt idx="35">
                  <c:v>57.4</c:v>
                </c:pt>
                <c:pt idx="36">
                  <c:v>57.1</c:v>
                </c:pt>
                <c:pt idx="37">
                  <c:v>59.7</c:v>
                </c:pt>
                <c:pt idx="38">
                  <c:v>61.9</c:v>
                </c:pt>
                <c:pt idx="39">
                  <c:v>64.400000000000006</c:v>
                </c:pt>
                <c:pt idx="40">
                  <c:v>60.6</c:v>
                </c:pt>
                <c:pt idx="41">
                  <c:v>61.6</c:v>
                </c:pt>
                <c:pt idx="42">
                  <c:v>56.4</c:v>
                </c:pt>
                <c:pt idx="43">
                  <c:v>58.3</c:v>
                </c:pt>
                <c:pt idx="44">
                  <c:v>58.7</c:v>
                </c:pt>
                <c:pt idx="45">
                  <c:v>58</c:v>
                </c:pt>
                <c:pt idx="46">
                  <c:v>61.6</c:v>
                </c:pt>
                <c:pt idx="47">
                  <c:v>59.6</c:v>
                </c:pt>
                <c:pt idx="48">
                  <c:v>58.1</c:v>
                </c:pt>
                <c:pt idx="49">
                  <c:v>58.7</c:v>
                </c:pt>
                <c:pt idx="50">
                  <c:v>57.3</c:v>
                </c:pt>
                <c:pt idx="51">
                  <c:v>61</c:v>
                </c:pt>
                <c:pt idx="52">
                  <c:v>64.5</c:v>
                </c:pt>
                <c:pt idx="53">
                  <c:v>60.1</c:v>
                </c:pt>
                <c:pt idx="54">
                  <c:v>54.9</c:v>
                </c:pt>
                <c:pt idx="55">
                  <c:v>58.9</c:v>
                </c:pt>
                <c:pt idx="56">
                  <c:v>59.7</c:v>
                </c:pt>
                <c:pt idx="57">
                  <c:v>58</c:v>
                </c:pt>
                <c:pt idx="58">
                  <c:v>59.5</c:v>
                </c:pt>
                <c:pt idx="59">
                  <c:v>57.8</c:v>
                </c:pt>
                <c:pt idx="60">
                  <c:v>53.1</c:v>
                </c:pt>
                <c:pt idx="61">
                  <c:v>52.9</c:v>
                </c:pt>
                <c:pt idx="62">
                  <c:v>60.2</c:v>
                </c:pt>
                <c:pt idx="63">
                  <c:v>63.4</c:v>
                </c:pt>
                <c:pt idx="64">
                  <c:v>61</c:v>
                </c:pt>
                <c:pt idx="65">
                  <c:v>59.6</c:v>
                </c:pt>
                <c:pt idx="66">
                  <c:v>66.099999999999994</c:v>
                </c:pt>
                <c:pt idx="67">
                  <c:v>63.6</c:v>
                </c:pt>
                <c:pt idx="68">
                  <c:v>59.7</c:v>
                </c:pt>
                <c:pt idx="69">
                  <c:v>58.7</c:v>
                </c:pt>
                <c:pt idx="70">
                  <c:v>58.6</c:v>
                </c:pt>
                <c:pt idx="71">
                  <c:v>59.1</c:v>
                </c:pt>
                <c:pt idx="72">
                  <c:v>61.2</c:v>
                </c:pt>
                <c:pt idx="73">
                  <c:v>59.6</c:v>
                </c:pt>
                <c:pt idx="74">
                  <c:v>64.400000000000006</c:v>
                </c:pt>
                <c:pt idx="75">
                  <c:v>61.9</c:v>
                </c:pt>
                <c:pt idx="76">
                  <c:v>62.6</c:v>
                </c:pt>
                <c:pt idx="77">
                  <c:v>60.3</c:v>
                </c:pt>
                <c:pt idx="78">
                  <c:v>59.1</c:v>
                </c:pt>
                <c:pt idx="79">
                  <c:v>60.7</c:v>
                </c:pt>
                <c:pt idx="80">
                  <c:v>56.5</c:v>
                </c:pt>
                <c:pt idx="81">
                  <c:v>61.6</c:v>
                </c:pt>
                <c:pt idx="82">
                  <c:v>58.9</c:v>
                </c:pt>
                <c:pt idx="83">
                  <c:v>62.8</c:v>
                </c:pt>
                <c:pt idx="84">
                  <c:v>60.9</c:v>
                </c:pt>
                <c:pt idx="85">
                  <c:v>70.2</c:v>
                </c:pt>
                <c:pt idx="86">
                  <c:v>68.7</c:v>
                </c:pt>
                <c:pt idx="87">
                  <c:v>63.5</c:v>
                </c:pt>
                <c:pt idx="88">
                  <c:v>62.6</c:v>
                </c:pt>
                <c:pt idx="89">
                  <c:v>63.5</c:v>
                </c:pt>
                <c:pt idx="90">
                  <c:v>66.7</c:v>
                </c:pt>
                <c:pt idx="91">
                  <c:v>65.8</c:v>
                </c:pt>
                <c:pt idx="92">
                  <c:v>69.900000000000006</c:v>
                </c:pt>
                <c:pt idx="93">
                  <c:v>60.6</c:v>
                </c:pt>
                <c:pt idx="94">
                  <c:v>52.7</c:v>
                </c:pt>
                <c:pt idx="95">
                  <c:v>59.9</c:v>
                </c:pt>
                <c:pt idx="96">
                  <c:v>56.6</c:v>
                </c:pt>
                <c:pt idx="97">
                  <c:v>61.2</c:v>
                </c:pt>
                <c:pt idx="98">
                  <c:v>64.2</c:v>
                </c:pt>
                <c:pt idx="99">
                  <c:v>59.8</c:v>
                </c:pt>
                <c:pt idx="100">
                  <c:v>59.3</c:v>
                </c:pt>
                <c:pt idx="101">
                  <c:v>54</c:v>
                </c:pt>
                <c:pt idx="102">
                  <c:v>66.099999999999994</c:v>
                </c:pt>
                <c:pt idx="103">
                  <c:v>63.7</c:v>
                </c:pt>
                <c:pt idx="104">
                  <c:v>64</c:v>
                </c:pt>
                <c:pt idx="105">
                  <c:v>62.7</c:v>
                </c:pt>
                <c:pt idx="106">
                  <c:v>64</c:v>
                </c:pt>
                <c:pt idx="107">
                  <c:v>64.8</c:v>
                </c:pt>
                <c:pt idx="108">
                  <c:v>66.3</c:v>
                </c:pt>
                <c:pt idx="109">
                  <c:v>60.8</c:v>
                </c:pt>
                <c:pt idx="110">
                  <c:v>58.3</c:v>
                </c:pt>
                <c:pt idx="111">
                  <c:v>59.8</c:v>
                </c:pt>
                <c:pt idx="112">
                  <c:v>60.8</c:v>
                </c:pt>
                <c:pt idx="113">
                  <c:v>61.3</c:v>
                </c:pt>
                <c:pt idx="114">
                  <c:v>62.2</c:v>
                </c:pt>
                <c:pt idx="115">
                  <c:v>62.6</c:v>
                </c:pt>
                <c:pt idx="116">
                  <c:v>59.9</c:v>
                </c:pt>
                <c:pt idx="117">
                  <c:v>61.9</c:v>
                </c:pt>
                <c:pt idx="118">
                  <c:v>60.4</c:v>
                </c:pt>
                <c:pt idx="119">
                  <c:v>63.9</c:v>
                </c:pt>
                <c:pt idx="120">
                  <c:v>69.8</c:v>
                </c:pt>
                <c:pt idx="121">
                  <c:v>57.5</c:v>
                </c:pt>
                <c:pt idx="122">
                  <c:v>58.2</c:v>
                </c:pt>
                <c:pt idx="123">
                  <c:v>58.9</c:v>
                </c:pt>
                <c:pt idx="124">
                  <c:v>64.400000000000006</c:v>
                </c:pt>
                <c:pt idx="125">
                  <c:v>63.3</c:v>
                </c:pt>
                <c:pt idx="126">
                  <c:v>60.3</c:v>
                </c:pt>
                <c:pt idx="127">
                  <c:v>60.8</c:v>
                </c:pt>
                <c:pt idx="128">
                  <c:v>71.099999999999994</c:v>
                </c:pt>
                <c:pt idx="129">
                  <c:v>63.8</c:v>
                </c:pt>
                <c:pt idx="130">
                  <c:v>63</c:v>
                </c:pt>
                <c:pt idx="131">
                  <c:v>62.4</c:v>
                </c:pt>
                <c:pt idx="132">
                  <c:v>57.8</c:v>
                </c:pt>
                <c:pt idx="133">
                  <c:v>64.900000000000006</c:v>
                </c:pt>
                <c:pt idx="134">
                  <c:v>65.099999999999994</c:v>
                </c:pt>
                <c:pt idx="135">
                  <c:v>61.7</c:v>
                </c:pt>
                <c:pt idx="136">
                  <c:v>61.2</c:v>
                </c:pt>
                <c:pt idx="137">
                  <c:v>62.3</c:v>
                </c:pt>
                <c:pt idx="138">
                  <c:v>55.5</c:v>
                </c:pt>
                <c:pt idx="139">
                  <c:v>62.4</c:v>
                </c:pt>
                <c:pt idx="140">
                  <c:v>63.1</c:v>
                </c:pt>
                <c:pt idx="141">
                  <c:v>60.9</c:v>
                </c:pt>
                <c:pt idx="142">
                  <c:v>57.5</c:v>
                </c:pt>
                <c:pt idx="143">
                  <c:v>54.7</c:v>
                </c:pt>
                <c:pt idx="144">
                  <c:v>48.1</c:v>
                </c:pt>
                <c:pt idx="145">
                  <c:v>50.8</c:v>
                </c:pt>
                <c:pt idx="146">
                  <c:v>54.4</c:v>
                </c:pt>
                <c:pt idx="147">
                  <c:v>70.900000000000006</c:v>
                </c:pt>
                <c:pt idx="148">
                  <c:v>61.2</c:v>
                </c:pt>
                <c:pt idx="149">
                  <c:v>59.6</c:v>
                </c:pt>
                <c:pt idx="150">
                  <c:v>62.9</c:v>
                </c:pt>
                <c:pt idx="151">
                  <c:v>55.1</c:v>
                </c:pt>
                <c:pt idx="152">
                  <c:v>60.2</c:v>
                </c:pt>
                <c:pt idx="153">
                  <c:v>54.4</c:v>
                </c:pt>
                <c:pt idx="154">
                  <c:v>75.5</c:v>
                </c:pt>
                <c:pt idx="155">
                  <c:v>78.7</c:v>
                </c:pt>
                <c:pt idx="156">
                  <c:v>69.8</c:v>
                </c:pt>
                <c:pt idx="157">
                  <c:v>67.599999999999994</c:v>
                </c:pt>
                <c:pt idx="158">
                  <c:v>69.400000000000006</c:v>
                </c:pt>
                <c:pt idx="159">
                  <c:v>63.6</c:v>
                </c:pt>
                <c:pt idx="160">
                  <c:v>58.6</c:v>
                </c:pt>
                <c:pt idx="161">
                  <c:v>52.4</c:v>
                </c:pt>
                <c:pt idx="162">
                  <c:v>60.6</c:v>
                </c:pt>
                <c:pt idx="163">
                  <c:v>61.5</c:v>
                </c:pt>
                <c:pt idx="164">
                  <c:v>58.5</c:v>
                </c:pt>
                <c:pt idx="165">
                  <c:v>56.4</c:v>
                </c:pt>
                <c:pt idx="166">
                  <c:v>45.4</c:v>
                </c:pt>
                <c:pt idx="167">
                  <c:v>47.8</c:v>
                </c:pt>
                <c:pt idx="168">
                  <c:v>46.3</c:v>
                </c:pt>
                <c:pt idx="169">
                  <c:v>47</c:v>
                </c:pt>
                <c:pt idx="170">
                  <c:v>41.3</c:v>
                </c:pt>
                <c:pt idx="171">
                  <c:v>46.6</c:v>
                </c:pt>
                <c:pt idx="172">
                  <c:v>47</c:v>
                </c:pt>
                <c:pt idx="173">
                  <c:v>49.1</c:v>
                </c:pt>
                <c:pt idx="174">
                  <c:v>51.7</c:v>
                </c:pt>
                <c:pt idx="175">
                  <c:v>49.4</c:v>
                </c:pt>
                <c:pt idx="176">
                  <c:v>47.2</c:v>
                </c:pt>
                <c:pt idx="177">
                  <c:v>46.7</c:v>
                </c:pt>
                <c:pt idx="178">
                  <c:v>47.4</c:v>
                </c:pt>
                <c:pt idx="179">
                  <c:v>48</c:v>
                </c:pt>
                <c:pt idx="180">
                  <c:v>53.7</c:v>
                </c:pt>
                <c:pt idx="181">
                  <c:v>56.6</c:v>
                </c:pt>
                <c:pt idx="182">
                  <c:v>50.7</c:v>
                </c:pt>
                <c:pt idx="183">
                  <c:v>45.1</c:v>
                </c:pt>
                <c:pt idx="184">
                  <c:v>42.8</c:v>
                </c:pt>
                <c:pt idx="185">
                  <c:v>44</c:v>
                </c:pt>
                <c:pt idx="186">
                  <c:v>42.5</c:v>
                </c:pt>
                <c:pt idx="187">
                  <c:v>52.3</c:v>
                </c:pt>
                <c:pt idx="188">
                  <c:v>54.2</c:v>
                </c:pt>
                <c:pt idx="189">
                  <c:v>54.3</c:v>
                </c:pt>
                <c:pt idx="190">
                  <c:v>59.7</c:v>
                </c:pt>
                <c:pt idx="191">
                  <c:v>55.3</c:v>
                </c:pt>
                <c:pt idx="192">
                  <c:v>54.9</c:v>
                </c:pt>
                <c:pt idx="193">
                  <c:v>56.1</c:v>
                </c:pt>
                <c:pt idx="194">
                  <c:v>53</c:v>
                </c:pt>
                <c:pt idx="195">
                  <c:v>52.8</c:v>
                </c:pt>
                <c:pt idx="196">
                  <c:v>53.8</c:v>
                </c:pt>
                <c:pt idx="197">
                  <c:v>50.1</c:v>
                </c:pt>
                <c:pt idx="198">
                  <c:v>55.4</c:v>
                </c:pt>
                <c:pt idx="199">
                  <c:v>80.599999999999994</c:v>
                </c:pt>
                <c:pt idx="200">
                  <c:v>78</c:v>
                </c:pt>
                <c:pt idx="201">
                  <c:v>73</c:v>
                </c:pt>
                <c:pt idx="202">
                  <c:v>78.2</c:v>
                </c:pt>
                <c:pt idx="203">
                  <c:v>75</c:v>
                </c:pt>
                <c:pt idx="204">
                  <c:v>84.4</c:v>
                </c:pt>
                <c:pt idx="205">
                  <c:v>68.2</c:v>
                </c:pt>
                <c:pt idx="206">
                  <c:v>76.7</c:v>
                </c:pt>
                <c:pt idx="207">
                  <c:v>78.2</c:v>
                </c:pt>
                <c:pt idx="208">
                  <c:v>70.7</c:v>
                </c:pt>
                <c:pt idx="209">
                  <c:v>89</c:v>
                </c:pt>
                <c:pt idx="210">
                  <c:v>83.3</c:v>
                </c:pt>
                <c:pt idx="211">
                  <c:v>84.1</c:v>
                </c:pt>
                <c:pt idx="212">
                  <c:v>83</c:v>
                </c:pt>
                <c:pt idx="213">
                  <c:v>95.1</c:v>
                </c:pt>
                <c:pt idx="214">
                  <c:v>70.400000000000006</c:v>
                </c:pt>
                <c:pt idx="215">
                  <c:v>67.2</c:v>
                </c:pt>
                <c:pt idx="216">
                  <c:v>56</c:v>
                </c:pt>
                <c:pt idx="217">
                  <c:v>87.4</c:v>
                </c:pt>
                <c:pt idx="218">
                  <c:v>90.6</c:v>
                </c:pt>
                <c:pt idx="219">
                  <c:v>91.5</c:v>
                </c:pt>
                <c:pt idx="220">
                  <c:v>94.4</c:v>
                </c:pt>
                <c:pt idx="221">
                  <c:v>94.1</c:v>
                </c:pt>
                <c:pt idx="222">
                  <c:v>95.4</c:v>
                </c:pt>
                <c:pt idx="223">
                  <c:v>97</c:v>
                </c:pt>
                <c:pt idx="224">
                  <c:v>93.9</c:v>
                </c:pt>
                <c:pt idx="225">
                  <c:v>98</c:v>
                </c:pt>
                <c:pt idx="226">
                  <c:v>94.9</c:v>
                </c:pt>
                <c:pt idx="227">
                  <c:v>97.6</c:v>
                </c:pt>
                <c:pt idx="228">
                  <c:v>97.7</c:v>
                </c:pt>
                <c:pt idx="229">
                  <c:v>91.3</c:v>
                </c:pt>
                <c:pt idx="230">
                  <c:v>96</c:v>
                </c:pt>
                <c:pt idx="231">
                  <c:v>97.5</c:v>
                </c:pt>
                <c:pt idx="232">
                  <c:v>96.4</c:v>
                </c:pt>
                <c:pt idx="233">
                  <c:v>86.6</c:v>
                </c:pt>
                <c:pt idx="234">
                  <c:v>75.2</c:v>
                </c:pt>
                <c:pt idx="235">
                  <c:v>93.1</c:v>
                </c:pt>
                <c:pt idx="236">
                  <c:v>90.4</c:v>
                </c:pt>
                <c:pt idx="237">
                  <c:v>91.3</c:v>
                </c:pt>
                <c:pt idx="238">
                  <c:v>78.8</c:v>
                </c:pt>
                <c:pt idx="239">
                  <c:v>85.8</c:v>
                </c:pt>
                <c:pt idx="240">
                  <c:v>61.4</c:v>
                </c:pt>
                <c:pt idx="241">
                  <c:v>64.900000000000006</c:v>
                </c:pt>
                <c:pt idx="242">
                  <c:v>60.9</c:v>
                </c:pt>
                <c:pt idx="243">
                  <c:v>66.099999999999994</c:v>
                </c:pt>
                <c:pt idx="244">
                  <c:v>97.5</c:v>
                </c:pt>
                <c:pt idx="245">
                  <c:v>103.6</c:v>
                </c:pt>
                <c:pt idx="246">
                  <c:v>103</c:v>
                </c:pt>
                <c:pt idx="247">
                  <c:v>101.6</c:v>
                </c:pt>
                <c:pt idx="248">
                  <c:v>101.8</c:v>
                </c:pt>
                <c:pt idx="249">
                  <c:v>102.8</c:v>
                </c:pt>
                <c:pt idx="250">
                  <c:v>102.2</c:v>
                </c:pt>
                <c:pt idx="251">
                  <c:v>102.4</c:v>
                </c:pt>
                <c:pt idx="252">
                  <c:v>97.7</c:v>
                </c:pt>
                <c:pt idx="253">
                  <c:v>97.5</c:v>
                </c:pt>
                <c:pt idx="254">
                  <c:v>95.2</c:v>
                </c:pt>
                <c:pt idx="255">
                  <c:v>93.6</c:v>
                </c:pt>
                <c:pt idx="256">
                  <c:v>94.2</c:v>
                </c:pt>
                <c:pt idx="257">
                  <c:v>94.1</c:v>
                </c:pt>
                <c:pt idx="258">
                  <c:v>97</c:v>
                </c:pt>
                <c:pt idx="259">
                  <c:v>98.1</c:v>
                </c:pt>
                <c:pt idx="260">
                  <c:v>91.6</c:v>
                </c:pt>
                <c:pt idx="261">
                  <c:v>87.1</c:v>
                </c:pt>
                <c:pt idx="262">
                  <c:v>84.3</c:v>
                </c:pt>
                <c:pt idx="263">
                  <c:v>88.4</c:v>
                </c:pt>
                <c:pt idx="264">
                  <c:v>85.1</c:v>
                </c:pt>
                <c:pt idx="265">
                  <c:v>90.7</c:v>
                </c:pt>
                <c:pt idx="266">
                  <c:v>85.2</c:v>
                </c:pt>
                <c:pt idx="267">
                  <c:v>82.6</c:v>
                </c:pt>
                <c:pt idx="268">
                  <c:v>75.5</c:v>
                </c:pt>
                <c:pt idx="269">
                  <c:v>83.8</c:v>
                </c:pt>
                <c:pt idx="270">
                  <c:v>87.1</c:v>
                </c:pt>
                <c:pt idx="271">
                  <c:v>86.2</c:v>
                </c:pt>
                <c:pt idx="272">
                  <c:v>84.1</c:v>
                </c:pt>
                <c:pt idx="273">
                  <c:v>86.3</c:v>
                </c:pt>
                <c:pt idx="274">
                  <c:v>82.8</c:v>
                </c:pt>
                <c:pt idx="275">
                  <c:v>88.9</c:v>
                </c:pt>
                <c:pt idx="276">
                  <c:v>81.2</c:v>
                </c:pt>
                <c:pt idx="277">
                  <c:v>61.1</c:v>
                </c:pt>
                <c:pt idx="278">
                  <c:v>62</c:v>
                </c:pt>
                <c:pt idx="279">
                  <c:v>50.2</c:v>
                </c:pt>
                <c:pt idx="280">
                  <c:v>52.6</c:v>
                </c:pt>
                <c:pt idx="281">
                  <c:v>46.8</c:v>
                </c:pt>
                <c:pt idx="282">
                  <c:v>53.6</c:v>
                </c:pt>
                <c:pt idx="283">
                  <c:v>64.900000000000006</c:v>
                </c:pt>
                <c:pt idx="284">
                  <c:v>62.5</c:v>
                </c:pt>
                <c:pt idx="285">
                  <c:v>56.6</c:v>
                </c:pt>
                <c:pt idx="286">
                  <c:v>54.7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68-0046-907F-1EC8121B04D1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J.LivRm_PVitalsag_2'!$O$930:$O$1216</c:f>
              <c:numCache>
                <c:formatCode>m/d/yy\ h:mm</c:formatCode>
                <c:ptCount val="287"/>
                <c:pt idx="0">
                  <c:v>45459.166666666664</c:v>
                </c:pt>
                <c:pt idx="1">
                  <c:v>45459.208333333336</c:v>
                </c:pt>
                <c:pt idx="2">
                  <c:v>45459.25</c:v>
                </c:pt>
                <c:pt idx="3">
                  <c:v>45459.291666666664</c:v>
                </c:pt>
                <c:pt idx="4">
                  <c:v>45459.333333333336</c:v>
                </c:pt>
                <c:pt idx="5">
                  <c:v>45459.375</c:v>
                </c:pt>
                <c:pt idx="6">
                  <c:v>45459.416666666664</c:v>
                </c:pt>
                <c:pt idx="7">
                  <c:v>45459.458333333336</c:v>
                </c:pt>
                <c:pt idx="8">
                  <c:v>45459.5</c:v>
                </c:pt>
                <c:pt idx="9">
                  <c:v>45459.541666666664</c:v>
                </c:pt>
                <c:pt idx="10">
                  <c:v>45459.583333333336</c:v>
                </c:pt>
                <c:pt idx="11">
                  <c:v>45459.625</c:v>
                </c:pt>
                <c:pt idx="12">
                  <c:v>45459.666666666664</c:v>
                </c:pt>
                <c:pt idx="13">
                  <c:v>45459.708333333336</c:v>
                </c:pt>
                <c:pt idx="14">
                  <c:v>45459.75</c:v>
                </c:pt>
                <c:pt idx="15">
                  <c:v>45459.791666666664</c:v>
                </c:pt>
                <c:pt idx="16">
                  <c:v>45459.833333333336</c:v>
                </c:pt>
                <c:pt idx="17">
                  <c:v>45459.875</c:v>
                </c:pt>
                <c:pt idx="18">
                  <c:v>45460</c:v>
                </c:pt>
                <c:pt idx="19">
                  <c:v>45460.041666666664</c:v>
                </c:pt>
                <c:pt idx="20">
                  <c:v>45460.083333333336</c:v>
                </c:pt>
                <c:pt idx="21">
                  <c:v>45460.125</c:v>
                </c:pt>
                <c:pt idx="22">
                  <c:v>45460.166666666664</c:v>
                </c:pt>
                <c:pt idx="23">
                  <c:v>45460.208333333336</c:v>
                </c:pt>
                <c:pt idx="24">
                  <c:v>45460.25</c:v>
                </c:pt>
                <c:pt idx="25">
                  <c:v>45460.291666666664</c:v>
                </c:pt>
                <c:pt idx="26">
                  <c:v>45460.333333333336</c:v>
                </c:pt>
                <c:pt idx="27">
                  <c:v>45460.375</c:v>
                </c:pt>
                <c:pt idx="28">
                  <c:v>45460.416666666664</c:v>
                </c:pt>
                <c:pt idx="29">
                  <c:v>45460.458333333336</c:v>
                </c:pt>
                <c:pt idx="30">
                  <c:v>45460.5</c:v>
                </c:pt>
                <c:pt idx="31">
                  <c:v>45460.541666666664</c:v>
                </c:pt>
                <c:pt idx="32">
                  <c:v>45460.583333333336</c:v>
                </c:pt>
                <c:pt idx="33">
                  <c:v>45460.625</c:v>
                </c:pt>
                <c:pt idx="34">
                  <c:v>45460.666666666664</c:v>
                </c:pt>
                <c:pt idx="35">
                  <c:v>45460.708333333336</c:v>
                </c:pt>
                <c:pt idx="36">
                  <c:v>45460.75</c:v>
                </c:pt>
                <c:pt idx="37">
                  <c:v>45460.791666666664</c:v>
                </c:pt>
                <c:pt idx="38">
                  <c:v>45460.833333333336</c:v>
                </c:pt>
                <c:pt idx="39">
                  <c:v>45460.875</c:v>
                </c:pt>
                <c:pt idx="40">
                  <c:v>45460.916666666664</c:v>
                </c:pt>
                <c:pt idx="41">
                  <c:v>45460.958333333336</c:v>
                </c:pt>
                <c:pt idx="42">
                  <c:v>45461</c:v>
                </c:pt>
                <c:pt idx="43">
                  <c:v>45461.041666666664</c:v>
                </c:pt>
                <c:pt idx="44">
                  <c:v>45461.083333333336</c:v>
                </c:pt>
                <c:pt idx="45">
                  <c:v>45461.125</c:v>
                </c:pt>
                <c:pt idx="46">
                  <c:v>45461.166666666664</c:v>
                </c:pt>
                <c:pt idx="47">
                  <c:v>45461.208333333336</c:v>
                </c:pt>
                <c:pt idx="48">
                  <c:v>45461.25</c:v>
                </c:pt>
                <c:pt idx="49">
                  <c:v>45461.291666666664</c:v>
                </c:pt>
                <c:pt idx="50">
                  <c:v>45461.333333333336</c:v>
                </c:pt>
                <c:pt idx="51">
                  <c:v>45461.375</c:v>
                </c:pt>
                <c:pt idx="52">
                  <c:v>45461.416666666664</c:v>
                </c:pt>
                <c:pt idx="53">
                  <c:v>45461.458333333336</c:v>
                </c:pt>
                <c:pt idx="54">
                  <c:v>45461.5</c:v>
                </c:pt>
                <c:pt idx="55">
                  <c:v>45461.541666666664</c:v>
                </c:pt>
                <c:pt idx="56">
                  <c:v>45461.583333333336</c:v>
                </c:pt>
                <c:pt idx="57">
                  <c:v>45461.625</c:v>
                </c:pt>
                <c:pt idx="58">
                  <c:v>45461.666666666664</c:v>
                </c:pt>
                <c:pt idx="59">
                  <c:v>45461.708333333336</c:v>
                </c:pt>
                <c:pt idx="60">
                  <c:v>45461.75</c:v>
                </c:pt>
                <c:pt idx="61">
                  <c:v>45461.791666666664</c:v>
                </c:pt>
                <c:pt idx="62">
                  <c:v>45461.833333333336</c:v>
                </c:pt>
                <c:pt idx="63">
                  <c:v>45461.875</c:v>
                </c:pt>
                <c:pt idx="64">
                  <c:v>45461.958333333336</c:v>
                </c:pt>
                <c:pt idx="65">
                  <c:v>45462.166666666664</c:v>
                </c:pt>
                <c:pt idx="66">
                  <c:v>45462.208333333336</c:v>
                </c:pt>
                <c:pt idx="67">
                  <c:v>45462.25</c:v>
                </c:pt>
                <c:pt idx="68">
                  <c:v>45462.291666666664</c:v>
                </c:pt>
                <c:pt idx="69">
                  <c:v>45462.333333333336</c:v>
                </c:pt>
                <c:pt idx="70">
                  <c:v>45462.375</c:v>
                </c:pt>
                <c:pt idx="71">
                  <c:v>45462.416666666664</c:v>
                </c:pt>
                <c:pt idx="72">
                  <c:v>45462.458333333336</c:v>
                </c:pt>
                <c:pt idx="73">
                  <c:v>45462.5</c:v>
                </c:pt>
                <c:pt idx="74">
                  <c:v>45462.541666666664</c:v>
                </c:pt>
                <c:pt idx="75">
                  <c:v>45462.583333333336</c:v>
                </c:pt>
                <c:pt idx="76">
                  <c:v>45462.625</c:v>
                </c:pt>
                <c:pt idx="77">
                  <c:v>45462.666666666664</c:v>
                </c:pt>
                <c:pt idx="78">
                  <c:v>45462.708333333336</c:v>
                </c:pt>
                <c:pt idx="79">
                  <c:v>45462.75</c:v>
                </c:pt>
                <c:pt idx="80">
                  <c:v>45462.791666666664</c:v>
                </c:pt>
                <c:pt idx="81">
                  <c:v>45462.833333333336</c:v>
                </c:pt>
                <c:pt idx="82">
                  <c:v>45462.875</c:v>
                </c:pt>
                <c:pt idx="83">
                  <c:v>45462.916666666664</c:v>
                </c:pt>
                <c:pt idx="84">
                  <c:v>45463.125</c:v>
                </c:pt>
                <c:pt idx="85">
                  <c:v>45463.166666666664</c:v>
                </c:pt>
                <c:pt idx="86">
                  <c:v>45463.208333333336</c:v>
                </c:pt>
                <c:pt idx="87">
                  <c:v>45463.25</c:v>
                </c:pt>
                <c:pt idx="88">
                  <c:v>45463.291666666664</c:v>
                </c:pt>
                <c:pt idx="89">
                  <c:v>45463.333333333336</c:v>
                </c:pt>
                <c:pt idx="90">
                  <c:v>45463.375</c:v>
                </c:pt>
                <c:pt idx="91">
                  <c:v>45463.416666666664</c:v>
                </c:pt>
                <c:pt idx="92">
                  <c:v>45463.458333333336</c:v>
                </c:pt>
                <c:pt idx="93">
                  <c:v>45463.5</c:v>
                </c:pt>
                <c:pt idx="94">
                  <c:v>45463.541666666664</c:v>
                </c:pt>
                <c:pt idx="95">
                  <c:v>45463.583333333336</c:v>
                </c:pt>
                <c:pt idx="96">
                  <c:v>45463.625</c:v>
                </c:pt>
                <c:pt idx="97">
                  <c:v>45463.666666666664</c:v>
                </c:pt>
                <c:pt idx="98">
                  <c:v>45463.708333333336</c:v>
                </c:pt>
                <c:pt idx="99">
                  <c:v>45463.75</c:v>
                </c:pt>
                <c:pt idx="100">
                  <c:v>45463.791666666664</c:v>
                </c:pt>
                <c:pt idx="101">
                  <c:v>45463.833333333336</c:v>
                </c:pt>
                <c:pt idx="102">
                  <c:v>45463.875</c:v>
                </c:pt>
                <c:pt idx="103">
                  <c:v>45463.916666666664</c:v>
                </c:pt>
                <c:pt idx="104">
                  <c:v>45463.958333333336</c:v>
                </c:pt>
                <c:pt idx="105">
                  <c:v>45464</c:v>
                </c:pt>
                <c:pt idx="106">
                  <c:v>45464.041666666664</c:v>
                </c:pt>
                <c:pt idx="107">
                  <c:v>45464.083333333336</c:v>
                </c:pt>
                <c:pt idx="108">
                  <c:v>45464.125</c:v>
                </c:pt>
                <c:pt idx="109">
                  <c:v>45464.166666666664</c:v>
                </c:pt>
                <c:pt idx="110">
                  <c:v>45464.208333333336</c:v>
                </c:pt>
                <c:pt idx="111">
                  <c:v>45464.25</c:v>
                </c:pt>
                <c:pt idx="112">
                  <c:v>45464.291666666664</c:v>
                </c:pt>
                <c:pt idx="113">
                  <c:v>45464.333333333336</c:v>
                </c:pt>
                <c:pt idx="114">
                  <c:v>45464.375</c:v>
                </c:pt>
                <c:pt idx="115">
                  <c:v>45464.416666666664</c:v>
                </c:pt>
                <c:pt idx="116">
                  <c:v>45464.458333333336</c:v>
                </c:pt>
                <c:pt idx="117">
                  <c:v>45464.5</c:v>
                </c:pt>
                <c:pt idx="118">
                  <c:v>45464.541666666664</c:v>
                </c:pt>
                <c:pt idx="119">
                  <c:v>45464.583333333336</c:v>
                </c:pt>
                <c:pt idx="120">
                  <c:v>45464.625</c:v>
                </c:pt>
                <c:pt idx="121">
                  <c:v>45464.666666666664</c:v>
                </c:pt>
                <c:pt idx="122">
                  <c:v>45464.708333333336</c:v>
                </c:pt>
                <c:pt idx="123">
                  <c:v>45464.75</c:v>
                </c:pt>
                <c:pt idx="124">
                  <c:v>45464.791666666664</c:v>
                </c:pt>
                <c:pt idx="125">
                  <c:v>45464.833333333336</c:v>
                </c:pt>
                <c:pt idx="126">
                  <c:v>45464.875</c:v>
                </c:pt>
                <c:pt idx="127">
                  <c:v>45465.291666666664</c:v>
                </c:pt>
                <c:pt idx="128">
                  <c:v>45465.333333333336</c:v>
                </c:pt>
                <c:pt idx="129">
                  <c:v>45465.375</c:v>
                </c:pt>
                <c:pt idx="130">
                  <c:v>45465.416666666664</c:v>
                </c:pt>
                <c:pt idx="131">
                  <c:v>45465.458333333336</c:v>
                </c:pt>
                <c:pt idx="132">
                  <c:v>45465.5</c:v>
                </c:pt>
                <c:pt idx="133">
                  <c:v>45465.541666666664</c:v>
                </c:pt>
                <c:pt idx="134">
                  <c:v>45465.583333333336</c:v>
                </c:pt>
                <c:pt idx="135">
                  <c:v>45465.625</c:v>
                </c:pt>
                <c:pt idx="136">
                  <c:v>45465.666666666664</c:v>
                </c:pt>
                <c:pt idx="137">
                  <c:v>45465.708333333336</c:v>
                </c:pt>
                <c:pt idx="138">
                  <c:v>45465.75</c:v>
                </c:pt>
                <c:pt idx="139">
                  <c:v>45465.791666666664</c:v>
                </c:pt>
                <c:pt idx="140">
                  <c:v>45465.833333333336</c:v>
                </c:pt>
                <c:pt idx="141">
                  <c:v>45465.875</c:v>
                </c:pt>
                <c:pt idx="142">
                  <c:v>45465.916666666664</c:v>
                </c:pt>
                <c:pt idx="143">
                  <c:v>45465.958333333336</c:v>
                </c:pt>
                <c:pt idx="144">
                  <c:v>45466</c:v>
                </c:pt>
                <c:pt idx="145">
                  <c:v>45466.041666666664</c:v>
                </c:pt>
                <c:pt idx="146">
                  <c:v>45466.083333333336</c:v>
                </c:pt>
                <c:pt idx="147">
                  <c:v>45466.125</c:v>
                </c:pt>
                <c:pt idx="148">
                  <c:v>45466.166666666664</c:v>
                </c:pt>
                <c:pt idx="149">
                  <c:v>45466.208333333336</c:v>
                </c:pt>
                <c:pt idx="150">
                  <c:v>45466.25</c:v>
                </c:pt>
                <c:pt idx="151">
                  <c:v>45466.291666666664</c:v>
                </c:pt>
                <c:pt idx="152">
                  <c:v>45466.333333333336</c:v>
                </c:pt>
                <c:pt idx="153">
                  <c:v>45466.375</c:v>
                </c:pt>
                <c:pt idx="154">
                  <c:v>45466.416666666664</c:v>
                </c:pt>
                <c:pt idx="155">
                  <c:v>45466.458333333336</c:v>
                </c:pt>
                <c:pt idx="156">
                  <c:v>45466.5</c:v>
                </c:pt>
                <c:pt idx="157">
                  <c:v>45466.541666666664</c:v>
                </c:pt>
                <c:pt idx="158">
                  <c:v>45466.583333333336</c:v>
                </c:pt>
                <c:pt idx="159">
                  <c:v>45466.625</c:v>
                </c:pt>
                <c:pt idx="160">
                  <c:v>45466.666666666664</c:v>
                </c:pt>
                <c:pt idx="161">
                  <c:v>45466.708333333336</c:v>
                </c:pt>
                <c:pt idx="162">
                  <c:v>45466.75</c:v>
                </c:pt>
                <c:pt idx="163">
                  <c:v>45466.791666666664</c:v>
                </c:pt>
                <c:pt idx="164">
                  <c:v>45466.833333333336</c:v>
                </c:pt>
                <c:pt idx="165">
                  <c:v>45466.875</c:v>
                </c:pt>
                <c:pt idx="166">
                  <c:v>45466.916666666664</c:v>
                </c:pt>
                <c:pt idx="167">
                  <c:v>45466.958333333336</c:v>
                </c:pt>
                <c:pt idx="168">
                  <c:v>45467</c:v>
                </c:pt>
                <c:pt idx="169">
                  <c:v>45467.041666666664</c:v>
                </c:pt>
                <c:pt idx="170">
                  <c:v>45467.083333333336</c:v>
                </c:pt>
                <c:pt idx="171">
                  <c:v>45467.125</c:v>
                </c:pt>
                <c:pt idx="172">
                  <c:v>45467.166666666664</c:v>
                </c:pt>
                <c:pt idx="173">
                  <c:v>45467.208333333336</c:v>
                </c:pt>
                <c:pt idx="174">
                  <c:v>45467.25</c:v>
                </c:pt>
                <c:pt idx="175">
                  <c:v>45467.291666666664</c:v>
                </c:pt>
                <c:pt idx="176">
                  <c:v>45467.333333333336</c:v>
                </c:pt>
                <c:pt idx="177">
                  <c:v>45467.375</c:v>
                </c:pt>
                <c:pt idx="178">
                  <c:v>45467.416666666664</c:v>
                </c:pt>
                <c:pt idx="179">
                  <c:v>45467.458333333336</c:v>
                </c:pt>
                <c:pt idx="180">
                  <c:v>45467.958333333336</c:v>
                </c:pt>
                <c:pt idx="181">
                  <c:v>45468</c:v>
                </c:pt>
                <c:pt idx="182">
                  <c:v>45468.041666666664</c:v>
                </c:pt>
                <c:pt idx="183">
                  <c:v>45468.083333333336</c:v>
                </c:pt>
                <c:pt idx="184">
                  <c:v>45468.125</c:v>
                </c:pt>
                <c:pt idx="185">
                  <c:v>45468.166666666664</c:v>
                </c:pt>
                <c:pt idx="186">
                  <c:v>45468.208333333336</c:v>
                </c:pt>
                <c:pt idx="187">
                  <c:v>45468.333333333336</c:v>
                </c:pt>
                <c:pt idx="188">
                  <c:v>45468.375</c:v>
                </c:pt>
                <c:pt idx="189">
                  <c:v>45468.416666666664</c:v>
                </c:pt>
                <c:pt idx="190">
                  <c:v>45468.458333333336</c:v>
                </c:pt>
                <c:pt idx="191">
                  <c:v>45468.5</c:v>
                </c:pt>
                <c:pt idx="192">
                  <c:v>45468.541666666664</c:v>
                </c:pt>
                <c:pt idx="193">
                  <c:v>45468.583333333336</c:v>
                </c:pt>
                <c:pt idx="194">
                  <c:v>45468.625</c:v>
                </c:pt>
                <c:pt idx="195">
                  <c:v>45468.666666666664</c:v>
                </c:pt>
                <c:pt idx="196">
                  <c:v>45468.708333333336</c:v>
                </c:pt>
                <c:pt idx="197">
                  <c:v>45468.75</c:v>
                </c:pt>
                <c:pt idx="198">
                  <c:v>45468.791666666664</c:v>
                </c:pt>
                <c:pt idx="199">
                  <c:v>45468.833333333336</c:v>
                </c:pt>
                <c:pt idx="200">
                  <c:v>45468.875</c:v>
                </c:pt>
                <c:pt idx="201">
                  <c:v>45468.916666666664</c:v>
                </c:pt>
                <c:pt idx="202">
                  <c:v>45468.958333333336</c:v>
                </c:pt>
                <c:pt idx="203">
                  <c:v>45469</c:v>
                </c:pt>
                <c:pt idx="204">
                  <c:v>45469.041666666664</c:v>
                </c:pt>
                <c:pt idx="205">
                  <c:v>45469.083333333336</c:v>
                </c:pt>
                <c:pt idx="206">
                  <c:v>45469.125</c:v>
                </c:pt>
                <c:pt idx="207">
                  <c:v>45469.166666666664</c:v>
                </c:pt>
                <c:pt idx="208">
                  <c:v>45469.208333333336</c:v>
                </c:pt>
                <c:pt idx="209">
                  <c:v>45469.25</c:v>
                </c:pt>
                <c:pt idx="210">
                  <c:v>45469.291666666664</c:v>
                </c:pt>
                <c:pt idx="211">
                  <c:v>45469.333333333336</c:v>
                </c:pt>
                <c:pt idx="212">
                  <c:v>45469.375</c:v>
                </c:pt>
                <c:pt idx="213">
                  <c:v>45469.416666666664</c:v>
                </c:pt>
                <c:pt idx="214">
                  <c:v>45469.458333333336</c:v>
                </c:pt>
                <c:pt idx="215">
                  <c:v>45469.5</c:v>
                </c:pt>
                <c:pt idx="216">
                  <c:v>45469.541666666664</c:v>
                </c:pt>
                <c:pt idx="217">
                  <c:v>45469.666666666664</c:v>
                </c:pt>
                <c:pt idx="218">
                  <c:v>45469.708333333336</c:v>
                </c:pt>
                <c:pt idx="219">
                  <c:v>45469.75</c:v>
                </c:pt>
                <c:pt idx="220">
                  <c:v>45469.791666666664</c:v>
                </c:pt>
                <c:pt idx="221">
                  <c:v>45469.833333333336</c:v>
                </c:pt>
                <c:pt idx="222">
                  <c:v>45469.875</c:v>
                </c:pt>
                <c:pt idx="223">
                  <c:v>45469.916666666664</c:v>
                </c:pt>
                <c:pt idx="224">
                  <c:v>45469.958333333336</c:v>
                </c:pt>
                <c:pt idx="225">
                  <c:v>45470</c:v>
                </c:pt>
                <c:pt idx="226">
                  <c:v>45470.041666666664</c:v>
                </c:pt>
                <c:pt idx="227">
                  <c:v>45470.083333333336</c:v>
                </c:pt>
                <c:pt idx="228">
                  <c:v>45470.125</c:v>
                </c:pt>
                <c:pt idx="229">
                  <c:v>45470.166666666664</c:v>
                </c:pt>
                <c:pt idx="230">
                  <c:v>45470.208333333336</c:v>
                </c:pt>
                <c:pt idx="231">
                  <c:v>45470.25</c:v>
                </c:pt>
                <c:pt idx="232">
                  <c:v>45470.291666666664</c:v>
                </c:pt>
                <c:pt idx="233">
                  <c:v>45470.333333333336</c:v>
                </c:pt>
                <c:pt idx="234">
                  <c:v>45470.375</c:v>
                </c:pt>
                <c:pt idx="235">
                  <c:v>45470.416666666664</c:v>
                </c:pt>
                <c:pt idx="236">
                  <c:v>45470.458333333336</c:v>
                </c:pt>
                <c:pt idx="237">
                  <c:v>45470.5</c:v>
                </c:pt>
                <c:pt idx="238">
                  <c:v>45470.541666666664</c:v>
                </c:pt>
                <c:pt idx="239">
                  <c:v>45470.583333333336</c:v>
                </c:pt>
                <c:pt idx="240">
                  <c:v>45470.625</c:v>
                </c:pt>
                <c:pt idx="241">
                  <c:v>45470.666666666664</c:v>
                </c:pt>
                <c:pt idx="242">
                  <c:v>45470.708333333336</c:v>
                </c:pt>
                <c:pt idx="243">
                  <c:v>45470.75</c:v>
                </c:pt>
                <c:pt idx="244">
                  <c:v>45470.791666666664</c:v>
                </c:pt>
                <c:pt idx="245">
                  <c:v>45470.833333333336</c:v>
                </c:pt>
                <c:pt idx="246">
                  <c:v>45470.875</c:v>
                </c:pt>
                <c:pt idx="247">
                  <c:v>45470.916666666664</c:v>
                </c:pt>
                <c:pt idx="248">
                  <c:v>45470.958333333336</c:v>
                </c:pt>
                <c:pt idx="249">
                  <c:v>45471</c:v>
                </c:pt>
                <c:pt idx="250">
                  <c:v>45471.041666666664</c:v>
                </c:pt>
                <c:pt idx="251">
                  <c:v>45471.083333333336</c:v>
                </c:pt>
                <c:pt idx="252">
                  <c:v>45471.125</c:v>
                </c:pt>
                <c:pt idx="253">
                  <c:v>45471.166666666664</c:v>
                </c:pt>
                <c:pt idx="254">
                  <c:v>45471.208333333336</c:v>
                </c:pt>
                <c:pt idx="255">
                  <c:v>45471.25</c:v>
                </c:pt>
                <c:pt idx="256">
                  <c:v>45471.291666666664</c:v>
                </c:pt>
                <c:pt idx="257">
                  <c:v>45471.333333333336</c:v>
                </c:pt>
                <c:pt idx="258">
                  <c:v>45471.375</c:v>
                </c:pt>
                <c:pt idx="259">
                  <c:v>45471.416666666664</c:v>
                </c:pt>
                <c:pt idx="260">
                  <c:v>45471.458333333336</c:v>
                </c:pt>
                <c:pt idx="261">
                  <c:v>45471.5</c:v>
                </c:pt>
                <c:pt idx="262">
                  <c:v>45471.541666666664</c:v>
                </c:pt>
                <c:pt idx="263">
                  <c:v>45471.583333333336</c:v>
                </c:pt>
                <c:pt idx="264">
                  <c:v>45471.625</c:v>
                </c:pt>
                <c:pt idx="265">
                  <c:v>45471.666666666664</c:v>
                </c:pt>
                <c:pt idx="266">
                  <c:v>45471.708333333336</c:v>
                </c:pt>
                <c:pt idx="267">
                  <c:v>45471.75</c:v>
                </c:pt>
                <c:pt idx="268">
                  <c:v>45471.791666666664</c:v>
                </c:pt>
                <c:pt idx="269">
                  <c:v>45471.833333333336</c:v>
                </c:pt>
                <c:pt idx="270">
                  <c:v>45471.875</c:v>
                </c:pt>
                <c:pt idx="271">
                  <c:v>45471.916666666664</c:v>
                </c:pt>
                <c:pt idx="272">
                  <c:v>45471.958333333336</c:v>
                </c:pt>
                <c:pt idx="273">
                  <c:v>45472</c:v>
                </c:pt>
                <c:pt idx="274">
                  <c:v>45472.041666666664</c:v>
                </c:pt>
                <c:pt idx="275">
                  <c:v>45472.083333333336</c:v>
                </c:pt>
                <c:pt idx="276">
                  <c:v>45472.125</c:v>
                </c:pt>
                <c:pt idx="277">
                  <c:v>45472.166666666664</c:v>
                </c:pt>
                <c:pt idx="278">
                  <c:v>45472.208333333336</c:v>
                </c:pt>
                <c:pt idx="279">
                  <c:v>45472.25</c:v>
                </c:pt>
                <c:pt idx="280">
                  <c:v>45472.291666666664</c:v>
                </c:pt>
                <c:pt idx="281">
                  <c:v>45472.333333333336</c:v>
                </c:pt>
                <c:pt idx="282">
                  <c:v>45472.375</c:v>
                </c:pt>
                <c:pt idx="283">
                  <c:v>45472.416666666664</c:v>
                </c:pt>
                <c:pt idx="284">
                  <c:v>45472.708333333336</c:v>
                </c:pt>
                <c:pt idx="285">
                  <c:v>45472.75</c:v>
                </c:pt>
                <c:pt idx="286">
                  <c:v>45472.791666666664</c:v>
                </c:pt>
              </c:numCache>
            </c:numRef>
          </c:cat>
          <c:val>
            <c:numRef>
              <c:f>'934297-0122 J.LivRm_PVitalsag_2'!$Q$930:$Q$1216</c:f>
              <c:numCache>
                <c:formatCode>General</c:formatCode>
                <c:ptCount val="287"/>
                <c:pt idx="0">
                  <c:v>59.3</c:v>
                </c:pt>
                <c:pt idx="1">
                  <c:v>66.900000000000006</c:v>
                </c:pt>
                <c:pt idx="2">
                  <c:v>66.8</c:v>
                </c:pt>
                <c:pt idx="3">
                  <c:v>65.2</c:v>
                </c:pt>
                <c:pt idx="4">
                  <c:v>63.3</c:v>
                </c:pt>
                <c:pt idx="5">
                  <c:v>67.7</c:v>
                </c:pt>
                <c:pt idx="6">
                  <c:v>69.599999999999994</c:v>
                </c:pt>
                <c:pt idx="7">
                  <c:v>63.5</c:v>
                </c:pt>
                <c:pt idx="8">
                  <c:v>60.3</c:v>
                </c:pt>
                <c:pt idx="9">
                  <c:v>63.7</c:v>
                </c:pt>
                <c:pt idx="10">
                  <c:v>63.4</c:v>
                </c:pt>
                <c:pt idx="11">
                  <c:v>71.599999999999994</c:v>
                </c:pt>
                <c:pt idx="12">
                  <c:v>61.7</c:v>
                </c:pt>
                <c:pt idx="13">
                  <c:v>66.5</c:v>
                </c:pt>
                <c:pt idx="14">
                  <c:v>64.599999999999994</c:v>
                </c:pt>
                <c:pt idx="15">
                  <c:v>64.8</c:v>
                </c:pt>
                <c:pt idx="16">
                  <c:v>67.900000000000006</c:v>
                </c:pt>
                <c:pt idx="17">
                  <c:v>67.3</c:v>
                </c:pt>
                <c:pt idx="18">
                  <c:v>62.1</c:v>
                </c:pt>
                <c:pt idx="19">
                  <c:v>72.099999999999994</c:v>
                </c:pt>
                <c:pt idx="20">
                  <c:v>66.400000000000006</c:v>
                </c:pt>
                <c:pt idx="21">
                  <c:v>62.6</c:v>
                </c:pt>
                <c:pt idx="22">
                  <c:v>62.6</c:v>
                </c:pt>
                <c:pt idx="23">
                  <c:v>64.7</c:v>
                </c:pt>
                <c:pt idx="24">
                  <c:v>64.2</c:v>
                </c:pt>
                <c:pt idx="25">
                  <c:v>62.4</c:v>
                </c:pt>
                <c:pt idx="26">
                  <c:v>73.099999999999994</c:v>
                </c:pt>
                <c:pt idx="27">
                  <c:v>67.900000000000006</c:v>
                </c:pt>
                <c:pt idx="28">
                  <c:v>64.400000000000006</c:v>
                </c:pt>
                <c:pt idx="29">
                  <c:v>69.5</c:v>
                </c:pt>
                <c:pt idx="30">
                  <c:v>70.5</c:v>
                </c:pt>
                <c:pt idx="31">
                  <c:v>72.900000000000006</c:v>
                </c:pt>
                <c:pt idx="32">
                  <c:v>73.3</c:v>
                </c:pt>
                <c:pt idx="33">
                  <c:v>65.5</c:v>
                </c:pt>
                <c:pt idx="34">
                  <c:v>65.400000000000006</c:v>
                </c:pt>
                <c:pt idx="35">
                  <c:v>65.900000000000006</c:v>
                </c:pt>
                <c:pt idx="36">
                  <c:v>61.6</c:v>
                </c:pt>
                <c:pt idx="37">
                  <c:v>65.599999999999994</c:v>
                </c:pt>
                <c:pt idx="38">
                  <c:v>72.7</c:v>
                </c:pt>
                <c:pt idx="39">
                  <c:v>71.400000000000006</c:v>
                </c:pt>
                <c:pt idx="40">
                  <c:v>66.7</c:v>
                </c:pt>
                <c:pt idx="41">
                  <c:v>68</c:v>
                </c:pt>
                <c:pt idx="42">
                  <c:v>60.2</c:v>
                </c:pt>
                <c:pt idx="43">
                  <c:v>66.400000000000006</c:v>
                </c:pt>
                <c:pt idx="44">
                  <c:v>63.5</c:v>
                </c:pt>
                <c:pt idx="45">
                  <c:v>63.6</c:v>
                </c:pt>
                <c:pt idx="46">
                  <c:v>67.900000000000006</c:v>
                </c:pt>
                <c:pt idx="47">
                  <c:v>67</c:v>
                </c:pt>
                <c:pt idx="48">
                  <c:v>62.8</c:v>
                </c:pt>
                <c:pt idx="49">
                  <c:v>64.099999999999994</c:v>
                </c:pt>
                <c:pt idx="50">
                  <c:v>64.8</c:v>
                </c:pt>
                <c:pt idx="51">
                  <c:v>66.8</c:v>
                </c:pt>
                <c:pt idx="52">
                  <c:v>77.3</c:v>
                </c:pt>
                <c:pt idx="53">
                  <c:v>66.900000000000006</c:v>
                </c:pt>
                <c:pt idx="54">
                  <c:v>58.7</c:v>
                </c:pt>
                <c:pt idx="55">
                  <c:v>65.599999999999994</c:v>
                </c:pt>
                <c:pt idx="56">
                  <c:v>69.5</c:v>
                </c:pt>
                <c:pt idx="57">
                  <c:v>65.599999999999994</c:v>
                </c:pt>
                <c:pt idx="58">
                  <c:v>62.9</c:v>
                </c:pt>
                <c:pt idx="59">
                  <c:v>62</c:v>
                </c:pt>
                <c:pt idx="60">
                  <c:v>60</c:v>
                </c:pt>
                <c:pt idx="61">
                  <c:v>59.3</c:v>
                </c:pt>
                <c:pt idx="62">
                  <c:v>70.2</c:v>
                </c:pt>
                <c:pt idx="63">
                  <c:v>67.599999999999994</c:v>
                </c:pt>
                <c:pt idx="64">
                  <c:v>61.6</c:v>
                </c:pt>
                <c:pt idx="65">
                  <c:v>62.4</c:v>
                </c:pt>
                <c:pt idx="66">
                  <c:v>74.7</c:v>
                </c:pt>
                <c:pt idx="67">
                  <c:v>69.2</c:v>
                </c:pt>
                <c:pt idx="68">
                  <c:v>64.3</c:v>
                </c:pt>
                <c:pt idx="69">
                  <c:v>63</c:v>
                </c:pt>
                <c:pt idx="70">
                  <c:v>74.5</c:v>
                </c:pt>
                <c:pt idx="71">
                  <c:v>63.4</c:v>
                </c:pt>
                <c:pt idx="72">
                  <c:v>69.099999999999994</c:v>
                </c:pt>
                <c:pt idx="73">
                  <c:v>62.7</c:v>
                </c:pt>
                <c:pt idx="74">
                  <c:v>70.7</c:v>
                </c:pt>
                <c:pt idx="75">
                  <c:v>68</c:v>
                </c:pt>
                <c:pt idx="76">
                  <c:v>68.099999999999994</c:v>
                </c:pt>
                <c:pt idx="77">
                  <c:v>65.3</c:v>
                </c:pt>
                <c:pt idx="78">
                  <c:v>66.099999999999994</c:v>
                </c:pt>
                <c:pt idx="79">
                  <c:v>67.099999999999994</c:v>
                </c:pt>
                <c:pt idx="80">
                  <c:v>62.2</c:v>
                </c:pt>
                <c:pt idx="81">
                  <c:v>66.5</c:v>
                </c:pt>
                <c:pt idx="82">
                  <c:v>66.099999999999994</c:v>
                </c:pt>
                <c:pt idx="83">
                  <c:v>68.8</c:v>
                </c:pt>
                <c:pt idx="84">
                  <c:v>69.099999999999994</c:v>
                </c:pt>
                <c:pt idx="85">
                  <c:v>80</c:v>
                </c:pt>
                <c:pt idx="86">
                  <c:v>76.2</c:v>
                </c:pt>
                <c:pt idx="87">
                  <c:v>68.7</c:v>
                </c:pt>
                <c:pt idx="88">
                  <c:v>69</c:v>
                </c:pt>
                <c:pt idx="89">
                  <c:v>78.2</c:v>
                </c:pt>
                <c:pt idx="90">
                  <c:v>77.2</c:v>
                </c:pt>
                <c:pt idx="91">
                  <c:v>79.2</c:v>
                </c:pt>
                <c:pt idx="92">
                  <c:v>80.8</c:v>
                </c:pt>
                <c:pt idx="93">
                  <c:v>71</c:v>
                </c:pt>
                <c:pt idx="94">
                  <c:v>58.4</c:v>
                </c:pt>
                <c:pt idx="95">
                  <c:v>67.2</c:v>
                </c:pt>
                <c:pt idx="96">
                  <c:v>62</c:v>
                </c:pt>
                <c:pt idx="97">
                  <c:v>65.599999999999994</c:v>
                </c:pt>
                <c:pt idx="98">
                  <c:v>69.900000000000006</c:v>
                </c:pt>
                <c:pt idx="99">
                  <c:v>65.099999999999994</c:v>
                </c:pt>
                <c:pt idx="100">
                  <c:v>63.1</c:v>
                </c:pt>
                <c:pt idx="101">
                  <c:v>63.7</c:v>
                </c:pt>
                <c:pt idx="102">
                  <c:v>73</c:v>
                </c:pt>
                <c:pt idx="103">
                  <c:v>70.8</c:v>
                </c:pt>
                <c:pt idx="104">
                  <c:v>70.2</c:v>
                </c:pt>
                <c:pt idx="105">
                  <c:v>68.5</c:v>
                </c:pt>
                <c:pt idx="106">
                  <c:v>66.5</c:v>
                </c:pt>
                <c:pt idx="107">
                  <c:v>76.2</c:v>
                </c:pt>
                <c:pt idx="108">
                  <c:v>75.3</c:v>
                </c:pt>
                <c:pt idx="109">
                  <c:v>67.8</c:v>
                </c:pt>
                <c:pt idx="110">
                  <c:v>62.9</c:v>
                </c:pt>
                <c:pt idx="111">
                  <c:v>64.5</c:v>
                </c:pt>
                <c:pt idx="112">
                  <c:v>67.3</c:v>
                </c:pt>
                <c:pt idx="113">
                  <c:v>66.599999999999994</c:v>
                </c:pt>
                <c:pt idx="114">
                  <c:v>69.400000000000006</c:v>
                </c:pt>
                <c:pt idx="115">
                  <c:v>67.900000000000006</c:v>
                </c:pt>
                <c:pt idx="116">
                  <c:v>64.2</c:v>
                </c:pt>
                <c:pt idx="117">
                  <c:v>67.599999999999994</c:v>
                </c:pt>
                <c:pt idx="118">
                  <c:v>68.400000000000006</c:v>
                </c:pt>
                <c:pt idx="119">
                  <c:v>68.5</c:v>
                </c:pt>
                <c:pt idx="120">
                  <c:v>77.099999999999994</c:v>
                </c:pt>
                <c:pt idx="121">
                  <c:v>69.2</c:v>
                </c:pt>
                <c:pt idx="122">
                  <c:v>71</c:v>
                </c:pt>
                <c:pt idx="123">
                  <c:v>70.8</c:v>
                </c:pt>
                <c:pt idx="124">
                  <c:v>72.8</c:v>
                </c:pt>
                <c:pt idx="125">
                  <c:v>70.900000000000006</c:v>
                </c:pt>
                <c:pt idx="126">
                  <c:v>60.9</c:v>
                </c:pt>
                <c:pt idx="127">
                  <c:v>63.1</c:v>
                </c:pt>
                <c:pt idx="128">
                  <c:v>82.3</c:v>
                </c:pt>
                <c:pt idx="129">
                  <c:v>78.599999999999994</c:v>
                </c:pt>
                <c:pt idx="130">
                  <c:v>67</c:v>
                </c:pt>
                <c:pt idx="131">
                  <c:v>67.099999999999994</c:v>
                </c:pt>
                <c:pt idx="132">
                  <c:v>64.099999999999994</c:v>
                </c:pt>
                <c:pt idx="133">
                  <c:v>74.099999999999994</c:v>
                </c:pt>
                <c:pt idx="134">
                  <c:v>69.7</c:v>
                </c:pt>
                <c:pt idx="135">
                  <c:v>68</c:v>
                </c:pt>
                <c:pt idx="136">
                  <c:v>70.099999999999994</c:v>
                </c:pt>
                <c:pt idx="137">
                  <c:v>72.8</c:v>
                </c:pt>
                <c:pt idx="138">
                  <c:v>59.6</c:v>
                </c:pt>
                <c:pt idx="139">
                  <c:v>70.900000000000006</c:v>
                </c:pt>
                <c:pt idx="140">
                  <c:v>74.8</c:v>
                </c:pt>
                <c:pt idx="141">
                  <c:v>69.7</c:v>
                </c:pt>
                <c:pt idx="142">
                  <c:v>63.6</c:v>
                </c:pt>
                <c:pt idx="143">
                  <c:v>63.6</c:v>
                </c:pt>
                <c:pt idx="144">
                  <c:v>59.1</c:v>
                </c:pt>
                <c:pt idx="145">
                  <c:v>64.5</c:v>
                </c:pt>
                <c:pt idx="146">
                  <c:v>70.3</c:v>
                </c:pt>
                <c:pt idx="147">
                  <c:v>78.3</c:v>
                </c:pt>
                <c:pt idx="148">
                  <c:v>75.099999999999994</c:v>
                </c:pt>
                <c:pt idx="149">
                  <c:v>75.099999999999994</c:v>
                </c:pt>
                <c:pt idx="150">
                  <c:v>72.900000000000006</c:v>
                </c:pt>
                <c:pt idx="151">
                  <c:v>72.3</c:v>
                </c:pt>
                <c:pt idx="152">
                  <c:v>72.099999999999994</c:v>
                </c:pt>
                <c:pt idx="153">
                  <c:v>56.9</c:v>
                </c:pt>
                <c:pt idx="154">
                  <c:v>89.1</c:v>
                </c:pt>
                <c:pt idx="155">
                  <c:v>85.6</c:v>
                </c:pt>
                <c:pt idx="156">
                  <c:v>78.599999999999994</c:v>
                </c:pt>
                <c:pt idx="157">
                  <c:v>79.400000000000006</c:v>
                </c:pt>
                <c:pt idx="158">
                  <c:v>80.7</c:v>
                </c:pt>
                <c:pt idx="159">
                  <c:v>70.3</c:v>
                </c:pt>
                <c:pt idx="160">
                  <c:v>70.7</c:v>
                </c:pt>
                <c:pt idx="161">
                  <c:v>61.9</c:v>
                </c:pt>
                <c:pt idx="162">
                  <c:v>74</c:v>
                </c:pt>
                <c:pt idx="163">
                  <c:v>69.5</c:v>
                </c:pt>
                <c:pt idx="164">
                  <c:v>64</c:v>
                </c:pt>
                <c:pt idx="165">
                  <c:v>67</c:v>
                </c:pt>
                <c:pt idx="166">
                  <c:v>49.7</c:v>
                </c:pt>
                <c:pt idx="167">
                  <c:v>53.9</c:v>
                </c:pt>
                <c:pt idx="168">
                  <c:v>55.4</c:v>
                </c:pt>
                <c:pt idx="169">
                  <c:v>52.7</c:v>
                </c:pt>
                <c:pt idx="170">
                  <c:v>44.6</c:v>
                </c:pt>
                <c:pt idx="171">
                  <c:v>55.8</c:v>
                </c:pt>
                <c:pt idx="172">
                  <c:v>54.6</c:v>
                </c:pt>
                <c:pt idx="173">
                  <c:v>53.7</c:v>
                </c:pt>
                <c:pt idx="174">
                  <c:v>57.1</c:v>
                </c:pt>
                <c:pt idx="175">
                  <c:v>52.8</c:v>
                </c:pt>
                <c:pt idx="176">
                  <c:v>51.3</c:v>
                </c:pt>
                <c:pt idx="177">
                  <c:v>49.3</c:v>
                </c:pt>
                <c:pt idx="178">
                  <c:v>53.3</c:v>
                </c:pt>
                <c:pt idx="179">
                  <c:v>50.2</c:v>
                </c:pt>
                <c:pt idx="180">
                  <c:v>62.9</c:v>
                </c:pt>
                <c:pt idx="181">
                  <c:v>68.7</c:v>
                </c:pt>
                <c:pt idx="182">
                  <c:v>58</c:v>
                </c:pt>
                <c:pt idx="183">
                  <c:v>49.5</c:v>
                </c:pt>
                <c:pt idx="184">
                  <c:v>45.3</c:v>
                </c:pt>
                <c:pt idx="185">
                  <c:v>46.4</c:v>
                </c:pt>
                <c:pt idx="186">
                  <c:v>46.1</c:v>
                </c:pt>
                <c:pt idx="187">
                  <c:v>55.6</c:v>
                </c:pt>
                <c:pt idx="188">
                  <c:v>61.4</c:v>
                </c:pt>
                <c:pt idx="189">
                  <c:v>58.6</c:v>
                </c:pt>
                <c:pt idx="190">
                  <c:v>85.2</c:v>
                </c:pt>
                <c:pt idx="191">
                  <c:v>58.9</c:v>
                </c:pt>
                <c:pt idx="192">
                  <c:v>58.3</c:v>
                </c:pt>
                <c:pt idx="193">
                  <c:v>59.4</c:v>
                </c:pt>
                <c:pt idx="194">
                  <c:v>55</c:v>
                </c:pt>
                <c:pt idx="195">
                  <c:v>57.2</c:v>
                </c:pt>
                <c:pt idx="196">
                  <c:v>58.1</c:v>
                </c:pt>
                <c:pt idx="197">
                  <c:v>51.4</c:v>
                </c:pt>
                <c:pt idx="198">
                  <c:v>67.2</c:v>
                </c:pt>
                <c:pt idx="199">
                  <c:v>93.3</c:v>
                </c:pt>
                <c:pt idx="200">
                  <c:v>87.5</c:v>
                </c:pt>
                <c:pt idx="201">
                  <c:v>86.6</c:v>
                </c:pt>
                <c:pt idx="202">
                  <c:v>93.6</c:v>
                </c:pt>
                <c:pt idx="203">
                  <c:v>90.2</c:v>
                </c:pt>
                <c:pt idx="204">
                  <c:v>93.9</c:v>
                </c:pt>
                <c:pt idx="205">
                  <c:v>82.5</c:v>
                </c:pt>
                <c:pt idx="206">
                  <c:v>88.6</c:v>
                </c:pt>
                <c:pt idx="207">
                  <c:v>89.5</c:v>
                </c:pt>
                <c:pt idx="208">
                  <c:v>100</c:v>
                </c:pt>
                <c:pt idx="209">
                  <c:v>96.3</c:v>
                </c:pt>
                <c:pt idx="210">
                  <c:v>98.4</c:v>
                </c:pt>
                <c:pt idx="211">
                  <c:v>98.4</c:v>
                </c:pt>
                <c:pt idx="212">
                  <c:v>98.7</c:v>
                </c:pt>
                <c:pt idx="213">
                  <c:v>97.5</c:v>
                </c:pt>
                <c:pt idx="214">
                  <c:v>94.9</c:v>
                </c:pt>
                <c:pt idx="215">
                  <c:v>86.5</c:v>
                </c:pt>
                <c:pt idx="216">
                  <c:v>59.9</c:v>
                </c:pt>
                <c:pt idx="217">
                  <c:v>99.3</c:v>
                </c:pt>
                <c:pt idx="218">
                  <c:v>99</c:v>
                </c:pt>
                <c:pt idx="219">
                  <c:v>96.9</c:v>
                </c:pt>
                <c:pt idx="220">
                  <c:v>95.6</c:v>
                </c:pt>
                <c:pt idx="221">
                  <c:v>95.9</c:v>
                </c:pt>
                <c:pt idx="222">
                  <c:v>98.2</c:v>
                </c:pt>
                <c:pt idx="223">
                  <c:v>99.8</c:v>
                </c:pt>
                <c:pt idx="224">
                  <c:v>99.5</c:v>
                </c:pt>
                <c:pt idx="225">
                  <c:v>100.1</c:v>
                </c:pt>
                <c:pt idx="226">
                  <c:v>98.7</c:v>
                </c:pt>
                <c:pt idx="227">
                  <c:v>100</c:v>
                </c:pt>
                <c:pt idx="228">
                  <c:v>104.4</c:v>
                </c:pt>
                <c:pt idx="229">
                  <c:v>100.8</c:v>
                </c:pt>
                <c:pt idx="230">
                  <c:v>99.8</c:v>
                </c:pt>
                <c:pt idx="231">
                  <c:v>103.4</c:v>
                </c:pt>
                <c:pt idx="232">
                  <c:v>100.8</c:v>
                </c:pt>
                <c:pt idx="233">
                  <c:v>99</c:v>
                </c:pt>
                <c:pt idx="234">
                  <c:v>92.7</c:v>
                </c:pt>
                <c:pt idx="235">
                  <c:v>95</c:v>
                </c:pt>
                <c:pt idx="236">
                  <c:v>95</c:v>
                </c:pt>
                <c:pt idx="237">
                  <c:v>95</c:v>
                </c:pt>
                <c:pt idx="238">
                  <c:v>90.5</c:v>
                </c:pt>
                <c:pt idx="239">
                  <c:v>94.7</c:v>
                </c:pt>
                <c:pt idx="240">
                  <c:v>68.5</c:v>
                </c:pt>
                <c:pt idx="241">
                  <c:v>76.099999999999994</c:v>
                </c:pt>
                <c:pt idx="242">
                  <c:v>76.900000000000006</c:v>
                </c:pt>
                <c:pt idx="243">
                  <c:v>74.2</c:v>
                </c:pt>
                <c:pt idx="244">
                  <c:v>105.8</c:v>
                </c:pt>
                <c:pt idx="245">
                  <c:v>108.4</c:v>
                </c:pt>
                <c:pt idx="246">
                  <c:v>104.7</c:v>
                </c:pt>
                <c:pt idx="247">
                  <c:v>105.1</c:v>
                </c:pt>
                <c:pt idx="248">
                  <c:v>105</c:v>
                </c:pt>
                <c:pt idx="249">
                  <c:v>104.8</c:v>
                </c:pt>
                <c:pt idx="250">
                  <c:v>108.8</c:v>
                </c:pt>
                <c:pt idx="251">
                  <c:v>104.9</c:v>
                </c:pt>
                <c:pt idx="252">
                  <c:v>104.3</c:v>
                </c:pt>
                <c:pt idx="253">
                  <c:v>104.2</c:v>
                </c:pt>
                <c:pt idx="254">
                  <c:v>103.3</c:v>
                </c:pt>
                <c:pt idx="255">
                  <c:v>99.4</c:v>
                </c:pt>
                <c:pt idx="256">
                  <c:v>101.2</c:v>
                </c:pt>
                <c:pt idx="257">
                  <c:v>99.3</c:v>
                </c:pt>
                <c:pt idx="258">
                  <c:v>99.8</c:v>
                </c:pt>
                <c:pt idx="259">
                  <c:v>99.9</c:v>
                </c:pt>
                <c:pt idx="260">
                  <c:v>99.2</c:v>
                </c:pt>
                <c:pt idx="261">
                  <c:v>94.9</c:v>
                </c:pt>
                <c:pt idx="262">
                  <c:v>95</c:v>
                </c:pt>
                <c:pt idx="263">
                  <c:v>98.9</c:v>
                </c:pt>
                <c:pt idx="264">
                  <c:v>93.8</c:v>
                </c:pt>
                <c:pt idx="265">
                  <c:v>94.7</c:v>
                </c:pt>
                <c:pt idx="266">
                  <c:v>93.5</c:v>
                </c:pt>
                <c:pt idx="267">
                  <c:v>89.7</c:v>
                </c:pt>
                <c:pt idx="268">
                  <c:v>83.1</c:v>
                </c:pt>
                <c:pt idx="269">
                  <c:v>91.3</c:v>
                </c:pt>
                <c:pt idx="270">
                  <c:v>91.9</c:v>
                </c:pt>
                <c:pt idx="271">
                  <c:v>94.5</c:v>
                </c:pt>
                <c:pt idx="272">
                  <c:v>90.1</c:v>
                </c:pt>
                <c:pt idx="273">
                  <c:v>90.8</c:v>
                </c:pt>
                <c:pt idx="274">
                  <c:v>92.4</c:v>
                </c:pt>
                <c:pt idx="275">
                  <c:v>95.5</c:v>
                </c:pt>
                <c:pt idx="276">
                  <c:v>92.7</c:v>
                </c:pt>
                <c:pt idx="277">
                  <c:v>67.900000000000006</c:v>
                </c:pt>
                <c:pt idx="278">
                  <c:v>67</c:v>
                </c:pt>
                <c:pt idx="279">
                  <c:v>60.4</c:v>
                </c:pt>
                <c:pt idx="280">
                  <c:v>57.1</c:v>
                </c:pt>
                <c:pt idx="281">
                  <c:v>46.8</c:v>
                </c:pt>
                <c:pt idx="282">
                  <c:v>54.6</c:v>
                </c:pt>
                <c:pt idx="283">
                  <c:v>65.099999999999994</c:v>
                </c:pt>
                <c:pt idx="284">
                  <c:v>65.400000000000006</c:v>
                </c:pt>
                <c:pt idx="285">
                  <c:v>62</c:v>
                </c:pt>
                <c:pt idx="286">
                  <c:v>55.4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68-0046-907F-1EC8121B04D1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J.LivRm_PVitalsag_2'!$O$930:$O$1216</c:f>
              <c:numCache>
                <c:formatCode>m/d/yy\ h:mm</c:formatCode>
                <c:ptCount val="287"/>
                <c:pt idx="0">
                  <c:v>45459.166666666664</c:v>
                </c:pt>
                <c:pt idx="1">
                  <c:v>45459.208333333336</c:v>
                </c:pt>
                <c:pt idx="2">
                  <c:v>45459.25</c:v>
                </c:pt>
                <c:pt idx="3">
                  <c:v>45459.291666666664</c:v>
                </c:pt>
                <c:pt idx="4">
                  <c:v>45459.333333333336</c:v>
                </c:pt>
                <c:pt idx="5">
                  <c:v>45459.375</c:v>
                </c:pt>
                <c:pt idx="6">
                  <c:v>45459.416666666664</c:v>
                </c:pt>
                <c:pt idx="7">
                  <c:v>45459.458333333336</c:v>
                </c:pt>
                <c:pt idx="8">
                  <c:v>45459.5</c:v>
                </c:pt>
                <c:pt idx="9">
                  <c:v>45459.541666666664</c:v>
                </c:pt>
                <c:pt idx="10">
                  <c:v>45459.583333333336</c:v>
                </c:pt>
                <c:pt idx="11">
                  <c:v>45459.625</c:v>
                </c:pt>
                <c:pt idx="12">
                  <c:v>45459.666666666664</c:v>
                </c:pt>
                <c:pt idx="13">
                  <c:v>45459.708333333336</c:v>
                </c:pt>
                <c:pt idx="14">
                  <c:v>45459.75</c:v>
                </c:pt>
                <c:pt idx="15">
                  <c:v>45459.791666666664</c:v>
                </c:pt>
                <c:pt idx="16">
                  <c:v>45459.833333333336</c:v>
                </c:pt>
                <c:pt idx="17">
                  <c:v>45459.875</c:v>
                </c:pt>
                <c:pt idx="18">
                  <c:v>45460</c:v>
                </c:pt>
                <c:pt idx="19">
                  <c:v>45460.041666666664</c:v>
                </c:pt>
                <c:pt idx="20">
                  <c:v>45460.083333333336</c:v>
                </c:pt>
                <c:pt idx="21">
                  <c:v>45460.125</c:v>
                </c:pt>
                <c:pt idx="22">
                  <c:v>45460.166666666664</c:v>
                </c:pt>
                <c:pt idx="23">
                  <c:v>45460.208333333336</c:v>
                </c:pt>
                <c:pt idx="24">
                  <c:v>45460.25</c:v>
                </c:pt>
                <c:pt idx="25">
                  <c:v>45460.291666666664</c:v>
                </c:pt>
                <c:pt idx="26">
                  <c:v>45460.333333333336</c:v>
                </c:pt>
                <c:pt idx="27">
                  <c:v>45460.375</c:v>
                </c:pt>
                <c:pt idx="28">
                  <c:v>45460.416666666664</c:v>
                </c:pt>
                <c:pt idx="29">
                  <c:v>45460.458333333336</c:v>
                </c:pt>
                <c:pt idx="30">
                  <c:v>45460.5</c:v>
                </c:pt>
                <c:pt idx="31">
                  <c:v>45460.541666666664</c:v>
                </c:pt>
                <c:pt idx="32">
                  <c:v>45460.583333333336</c:v>
                </c:pt>
                <c:pt idx="33">
                  <c:v>45460.625</c:v>
                </c:pt>
                <c:pt idx="34">
                  <c:v>45460.666666666664</c:v>
                </c:pt>
                <c:pt idx="35">
                  <c:v>45460.708333333336</c:v>
                </c:pt>
                <c:pt idx="36">
                  <c:v>45460.75</c:v>
                </c:pt>
                <c:pt idx="37">
                  <c:v>45460.791666666664</c:v>
                </c:pt>
                <c:pt idx="38">
                  <c:v>45460.833333333336</c:v>
                </c:pt>
                <c:pt idx="39">
                  <c:v>45460.875</c:v>
                </c:pt>
                <c:pt idx="40">
                  <c:v>45460.916666666664</c:v>
                </c:pt>
                <c:pt idx="41">
                  <c:v>45460.958333333336</c:v>
                </c:pt>
                <c:pt idx="42">
                  <c:v>45461</c:v>
                </c:pt>
                <c:pt idx="43">
                  <c:v>45461.041666666664</c:v>
                </c:pt>
                <c:pt idx="44">
                  <c:v>45461.083333333336</c:v>
                </c:pt>
                <c:pt idx="45">
                  <c:v>45461.125</c:v>
                </c:pt>
                <c:pt idx="46">
                  <c:v>45461.166666666664</c:v>
                </c:pt>
                <c:pt idx="47">
                  <c:v>45461.208333333336</c:v>
                </c:pt>
                <c:pt idx="48">
                  <c:v>45461.25</c:v>
                </c:pt>
                <c:pt idx="49">
                  <c:v>45461.291666666664</c:v>
                </c:pt>
                <c:pt idx="50">
                  <c:v>45461.333333333336</c:v>
                </c:pt>
                <c:pt idx="51">
                  <c:v>45461.375</c:v>
                </c:pt>
                <c:pt idx="52">
                  <c:v>45461.416666666664</c:v>
                </c:pt>
                <c:pt idx="53">
                  <c:v>45461.458333333336</c:v>
                </c:pt>
                <c:pt idx="54">
                  <c:v>45461.5</c:v>
                </c:pt>
                <c:pt idx="55">
                  <c:v>45461.541666666664</c:v>
                </c:pt>
                <c:pt idx="56">
                  <c:v>45461.583333333336</c:v>
                </c:pt>
                <c:pt idx="57">
                  <c:v>45461.625</c:v>
                </c:pt>
                <c:pt idx="58">
                  <c:v>45461.666666666664</c:v>
                </c:pt>
                <c:pt idx="59">
                  <c:v>45461.708333333336</c:v>
                </c:pt>
                <c:pt idx="60">
                  <c:v>45461.75</c:v>
                </c:pt>
                <c:pt idx="61">
                  <c:v>45461.791666666664</c:v>
                </c:pt>
                <c:pt idx="62">
                  <c:v>45461.833333333336</c:v>
                </c:pt>
                <c:pt idx="63">
                  <c:v>45461.875</c:v>
                </c:pt>
                <c:pt idx="64">
                  <c:v>45461.958333333336</c:v>
                </c:pt>
                <c:pt idx="65">
                  <c:v>45462.166666666664</c:v>
                </c:pt>
                <c:pt idx="66">
                  <c:v>45462.208333333336</c:v>
                </c:pt>
                <c:pt idx="67">
                  <c:v>45462.25</c:v>
                </c:pt>
                <c:pt idx="68">
                  <c:v>45462.291666666664</c:v>
                </c:pt>
                <c:pt idx="69">
                  <c:v>45462.333333333336</c:v>
                </c:pt>
                <c:pt idx="70">
                  <c:v>45462.375</c:v>
                </c:pt>
                <c:pt idx="71">
                  <c:v>45462.416666666664</c:v>
                </c:pt>
                <c:pt idx="72">
                  <c:v>45462.458333333336</c:v>
                </c:pt>
                <c:pt idx="73">
                  <c:v>45462.5</c:v>
                </c:pt>
                <c:pt idx="74">
                  <c:v>45462.541666666664</c:v>
                </c:pt>
                <c:pt idx="75">
                  <c:v>45462.583333333336</c:v>
                </c:pt>
                <c:pt idx="76">
                  <c:v>45462.625</c:v>
                </c:pt>
                <c:pt idx="77">
                  <c:v>45462.666666666664</c:v>
                </c:pt>
                <c:pt idx="78">
                  <c:v>45462.708333333336</c:v>
                </c:pt>
                <c:pt idx="79">
                  <c:v>45462.75</c:v>
                </c:pt>
                <c:pt idx="80">
                  <c:v>45462.791666666664</c:v>
                </c:pt>
                <c:pt idx="81">
                  <c:v>45462.833333333336</c:v>
                </c:pt>
                <c:pt idx="82">
                  <c:v>45462.875</c:v>
                </c:pt>
                <c:pt idx="83">
                  <c:v>45462.916666666664</c:v>
                </c:pt>
                <c:pt idx="84">
                  <c:v>45463.125</c:v>
                </c:pt>
                <c:pt idx="85">
                  <c:v>45463.166666666664</c:v>
                </c:pt>
                <c:pt idx="86">
                  <c:v>45463.208333333336</c:v>
                </c:pt>
                <c:pt idx="87">
                  <c:v>45463.25</c:v>
                </c:pt>
                <c:pt idx="88">
                  <c:v>45463.291666666664</c:v>
                </c:pt>
                <c:pt idx="89">
                  <c:v>45463.333333333336</c:v>
                </c:pt>
                <c:pt idx="90">
                  <c:v>45463.375</c:v>
                </c:pt>
                <c:pt idx="91">
                  <c:v>45463.416666666664</c:v>
                </c:pt>
                <c:pt idx="92">
                  <c:v>45463.458333333336</c:v>
                </c:pt>
                <c:pt idx="93">
                  <c:v>45463.5</c:v>
                </c:pt>
                <c:pt idx="94">
                  <c:v>45463.541666666664</c:v>
                </c:pt>
                <c:pt idx="95">
                  <c:v>45463.583333333336</c:v>
                </c:pt>
                <c:pt idx="96">
                  <c:v>45463.625</c:v>
                </c:pt>
                <c:pt idx="97">
                  <c:v>45463.666666666664</c:v>
                </c:pt>
                <c:pt idx="98">
                  <c:v>45463.708333333336</c:v>
                </c:pt>
                <c:pt idx="99">
                  <c:v>45463.75</c:v>
                </c:pt>
                <c:pt idx="100">
                  <c:v>45463.791666666664</c:v>
                </c:pt>
                <c:pt idx="101">
                  <c:v>45463.833333333336</c:v>
                </c:pt>
                <c:pt idx="102">
                  <c:v>45463.875</c:v>
                </c:pt>
                <c:pt idx="103">
                  <c:v>45463.916666666664</c:v>
                </c:pt>
                <c:pt idx="104">
                  <c:v>45463.958333333336</c:v>
                </c:pt>
                <c:pt idx="105">
                  <c:v>45464</c:v>
                </c:pt>
                <c:pt idx="106">
                  <c:v>45464.041666666664</c:v>
                </c:pt>
                <c:pt idx="107">
                  <c:v>45464.083333333336</c:v>
                </c:pt>
                <c:pt idx="108">
                  <c:v>45464.125</c:v>
                </c:pt>
                <c:pt idx="109">
                  <c:v>45464.166666666664</c:v>
                </c:pt>
                <c:pt idx="110">
                  <c:v>45464.208333333336</c:v>
                </c:pt>
                <c:pt idx="111">
                  <c:v>45464.25</c:v>
                </c:pt>
                <c:pt idx="112">
                  <c:v>45464.291666666664</c:v>
                </c:pt>
                <c:pt idx="113">
                  <c:v>45464.333333333336</c:v>
                </c:pt>
                <c:pt idx="114">
                  <c:v>45464.375</c:v>
                </c:pt>
                <c:pt idx="115">
                  <c:v>45464.416666666664</c:v>
                </c:pt>
                <c:pt idx="116">
                  <c:v>45464.458333333336</c:v>
                </c:pt>
                <c:pt idx="117">
                  <c:v>45464.5</c:v>
                </c:pt>
                <c:pt idx="118">
                  <c:v>45464.541666666664</c:v>
                </c:pt>
                <c:pt idx="119">
                  <c:v>45464.583333333336</c:v>
                </c:pt>
                <c:pt idx="120">
                  <c:v>45464.625</c:v>
                </c:pt>
                <c:pt idx="121">
                  <c:v>45464.666666666664</c:v>
                </c:pt>
                <c:pt idx="122">
                  <c:v>45464.708333333336</c:v>
                </c:pt>
                <c:pt idx="123">
                  <c:v>45464.75</c:v>
                </c:pt>
                <c:pt idx="124">
                  <c:v>45464.791666666664</c:v>
                </c:pt>
                <c:pt idx="125">
                  <c:v>45464.833333333336</c:v>
                </c:pt>
                <c:pt idx="126">
                  <c:v>45464.875</c:v>
                </c:pt>
                <c:pt idx="127">
                  <c:v>45465.291666666664</c:v>
                </c:pt>
                <c:pt idx="128">
                  <c:v>45465.333333333336</c:v>
                </c:pt>
                <c:pt idx="129">
                  <c:v>45465.375</c:v>
                </c:pt>
                <c:pt idx="130">
                  <c:v>45465.416666666664</c:v>
                </c:pt>
                <c:pt idx="131">
                  <c:v>45465.458333333336</c:v>
                </c:pt>
                <c:pt idx="132">
                  <c:v>45465.5</c:v>
                </c:pt>
                <c:pt idx="133">
                  <c:v>45465.541666666664</c:v>
                </c:pt>
                <c:pt idx="134">
                  <c:v>45465.583333333336</c:v>
                </c:pt>
                <c:pt idx="135">
                  <c:v>45465.625</c:v>
                </c:pt>
                <c:pt idx="136">
                  <c:v>45465.666666666664</c:v>
                </c:pt>
                <c:pt idx="137">
                  <c:v>45465.708333333336</c:v>
                </c:pt>
                <c:pt idx="138">
                  <c:v>45465.75</c:v>
                </c:pt>
                <c:pt idx="139">
                  <c:v>45465.791666666664</c:v>
                </c:pt>
                <c:pt idx="140">
                  <c:v>45465.833333333336</c:v>
                </c:pt>
                <c:pt idx="141">
                  <c:v>45465.875</c:v>
                </c:pt>
                <c:pt idx="142">
                  <c:v>45465.916666666664</c:v>
                </c:pt>
                <c:pt idx="143">
                  <c:v>45465.958333333336</c:v>
                </c:pt>
                <c:pt idx="144">
                  <c:v>45466</c:v>
                </c:pt>
                <c:pt idx="145">
                  <c:v>45466.041666666664</c:v>
                </c:pt>
                <c:pt idx="146">
                  <c:v>45466.083333333336</c:v>
                </c:pt>
                <c:pt idx="147">
                  <c:v>45466.125</c:v>
                </c:pt>
                <c:pt idx="148">
                  <c:v>45466.166666666664</c:v>
                </c:pt>
                <c:pt idx="149">
                  <c:v>45466.208333333336</c:v>
                </c:pt>
                <c:pt idx="150">
                  <c:v>45466.25</c:v>
                </c:pt>
                <c:pt idx="151">
                  <c:v>45466.291666666664</c:v>
                </c:pt>
                <c:pt idx="152">
                  <c:v>45466.333333333336</c:v>
                </c:pt>
                <c:pt idx="153">
                  <c:v>45466.375</c:v>
                </c:pt>
                <c:pt idx="154">
                  <c:v>45466.416666666664</c:v>
                </c:pt>
                <c:pt idx="155">
                  <c:v>45466.458333333336</c:v>
                </c:pt>
                <c:pt idx="156">
                  <c:v>45466.5</c:v>
                </c:pt>
                <c:pt idx="157">
                  <c:v>45466.541666666664</c:v>
                </c:pt>
                <c:pt idx="158">
                  <c:v>45466.583333333336</c:v>
                </c:pt>
                <c:pt idx="159">
                  <c:v>45466.625</c:v>
                </c:pt>
                <c:pt idx="160">
                  <c:v>45466.666666666664</c:v>
                </c:pt>
                <c:pt idx="161">
                  <c:v>45466.708333333336</c:v>
                </c:pt>
                <c:pt idx="162">
                  <c:v>45466.75</c:v>
                </c:pt>
                <c:pt idx="163">
                  <c:v>45466.791666666664</c:v>
                </c:pt>
                <c:pt idx="164">
                  <c:v>45466.833333333336</c:v>
                </c:pt>
                <c:pt idx="165">
                  <c:v>45466.875</c:v>
                </c:pt>
                <c:pt idx="166">
                  <c:v>45466.916666666664</c:v>
                </c:pt>
                <c:pt idx="167">
                  <c:v>45466.958333333336</c:v>
                </c:pt>
                <c:pt idx="168">
                  <c:v>45467</c:v>
                </c:pt>
                <c:pt idx="169">
                  <c:v>45467.041666666664</c:v>
                </c:pt>
                <c:pt idx="170">
                  <c:v>45467.083333333336</c:v>
                </c:pt>
                <c:pt idx="171">
                  <c:v>45467.125</c:v>
                </c:pt>
                <c:pt idx="172">
                  <c:v>45467.166666666664</c:v>
                </c:pt>
                <c:pt idx="173">
                  <c:v>45467.208333333336</c:v>
                </c:pt>
                <c:pt idx="174">
                  <c:v>45467.25</c:v>
                </c:pt>
                <c:pt idx="175">
                  <c:v>45467.291666666664</c:v>
                </c:pt>
                <c:pt idx="176">
                  <c:v>45467.333333333336</c:v>
                </c:pt>
                <c:pt idx="177">
                  <c:v>45467.375</c:v>
                </c:pt>
                <c:pt idx="178">
                  <c:v>45467.416666666664</c:v>
                </c:pt>
                <c:pt idx="179">
                  <c:v>45467.458333333336</c:v>
                </c:pt>
                <c:pt idx="180">
                  <c:v>45467.958333333336</c:v>
                </c:pt>
                <c:pt idx="181">
                  <c:v>45468</c:v>
                </c:pt>
                <c:pt idx="182">
                  <c:v>45468.041666666664</c:v>
                </c:pt>
                <c:pt idx="183">
                  <c:v>45468.083333333336</c:v>
                </c:pt>
                <c:pt idx="184">
                  <c:v>45468.125</c:v>
                </c:pt>
                <c:pt idx="185">
                  <c:v>45468.166666666664</c:v>
                </c:pt>
                <c:pt idx="186">
                  <c:v>45468.208333333336</c:v>
                </c:pt>
                <c:pt idx="187">
                  <c:v>45468.333333333336</c:v>
                </c:pt>
                <c:pt idx="188">
                  <c:v>45468.375</c:v>
                </c:pt>
                <c:pt idx="189">
                  <c:v>45468.416666666664</c:v>
                </c:pt>
                <c:pt idx="190">
                  <c:v>45468.458333333336</c:v>
                </c:pt>
                <c:pt idx="191">
                  <c:v>45468.5</c:v>
                </c:pt>
                <c:pt idx="192">
                  <c:v>45468.541666666664</c:v>
                </c:pt>
                <c:pt idx="193">
                  <c:v>45468.583333333336</c:v>
                </c:pt>
                <c:pt idx="194">
                  <c:v>45468.625</c:v>
                </c:pt>
                <c:pt idx="195">
                  <c:v>45468.666666666664</c:v>
                </c:pt>
                <c:pt idx="196">
                  <c:v>45468.708333333336</c:v>
                </c:pt>
                <c:pt idx="197">
                  <c:v>45468.75</c:v>
                </c:pt>
                <c:pt idx="198">
                  <c:v>45468.791666666664</c:v>
                </c:pt>
                <c:pt idx="199">
                  <c:v>45468.833333333336</c:v>
                </c:pt>
                <c:pt idx="200">
                  <c:v>45468.875</c:v>
                </c:pt>
                <c:pt idx="201">
                  <c:v>45468.916666666664</c:v>
                </c:pt>
                <c:pt idx="202">
                  <c:v>45468.958333333336</c:v>
                </c:pt>
                <c:pt idx="203">
                  <c:v>45469</c:v>
                </c:pt>
                <c:pt idx="204">
                  <c:v>45469.041666666664</c:v>
                </c:pt>
                <c:pt idx="205">
                  <c:v>45469.083333333336</c:v>
                </c:pt>
                <c:pt idx="206">
                  <c:v>45469.125</c:v>
                </c:pt>
                <c:pt idx="207">
                  <c:v>45469.166666666664</c:v>
                </c:pt>
                <c:pt idx="208">
                  <c:v>45469.208333333336</c:v>
                </c:pt>
                <c:pt idx="209">
                  <c:v>45469.25</c:v>
                </c:pt>
                <c:pt idx="210">
                  <c:v>45469.291666666664</c:v>
                </c:pt>
                <c:pt idx="211">
                  <c:v>45469.333333333336</c:v>
                </c:pt>
                <c:pt idx="212">
                  <c:v>45469.375</c:v>
                </c:pt>
                <c:pt idx="213">
                  <c:v>45469.416666666664</c:v>
                </c:pt>
                <c:pt idx="214">
                  <c:v>45469.458333333336</c:v>
                </c:pt>
                <c:pt idx="215">
                  <c:v>45469.5</c:v>
                </c:pt>
                <c:pt idx="216">
                  <c:v>45469.541666666664</c:v>
                </c:pt>
                <c:pt idx="217">
                  <c:v>45469.666666666664</c:v>
                </c:pt>
                <c:pt idx="218">
                  <c:v>45469.708333333336</c:v>
                </c:pt>
                <c:pt idx="219">
                  <c:v>45469.75</c:v>
                </c:pt>
                <c:pt idx="220">
                  <c:v>45469.791666666664</c:v>
                </c:pt>
                <c:pt idx="221">
                  <c:v>45469.833333333336</c:v>
                </c:pt>
                <c:pt idx="222">
                  <c:v>45469.875</c:v>
                </c:pt>
                <c:pt idx="223">
                  <c:v>45469.916666666664</c:v>
                </c:pt>
                <c:pt idx="224">
                  <c:v>45469.958333333336</c:v>
                </c:pt>
                <c:pt idx="225">
                  <c:v>45470</c:v>
                </c:pt>
                <c:pt idx="226">
                  <c:v>45470.041666666664</c:v>
                </c:pt>
                <c:pt idx="227">
                  <c:v>45470.083333333336</c:v>
                </c:pt>
                <c:pt idx="228">
                  <c:v>45470.125</c:v>
                </c:pt>
                <c:pt idx="229">
                  <c:v>45470.166666666664</c:v>
                </c:pt>
                <c:pt idx="230">
                  <c:v>45470.208333333336</c:v>
                </c:pt>
                <c:pt idx="231">
                  <c:v>45470.25</c:v>
                </c:pt>
                <c:pt idx="232">
                  <c:v>45470.291666666664</c:v>
                </c:pt>
                <c:pt idx="233">
                  <c:v>45470.333333333336</c:v>
                </c:pt>
                <c:pt idx="234">
                  <c:v>45470.375</c:v>
                </c:pt>
                <c:pt idx="235">
                  <c:v>45470.416666666664</c:v>
                </c:pt>
                <c:pt idx="236">
                  <c:v>45470.458333333336</c:v>
                </c:pt>
                <c:pt idx="237">
                  <c:v>45470.5</c:v>
                </c:pt>
                <c:pt idx="238">
                  <c:v>45470.541666666664</c:v>
                </c:pt>
                <c:pt idx="239">
                  <c:v>45470.583333333336</c:v>
                </c:pt>
                <c:pt idx="240">
                  <c:v>45470.625</c:v>
                </c:pt>
                <c:pt idx="241">
                  <c:v>45470.666666666664</c:v>
                </c:pt>
                <c:pt idx="242">
                  <c:v>45470.708333333336</c:v>
                </c:pt>
                <c:pt idx="243">
                  <c:v>45470.75</c:v>
                </c:pt>
                <c:pt idx="244">
                  <c:v>45470.791666666664</c:v>
                </c:pt>
                <c:pt idx="245">
                  <c:v>45470.833333333336</c:v>
                </c:pt>
                <c:pt idx="246">
                  <c:v>45470.875</c:v>
                </c:pt>
                <c:pt idx="247">
                  <c:v>45470.916666666664</c:v>
                </c:pt>
                <c:pt idx="248">
                  <c:v>45470.958333333336</c:v>
                </c:pt>
                <c:pt idx="249">
                  <c:v>45471</c:v>
                </c:pt>
                <c:pt idx="250">
                  <c:v>45471.041666666664</c:v>
                </c:pt>
                <c:pt idx="251">
                  <c:v>45471.083333333336</c:v>
                </c:pt>
                <c:pt idx="252">
                  <c:v>45471.125</c:v>
                </c:pt>
                <c:pt idx="253">
                  <c:v>45471.166666666664</c:v>
                </c:pt>
                <c:pt idx="254">
                  <c:v>45471.208333333336</c:v>
                </c:pt>
                <c:pt idx="255">
                  <c:v>45471.25</c:v>
                </c:pt>
                <c:pt idx="256">
                  <c:v>45471.291666666664</c:v>
                </c:pt>
                <c:pt idx="257">
                  <c:v>45471.333333333336</c:v>
                </c:pt>
                <c:pt idx="258">
                  <c:v>45471.375</c:v>
                </c:pt>
                <c:pt idx="259">
                  <c:v>45471.416666666664</c:v>
                </c:pt>
                <c:pt idx="260">
                  <c:v>45471.458333333336</c:v>
                </c:pt>
                <c:pt idx="261">
                  <c:v>45471.5</c:v>
                </c:pt>
                <c:pt idx="262">
                  <c:v>45471.541666666664</c:v>
                </c:pt>
                <c:pt idx="263">
                  <c:v>45471.583333333336</c:v>
                </c:pt>
                <c:pt idx="264">
                  <c:v>45471.625</c:v>
                </c:pt>
                <c:pt idx="265">
                  <c:v>45471.666666666664</c:v>
                </c:pt>
                <c:pt idx="266">
                  <c:v>45471.708333333336</c:v>
                </c:pt>
                <c:pt idx="267">
                  <c:v>45471.75</c:v>
                </c:pt>
                <c:pt idx="268">
                  <c:v>45471.791666666664</c:v>
                </c:pt>
                <c:pt idx="269">
                  <c:v>45471.833333333336</c:v>
                </c:pt>
                <c:pt idx="270">
                  <c:v>45471.875</c:v>
                </c:pt>
                <c:pt idx="271">
                  <c:v>45471.916666666664</c:v>
                </c:pt>
                <c:pt idx="272">
                  <c:v>45471.958333333336</c:v>
                </c:pt>
                <c:pt idx="273">
                  <c:v>45472</c:v>
                </c:pt>
                <c:pt idx="274">
                  <c:v>45472.041666666664</c:v>
                </c:pt>
                <c:pt idx="275">
                  <c:v>45472.083333333336</c:v>
                </c:pt>
                <c:pt idx="276">
                  <c:v>45472.125</c:v>
                </c:pt>
                <c:pt idx="277">
                  <c:v>45472.166666666664</c:v>
                </c:pt>
                <c:pt idx="278">
                  <c:v>45472.208333333336</c:v>
                </c:pt>
                <c:pt idx="279">
                  <c:v>45472.25</c:v>
                </c:pt>
                <c:pt idx="280">
                  <c:v>45472.291666666664</c:v>
                </c:pt>
                <c:pt idx="281">
                  <c:v>45472.333333333336</c:v>
                </c:pt>
                <c:pt idx="282">
                  <c:v>45472.375</c:v>
                </c:pt>
                <c:pt idx="283">
                  <c:v>45472.416666666664</c:v>
                </c:pt>
                <c:pt idx="284">
                  <c:v>45472.708333333336</c:v>
                </c:pt>
                <c:pt idx="285">
                  <c:v>45472.75</c:v>
                </c:pt>
                <c:pt idx="286">
                  <c:v>45472.791666666664</c:v>
                </c:pt>
              </c:numCache>
            </c:numRef>
          </c:cat>
          <c:val>
            <c:numRef>
              <c:f>'934297-0122 J.LivRm_PVitalsag_2'!$R$930:$R$1216</c:f>
              <c:numCache>
                <c:formatCode>General</c:formatCode>
                <c:ptCount val="287"/>
                <c:pt idx="0">
                  <c:v>59.3</c:v>
                </c:pt>
                <c:pt idx="1">
                  <c:v>55.8</c:v>
                </c:pt>
                <c:pt idx="2">
                  <c:v>56.4</c:v>
                </c:pt>
                <c:pt idx="3">
                  <c:v>55.4</c:v>
                </c:pt>
                <c:pt idx="4">
                  <c:v>52.9</c:v>
                </c:pt>
                <c:pt idx="5">
                  <c:v>53.1</c:v>
                </c:pt>
                <c:pt idx="6">
                  <c:v>55.7</c:v>
                </c:pt>
                <c:pt idx="7">
                  <c:v>53.7</c:v>
                </c:pt>
                <c:pt idx="8">
                  <c:v>49.3</c:v>
                </c:pt>
                <c:pt idx="9">
                  <c:v>48.4</c:v>
                </c:pt>
                <c:pt idx="10">
                  <c:v>56.9</c:v>
                </c:pt>
                <c:pt idx="11">
                  <c:v>58.7</c:v>
                </c:pt>
                <c:pt idx="12">
                  <c:v>51.2</c:v>
                </c:pt>
                <c:pt idx="13">
                  <c:v>53.7</c:v>
                </c:pt>
                <c:pt idx="14">
                  <c:v>49.1</c:v>
                </c:pt>
                <c:pt idx="15">
                  <c:v>51.7</c:v>
                </c:pt>
                <c:pt idx="16">
                  <c:v>51.6</c:v>
                </c:pt>
                <c:pt idx="17">
                  <c:v>53.2</c:v>
                </c:pt>
                <c:pt idx="18">
                  <c:v>50.9</c:v>
                </c:pt>
                <c:pt idx="19">
                  <c:v>60.7</c:v>
                </c:pt>
                <c:pt idx="20">
                  <c:v>57.7</c:v>
                </c:pt>
                <c:pt idx="21">
                  <c:v>55.2</c:v>
                </c:pt>
                <c:pt idx="22">
                  <c:v>51.1</c:v>
                </c:pt>
                <c:pt idx="23">
                  <c:v>54.5</c:v>
                </c:pt>
                <c:pt idx="24">
                  <c:v>55.2</c:v>
                </c:pt>
                <c:pt idx="25">
                  <c:v>52.9</c:v>
                </c:pt>
                <c:pt idx="26">
                  <c:v>58.1</c:v>
                </c:pt>
                <c:pt idx="27">
                  <c:v>54.8</c:v>
                </c:pt>
                <c:pt idx="28">
                  <c:v>55.4</c:v>
                </c:pt>
                <c:pt idx="29">
                  <c:v>52.2</c:v>
                </c:pt>
                <c:pt idx="30">
                  <c:v>57.1</c:v>
                </c:pt>
                <c:pt idx="31">
                  <c:v>60.3</c:v>
                </c:pt>
                <c:pt idx="32">
                  <c:v>56.6</c:v>
                </c:pt>
                <c:pt idx="33">
                  <c:v>49.6</c:v>
                </c:pt>
                <c:pt idx="34">
                  <c:v>54.8</c:v>
                </c:pt>
                <c:pt idx="35">
                  <c:v>51.9</c:v>
                </c:pt>
                <c:pt idx="36">
                  <c:v>53.7</c:v>
                </c:pt>
                <c:pt idx="37">
                  <c:v>53.3</c:v>
                </c:pt>
                <c:pt idx="38">
                  <c:v>55.8</c:v>
                </c:pt>
                <c:pt idx="39">
                  <c:v>56.4</c:v>
                </c:pt>
                <c:pt idx="40">
                  <c:v>58</c:v>
                </c:pt>
                <c:pt idx="41">
                  <c:v>54.3</c:v>
                </c:pt>
                <c:pt idx="42">
                  <c:v>52.3</c:v>
                </c:pt>
                <c:pt idx="43">
                  <c:v>51.8</c:v>
                </c:pt>
                <c:pt idx="44">
                  <c:v>54.4</c:v>
                </c:pt>
                <c:pt idx="45">
                  <c:v>50.9</c:v>
                </c:pt>
                <c:pt idx="46">
                  <c:v>52.9</c:v>
                </c:pt>
                <c:pt idx="47">
                  <c:v>54.2</c:v>
                </c:pt>
                <c:pt idx="48">
                  <c:v>53.8</c:v>
                </c:pt>
                <c:pt idx="49">
                  <c:v>55.1</c:v>
                </c:pt>
                <c:pt idx="50">
                  <c:v>51.9</c:v>
                </c:pt>
                <c:pt idx="51">
                  <c:v>55.7</c:v>
                </c:pt>
                <c:pt idx="52">
                  <c:v>57.5</c:v>
                </c:pt>
                <c:pt idx="53">
                  <c:v>55.7</c:v>
                </c:pt>
                <c:pt idx="54">
                  <c:v>50.5</c:v>
                </c:pt>
                <c:pt idx="55">
                  <c:v>50.9</c:v>
                </c:pt>
                <c:pt idx="56">
                  <c:v>54.8</c:v>
                </c:pt>
                <c:pt idx="57">
                  <c:v>51.3</c:v>
                </c:pt>
                <c:pt idx="58">
                  <c:v>55.7</c:v>
                </c:pt>
                <c:pt idx="59">
                  <c:v>52.5</c:v>
                </c:pt>
                <c:pt idx="60">
                  <c:v>50.1</c:v>
                </c:pt>
                <c:pt idx="61">
                  <c:v>48.9</c:v>
                </c:pt>
                <c:pt idx="62">
                  <c:v>55.3</c:v>
                </c:pt>
                <c:pt idx="63">
                  <c:v>59.5</c:v>
                </c:pt>
                <c:pt idx="64">
                  <c:v>60.7</c:v>
                </c:pt>
                <c:pt idx="65">
                  <c:v>58.5</c:v>
                </c:pt>
                <c:pt idx="66">
                  <c:v>54.4</c:v>
                </c:pt>
                <c:pt idx="67">
                  <c:v>57.4</c:v>
                </c:pt>
                <c:pt idx="68">
                  <c:v>54.7</c:v>
                </c:pt>
                <c:pt idx="69">
                  <c:v>53.3</c:v>
                </c:pt>
                <c:pt idx="70">
                  <c:v>53.5</c:v>
                </c:pt>
                <c:pt idx="71">
                  <c:v>55.2</c:v>
                </c:pt>
                <c:pt idx="72">
                  <c:v>54.1</c:v>
                </c:pt>
                <c:pt idx="73">
                  <c:v>55</c:v>
                </c:pt>
                <c:pt idx="74">
                  <c:v>54.8</c:v>
                </c:pt>
                <c:pt idx="75">
                  <c:v>56.7</c:v>
                </c:pt>
                <c:pt idx="76">
                  <c:v>58</c:v>
                </c:pt>
                <c:pt idx="77">
                  <c:v>55.3</c:v>
                </c:pt>
                <c:pt idx="78">
                  <c:v>52.5</c:v>
                </c:pt>
                <c:pt idx="79">
                  <c:v>55.7</c:v>
                </c:pt>
                <c:pt idx="80">
                  <c:v>53.1</c:v>
                </c:pt>
                <c:pt idx="81">
                  <c:v>55.4</c:v>
                </c:pt>
                <c:pt idx="82">
                  <c:v>53.1</c:v>
                </c:pt>
                <c:pt idx="83">
                  <c:v>52.9</c:v>
                </c:pt>
                <c:pt idx="84">
                  <c:v>53.5</c:v>
                </c:pt>
                <c:pt idx="85">
                  <c:v>55.9</c:v>
                </c:pt>
                <c:pt idx="86">
                  <c:v>59.4</c:v>
                </c:pt>
                <c:pt idx="87">
                  <c:v>57.4</c:v>
                </c:pt>
                <c:pt idx="88">
                  <c:v>57.2</c:v>
                </c:pt>
                <c:pt idx="89">
                  <c:v>55.3</c:v>
                </c:pt>
                <c:pt idx="90">
                  <c:v>60.1</c:v>
                </c:pt>
                <c:pt idx="91">
                  <c:v>53.8</c:v>
                </c:pt>
                <c:pt idx="92">
                  <c:v>58</c:v>
                </c:pt>
                <c:pt idx="93">
                  <c:v>54</c:v>
                </c:pt>
                <c:pt idx="94">
                  <c:v>48.2</c:v>
                </c:pt>
                <c:pt idx="95">
                  <c:v>53.9</c:v>
                </c:pt>
                <c:pt idx="96">
                  <c:v>52.5</c:v>
                </c:pt>
                <c:pt idx="97">
                  <c:v>54</c:v>
                </c:pt>
                <c:pt idx="98">
                  <c:v>58.8</c:v>
                </c:pt>
                <c:pt idx="99">
                  <c:v>54.5</c:v>
                </c:pt>
                <c:pt idx="100">
                  <c:v>51.8</c:v>
                </c:pt>
                <c:pt idx="101">
                  <c:v>46.7</c:v>
                </c:pt>
                <c:pt idx="102">
                  <c:v>58.8</c:v>
                </c:pt>
                <c:pt idx="103">
                  <c:v>52.2</c:v>
                </c:pt>
                <c:pt idx="104">
                  <c:v>58.2</c:v>
                </c:pt>
                <c:pt idx="105">
                  <c:v>54.9</c:v>
                </c:pt>
                <c:pt idx="106">
                  <c:v>59.4</c:v>
                </c:pt>
                <c:pt idx="107">
                  <c:v>56.9</c:v>
                </c:pt>
                <c:pt idx="108">
                  <c:v>59</c:v>
                </c:pt>
                <c:pt idx="109">
                  <c:v>51.6</c:v>
                </c:pt>
                <c:pt idx="110">
                  <c:v>53.7</c:v>
                </c:pt>
                <c:pt idx="111">
                  <c:v>54.9</c:v>
                </c:pt>
                <c:pt idx="112">
                  <c:v>54.6</c:v>
                </c:pt>
                <c:pt idx="113">
                  <c:v>56.9</c:v>
                </c:pt>
                <c:pt idx="114">
                  <c:v>57.8</c:v>
                </c:pt>
                <c:pt idx="115">
                  <c:v>57.3</c:v>
                </c:pt>
                <c:pt idx="116">
                  <c:v>56.4</c:v>
                </c:pt>
                <c:pt idx="117">
                  <c:v>57.5</c:v>
                </c:pt>
                <c:pt idx="118">
                  <c:v>55.9</c:v>
                </c:pt>
                <c:pt idx="119">
                  <c:v>56.4</c:v>
                </c:pt>
                <c:pt idx="120">
                  <c:v>59.9</c:v>
                </c:pt>
                <c:pt idx="121">
                  <c:v>49.4</c:v>
                </c:pt>
                <c:pt idx="122">
                  <c:v>50.9</c:v>
                </c:pt>
                <c:pt idx="123">
                  <c:v>52.4</c:v>
                </c:pt>
                <c:pt idx="124">
                  <c:v>52.5</c:v>
                </c:pt>
                <c:pt idx="125">
                  <c:v>55.9</c:v>
                </c:pt>
                <c:pt idx="126">
                  <c:v>59.9</c:v>
                </c:pt>
                <c:pt idx="127">
                  <c:v>57.4</c:v>
                </c:pt>
                <c:pt idx="128">
                  <c:v>51.7</c:v>
                </c:pt>
                <c:pt idx="129">
                  <c:v>56</c:v>
                </c:pt>
                <c:pt idx="130">
                  <c:v>57.2</c:v>
                </c:pt>
                <c:pt idx="131">
                  <c:v>58.5</c:v>
                </c:pt>
                <c:pt idx="132">
                  <c:v>50.7</c:v>
                </c:pt>
                <c:pt idx="133">
                  <c:v>49.8</c:v>
                </c:pt>
                <c:pt idx="134">
                  <c:v>57.5</c:v>
                </c:pt>
                <c:pt idx="135">
                  <c:v>54.2</c:v>
                </c:pt>
                <c:pt idx="136">
                  <c:v>53.3</c:v>
                </c:pt>
                <c:pt idx="137">
                  <c:v>51.4</c:v>
                </c:pt>
                <c:pt idx="138">
                  <c:v>49.9</c:v>
                </c:pt>
                <c:pt idx="139">
                  <c:v>51</c:v>
                </c:pt>
                <c:pt idx="140">
                  <c:v>56.2</c:v>
                </c:pt>
                <c:pt idx="141">
                  <c:v>56.9</c:v>
                </c:pt>
                <c:pt idx="142">
                  <c:v>50.5</c:v>
                </c:pt>
                <c:pt idx="143">
                  <c:v>45.5</c:v>
                </c:pt>
                <c:pt idx="144">
                  <c:v>40.1</c:v>
                </c:pt>
                <c:pt idx="145">
                  <c:v>40.6</c:v>
                </c:pt>
                <c:pt idx="146">
                  <c:v>47.5</c:v>
                </c:pt>
                <c:pt idx="147">
                  <c:v>59.3</c:v>
                </c:pt>
                <c:pt idx="148">
                  <c:v>50</c:v>
                </c:pt>
                <c:pt idx="149">
                  <c:v>44.9</c:v>
                </c:pt>
                <c:pt idx="150">
                  <c:v>53</c:v>
                </c:pt>
                <c:pt idx="151">
                  <c:v>46.2</c:v>
                </c:pt>
                <c:pt idx="152">
                  <c:v>51.7</c:v>
                </c:pt>
                <c:pt idx="153">
                  <c:v>51.8</c:v>
                </c:pt>
                <c:pt idx="154">
                  <c:v>52.7</c:v>
                </c:pt>
                <c:pt idx="155">
                  <c:v>62.8</c:v>
                </c:pt>
                <c:pt idx="156">
                  <c:v>62.5</c:v>
                </c:pt>
                <c:pt idx="157">
                  <c:v>55.8</c:v>
                </c:pt>
                <c:pt idx="158">
                  <c:v>61.2</c:v>
                </c:pt>
                <c:pt idx="159">
                  <c:v>57.5</c:v>
                </c:pt>
                <c:pt idx="160">
                  <c:v>48.7</c:v>
                </c:pt>
                <c:pt idx="161">
                  <c:v>46.8</c:v>
                </c:pt>
                <c:pt idx="162">
                  <c:v>50.5</c:v>
                </c:pt>
                <c:pt idx="163">
                  <c:v>54.8</c:v>
                </c:pt>
                <c:pt idx="164">
                  <c:v>52.8</c:v>
                </c:pt>
                <c:pt idx="165">
                  <c:v>42.5</c:v>
                </c:pt>
                <c:pt idx="166">
                  <c:v>40.5</c:v>
                </c:pt>
                <c:pt idx="167">
                  <c:v>40.799999999999997</c:v>
                </c:pt>
                <c:pt idx="168">
                  <c:v>40.700000000000003</c:v>
                </c:pt>
                <c:pt idx="169">
                  <c:v>40.9</c:v>
                </c:pt>
                <c:pt idx="170">
                  <c:v>40.1</c:v>
                </c:pt>
                <c:pt idx="171">
                  <c:v>40.1</c:v>
                </c:pt>
                <c:pt idx="172">
                  <c:v>40.1</c:v>
                </c:pt>
                <c:pt idx="173">
                  <c:v>42.6</c:v>
                </c:pt>
                <c:pt idx="174">
                  <c:v>46.8</c:v>
                </c:pt>
                <c:pt idx="175">
                  <c:v>43.9</c:v>
                </c:pt>
                <c:pt idx="176">
                  <c:v>42.3</c:v>
                </c:pt>
                <c:pt idx="177">
                  <c:v>44</c:v>
                </c:pt>
                <c:pt idx="178">
                  <c:v>42.7</c:v>
                </c:pt>
                <c:pt idx="179">
                  <c:v>45.8</c:v>
                </c:pt>
                <c:pt idx="180">
                  <c:v>46.6</c:v>
                </c:pt>
                <c:pt idx="181">
                  <c:v>49.1</c:v>
                </c:pt>
                <c:pt idx="182">
                  <c:v>44.3</c:v>
                </c:pt>
                <c:pt idx="183">
                  <c:v>40.1</c:v>
                </c:pt>
                <c:pt idx="184">
                  <c:v>40.1</c:v>
                </c:pt>
                <c:pt idx="185">
                  <c:v>40.9</c:v>
                </c:pt>
                <c:pt idx="186">
                  <c:v>40.1</c:v>
                </c:pt>
                <c:pt idx="187">
                  <c:v>49.8</c:v>
                </c:pt>
                <c:pt idx="188">
                  <c:v>48.7</c:v>
                </c:pt>
                <c:pt idx="189">
                  <c:v>48.7</c:v>
                </c:pt>
                <c:pt idx="190">
                  <c:v>49.8</c:v>
                </c:pt>
                <c:pt idx="191">
                  <c:v>53.5</c:v>
                </c:pt>
                <c:pt idx="192">
                  <c:v>52.4</c:v>
                </c:pt>
                <c:pt idx="193">
                  <c:v>53.1</c:v>
                </c:pt>
                <c:pt idx="194">
                  <c:v>50.9</c:v>
                </c:pt>
                <c:pt idx="195">
                  <c:v>48.3</c:v>
                </c:pt>
                <c:pt idx="196">
                  <c:v>50</c:v>
                </c:pt>
                <c:pt idx="197">
                  <c:v>49.1</c:v>
                </c:pt>
                <c:pt idx="198">
                  <c:v>50.2</c:v>
                </c:pt>
                <c:pt idx="199">
                  <c:v>55.8</c:v>
                </c:pt>
                <c:pt idx="200">
                  <c:v>57.8</c:v>
                </c:pt>
                <c:pt idx="201">
                  <c:v>61.4</c:v>
                </c:pt>
                <c:pt idx="202">
                  <c:v>53.5</c:v>
                </c:pt>
                <c:pt idx="203">
                  <c:v>59.5</c:v>
                </c:pt>
                <c:pt idx="204">
                  <c:v>65.5</c:v>
                </c:pt>
                <c:pt idx="205">
                  <c:v>56.2</c:v>
                </c:pt>
                <c:pt idx="206">
                  <c:v>61.8</c:v>
                </c:pt>
                <c:pt idx="207">
                  <c:v>63.5</c:v>
                </c:pt>
                <c:pt idx="208">
                  <c:v>52.3</c:v>
                </c:pt>
                <c:pt idx="209">
                  <c:v>71.8</c:v>
                </c:pt>
                <c:pt idx="210">
                  <c:v>69.3</c:v>
                </c:pt>
                <c:pt idx="211">
                  <c:v>68.5</c:v>
                </c:pt>
                <c:pt idx="212">
                  <c:v>70.5</c:v>
                </c:pt>
                <c:pt idx="213">
                  <c:v>91.3</c:v>
                </c:pt>
                <c:pt idx="214">
                  <c:v>51.4</c:v>
                </c:pt>
                <c:pt idx="215">
                  <c:v>57.7</c:v>
                </c:pt>
                <c:pt idx="216">
                  <c:v>51.3</c:v>
                </c:pt>
                <c:pt idx="217">
                  <c:v>69.900000000000006</c:v>
                </c:pt>
                <c:pt idx="218">
                  <c:v>75.2</c:v>
                </c:pt>
                <c:pt idx="219">
                  <c:v>79.5</c:v>
                </c:pt>
                <c:pt idx="220">
                  <c:v>90.6</c:v>
                </c:pt>
                <c:pt idx="221">
                  <c:v>84.7</c:v>
                </c:pt>
                <c:pt idx="222">
                  <c:v>90.9</c:v>
                </c:pt>
                <c:pt idx="223">
                  <c:v>90.8</c:v>
                </c:pt>
                <c:pt idx="224">
                  <c:v>79.900000000000006</c:v>
                </c:pt>
                <c:pt idx="225">
                  <c:v>93.2</c:v>
                </c:pt>
                <c:pt idx="226">
                  <c:v>81.400000000000006</c:v>
                </c:pt>
                <c:pt idx="227">
                  <c:v>91.9</c:v>
                </c:pt>
                <c:pt idx="228">
                  <c:v>90.4</c:v>
                </c:pt>
                <c:pt idx="229">
                  <c:v>74.3</c:v>
                </c:pt>
                <c:pt idx="230">
                  <c:v>89.3</c:v>
                </c:pt>
                <c:pt idx="231">
                  <c:v>82.4</c:v>
                </c:pt>
                <c:pt idx="232">
                  <c:v>83.7</c:v>
                </c:pt>
                <c:pt idx="233">
                  <c:v>62.1</c:v>
                </c:pt>
                <c:pt idx="234">
                  <c:v>61.3</c:v>
                </c:pt>
                <c:pt idx="235">
                  <c:v>90</c:v>
                </c:pt>
                <c:pt idx="236">
                  <c:v>77.8</c:v>
                </c:pt>
                <c:pt idx="237">
                  <c:v>80.8</c:v>
                </c:pt>
                <c:pt idx="238">
                  <c:v>66</c:v>
                </c:pt>
                <c:pt idx="239">
                  <c:v>67.7</c:v>
                </c:pt>
                <c:pt idx="240">
                  <c:v>55.6</c:v>
                </c:pt>
                <c:pt idx="241">
                  <c:v>58.4</c:v>
                </c:pt>
                <c:pt idx="242">
                  <c:v>51.7</c:v>
                </c:pt>
                <c:pt idx="243">
                  <c:v>60.1</c:v>
                </c:pt>
                <c:pt idx="244">
                  <c:v>59.7</c:v>
                </c:pt>
                <c:pt idx="245">
                  <c:v>94.8</c:v>
                </c:pt>
                <c:pt idx="246">
                  <c:v>99.5</c:v>
                </c:pt>
                <c:pt idx="247">
                  <c:v>95.6</c:v>
                </c:pt>
                <c:pt idx="248">
                  <c:v>95.3</c:v>
                </c:pt>
                <c:pt idx="249">
                  <c:v>98.7</c:v>
                </c:pt>
                <c:pt idx="250">
                  <c:v>91.1</c:v>
                </c:pt>
                <c:pt idx="251">
                  <c:v>99.1</c:v>
                </c:pt>
                <c:pt idx="252">
                  <c:v>89.2</c:v>
                </c:pt>
                <c:pt idx="253">
                  <c:v>93.8</c:v>
                </c:pt>
                <c:pt idx="254">
                  <c:v>82.8</c:v>
                </c:pt>
                <c:pt idx="255">
                  <c:v>83.2</c:v>
                </c:pt>
                <c:pt idx="256">
                  <c:v>77</c:v>
                </c:pt>
                <c:pt idx="257">
                  <c:v>87.2</c:v>
                </c:pt>
                <c:pt idx="258">
                  <c:v>90.3</c:v>
                </c:pt>
                <c:pt idx="259">
                  <c:v>93.7</c:v>
                </c:pt>
                <c:pt idx="260">
                  <c:v>86.1</c:v>
                </c:pt>
                <c:pt idx="261">
                  <c:v>72.8</c:v>
                </c:pt>
                <c:pt idx="262">
                  <c:v>59.6</c:v>
                </c:pt>
                <c:pt idx="263">
                  <c:v>73.900000000000006</c:v>
                </c:pt>
                <c:pt idx="264">
                  <c:v>69.599999999999994</c:v>
                </c:pt>
                <c:pt idx="265">
                  <c:v>87.3</c:v>
                </c:pt>
                <c:pt idx="266">
                  <c:v>72.099999999999994</c:v>
                </c:pt>
                <c:pt idx="267">
                  <c:v>69</c:v>
                </c:pt>
                <c:pt idx="268">
                  <c:v>65.3</c:v>
                </c:pt>
                <c:pt idx="269">
                  <c:v>65.8</c:v>
                </c:pt>
                <c:pt idx="270">
                  <c:v>67.2</c:v>
                </c:pt>
                <c:pt idx="271">
                  <c:v>74.900000000000006</c:v>
                </c:pt>
                <c:pt idx="272">
                  <c:v>74.900000000000006</c:v>
                </c:pt>
                <c:pt idx="273">
                  <c:v>78.5</c:v>
                </c:pt>
                <c:pt idx="274">
                  <c:v>62.9</c:v>
                </c:pt>
                <c:pt idx="275">
                  <c:v>81.2</c:v>
                </c:pt>
                <c:pt idx="276">
                  <c:v>66.3</c:v>
                </c:pt>
                <c:pt idx="277">
                  <c:v>54.6</c:v>
                </c:pt>
                <c:pt idx="278">
                  <c:v>54.1</c:v>
                </c:pt>
                <c:pt idx="279">
                  <c:v>44.5</c:v>
                </c:pt>
                <c:pt idx="280">
                  <c:v>46.4</c:v>
                </c:pt>
                <c:pt idx="281">
                  <c:v>46.8</c:v>
                </c:pt>
                <c:pt idx="282">
                  <c:v>52.7</c:v>
                </c:pt>
                <c:pt idx="283">
                  <c:v>64.7</c:v>
                </c:pt>
                <c:pt idx="284">
                  <c:v>60.2</c:v>
                </c:pt>
                <c:pt idx="285">
                  <c:v>52.9</c:v>
                </c:pt>
                <c:pt idx="286">
                  <c:v>54.1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68-0046-907F-1EC8121B04D1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J.LivRm_PVitalsag_2'!$O$930:$O$1216</c:f>
              <c:numCache>
                <c:formatCode>m/d/yy\ h:mm</c:formatCode>
                <c:ptCount val="287"/>
                <c:pt idx="0">
                  <c:v>45459.166666666664</c:v>
                </c:pt>
                <c:pt idx="1">
                  <c:v>45459.208333333336</c:v>
                </c:pt>
                <c:pt idx="2">
                  <c:v>45459.25</c:v>
                </c:pt>
                <c:pt idx="3">
                  <c:v>45459.291666666664</c:v>
                </c:pt>
                <c:pt idx="4">
                  <c:v>45459.333333333336</c:v>
                </c:pt>
                <c:pt idx="5">
                  <c:v>45459.375</c:v>
                </c:pt>
                <c:pt idx="6">
                  <c:v>45459.416666666664</c:v>
                </c:pt>
                <c:pt idx="7">
                  <c:v>45459.458333333336</c:v>
                </c:pt>
                <c:pt idx="8">
                  <c:v>45459.5</c:v>
                </c:pt>
                <c:pt idx="9">
                  <c:v>45459.541666666664</c:v>
                </c:pt>
                <c:pt idx="10">
                  <c:v>45459.583333333336</c:v>
                </c:pt>
                <c:pt idx="11">
                  <c:v>45459.625</c:v>
                </c:pt>
                <c:pt idx="12">
                  <c:v>45459.666666666664</c:v>
                </c:pt>
                <c:pt idx="13">
                  <c:v>45459.708333333336</c:v>
                </c:pt>
                <c:pt idx="14">
                  <c:v>45459.75</c:v>
                </c:pt>
                <c:pt idx="15">
                  <c:v>45459.791666666664</c:v>
                </c:pt>
                <c:pt idx="16">
                  <c:v>45459.833333333336</c:v>
                </c:pt>
                <c:pt idx="17">
                  <c:v>45459.875</c:v>
                </c:pt>
                <c:pt idx="18">
                  <c:v>45460</c:v>
                </c:pt>
                <c:pt idx="19">
                  <c:v>45460.041666666664</c:v>
                </c:pt>
                <c:pt idx="20">
                  <c:v>45460.083333333336</c:v>
                </c:pt>
                <c:pt idx="21">
                  <c:v>45460.125</c:v>
                </c:pt>
                <c:pt idx="22">
                  <c:v>45460.166666666664</c:v>
                </c:pt>
                <c:pt idx="23">
                  <c:v>45460.208333333336</c:v>
                </c:pt>
                <c:pt idx="24">
                  <c:v>45460.25</c:v>
                </c:pt>
                <c:pt idx="25">
                  <c:v>45460.291666666664</c:v>
                </c:pt>
                <c:pt idx="26">
                  <c:v>45460.333333333336</c:v>
                </c:pt>
                <c:pt idx="27">
                  <c:v>45460.375</c:v>
                </c:pt>
                <c:pt idx="28">
                  <c:v>45460.416666666664</c:v>
                </c:pt>
                <c:pt idx="29">
                  <c:v>45460.458333333336</c:v>
                </c:pt>
                <c:pt idx="30">
                  <c:v>45460.5</c:v>
                </c:pt>
                <c:pt idx="31">
                  <c:v>45460.541666666664</c:v>
                </c:pt>
                <c:pt idx="32">
                  <c:v>45460.583333333336</c:v>
                </c:pt>
                <c:pt idx="33">
                  <c:v>45460.625</c:v>
                </c:pt>
                <c:pt idx="34">
                  <c:v>45460.666666666664</c:v>
                </c:pt>
                <c:pt idx="35">
                  <c:v>45460.708333333336</c:v>
                </c:pt>
                <c:pt idx="36">
                  <c:v>45460.75</c:v>
                </c:pt>
                <c:pt idx="37">
                  <c:v>45460.791666666664</c:v>
                </c:pt>
                <c:pt idx="38">
                  <c:v>45460.833333333336</c:v>
                </c:pt>
                <c:pt idx="39">
                  <c:v>45460.875</c:v>
                </c:pt>
                <c:pt idx="40">
                  <c:v>45460.916666666664</c:v>
                </c:pt>
                <c:pt idx="41">
                  <c:v>45460.958333333336</c:v>
                </c:pt>
                <c:pt idx="42">
                  <c:v>45461</c:v>
                </c:pt>
                <c:pt idx="43">
                  <c:v>45461.041666666664</c:v>
                </c:pt>
                <c:pt idx="44">
                  <c:v>45461.083333333336</c:v>
                </c:pt>
                <c:pt idx="45">
                  <c:v>45461.125</c:v>
                </c:pt>
                <c:pt idx="46">
                  <c:v>45461.166666666664</c:v>
                </c:pt>
                <c:pt idx="47">
                  <c:v>45461.208333333336</c:v>
                </c:pt>
                <c:pt idx="48">
                  <c:v>45461.25</c:v>
                </c:pt>
                <c:pt idx="49">
                  <c:v>45461.291666666664</c:v>
                </c:pt>
                <c:pt idx="50">
                  <c:v>45461.333333333336</c:v>
                </c:pt>
                <c:pt idx="51">
                  <c:v>45461.375</c:v>
                </c:pt>
                <c:pt idx="52">
                  <c:v>45461.416666666664</c:v>
                </c:pt>
                <c:pt idx="53">
                  <c:v>45461.458333333336</c:v>
                </c:pt>
                <c:pt idx="54">
                  <c:v>45461.5</c:v>
                </c:pt>
                <c:pt idx="55">
                  <c:v>45461.541666666664</c:v>
                </c:pt>
                <c:pt idx="56">
                  <c:v>45461.583333333336</c:v>
                </c:pt>
                <c:pt idx="57">
                  <c:v>45461.625</c:v>
                </c:pt>
                <c:pt idx="58">
                  <c:v>45461.666666666664</c:v>
                </c:pt>
                <c:pt idx="59">
                  <c:v>45461.708333333336</c:v>
                </c:pt>
                <c:pt idx="60">
                  <c:v>45461.75</c:v>
                </c:pt>
                <c:pt idx="61">
                  <c:v>45461.791666666664</c:v>
                </c:pt>
                <c:pt idx="62">
                  <c:v>45461.833333333336</c:v>
                </c:pt>
                <c:pt idx="63">
                  <c:v>45461.875</c:v>
                </c:pt>
                <c:pt idx="64">
                  <c:v>45461.958333333336</c:v>
                </c:pt>
                <c:pt idx="65">
                  <c:v>45462.166666666664</c:v>
                </c:pt>
                <c:pt idx="66">
                  <c:v>45462.208333333336</c:v>
                </c:pt>
                <c:pt idx="67">
                  <c:v>45462.25</c:v>
                </c:pt>
                <c:pt idx="68">
                  <c:v>45462.291666666664</c:v>
                </c:pt>
                <c:pt idx="69">
                  <c:v>45462.333333333336</c:v>
                </c:pt>
                <c:pt idx="70">
                  <c:v>45462.375</c:v>
                </c:pt>
                <c:pt idx="71">
                  <c:v>45462.416666666664</c:v>
                </c:pt>
                <c:pt idx="72">
                  <c:v>45462.458333333336</c:v>
                </c:pt>
                <c:pt idx="73">
                  <c:v>45462.5</c:v>
                </c:pt>
                <c:pt idx="74">
                  <c:v>45462.541666666664</c:v>
                </c:pt>
                <c:pt idx="75">
                  <c:v>45462.583333333336</c:v>
                </c:pt>
                <c:pt idx="76">
                  <c:v>45462.625</c:v>
                </c:pt>
                <c:pt idx="77">
                  <c:v>45462.666666666664</c:v>
                </c:pt>
                <c:pt idx="78">
                  <c:v>45462.708333333336</c:v>
                </c:pt>
                <c:pt idx="79">
                  <c:v>45462.75</c:v>
                </c:pt>
                <c:pt idx="80">
                  <c:v>45462.791666666664</c:v>
                </c:pt>
                <c:pt idx="81">
                  <c:v>45462.833333333336</c:v>
                </c:pt>
                <c:pt idx="82">
                  <c:v>45462.875</c:v>
                </c:pt>
                <c:pt idx="83">
                  <c:v>45462.916666666664</c:v>
                </c:pt>
                <c:pt idx="84">
                  <c:v>45463.125</c:v>
                </c:pt>
                <c:pt idx="85">
                  <c:v>45463.166666666664</c:v>
                </c:pt>
                <c:pt idx="86">
                  <c:v>45463.208333333336</c:v>
                </c:pt>
                <c:pt idx="87">
                  <c:v>45463.25</c:v>
                </c:pt>
                <c:pt idx="88">
                  <c:v>45463.291666666664</c:v>
                </c:pt>
                <c:pt idx="89">
                  <c:v>45463.333333333336</c:v>
                </c:pt>
                <c:pt idx="90">
                  <c:v>45463.375</c:v>
                </c:pt>
                <c:pt idx="91">
                  <c:v>45463.416666666664</c:v>
                </c:pt>
                <c:pt idx="92">
                  <c:v>45463.458333333336</c:v>
                </c:pt>
                <c:pt idx="93">
                  <c:v>45463.5</c:v>
                </c:pt>
                <c:pt idx="94">
                  <c:v>45463.541666666664</c:v>
                </c:pt>
                <c:pt idx="95">
                  <c:v>45463.583333333336</c:v>
                </c:pt>
                <c:pt idx="96">
                  <c:v>45463.625</c:v>
                </c:pt>
                <c:pt idx="97">
                  <c:v>45463.666666666664</c:v>
                </c:pt>
                <c:pt idx="98">
                  <c:v>45463.708333333336</c:v>
                </c:pt>
                <c:pt idx="99">
                  <c:v>45463.75</c:v>
                </c:pt>
                <c:pt idx="100">
                  <c:v>45463.791666666664</c:v>
                </c:pt>
                <c:pt idx="101">
                  <c:v>45463.833333333336</c:v>
                </c:pt>
                <c:pt idx="102">
                  <c:v>45463.875</c:v>
                </c:pt>
                <c:pt idx="103">
                  <c:v>45463.916666666664</c:v>
                </c:pt>
                <c:pt idx="104">
                  <c:v>45463.958333333336</c:v>
                </c:pt>
                <c:pt idx="105">
                  <c:v>45464</c:v>
                </c:pt>
                <c:pt idx="106">
                  <c:v>45464.041666666664</c:v>
                </c:pt>
                <c:pt idx="107">
                  <c:v>45464.083333333336</c:v>
                </c:pt>
                <c:pt idx="108">
                  <c:v>45464.125</c:v>
                </c:pt>
                <c:pt idx="109">
                  <c:v>45464.166666666664</c:v>
                </c:pt>
                <c:pt idx="110">
                  <c:v>45464.208333333336</c:v>
                </c:pt>
                <c:pt idx="111">
                  <c:v>45464.25</c:v>
                </c:pt>
                <c:pt idx="112">
                  <c:v>45464.291666666664</c:v>
                </c:pt>
                <c:pt idx="113">
                  <c:v>45464.333333333336</c:v>
                </c:pt>
                <c:pt idx="114">
                  <c:v>45464.375</c:v>
                </c:pt>
                <c:pt idx="115">
                  <c:v>45464.416666666664</c:v>
                </c:pt>
                <c:pt idx="116">
                  <c:v>45464.458333333336</c:v>
                </c:pt>
                <c:pt idx="117">
                  <c:v>45464.5</c:v>
                </c:pt>
                <c:pt idx="118">
                  <c:v>45464.541666666664</c:v>
                </c:pt>
                <c:pt idx="119">
                  <c:v>45464.583333333336</c:v>
                </c:pt>
                <c:pt idx="120">
                  <c:v>45464.625</c:v>
                </c:pt>
                <c:pt idx="121">
                  <c:v>45464.666666666664</c:v>
                </c:pt>
                <c:pt idx="122">
                  <c:v>45464.708333333336</c:v>
                </c:pt>
                <c:pt idx="123">
                  <c:v>45464.75</c:v>
                </c:pt>
                <c:pt idx="124">
                  <c:v>45464.791666666664</c:v>
                </c:pt>
                <c:pt idx="125">
                  <c:v>45464.833333333336</c:v>
                </c:pt>
                <c:pt idx="126">
                  <c:v>45464.875</c:v>
                </c:pt>
                <c:pt idx="127">
                  <c:v>45465.291666666664</c:v>
                </c:pt>
                <c:pt idx="128">
                  <c:v>45465.333333333336</c:v>
                </c:pt>
                <c:pt idx="129">
                  <c:v>45465.375</c:v>
                </c:pt>
                <c:pt idx="130">
                  <c:v>45465.416666666664</c:v>
                </c:pt>
                <c:pt idx="131">
                  <c:v>45465.458333333336</c:v>
                </c:pt>
                <c:pt idx="132">
                  <c:v>45465.5</c:v>
                </c:pt>
                <c:pt idx="133">
                  <c:v>45465.541666666664</c:v>
                </c:pt>
                <c:pt idx="134">
                  <c:v>45465.583333333336</c:v>
                </c:pt>
                <c:pt idx="135">
                  <c:v>45465.625</c:v>
                </c:pt>
                <c:pt idx="136">
                  <c:v>45465.666666666664</c:v>
                </c:pt>
                <c:pt idx="137">
                  <c:v>45465.708333333336</c:v>
                </c:pt>
                <c:pt idx="138">
                  <c:v>45465.75</c:v>
                </c:pt>
                <c:pt idx="139">
                  <c:v>45465.791666666664</c:v>
                </c:pt>
                <c:pt idx="140">
                  <c:v>45465.833333333336</c:v>
                </c:pt>
                <c:pt idx="141">
                  <c:v>45465.875</c:v>
                </c:pt>
                <c:pt idx="142">
                  <c:v>45465.916666666664</c:v>
                </c:pt>
                <c:pt idx="143">
                  <c:v>45465.958333333336</c:v>
                </c:pt>
                <c:pt idx="144">
                  <c:v>45466</c:v>
                </c:pt>
                <c:pt idx="145">
                  <c:v>45466.041666666664</c:v>
                </c:pt>
                <c:pt idx="146">
                  <c:v>45466.083333333336</c:v>
                </c:pt>
                <c:pt idx="147">
                  <c:v>45466.125</c:v>
                </c:pt>
                <c:pt idx="148">
                  <c:v>45466.166666666664</c:v>
                </c:pt>
                <c:pt idx="149">
                  <c:v>45466.208333333336</c:v>
                </c:pt>
                <c:pt idx="150">
                  <c:v>45466.25</c:v>
                </c:pt>
                <c:pt idx="151">
                  <c:v>45466.291666666664</c:v>
                </c:pt>
                <c:pt idx="152">
                  <c:v>45466.333333333336</c:v>
                </c:pt>
                <c:pt idx="153">
                  <c:v>45466.375</c:v>
                </c:pt>
                <c:pt idx="154">
                  <c:v>45466.416666666664</c:v>
                </c:pt>
                <c:pt idx="155">
                  <c:v>45466.458333333336</c:v>
                </c:pt>
                <c:pt idx="156">
                  <c:v>45466.5</c:v>
                </c:pt>
                <c:pt idx="157">
                  <c:v>45466.541666666664</c:v>
                </c:pt>
                <c:pt idx="158">
                  <c:v>45466.583333333336</c:v>
                </c:pt>
                <c:pt idx="159">
                  <c:v>45466.625</c:v>
                </c:pt>
                <c:pt idx="160">
                  <c:v>45466.666666666664</c:v>
                </c:pt>
                <c:pt idx="161">
                  <c:v>45466.708333333336</c:v>
                </c:pt>
                <c:pt idx="162">
                  <c:v>45466.75</c:v>
                </c:pt>
                <c:pt idx="163">
                  <c:v>45466.791666666664</c:v>
                </c:pt>
                <c:pt idx="164">
                  <c:v>45466.833333333336</c:v>
                </c:pt>
                <c:pt idx="165">
                  <c:v>45466.875</c:v>
                </c:pt>
                <c:pt idx="166">
                  <c:v>45466.916666666664</c:v>
                </c:pt>
                <c:pt idx="167">
                  <c:v>45466.958333333336</c:v>
                </c:pt>
                <c:pt idx="168">
                  <c:v>45467</c:v>
                </c:pt>
                <c:pt idx="169">
                  <c:v>45467.041666666664</c:v>
                </c:pt>
                <c:pt idx="170">
                  <c:v>45467.083333333336</c:v>
                </c:pt>
                <c:pt idx="171">
                  <c:v>45467.125</c:v>
                </c:pt>
                <c:pt idx="172">
                  <c:v>45467.166666666664</c:v>
                </c:pt>
                <c:pt idx="173">
                  <c:v>45467.208333333336</c:v>
                </c:pt>
                <c:pt idx="174">
                  <c:v>45467.25</c:v>
                </c:pt>
                <c:pt idx="175">
                  <c:v>45467.291666666664</c:v>
                </c:pt>
                <c:pt idx="176">
                  <c:v>45467.333333333336</c:v>
                </c:pt>
                <c:pt idx="177">
                  <c:v>45467.375</c:v>
                </c:pt>
                <c:pt idx="178">
                  <c:v>45467.416666666664</c:v>
                </c:pt>
                <c:pt idx="179">
                  <c:v>45467.458333333336</c:v>
                </c:pt>
                <c:pt idx="180">
                  <c:v>45467.958333333336</c:v>
                </c:pt>
                <c:pt idx="181">
                  <c:v>45468</c:v>
                </c:pt>
                <c:pt idx="182">
                  <c:v>45468.041666666664</c:v>
                </c:pt>
                <c:pt idx="183">
                  <c:v>45468.083333333336</c:v>
                </c:pt>
                <c:pt idx="184">
                  <c:v>45468.125</c:v>
                </c:pt>
                <c:pt idx="185">
                  <c:v>45468.166666666664</c:v>
                </c:pt>
                <c:pt idx="186">
                  <c:v>45468.208333333336</c:v>
                </c:pt>
                <c:pt idx="187">
                  <c:v>45468.333333333336</c:v>
                </c:pt>
                <c:pt idx="188">
                  <c:v>45468.375</c:v>
                </c:pt>
                <c:pt idx="189">
                  <c:v>45468.416666666664</c:v>
                </c:pt>
                <c:pt idx="190">
                  <c:v>45468.458333333336</c:v>
                </c:pt>
                <c:pt idx="191">
                  <c:v>45468.5</c:v>
                </c:pt>
                <c:pt idx="192">
                  <c:v>45468.541666666664</c:v>
                </c:pt>
                <c:pt idx="193">
                  <c:v>45468.583333333336</c:v>
                </c:pt>
                <c:pt idx="194">
                  <c:v>45468.625</c:v>
                </c:pt>
                <c:pt idx="195">
                  <c:v>45468.666666666664</c:v>
                </c:pt>
                <c:pt idx="196">
                  <c:v>45468.708333333336</c:v>
                </c:pt>
                <c:pt idx="197">
                  <c:v>45468.75</c:v>
                </c:pt>
                <c:pt idx="198">
                  <c:v>45468.791666666664</c:v>
                </c:pt>
                <c:pt idx="199">
                  <c:v>45468.833333333336</c:v>
                </c:pt>
                <c:pt idx="200">
                  <c:v>45468.875</c:v>
                </c:pt>
                <c:pt idx="201">
                  <c:v>45468.916666666664</c:v>
                </c:pt>
                <c:pt idx="202">
                  <c:v>45468.958333333336</c:v>
                </c:pt>
                <c:pt idx="203">
                  <c:v>45469</c:v>
                </c:pt>
                <c:pt idx="204">
                  <c:v>45469.041666666664</c:v>
                </c:pt>
                <c:pt idx="205">
                  <c:v>45469.083333333336</c:v>
                </c:pt>
                <c:pt idx="206">
                  <c:v>45469.125</c:v>
                </c:pt>
                <c:pt idx="207">
                  <c:v>45469.166666666664</c:v>
                </c:pt>
                <c:pt idx="208">
                  <c:v>45469.208333333336</c:v>
                </c:pt>
                <c:pt idx="209">
                  <c:v>45469.25</c:v>
                </c:pt>
                <c:pt idx="210">
                  <c:v>45469.291666666664</c:v>
                </c:pt>
                <c:pt idx="211">
                  <c:v>45469.333333333336</c:v>
                </c:pt>
                <c:pt idx="212">
                  <c:v>45469.375</c:v>
                </c:pt>
                <c:pt idx="213">
                  <c:v>45469.416666666664</c:v>
                </c:pt>
                <c:pt idx="214">
                  <c:v>45469.458333333336</c:v>
                </c:pt>
                <c:pt idx="215">
                  <c:v>45469.5</c:v>
                </c:pt>
                <c:pt idx="216">
                  <c:v>45469.541666666664</c:v>
                </c:pt>
                <c:pt idx="217">
                  <c:v>45469.666666666664</c:v>
                </c:pt>
                <c:pt idx="218">
                  <c:v>45469.708333333336</c:v>
                </c:pt>
                <c:pt idx="219">
                  <c:v>45469.75</c:v>
                </c:pt>
                <c:pt idx="220">
                  <c:v>45469.791666666664</c:v>
                </c:pt>
                <c:pt idx="221">
                  <c:v>45469.833333333336</c:v>
                </c:pt>
                <c:pt idx="222">
                  <c:v>45469.875</c:v>
                </c:pt>
                <c:pt idx="223">
                  <c:v>45469.916666666664</c:v>
                </c:pt>
                <c:pt idx="224">
                  <c:v>45469.958333333336</c:v>
                </c:pt>
                <c:pt idx="225">
                  <c:v>45470</c:v>
                </c:pt>
                <c:pt idx="226">
                  <c:v>45470.041666666664</c:v>
                </c:pt>
                <c:pt idx="227">
                  <c:v>45470.083333333336</c:v>
                </c:pt>
                <c:pt idx="228">
                  <c:v>45470.125</c:v>
                </c:pt>
                <c:pt idx="229">
                  <c:v>45470.166666666664</c:v>
                </c:pt>
                <c:pt idx="230">
                  <c:v>45470.208333333336</c:v>
                </c:pt>
                <c:pt idx="231">
                  <c:v>45470.25</c:v>
                </c:pt>
                <c:pt idx="232">
                  <c:v>45470.291666666664</c:v>
                </c:pt>
                <c:pt idx="233">
                  <c:v>45470.333333333336</c:v>
                </c:pt>
                <c:pt idx="234">
                  <c:v>45470.375</c:v>
                </c:pt>
                <c:pt idx="235">
                  <c:v>45470.416666666664</c:v>
                </c:pt>
                <c:pt idx="236">
                  <c:v>45470.458333333336</c:v>
                </c:pt>
                <c:pt idx="237">
                  <c:v>45470.5</c:v>
                </c:pt>
                <c:pt idx="238">
                  <c:v>45470.541666666664</c:v>
                </c:pt>
                <c:pt idx="239">
                  <c:v>45470.583333333336</c:v>
                </c:pt>
                <c:pt idx="240">
                  <c:v>45470.625</c:v>
                </c:pt>
                <c:pt idx="241">
                  <c:v>45470.666666666664</c:v>
                </c:pt>
                <c:pt idx="242">
                  <c:v>45470.708333333336</c:v>
                </c:pt>
                <c:pt idx="243">
                  <c:v>45470.75</c:v>
                </c:pt>
                <c:pt idx="244">
                  <c:v>45470.791666666664</c:v>
                </c:pt>
                <c:pt idx="245">
                  <c:v>45470.833333333336</c:v>
                </c:pt>
                <c:pt idx="246">
                  <c:v>45470.875</c:v>
                </c:pt>
                <c:pt idx="247">
                  <c:v>45470.916666666664</c:v>
                </c:pt>
                <c:pt idx="248">
                  <c:v>45470.958333333336</c:v>
                </c:pt>
                <c:pt idx="249">
                  <c:v>45471</c:v>
                </c:pt>
                <c:pt idx="250">
                  <c:v>45471.041666666664</c:v>
                </c:pt>
                <c:pt idx="251">
                  <c:v>45471.083333333336</c:v>
                </c:pt>
                <c:pt idx="252">
                  <c:v>45471.125</c:v>
                </c:pt>
                <c:pt idx="253">
                  <c:v>45471.166666666664</c:v>
                </c:pt>
                <c:pt idx="254">
                  <c:v>45471.208333333336</c:v>
                </c:pt>
                <c:pt idx="255">
                  <c:v>45471.25</c:v>
                </c:pt>
                <c:pt idx="256">
                  <c:v>45471.291666666664</c:v>
                </c:pt>
                <c:pt idx="257">
                  <c:v>45471.333333333336</c:v>
                </c:pt>
                <c:pt idx="258">
                  <c:v>45471.375</c:v>
                </c:pt>
                <c:pt idx="259">
                  <c:v>45471.416666666664</c:v>
                </c:pt>
                <c:pt idx="260">
                  <c:v>45471.458333333336</c:v>
                </c:pt>
                <c:pt idx="261">
                  <c:v>45471.5</c:v>
                </c:pt>
                <c:pt idx="262">
                  <c:v>45471.541666666664</c:v>
                </c:pt>
                <c:pt idx="263">
                  <c:v>45471.583333333336</c:v>
                </c:pt>
                <c:pt idx="264">
                  <c:v>45471.625</c:v>
                </c:pt>
                <c:pt idx="265">
                  <c:v>45471.666666666664</c:v>
                </c:pt>
                <c:pt idx="266">
                  <c:v>45471.708333333336</c:v>
                </c:pt>
                <c:pt idx="267">
                  <c:v>45471.75</c:v>
                </c:pt>
                <c:pt idx="268">
                  <c:v>45471.791666666664</c:v>
                </c:pt>
                <c:pt idx="269">
                  <c:v>45471.833333333336</c:v>
                </c:pt>
                <c:pt idx="270">
                  <c:v>45471.875</c:v>
                </c:pt>
                <c:pt idx="271">
                  <c:v>45471.916666666664</c:v>
                </c:pt>
                <c:pt idx="272">
                  <c:v>45471.958333333336</c:v>
                </c:pt>
                <c:pt idx="273">
                  <c:v>45472</c:v>
                </c:pt>
                <c:pt idx="274">
                  <c:v>45472.041666666664</c:v>
                </c:pt>
                <c:pt idx="275">
                  <c:v>45472.083333333336</c:v>
                </c:pt>
                <c:pt idx="276">
                  <c:v>45472.125</c:v>
                </c:pt>
                <c:pt idx="277">
                  <c:v>45472.166666666664</c:v>
                </c:pt>
                <c:pt idx="278">
                  <c:v>45472.208333333336</c:v>
                </c:pt>
                <c:pt idx="279">
                  <c:v>45472.25</c:v>
                </c:pt>
                <c:pt idx="280">
                  <c:v>45472.291666666664</c:v>
                </c:pt>
                <c:pt idx="281">
                  <c:v>45472.333333333336</c:v>
                </c:pt>
                <c:pt idx="282">
                  <c:v>45472.375</c:v>
                </c:pt>
                <c:pt idx="283">
                  <c:v>45472.416666666664</c:v>
                </c:pt>
                <c:pt idx="284">
                  <c:v>45472.708333333336</c:v>
                </c:pt>
                <c:pt idx="285">
                  <c:v>45472.75</c:v>
                </c:pt>
                <c:pt idx="286">
                  <c:v>45472.791666666664</c:v>
                </c:pt>
              </c:numCache>
            </c:numRef>
          </c:cat>
          <c:val>
            <c:numRef>
              <c:f>'934297-0122 J.LivRm_PVitalsag_2'!$S$930:$S$1216</c:f>
              <c:numCache>
                <c:formatCode>General</c:formatCode>
                <c:ptCount val="287"/>
                <c:pt idx="0">
                  <c:v>60.3</c:v>
                </c:pt>
                <c:pt idx="1">
                  <c:v>63.8</c:v>
                </c:pt>
                <c:pt idx="2">
                  <c:v>64.3</c:v>
                </c:pt>
                <c:pt idx="3">
                  <c:v>61.7</c:v>
                </c:pt>
                <c:pt idx="4">
                  <c:v>58</c:v>
                </c:pt>
                <c:pt idx="5">
                  <c:v>61.7</c:v>
                </c:pt>
                <c:pt idx="6">
                  <c:v>65.2</c:v>
                </c:pt>
                <c:pt idx="7">
                  <c:v>60.4</c:v>
                </c:pt>
                <c:pt idx="8">
                  <c:v>55</c:v>
                </c:pt>
                <c:pt idx="9">
                  <c:v>57.1</c:v>
                </c:pt>
                <c:pt idx="10">
                  <c:v>61.6</c:v>
                </c:pt>
                <c:pt idx="11">
                  <c:v>63.1</c:v>
                </c:pt>
                <c:pt idx="12">
                  <c:v>58.5</c:v>
                </c:pt>
                <c:pt idx="13">
                  <c:v>58.8</c:v>
                </c:pt>
                <c:pt idx="14">
                  <c:v>58.9</c:v>
                </c:pt>
                <c:pt idx="15">
                  <c:v>57.9</c:v>
                </c:pt>
                <c:pt idx="16">
                  <c:v>60.9</c:v>
                </c:pt>
                <c:pt idx="17">
                  <c:v>61.8</c:v>
                </c:pt>
                <c:pt idx="18">
                  <c:v>55.2</c:v>
                </c:pt>
                <c:pt idx="19">
                  <c:v>66.3</c:v>
                </c:pt>
                <c:pt idx="20">
                  <c:v>63.1</c:v>
                </c:pt>
                <c:pt idx="21">
                  <c:v>60.4</c:v>
                </c:pt>
                <c:pt idx="22">
                  <c:v>57.8</c:v>
                </c:pt>
                <c:pt idx="23">
                  <c:v>60.6</c:v>
                </c:pt>
                <c:pt idx="24">
                  <c:v>60.6</c:v>
                </c:pt>
                <c:pt idx="25">
                  <c:v>58.3</c:v>
                </c:pt>
                <c:pt idx="26">
                  <c:v>65.7</c:v>
                </c:pt>
                <c:pt idx="27">
                  <c:v>62.6</c:v>
                </c:pt>
                <c:pt idx="28">
                  <c:v>60.7</c:v>
                </c:pt>
                <c:pt idx="29">
                  <c:v>62.1</c:v>
                </c:pt>
                <c:pt idx="30">
                  <c:v>65.2</c:v>
                </c:pt>
                <c:pt idx="31">
                  <c:v>65.7</c:v>
                </c:pt>
                <c:pt idx="32">
                  <c:v>63</c:v>
                </c:pt>
                <c:pt idx="33">
                  <c:v>58.2</c:v>
                </c:pt>
                <c:pt idx="34">
                  <c:v>61</c:v>
                </c:pt>
                <c:pt idx="35">
                  <c:v>58.4</c:v>
                </c:pt>
                <c:pt idx="36">
                  <c:v>58.1</c:v>
                </c:pt>
                <c:pt idx="37">
                  <c:v>60.7</c:v>
                </c:pt>
                <c:pt idx="38">
                  <c:v>62.9</c:v>
                </c:pt>
                <c:pt idx="39">
                  <c:v>65.400000000000006</c:v>
                </c:pt>
                <c:pt idx="40">
                  <c:v>61.6</c:v>
                </c:pt>
                <c:pt idx="41">
                  <c:v>62.6</c:v>
                </c:pt>
                <c:pt idx="42">
                  <c:v>57.4</c:v>
                </c:pt>
                <c:pt idx="43">
                  <c:v>59.3</c:v>
                </c:pt>
                <c:pt idx="44">
                  <c:v>59.7</c:v>
                </c:pt>
                <c:pt idx="45">
                  <c:v>59</c:v>
                </c:pt>
                <c:pt idx="46">
                  <c:v>62.6</c:v>
                </c:pt>
                <c:pt idx="47">
                  <c:v>60.6</c:v>
                </c:pt>
                <c:pt idx="48">
                  <c:v>59.1</c:v>
                </c:pt>
                <c:pt idx="49">
                  <c:v>59.7</c:v>
                </c:pt>
                <c:pt idx="50">
                  <c:v>58.3</c:v>
                </c:pt>
                <c:pt idx="51">
                  <c:v>62</c:v>
                </c:pt>
                <c:pt idx="52">
                  <c:v>65.5</c:v>
                </c:pt>
                <c:pt idx="53">
                  <c:v>61.1</c:v>
                </c:pt>
                <c:pt idx="54">
                  <c:v>55.9</c:v>
                </c:pt>
                <c:pt idx="55">
                  <c:v>59.9</c:v>
                </c:pt>
                <c:pt idx="56">
                  <c:v>60.7</c:v>
                </c:pt>
                <c:pt idx="57">
                  <c:v>59</c:v>
                </c:pt>
                <c:pt idx="58">
                  <c:v>60.5</c:v>
                </c:pt>
                <c:pt idx="59">
                  <c:v>58.8</c:v>
                </c:pt>
                <c:pt idx="60">
                  <c:v>54.1</c:v>
                </c:pt>
                <c:pt idx="61">
                  <c:v>53.9</c:v>
                </c:pt>
                <c:pt idx="62">
                  <c:v>61.2</c:v>
                </c:pt>
                <c:pt idx="63">
                  <c:v>64.400000000000006</c:v>
                </c:pt>
                <c:pt idx="64">
                  <c:v>62</c:v>
                </c:pt>
                <c:pt idx="65">
                  <c:v>60.6</c:v>
                </c:pt>
                <c:pt idx="66">
                  <c:v>67.099999999999994</c:v>
                </c:pt>
                <c:pt idx="67">
                  <c:v>64.599999999999994</c:v>
                </c:pt>
                <c:pt idx="68">
                  <c:v>60.7</c:v>
                </c:pt>
                <c:pt idx="69">
                  <c:v>59.7</c:v>
                </c:pt>
                <c:pt idx="70">
                  <c:v>59.6</c:v>
                </c:pt>
                <c:pt idx="71">
                  <c:v>60.1</c:v>
                </c:pt>
                <c:pt idx="72">
                  <c:v>62.2</c:v>
                </c:pt>
                <c:pt idx="73">
                  <c:v>60.6</c:v>
                </c:pt>
                <c:pt idx="74">
                  <c:v>65.400000000000006</c:v>
                </c:pt>
                <c:pt idx="75">
                  <c:v>62.9</c:v>
                </c:pt>
                <c:pt idx="76">
                  <c:v>63.6</c:v>
                </c:pt>
                <c:pt idx="77">
                  <c:v>61.3</c:v>
                </c:pt>
                <c:pt idx="78">
                  <c:v>60.1</c:v>
                </c:pt>
                <c:pt idx="79">
                  <c:v>61.7</c:v>
                </c:pt>
                <c:pt idx="80">
                  <c:v>57.5</c:v>
                </c:pt>
                <c:pt idx="81">
                  <c:v>62.6</c:v>
                </c:pt>
                <c:pt idx="82">
                  <c:v>59.9</c:v>
                </c:pt>
                <c:pt idx="83">
                  <c:v>63.8</c:v>
                </c:pt>
                <c:pt idx="84">
                  <c:v>61.9</c:v>
                </c:pt>
                <c:pt idx="85">
                  <c:v>71.2</c:v>
                </c:pt>
                <c:pt idx="86">
                  <c:v>69.7</c:v>
                </c:pt>
                <c:pt idx="87">
                  <c:v>64.5</c:v>
                </c:pt>
                <c:pt idx="88">
                  <c:v>63.6</c:v>
                </c:pt>
                <c:pt idx="89">
                  <c:v>64.5</c:v>
                </c:pt>
                <c:pt idx="90">
                  <c:v>67.7</c:v>
                </c:pt>
                <c:pt idx="91">
                  <c:v>66.8</c:v>
                </c:pt>
                <c:pt idx="92">
                  <c:v>70.900000000000006</c:v>
                </c:pt>
                <c:pt idx="93">
                  <c:v>61.6</c:v>
                </c:pt>
                <c:pt idx="94">
                  <c:v>53.7</c:v>
                </c:pt>
                <c:pt idx="95">
                  <c:v>60.9</c:v>
                </c:pt>
                <c:pt idx="96">
                  <c:v>57.6</c:v>
                </c:pt>
                <c:pt idx="97">
                  <c:v>62.2</c:v>
                </c:pt>
                <c:pt idx="98">
                  <c:v>65.2</c:v>
                </c:pt>
                <c:pt idx="99">
                  <c:v>60.8</c:v>
                </c:pt>
                <c:pt idx="100">
                  <c:v>60.3</c:v>
                </c:pt>
                <c:pt idx="101">
                  <c:v>55</c:v>
                </c:pt>
                <c:pt idx="102">
                  <c:v>67.099999999999994</c:v>
                </c:pt>
                <c:pt idx="103">
                  <c:v>64.7</c:v>
                </c:pt>
                <c:pt idx="104">
                  <c:v>65</c:v>
                </c:pt>
                <c:pt idx="105">
                  <c:v>63.7</c:v>
                </c:pt>
                <c:pt idx="106">
                  <c:v>65</c:v>
                </c:pt>
                <c:pt idx="107">
                  <c:v>65.8</c:v>
                </c:pt>
                <c:pt idx="108">
                  <c:v>67.3</c:v>
                </c:pt>
                <c:pt idx="109">
                  <c:v>61.8</c:v>
                </c:pt>
                <c:pt idx="110">
                  <c:v>59.3</c:v>
                </c:pt>
                <c:pt idx="111">
                  <c:v>60.8</c:v>
                </c:pt>
                <c:pt idx="112">
                  <c:v>61.8</c:v>
                </c:pt>
                <c:pt idx="113">
                  <c:v>62.3</c:v>
                </c:pt>
                <c:pt idx="114">
                  <c:v>63.2</c:v>
                </c:pt>
                <c:pt idx="115">
                  <c:v>63.6</c:v>
                </c:pt>
                <c:pt idx="116">
                  <c:v>60.9</c:v>
                </c:pt>
                <c:pt idx="117">
                  <c:v>62.9</c:v>
                </c:pt>
                <c:pt idx="118">
                  <c:v>61.4</c:v>
                </c:pt>
                <c:pt idx="119">
                  <c:v>64.900000000000006</c:v>
                </c:pt>
                <c:pt idx="120">
                  <c:v>70.8</c:v>
                </c:pt>
                <c:pt idx="121">
                  <c:v>58.5</c:v>
                </c:pt>
                <c:pt idx="122">
                  <c:v>59.2</c:v>
                </c:pt>
                <c:pt idx="123">
                  <c:v>59.9</c:v>
                </c:pt>
                <c:pt idx="124">
                  <c:v>65.400000000000006</c:v>
                </c:pt>
                <c:pt idx="125">
                  <c:v>64.3</c:v>
                </c:pt>
                <c:pt idx="126">
                  <c:v>61.3</c:v>
                </c:pt>
                <c:pt idx="127">
                  <c:v>61.8</c:v>
                </c:pt>
                <c:pt idx="128">
                  <c:v>72.099999999999994</c:v>
                </c:pt>
                <c:pt idx="129">
                  <c:v>64.8</c:v>
                </c:pt>
                <c:pt idx="130">
                  <c:v>64</c:v>
                </c:pt>
                <c:pt idx="131">
                  <c:v>63.4</c:v>
                </c:pt>
                <c:pt idx="132">
                  <c:v>58.8</c:v>
                </c:pt>
                <c:pt idx="133">
                  <c:v>65.900000000000006</c:v>
                </c:pt>
                <c:pt idx="134">
                  <c:v>66.099999999999994</c:v>
                </c:pt>
                <c:pt idx="135">
                  <c:v>62.7</c:v>
                </c:pt>
                <c:pt idx="136">
                  <c:v>62.2</c:v>
                </c:pt>
                <c:pt idx="137">
                  <c:v>63.3</c:v>
                </c:pt>
                <c:pt idx="138">
                  <c:v>56.5</c:v>
                </c:pt>
                <c:pt idx="139">
                  <c:v>63.4</c:v>
                </c:pt>
                <c:pt idx="140">
                  <c:v>64.099999999999994</c:v>
                </c:pt>
                <c:pt idx="141">
                  <c:v>61.9</c:v>
                </c:pt>
                <c:pt idx="142">
                  <c:v>58.5</c:v>
                </c:pt>
                <c:pt idx="143">
                  <c:v>55.7</c:v>
                </c:pt>
                <c:pt idx="144">
                  <c:v>49.1</c:v>
                </c:pt>
                <c:pt idx="145">
                  <c:v>51.8</c:v>
                </c:pt>
                <c:pt idx="146">
                  <c:v>55.4</c:v>
                </c:pt>
                <c:pt idx="147">
                  <c:v>71.900000000000006</c:v>
                </c:pt>
                <c:pt idx="148">
                  <c:v>62.2</c:v>
                </c:pt>
                <c:pt idx="149">
                  <c:v>60.6</c:v>
                </c:pt>
                <c:pt idx="150">
                  <c:v>63.9</c:v>
                </c:pt>
                <c:pt idx="151">
                  <c:v>56.1</c:v>
                </c:pt>
                <c:pt idx="152">
                  <c:v>61.2</c:v>
                </c:pt>
                <c:pt idx="153">
                  <c:v>55.4</c:v>
                </c:pt>
                <c:pt idx="154">
                  <c:v>76.5</c:v>
                </c:pt>
                <c:pt idx="155">
                  <c:v>79.7</c:v>
                </c:pt>
                <c:pt idx="156">
                  <c:v>70.8</c:v>
                </c:pt>
                <c:pt idx="157">
                  <c:v>68.599999999999994</c:v>
                </c:pt>
                <c:pt idx="158">
                  <c:v>70.400000000000006</c:v>
                </c:pt>
                <c:pt idx="159">
                  <c:v>64.599999999999994</c:v>
                </c:pt>
                <c:pt idx="160">
                  <c:v>59.6</c:v>
                </c:pt>
                <c:pt idx="161">
                  <c:v>53.4</c:v>
                </c:pt>
                <c:pt idx="162">
                  <c:v>61.6</c:v>
                </c:pt>
                <c:pt idx="163">
                  <c:v>62.5</c:v>
                </c:pt>
                <c:pt idx="164">
                  <c:v>59.5</c:v>
                </c:pt>
                <c:pt idx="165">
                  <c:v>57.4</c:v>
                </c:pt>
                <c:pt idx="166">
                  <c:v>46.4</c:v>
                </c:pt>
                <c:pt idx="167">
                  <c:v>48.8</c:v>
                </c:pt>
                <c:pt idx="168">
                  <c:v>47.3</c:v>
                </c:pt>
                <c:pt idx="169">
                  <c:v>48</c:v>
                </c:pt>
                <c:pt idx="170">
                  <c:v>42.3</c:v>
                </c:pt>
                <c:pt idx="171">
                  <c:v>47.6</c:v>
                </c:pt>
                <c:pt idx="172">
                  <c:v>48</c:v>
                </c:pt>
                <c:pt idx="173">
                  <c:v>50.1</c:v>
                </c:pt>
                <c:pt idx="174">
                  <c:v>52.7</c:v>
                </c:pt>
                <c:pt idx="175">
                  <c:v>50.4</c:v>
                </c:pt>
                <c:pt idx="176">
                  <c:v>48.2</c:v>
                </c:pt>
                <c:pt idx="177">
                  <c:v>47.7</c:v>
                </c:pt>
                <c:pt idx="178">
                  <c:v>48.4</c:v>
                </c:pt>
                <c:pt idx="179">
                  <c:v>49</c:v>
                </c:pt>
                <c:pt idx="180">
                  <c:v>54.7</c:v>
                </c:pt>
                <c:pt idx="181">
                  <c:v>57.6</c:v>
                </c:pt>
                <c:pt idx="182">
                  <c:v>51.7</c:v>
                </c:pt>
                <c:pt idx="183">
                  <c:v>46.1</c:v>
                </c:pt>
                <c:pt idx="184">
                  <c:v>43.8</c:v>
                </c:pt>
                <c:pt idx="185">
                  <c:v>45</c:v>
                </c:pt>
                <c:pt idx="186">
                  <c:v>43.5</c:v>
                </c:pt>
                <c:pt idx="187">
                  <c:v>53.3</c:v>
                </c:pt>
                <c:pt idx="188">
                  <c:v>55.2</c:v>
                </c:pt>
                <c:pt idx="189">
                  <c:v>55.3</c:v>
                </c:pt>
                <c:pt idx="190">
                  <c:v>60.7</c:v>
                </c:pt>
                <c:pt idx="191">
                  <c:v>56.3</c:v>
                </c:pt>
                <c:pt idx="192">
                  <c:v>55.9</c:v>
                </c:pt>
                <c:pt idx="193">
                  <c:v>57.1</c:v>
                </c:pt>
                <c:pt idx="194">
                  <c:v>54</c:v>
                </c:pt>
                <c:pt idx="195">
                  <c:v>53.8</c:v>
                </c:pt>
                <c:pt idx="196">
                  <c:v>54.8</c:v>
                </c:pt>
                <c:pt idx="197">
                  <c:v>51.1</c:v>
                </c:pt>
                <c:pt idx="198">
                  <c:v>56.4</c:v>
                </c:pt>
                <c:pt idx="199">
                  <c:v>81.599999999999994</c:v>
                </c:pt>
                <c:pt idx="200">
                  <c:v>79</c:v>
                </c:pt>
                <c:pt idx="201">
                  <c:v>74</c:v>
                </c:pt>
                <c:pt idx="202">
                  <c:v>79.2</c:v>
                </c:pt>
                <c:pt idx="203">
                  <c:v>76</c:v>
                </c:pt>
                <c:pt idx="204">
                  <c:v>85.4</c:v>
                </c:pt>
                <c:pt idx="205">
                  <c:v>69.2</c:v>
                </c:pt>
                <c:pt idx="206">
                  <c:v>77.7</c:v>
                </c:pt>
                <c:pt idx="207">
                  <c:v>79.2</c:v>
                </c:pt>
                <c:pt idx="208">
                  <c:v>71.7</c:v>
                </c:pt>
                <c:pt idx="209">
                  <c:v>90</c:v>
                </c:pt>
                <c:pt idx="210">
                  <c:v>84.3</c:v>
                </c:pt>
                <c:pt idx="211">
                  <c:v>85.1</c:v>
                </c:pt>
                <c:pt idx="212">
                  <c:v>84</c:v>
                </c:pt>
                <c:pt idx="213">
                  <c:v>96.1</c:v>
                </c:pt>
                <c:pt idx="214">
                  <c:v>71.400000000000006</c:v>
                </c:pt>
                <c:pt idx="215">
                  <c:v>68.2</c:v>
                </c:pt>
                <c:pt idx="216">
                  <c:v>57</c:v>
                </c:pt>
                <c:pt idx="217">
                  <c:v>88.4</c:v>
                </c:pt>
                <c:pt idx="218">
                  <c:v>91.6</c:v>
                </c:pt>
                <c:pt idx="219">
                  <c:v>92.5</c:v>
                </c:pt>
                <c:pt idx="220">
                  <c:v>95.4</c:v>
                </c:pt>
                <c:pt idx="221">
                  <c:v>95.1</c:v>
                </c:pt>
                <c:pt idx="222">
                  <c:v>96.4</c:v>
                </c:pt>
                <c:pt idx="223">
                  <c:v>98</c:v>
                </c:pt>
                <c:pt idx="224">
                  <c:v>94.9</c:v>
                </c:pt>
                <c:pt idx="225">
                  <c:v>99</c:v>
                </c:pt>
                <c:pt idx="226">
                  <c:v>95.9</c:v>
                </c:pt>
                <c:pt idx="227">
                  <c:v>98.6</c:v>
                </c:pt>
                <c:pt idx="228">
                  <c:v>98.7</c:v>
                </c:pt>
                <c:pt idx="229">
                  <c:v>92.3</c:v>
                </c:pt>
                <c:pt idx="230">
                  <c:v>97</c:v>
                </c:pt>
                <c:pt idx="231">
                  <c:v>98.5</c:v>
                </c:pt>
                <c:pt idx="232">
                  <c:v>97.4</c:v>
                </c:pt>
                <c:pt idx="233">
                  <c:v>87.6</c:v>
                </c:pt>
                <c:pt idx="234">
                  <c:v>76.2</c:v>
                </c:pt>
                <c:pt idx="235">
                  <c:v>94.1</c:v>
                </c:pt>
                <c:pt idx="236">
                  <c:v>91.4</c:v>
                </c:pt>
                <c:pt idx="237">
                  <c:v>92.3</c:v>
                </c:pt>
                <c:pt idx="238">
                  <c:v>79.8</c:v>
                </c:pt>
                <c:pt idx="239">
                  <c:v>86.8</c:v>
                </c:pt>
                <c:pt idx="240">
                  <c:v>62.4</c:v>
                </c:pt>
                <c:pt idx="241">
                  <c:v>65.900000000000006</c:v>
                </c:pt>
                <c:pt idx="242">
                  <c:v>61.9</c:v>
                </c:pt>
                <c:pt idx="243">
                  <c:v>67.099999999999994</c:v>
                </c:pt>
                <c:pt idx="244">
                  <c:v>98.5</c:v>
                </c:pt>
                <c:pt idx="245">
                  <c:v>104.6</c:v>
                </c:pt>
                <c:pt idx="246">
                  <c:v>104</c:v>
                </c:pt>
                <c:pt idx="247">
                  <c:v>102.6</c:v>
                </c:pt>
                <c:pt idx="248">
                  <c:v>102.8</c:v>
                </c:pt>
                <c:pt idx="249">
                  <c:v>103.8</c:v>
                </c:pt>
                <c:pt idx="250">
                  <c:v>103.2</c:v>
                </c:pt>
                <c:pt idx="251">
                  <c:v>103.4</c:v>
                </c:pt>
                <c:pt idx="252">
                  <c:v>98.7</c:v>
                </c:pt>
                <c:pt idx="253">
                  <c:v>98.5</c:v>
                </c:pt>
                <c:pt idx="254">
                  <c:v>96.2</c:v>
                </c:pt>
                <c:pt idx="255">
                  <c:v>94.6</c:v>
                </c:pt>
                <c:pt idx="256">
                  <c:v>95.2</c:v>
                </c:pt>
                <c:pt idx="257">
                  <c:v>95.1</c:v>
                </c:pt>
                <c:pt idx="258">
                  <c:v>98</c:v>
                </c:pt>
                <c:pt idx="259">
                  <c:v>99.1</c:v>
                </c:pt>
                <c:pt idx="260">
                  <c:v>92.6</c:v>
                </c:pt>
                <c:pt idx="261">
                  <c:v>88.1</c:v>
                </c:pt>
                <c:pt idx="262">
                  <c:v>85.3</c:v>
                </c:pt>
                <c:pt idx="263">
                  <c:v>89.4</c:v>
                </c:pt>
                <c:pt idx="264">
                  <c:v>86.1</c:v>
                </c:pt>
                <c:pt idx="265">
                  <c:v>91.7</c:v>
                </c:pt>
                <c:pt idx="266">
                  <c:v>86.2</c:v>
                </c:pt>
                <c:pt idx="267">
                  <c:v>83.6</c:v>
                </c:pt>
                <c:pt idx="268">
                  <c:v>76.5</c:v>
                </c:pt>
                <c:pt idx="269">
                  <c:v>84.8</c:v>
                </c:pt>
                <c:pt idx="270">
                  <c:v>88.1</c:v>
                </c:pt>
                <c:pt idx="271">
                  <c:v>87.2</c:v>
                </c:pt>
                <c:pt idx="272">
                  <c:v>85.1</c:v>
                </c:pt>
                <c:pt idx="273">
                  <c:v>87.3</c:v>
                </c:pt>
                <c:pt idx="274">
                  <c:v>83.8</c:v>
                </c:pt>
                <c:pt idx="275">
                  <c:v>89.9</c:v>
                </c:pt>
                <c:pt idx="276">
                  <c:v>82.2</c:v>
                </c:pt>
                <c:pt idx="277">
                  <c:v>62.1</c:v>
                </c:pt>
                <c:pt idx="278">
                  <c:v>63</c:v>
                </c:pt>
                <c:pt idx="279">
                  <c:v>51.2</c:v>
                </c:pt>
                <c:pt idx="280">
                  <c:v>53.6</c:v>
                </c:pt>
                <c:pt idx="281">
                  <c:v>47.8</c:v>
                </c:pt>
                <c:pt idx="282">
                  <c:v>54.6</c:v>
                </c:pt>
                <c:pt idx="283">
                  <c:v>65.900000000000006</c:v>
                </c:pt>
                <c:pt idx="284">
                  <c:v>63.5</c:v>
                </c:pt>
                <c:pt idx="285">
                  <c:v>57.6</c:v>
                </c:pt>
                <c:pt idx="286">
                  <c:v>55.7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68-0046-907F-1EC8121B0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upDownBars>
          <c:gapWidth val="150"/>
          <c:upBars>
            <c:spPr>
              <a:solidFill>
                <a:srgbClr val="FF0000"/>
              </a:solidFill>
            </c:spPr>
          </c:upBars>
          <c:downBars/>
        </c:upDownBars>
        <c:axId val="247826304"/>
        <c:axId val="247827840"/>
      </c:stockChart>
      <c:catAx>
        <c:axId val="247826304"/>
        <c:scaling>
          <c:orientation val="minMax"/>
        </c:scaling>
        <c:delete val="0"/>
        <c:axPos val="b"/>
        <c:numFmt formatCode="m/d/yy\ h:mm" sourceLinked="1"/>
        <c:majorTickMark val="out"/>
        <c:minorTickMark val="none"/>
        <c:tickLblPos val="nextTo"/>
        <c:crossAx val="247827840"/>
        <c:crosses val="autoZero"/>
        <c:auto val="0"/>
        <c:lblAlgn val="ctr"/>
        <c:lblOffset val="100"/>
        <c:tickLblSkip val="12"/>
        <c:tickMarkSkip val="12"/>
        <c:noMultiLvlLbl val="0"/>
      </c:catAx>
      <c:valAx>
        <c:axId val="247827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8263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Respiratory Rate</a:t>
            </a:r>
          </a:p>
        </c:rich>
      </c:tx>
      <c:overlay val="1"/>
    </c:title>
    <c:autoTitleDeleted val="0"/>
    <c:plotArea>
      <c:layout/>
      <c:stockChart>
        <c:ser>
          <c:idx val="0"/>
          <c:order val="0"/>
          <c:tx>
            <c:strRef>
              <c:f>'934297-0122 J.LivRm_PVitalsag_2'!$W$1</c:f>
              <c:strCache>
                <c:ptCount val="1"/>
                <c:pt idx="0">
                  <c:v>avg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J.LivRm_PVitalsag_2'!$V$930:$V$1216</c:f>
              <c:numCache>
                <c:formatCode>m/d/yy\ h:mm</c:formatCode>
                <c:ptCount val="287"/>
                <c:pt idx="0">
                  <c:v>45459.166666666664</c:v>
                </c:pt>
                <c:pt idx="1">
                  <c:v>45459.208333333336</c:v>
                </c:pt>
                <c:pt idx="2">
                  <c:v>45459.25</c:v>
                </c:pt>
                <c:pt idx="3">
                  <c:v>45459.291666666664</c:v>
                </c:pt>
                <c:pt idx="4">
                  <c:v>45459.333333333336</c:v>
                </c:pt>
                <c:pt idx="5">
                  <c:v>45459.375</c:v>
                </c:pt>
                <c:pt idx="6">
                  <c:v>45459.416666666664</c:v>
                </c:pt>
                <c:pt idx="7">
                  <c:v>45459.458333333336</c:v>
                </c:pt>
                <c:pt idx="8">
                  <c:v>45459.5</c:v>
                </c:pt>
                <c:pt idx="9">
                  <c:v>45459.541666666664</c:v>
                </c:pt>
                <c:pt idx="10">
                  <c:v>45459.583333333336</c:v>
                </c:pt>
                <c:pt idx="11">
                  <c:v>45459.625</c:v>
                </c:pt>
                <c:pt idx="12">
                  <c:v>45459.666666666664</c:v>
                </c:pt>
                <c:pt idx="13">
                  <c:v>45459.708333333336</c:v>
                </c:pt>
                <c:pt idx="14">
                  <c:v>45459.75</c:v>
                </c:pt>
                <c:pt idx="15">
                  <c:v>45459.791666666664</c:v>
                </c:pt>
                <c:pt idx="16">
                  <c:v>45459.833333333336</c:v>
                </c:pt>
                <c:pt idx="17">
                  <c:v>45459.875</c:v>
                </c:pt>
                <c:pt idx="18">
                  <c:v>45460</c:v>
                </c:pt>
                <c:pt idx="19">
                  <c:v>45460.041666666664</c:v>
                </c:pt>
                <c:pt idx="20">
                  <c:v>45460.083333333336</c:v>
                </c:pt>
                <c:pt idx="21">
                  <c:v>45460.125</c:v>
                </c:pt>
                <c:pt idx="22">
                  <c:v>45460.166666666664</c:v>
                </c:pt>
                <c:pt idx="23">
                  <c:v>45460.208333333336</c:v>
                </c:pt>
                <c:pt idx="24">
                  <c:v>45460.25</c:v>
                </c:pt>
                <c:pt idx="25">
                  <c:v>45460.291666666664</c:v>
                </c:pt>
                <c:pt idx="26">
                  <c:v>45460.333333333336</c:v>
                </c:pt>
                <c:pt idx="27">
                  <c:v>45460.375</c:v>
                </c:pt>
                <c:pt idx="28">
                  <c:v>45460.416666666664</c:v>
                </c:pt>
                <c:pt idx="29">
                  <c:v>45460.458333333336</c:v>
                </c:pt>
                <c:pt idx="30">
                  <c:v>45460.5</c:v>
                </c:pt>
                <c:pt idx="31">
                  <c:v>45460.541666666664</c:v>
                </c:pt>
                <c:pt idx="32">
                  <c:v>45460.583333333336</c:v>
                </c:pt>
                <c:pt idx="33">
                  <c:v>45460.625</c:v>
                </c:pt>
                <c:pt idx="34">
                  <c:v>45460.666666666664</c:v>
                </c:pt>
                <c:pt idx="35">
                  <c:v>45460.708333333336</c:v>
                </c:pt>
                <c:pt idx="36">
                  <c:v>45460.75</c:v>
                </c:pt>
                <c:pt idx="37">
                  <c:v>45460.791666666664</c:v>
                </c:pt>
                <c:pt idx="38">
                  <c:v>45460.833333333336</c:v>
                </c:pt>
                <c:pt idx="39">
                  <c:v>45460.875</c:v>
                </c:pt>
                <c:pt idx="40">
                  <c:v>45460.916666666664</c:v>
                </c:pt>
                <c:pt idx="41">
                  <c:v>45460.958333333336</c:v>
                </c:pt>
                <c:pt idx="42">
                  <c:v>45461</c:v>
                </c:pt>
                <c:pt idx="43">
                  <c:v>45461.041666666664</c:v>
                </c:pt>
                <c:pt idx="44">
                  <c:v>45461.083333333336</c:v>
                </c:pt>
                <c:pt idx="45">
                  <c:v>45461.125</c:v>
                </c:pt>
                <c:pt idx="46">
                  <c:v>45461.166666666664</c:v>
                </c:pt>
                <c:pt idx="47">
                  <c:v>45461.208333333336</c:v>
                </c:pt>
                <c:pt idx="48">
                  <c:v>45461.25</c:v>
                </c:pt>
                <c:pt idx="49">
                  <c:v>45461.291666666664</c:v>
                </c:pt>
                <c:pt idx="50">
                  <c:v>45461.333333333336</c:v>
                </c:pt>
                <c:pt idx="51">
                  <c:v>45461.375</c:v>
                </c:pt>
                <c:pt idx="52">
                  <c:v>45461.416666666664</c:v>
                </c:pt>
                <c:pt idx="53">
                  <c:v>45461.458333333336</c:v>
                </c:pt>
                <c:pt idx="54">
                  <c:v>45461.5</c:v>
                </c:pt>
                <c:pt idx="55">
                  <c:v>45461.541666666664</c:v>
                </c:pt>
                <c:pt idx="56">
                  <c:v>45461.583333333336</c:v>
                </c:pt>
                <c:pt idx="57">
                  <c:v>45461.625</c:v>
                </c:pt>
                <c:pt idx="58">
                  <c:v>45461.666666666664</c:v>
                </c:pt>
                <c:pt idx="59">
                  <c:v>45461.708333333336</c:v>
                </c:pt>
                <c:pt idx="60">
                  <c:v>45461.75</c:v>
                </c:pt>
                <c:pt idx="61">
                  <c:v>45461.791666666664</c:v>
                </c:pt>
                <c:pt idx="62">
                  <c:v>45461.833333333336</c:v>
                </c:pt>
                <c:pt idx="63">
                  <c:v>45461.875</c:v>
                </c:pt>
                <c:pt idx="64">
                  <c:v>45461.958333333336</c:v>
                </c:pt>
                <c:pt idx="65">
                  <c:v>45462.166666666664</c:v>
                </c:pt>
                <c:pt idx="66">
                  <c:v>45462.208333333336</c:v>
                </c:pt>
                <c:pt idx="67">
                  <c:v>45462.25</c:v>
                </c:pt>
                <c:pt idx="68">
                  <c:v>45462.291666666664</c:v>
                </c:pt>
                <c:pt idx="69">
                  <c:v>45462.333333333336</c:v>
                </c:pt>
                <c:pt idx="70">
                  <c:v>45462.375</c:v>
                </c:pt>
                <c:pt idx="71">
                  <c:v>45462.416666666664</c:v>
                </c:pt>
                <c:pt idx="72">
                  <c:v>45462.458333333336</c:v>
                </c:pt>
                <c:pt idx="73">
                  <c:v>45462.5</c:v>
                </c:pt>
                <c:pt idx="74">
                  <c:v>45462.541666666664</c:v>
                </c:pt>
                <c:pt idx="75">
                  <c:v>45462.583333333336</c:v>
                </c:pt>
                <c:pt idx="76">
                  <c:v>45462.625</c:v>
                </c:pt>
                <c:pt idx="77">
                  <c:v>45462.666666666664</c:v>
                </c:pt>
                <c:pt idx="78">
                  <c:v>45462.708333333336</c:v>
                </c:pt>
                <c:pt idx="79">
                  <c:v>45462.75</c:v>
                </c:pt>
                <c:pt idx="80">
                  <c:v>45462.791666666664</c:v>
                </c:pt>
                <c:pt idx="81">
                  <c:v>45462.833333333336</c:v>
                </c:pt>
                <c:pt idx="82">
                  <c:v>45462.875</c:v>
                </c:pt>
                <c:pt idx="83">
                  <c:v>45462.916666666664</c:v>
                </c:pt>
                <c:pt idx="84">
                  <c:v>45463.125</c:v>
                </c:pt>
                <c:pt idx="85">
                  <c:v>45463.166666666664</c:v>
                </c:pt>
                <c:pt idx="86">
                  <c:v>45463.208333333336</c:v>
                </c:pt>
                <c:pt idx="87">
                  <c:v>45463.25</c:v>
                </c:pt>
                <c:pt idx="88">
                  <c:v>45463.291666666664</c:v>
                </c:pt>
                <c:pt idx="89">
                  <c:v>45463.333333333336</c:v>
                </c:pt>
                <c:pt idx="90">
                  <c:v>45463.375</c:v>
                </c:pt>
                <c:pt idx="91">
                  <c:v>45463.416666666664</c:v>
                </c:pt>
                <c:pt idx="92">
                  <c:v>45463.458333333336</c:v>
                </c:pt>
                <c:pt idx="93">
                  <c:v>45463.5</c:v>
                </c:pt>
                <c:pt idx="94">
                  <c:v>45463.541666666664</c:v>
                </c:pt>
                <c:pt idx="95">
                  <c:v>45463.583333333336</c:v>
                </c:pt>
                <c:pt idx="96">
                  <c:v>45463.625</c:v>
                </c:pt>
                <c:pt idx="97">
                  <c:v>45463.666666666664</c:v>
                </c:pt>
                <c:pt idx="98">
                  <c:v>45463.708333333336</c:v>
                </c:pt>
                <c:pt idx="99">
                  <c:v>45463.75</c:v>
                </c:pt>
                <c:pt idx="100">
                  <c:v>45463.791666666664</c:v>
                </c:pt>
                <c:pt idx="101">
                  <c:v>45463.833333333336</c:v>
                </c:pt>
                <c:pt idx="102">
                  <c:v>45463.875</c:v>
                </c:pt>
                <c:pt idx="103">
                  <c:v>45463.916666666664</c:v>
                </c:pt>
                <c:pt idx="104">
                  <c:v>45463.958333333336</c:v>
                </c:pt>
                <c:pt idx="105">
                  <c:v>45464</c:v>
                </c:pt>
                <c:pt idx="106">
                  <c:v>45464.041666666664</c:v>
                </c:pt>
                <c:pt idx="107">
                  <c:v>45464.083333333336</c:v>
                </c:pt>
                <c:pt idx="108">
                  <c:v>45464.125</c:v>
                </c:pt>
                <c:pt idx="109">
                  <c:v>45464.166666666664</c:v>
                </c:pt>
                <c:pt idx="110">
                  <c:v>45464.208333333336</c:v>
                </c:pt>
                <c:pt idx="111">
                  <c:v>45464.25</c:v>
                </c:pt>
                <c:pt idx="112">
                  <c:v>45464.291666666664</c:v>
                </c:pt>
                <c:pt idx="113">
                  <c:v>45464.333333333336</c:v>
                </c:pt>
                <c:pt idx="114">
                  <c:v>45464.375</c:v>
                </c:pt>
                <c:pt idx="115">
                  <c:v>45464.416666666664</c:v>
                </c:pt>
                <c:pt idx="116">
                  <c:v>45464.458333333336</c:v>
                </c:pt>
                <c:pt idx="117">
                  <c:v>45464.5</c:v>
                </c:pt>
                <c:pt idx="118">
                  <c:v>45464.541666666664</c:v>
                </c:pt>
                <c:pt idx="119">
                  <c:v>45464.583333333336</c:v>
                </c:pt>
                <c:pt idx="120">
                  <c:v>45464.625</c:v>
                </c:pt>
                <c:pt idx="121">
                  <c:v>45464.666666666664</c:v>
                </c:pt>
                <c:pt idx="122">
                  <c:v>45464.708333333336</c:v>
                </c:pt>
                <c:pt idx="123">
                  <c:v>45464.75</c:v>
                </c:pt>
                <c:pt idx="124">
                  <c:v>45464.791666666664</c:v>
                </c:pt>
                <c:pt idx="125">
                  <c:v>45464.833333333336</c:v>
                </c:pt>
                <c:pt idx="126">
                  <c:v>45464.875</c:v>
                </c:pt>
                <c:pt idx="127">
                  <c:v>45465.291666666664</c:v>
                </c:pt>
                <c:pt idx="128">
                  <c:v>45465.333333333336</c:v>
                </c:pt>
                <c:pt idx="129">
                  <c:v>45465.375</c:v>
                </c:pt>
                <c:pt idx="130">
                  <c:v>45465.416666666664</c:v>
                </c:pt>
                <c:pt idx="131">
                  <c:v>45465.458333333336</c:v>
                </c:pt>
                <c:pt idx="132">
                  <c:v>45465.5</c:v>
                </c:pt>
                <c:pt idx="133">
                  <c:v>45465.541666666664</c:v>
                </c:pt>
                <c:pt idx="134">
                  <c:v>45465.583333333336</c:v>
                </c:pt>
                <c:pt idx="135">
                  <c:v>45465.625</c:v>
                </c:pt>
                <c:pt idx="136">
                  <c:v>45465.666666666664</c:v>
                </c:pt>
                <c:pt idx="137">
                  <c:v>45465.708333333336</c:v>
                </c:pt>
                <c:pt idx="138">
                  <c:v>45465.75</c:v>
                </c:pt>
                <c:pt idx="139">
                  <c:v>45465.791666666664</c:v>
                </c:pt>
                <c:pt idx="140">
                  <c:v>45465.833333333336</c:v>
                </c:pt>
                <c:pt idx="141">
                  <c:v>45465.875</c:v>
                </c:pt>
                <c:pt idx="142">
                  <c:v>45465.916666666664</c:v>
                </c:pt>
                <c:pt idx="143">
                  <c:v>45465.958333333336</c:v>
                </c:pt>
                <c:pt idx="144">
                  <c:v>45466</c:v>
                </c:pt>
                <c:pt idx="145">
                  <c:v>45466.041666666664</c:v>
                </c:pt>
                <c:pt idx="146">
                  <c:v>45466.083333333336</c:v>
                </c:pt>
                <c:pt idx="147">
                  <c:v>45466.125</c:v>
                </c:pt>
                <c:pt idx="148">
                  <c:v>45466.166666666664</c:v>
                </c:pt>
                <c:pt idx="149">
                  <c:v>45466.208333333336</c:v>
                </c:pt>
                <c:pt idx="150">
                  <c:v>45466.25</c:v>
                </c:pt>
                <c:pt idx="151">
                  <c:v>45466.291666666664</c:v>
                </c:pt>
                <c:pt idx="152">
                  <c:v>45466.333333333336</c:v>
                </c:pt>
                <c:pt idx="153">
                  <c:v>45466.375</c:v>
                </c:pt>
                <c:pt idx="154">
                  <c:v>45466.416666666664</c:v>
                </c:pt>
                <c:pt idx="155">
                  <c:v>45466.458333333336</c:v>
                </c:pt>
                <c:pt idx="156">
                  <c:v>45466.5</c:v>
                </c:pt>
                <c:pt idx="157">
                  <c:v>45466.541666666664</c:v>
                </c:pt>
                <c:pt idx="158">
                  <c:v>45466.583333333336</c:v>
                </c:pt>
                <c:pt idx="159">
                  <c:v>45466.625</c:v>
                </c:pt>
                <c:pt idx="160">
                  <c:v>45466.666666666664</c:v>
                </c:pt>
                <c:pt idx="161">
                  <c:v>45466.708333333336</c:v>
                </c:pt>
                <c:pt idx="162">
                  <c:v>45466.75</c:v>
                </c:pt>
                <c:pt idx="163">
                  <c:v>45466.791666666664</c:v>
                </c:pt>
                <c:pt idx="164">
                  <c:v>45466.833333333336</c:v>
                </c:pt>
                <c:pt idx="165">
                  <c:v>45466.875</c:v>
                </c:pt>
                <c:pt idx="166">
                  <c:v>45466.916666666664</c:v>
                </c:pt>
                <c:pt idx="167">
                  <c:v>45466.958333333336</c:v>
                </c:pt>
                <c:pt idx="168">
                  <c:v>45467</c:v>
                </c:pt>
                <c:pt idx="169">
                  <c:v>45467.041666666664</c:v>
                </c:pt>
                <c:pt idx="170">
                  <c:v>45467.083333333336</c:v>
                </c:pt>
                <c:pt idx="171">
                  <c:v>45467.125</c:v>
                </c:pt>
                <c:pt idx="172">
                  <c:v>45467.166666666664</c:v>
                </c:pt>
                <c:pt idx="173">
                  <c:v>45467.208333333336</c:v>
                </c:pt>
                <c:pt idx="174">
                  <c:v>45467.25</c:v>
                </c:pt>
                <c:pt idx="175">
                  <c:v>45467.291666666664</c:v>
                </c:pt>
                <c:pt idx="176">
                  <c:v>45467.333333333336</c:v>
                </c:pt>
                <c:pt idx="177">
                  <c:v>45467.375</c:v>
                </c:pt>
                <c:pt idx="178">
                  <c:v>45467.416666666664</c:v>
                </c:pt>
                <c:pt idx="179">
                  <c:v>45467.458333333336</c:v>
                </c:pt>
                <c:pt idx="180">
                  <c:v>45467.958333333336</c:v>
                </c:pt>
                <c:pt idx="181">
                  <c:v>45468</c:v>
                </c:pt>
                <c:pt idx="182">
                  <c:v>45468.041666666664</c:v>
                </c:pt>
                <c:pt idx="183">
                  <c:v>45468.083333333336</c:v>
                </c:pt>
                <c:pt idx="184">
                  <c:v>45468.125</c:v>
                </c:pt>
                <c:pt idx="185">
                  <c:v>45468.166666666664</c:v>
                </c:pt>
                <c:pt idx="186">
                  <c:v>45468.208333333336</c:v>
                </c:pt>
                <c:pt idx="187">
                  <c:v>45468.333333333336</c:v>
                </c:pt>
                <c:pt idx="188">
                  <c:v>45468.375</c:v>
                </c:pt>
                <c:pt idx="189">
                  <c:v>45468.416666666664</c:v>
                </c:pt>
                <c:pt idx="190">
                  <c:v>45468.458333333336</c:v>
                </c:pt>
                <c:pt idx="191">
                  <c:v>45468.5</c:v>
                </c:pt>
                <c:pt idx="192">
                  <c:v>45468.541666666664</c:v>
                </c:pt>
                <c:pt idx="193">
                  <c:v>45468.583333333336</c:v>
                </c:pt>
                <c:pt idx="194">
                  <c:v>45468.625</c:v>
                </c:pt>
                <c:pt idx="195">
                  <c:v>45468.666666666664</c:v>
                </c:pt>
                <c:pt idx="196">
                  <c:v>45468.708333333336</c:v>
                </c:pt>
                <c:pt idx="197">
                  <c:v>45468.75</c:v>
                </c:pt>
                <c:pt idx="198">
                  <c:v>45468.791666666664</c:v>
                </c:pt>
                <c:pt idx="199">
                  <c:v>45468.833333333336</c:v>
                </c:pt>
                <c:pt idx="200">
                  <c:v>45468.875</c:v>
                </c:pt>
                <c:pt idx="201">
                  <c:v>45468.916666666664</c:v>
                </c:pt>
                <c:pt idx="202">
                  <c:v>45468.958333333336</c:v>
                </c:pt>
                <c:pt idx="203">
                  <c:v>45469</c:v>
                </c:pt>
                <c:pt idx="204">
                  <c:v>45469.041666666664</c:v>
                </c:pt>
                <c:pt idx="205">
                  <c:v>45469.083333333336</c:v>
                </c:pt>
                <c:pt idx="206">
                  <c:v>45469.125</c:v>
                </c:pt>
                <c:pt idx="207">
                  <c:v>45469.166666666664</c:v>
                </c:pt>
                <c:pt idx="208">
                  <c:v>45469.208333333336</c:v>
                </c:pt>
                <c:pt idx="209">
                  <c:v>45469.25</c:v>
                </c:pt>
                <c:pt idx="210">
                  <c:v>45469.291666666664</c:v>
                </c:pt>
                <c:pt idx="211">
                  <c:v>45469.333333333336</c:v>
                </c:pt>
                <c:pt idx="212">
                  <c:v>45469.375</c:v>
                </c:pt>
                <c:pt idx="213">
                  <c:v>45469.416666666664</c:v>
                </c:pt>
                <c:pt idx="214">
                  <c:v>45469.458333333336</c:v>
                </c:pt>
                <c:pt idx="215">
                  <c:v>45469.5</c:v>
                </c:pt>
                <c:pt idx="216">
                  <c:v>45469.541666666664</c:v>
                </c:pt>
                <c:pt idx="217">
                  <c:v>45469.666666666664</c:v>
                </c:pt>
                <c:pt idx="218">
                  <c:v>45469.708333333336</c:v>
                </c:pt>
                <c:pt idx="219">
                  <c:v>45469.75</c:v>
                </c:pt>
                <c:pt idx="220">
                  <c:v>45469.791666666664</c:v>
                </c:pt>
                <c:pt idx="221">
                  <c:v>45469.833333333336</c:v>
                </c:pt>
                <c:pt idx="222">
                  <c:v>45469.875</c:v>
                </c:pt>
                <c:pt idx="223">
                  <c:v>45469.916666666664</c:v>
                </c:pt>
                <c:pt idx="224">
                  <c:v>45469.958333333336</c:v>
                </c:pt>
                <c:pt idx="225">
                  <c:v>45470</c:v>
                </c:pt>
                <c:pt idx="226">
                  <c:v>45470.041666666664</c:v>
                </c:pt>
                <c:pt idx="227">
                  <c:v>45470.083333333336</c:v>
                </c:pt>
                <c:pt idx="228">
                  <c:v>45470.125</c:v>
                </c:pt>
                <c:pt idx="229">
                  <c:v>45470.166666666664</c:v>
                </c:pt>
                <c:pt idx="230">
                  <c:v>45470.208333333336</c:v>
                </c:pt>
                <c:pt idx="231">
                  <c:v>45470.25</c:v>
                </c:pt>
                <c:pt idx="232">
                  <c:v>45470.291666666664</c:v>
                </c:pt>
                <c:pt idx="233">
                  <c:v>45470.333333333336</c:v>
                </c:pt>
                <c:pt idx="234">
                  <c:v>45470.375</c:v>
                </c:pt>
                <c:pt idx="235">
                  <c:v>45470.416666666664</c:v>
                </c:pt>
                <c:pt idx="236">
                  <c:v>45470.458333333336</c:v>
                </c:pt>
                <c:pt idx="237">
                  <c:v>45470.5</c:v>
                </c:pt>
                <c:pt idx="238">
                  <c:v>45470.541666666664</c:v>
                </c:pt>
                <c:pt idx="239">
                  <c:v>45470.583333333336</c:v>
                </c:pt>
                <c:pt idx="240">
                  <c:v>45470.625</c:v>
                </c:pt>
                <c:pt idx="241">
                  <c:v>45470.666666666664</c:v>
                </c:pt>
                <c:pt idx="242">
                  <c:v>45470.708333333336</c:v>
                </c:pt>
                <c:pt idx="243">
                  <c:v>45470.75</c:v>
                </c:pt>
                <c:pt idx="244">
                  <c:v>45470.791666666664</c:v>
                </c:pt>
                <c:pt idx="245">
                  <c:v>45470.833333333336</c:v>
                </c:pt>
                <c:pt idx="246">
                  <c:v>45470.875</c:v>
                </c:pt>
                <c:pt idx="247">
                  <c:v>45470.916666666664</c:v>
                </c:pt>
                <c:pt idx="248">
                  <c:v>45470.958333333336</c:v>
                </c:pt>
                <c:pt idx="249">
                  <c:v>45471</c:v>
                </c:pt>
                <c:pt idx="250">
                  <c:v>45471.041666666664</c:v>
                </c:pt>
                <c:pt idx="251">
                  <c:v>45471.083333333336</c:v>
                </c:pt>
                <c:pt idx="252">
                  <c:v>45471.125</c:v>
                </c:pt>
                <c:pt idx="253">
                  <c:v>45471.166666666664</c:v>
                </c:pt>
                <c:pt idx="254">
                  <c:v>45471.208333333336</c:v>
                </c:pt>
                <c:pt idx="255">
                  <c:v>45471.25</c:v>
                </c:pt>
                <c:pt idx="256">
                  <c:v>45471.291666666664</c:v>
                </c:pt>
                <c:pt idx="257">
                  <c:v>45471.333333333336</c:v>
                </c:pt>
                <c:pt idx="258">
                  <c:v>45471.375</c:v>
                </c:pt>
                <c:pt idx="259">
                  <c:v>45471.416666666664</c:v>
                </c:pt>
                <c:pt idx="260">
                  <c:v>45471.458333333336</c:v>
                </c:pt>
                <c:pt idx="261">
                  <c:v>45471.5</c:v>
                </c:pt>
                <c:pt idx="262">
                  <c:v>45471.541666666664</c:v>
                </c:pt>
                <c:pt idx="263">
                  <c:v>45471.583333333336</c:v>
                </c:pt>
                <c:pt idx="264">
                  <c:v>45471.625</c:v>
                </c:pt>
                <c:pt idx="265">
                  <c:v>45471.666666666664</c:v>
                </c:pt>
                <c:pt idx="266">
                  <c:v>45471.708333333336</c:v>
                </c:pt>
                <c:pt idx="267">
                  <c:v>45471.75</c:v>
                </c:pt>
                <c:pt idx="268">
                  <c:v>45471.791666666664</c:v>
                </c:pt>
                <c:pt idx="269">
                  <c:v>45471.833333333336</c:v>
                </c:pt>
                <c:pt idx="270">
                  <c:v>45471.875</c:v>
                </c:pt>
                <c:pt idx="271">
                  <c:v>45471.916666666664</c:v>
                </c:pt>
                <c:pt idx="272">
                  <c:v>45471.958333333336</c:v>
                </c:pt>
                <c:pt idx="273">
                  <c:v>45472</c:v>
                </c:pt>
                <c:pt idx="274">
                  <c:v>45472.041666666664</c:v>
                </c:pt>
                <c:pt idx="275">
                  <c:v>45472.083333333336</c:v>
                </c:pt>
                <c:pt idx="276">
                  <c:v>45472.125</c:v>
                </c:pt>
                <c:pt idx="277">
                  <c:v>45472.166666666664</c:v>
                </c:pt>
                <c:pt idx="278">
                  <c:v>45472.208333333336</c:v>
                </c:pt>
                <c:pt idx="279">
                  <c:v>45472.25</c:v>
                </c:pt>
                <c:pt idx="280">
                  <c:v>45472.291666666664</c:v>
                </c:pt>
                <c:pt idx="281">
                  <c:v>45472.333333333336</c:v>
                </c:pt>
                <c:pt idx="282">
                  <c:v>45472.375</c:v>
                </c:pt>
                <c:pt idx="283">
                  <c:v>45472.416666666664</c:v>
                </c:pt>
                <c:pt idx="284">
                  <c:v>45472.708333333336</c:v>
                </c:pt>
                <c:pt idx="285">
                  <c:v>45472.75</c:v>
                </c:pt>
                <c:pt idx="286">
                  <c:v>45472.791666666664</c:v>
                </c:pt>
              </c:numCache>
            </c:numRef>
          </c:cat>
          <c:val>
            <c:numRef>
              <c:f>'934297-0122 J.LivRm_PVitalsag_2'!$W$930:$W$1216</c:f>
              <c:numCache>
                <c:formatCode>General</c:formatCode>
                <c:ptCount val="287"/>
                <c:pt idx="0">
                  <c:v>21.3</c:v>
                </c:pt>
                <c:pt idx="1">
                  <c:v>18.100000000000001</c:v>
                </c:pt>
                <c:pt idx="2">
                  <c:v>16.8</c:v>
                </c:pt>
                <c:pt idx="3">
                  <c:v>16.899999999999999</c:v>
                </c:pt>
                <c:pt idx="4">
                  <c:v>19.5</c:v>
                </c:pt>
                <c:pt idx="5">
                  <c:v>18.5</c:v>
                </c:pt>
                <c:pt idx="6">
                  <c:v>20.2</c:v>
                </c:pt>
                <c:pt idx="7">
                  <c:v>18.2</c:v>
                </c:pt>
                <c:pt idx="8">
                  <c:v>19.2</c:v>
                </c:pt>
                <c:pt idx="9">
                  <c:v>20.399999999999999</c:v>
                </c:pt>
                <c:pt idx="10">
                  <c:v>20.2</c:v>
                </c:pt>
                <c:pt idx="11">
                  <c:v>19.5</c:v>
                </c:pt>
                <c:pt idx="12">
                  <c:v>19.899999999999999</c:v>
                </c:pt>
                <c:pt idx="13">
                  <c:v>20.3</c:v>
                </c:pt>
                <c:pt idx="14">
                  <c:v>19.399999999999999</c:v>
                </c:pt>
                <c:pt idx="15">
                  <c:v>20.5</c:v>
                </c:pt>
                <c:pt idx="16">
                  <c:v>20</c:v>
                </c:pt>
                <c:pt idx="17">
                  <c:v>19.8</c:v>
                </c:pt>
                <c:pt idx="18">
                  <c:v>20.7</c:v>
                </c:pt>
                <c:pt idx="19">
                  <c:v>19</c:v>
                </c:pt>
                <c:pt idx="20">
                  <c:v>19.7</c:v>
                </c:pt>
                <c:pt idx="21">
                  <c:v>17.600000000000001</c:v>
                </c:pt>
                <c:pt idx="22">
                  <c:v>17.399999999999999</c:v>
                </c:pt>
                <c:pt idx="23">
                  <c:v>17.399999999999999</c:v>
                </c:pt>
                <c:pt idx="24">
                  <c:v>17.8</c:v>
                </c:pt>
                <c:pt idx="25">
                  <c:v>19.8</c:v>
                </c:pt>
                <c:pt idx="26">
                  <c:v>18.399999999999999</c:v>
                </c:pt>
                <c:pt idx="27">
                  <c:v>18.399999999999999</c:v>
                </c:pt>
                <c:pt idx="28">
                  <c:v>19.5</c:v>
                </c:pt>
                <c:pt idx="29">
                  <c:v>20.3</c:v>
                </c:pt>
                <c:pt idx="30">
                  <c:v>19.399999999999999</c:v>
                </c:pt>
                <c:pt idx="31">
                  <c:v>20.7</c:v>
                </c:pt>
                <c:pt idx="32">
                  <c:v>18</c:v>
                </c:pt>
                <c:pt idx="33">
                  <c:v>18.3</c:v>
                </c:pt>
                <c:pt idx="34">
                  <c:v>19.8</c:v>
                </c:pt>
                <c:pt idx="35">
                  <c:v>20.100000000000001</c:v>
                </c:pt>
                <c:pt idx="36">
                  <c:v>22.6</c:v>
                </c:pt>
                <c:pt idx="37">
                  <c:v>20.6</c:v>
                </c:pt>
                <c:pt idx="38">
                  <c:v>20.3</c:v>
                </c:pt>
                <c:pt idx="39">
                  <c:v>18.8</c:v>
                </c:pt>
                <c:pt idx="40">
                  <c:v>18.100000000000001</c:v>
                </c:pt>
                <c:pt idx="41">
                  <c:v>18.600000000000001</c:v>
                </c:pt>
                <c:pt idx="42">
                  <c:v>18.5</c:v>
                </c:pt>
                <c:pt idx="43">
                  <c:v>18.399999999999999</c:v>
                </c:pt>
                <c:pt idx="44">
                  <c:v>18.3</c:v>
                </c:pt>
                <c:pt idx="45">
                  <c:v>18.100000000000001</c:v>
                </c:pt>
                <c:pt idx="46">
                  <c:v>18.399999999999999</c:v>
                </c:pt>
                <c:pt idx="47">
                  <c:v>17.2</c:v>
                </c:pt>
                <c:pt idx="48">
                  <c:v>18.3</c:v>
                </c:pt>
                <c:pt idx="49">
                  <c:v>17.899999999999999</c:v>
                </c:pt>
                <c:pt idx="50">
                  <c:v>18.3</c:v>
                </c:pt>
                <c:pt idx="51">
                  <c:v>17.600000000000001</c:v>
                </c:pt>
                <c:pt idx="52">
                  <c:v>18.600000000000001</c:v>
                </c:pt>
                <c:pt idx="53">
                  <c:v>17.8</c:v>
                </c:pt>
                <c:pt idx="54">
                  <c:v>19.399999999999999</c:v>
                </c:pt>
                <c:pt idx="55">
                  <c:v>19.2</c:v>
                </c:pt>
                <c:pt idx="56">
                  <c:v>18.399999999999999</c:v>
                </c:pt>
                <c:pt idx="57">
                  <c:v>19.100000000000001</c:v>
                </c:pt>
                <c:pt idx="58">
                  <c:v>19.2</c:v>
                </c:pt>
                <c:pt idx="59">
                  <c:v>18.5</c:v>
                </c:pt>
                <c:pt idx="60">
                  <c:v>19.5</c:v>
                </c:pt>
                <c:pt idx="61">
                  <c:v>20</c:v>
                </c:pt>
                <c:pt idx="62">
                  <c:v>18.8</c:v>
                </c:pt>
                <c:pt idx="63">
                  <c:v>19</c:v>
                </c:pt>
                <c:pt idx="64">
                  <c:v>18.399999999999999</c:v>
                </c:pt>
                <c:pt idx="65">
                  <c:v>21.5</c:v>
                </c:pt>
                <c:pt idx="66">
                  <c:v>20.100000000000001</c:v>
                </c:pt>
                <c:pt idx="67">
                  <c:v>18.7</c:v>
                </c:pt>
                <c:pt idx="68">
                  <c:v>16.8</c:v>
                </c:pt>
                <c:pt idx="69">
                  <c:v>17.3</c:v>
                </c:pt>
                <c:pt idx="70">
                  <c:v>17.600000000000001</c:v>
                </c:pt>
                <c:pt idx="71">
                  <c:v>18.3</c:v>
                </c:pt>
                <c:pt idx="72">
                  <c:v>19</c:v>
                </c:pt>
                <c:pt idx="73">
                  <c:v>20</c:v>
                </c:pt>
                <c:pt idx="74">
                  <c:v>19.7</c:v>
                </c:pt>
                <c:pt idx="75">
                  <c:v>19.7</c:v>
                </c:pt>
                <c:pt idx="76">
                  <c:v>20</c:v>
                </c:pt>
                <c:pt idx="77">
                  <c:v>19.899999999999999</c:v>
                </c:pt>
                <c:pt idx="78">
                  <c:v>19.7</c:v>
                </c:pt>
                <c:pt idx="79">
                  <c:v>20</c:v>
                </c:pt>
                <c:pt idx="80">
                  <c:v>18.100000000000001</c:v>
                </c:pt>
                <c:pt idx="81">
                  <c:v>20.2</c:v>
                </c:pt>
                <c:pt idx="82">
                  <c:v>21</c:v>
                </c:pt>
                <c:pt idx="83">
                  <c:v>20.8</c:v>
                </c:pt>
                <c:pt idx="84">
                  <c:v>22.1</c:v>
                </c:pt>
                <c:pt idx="85">
                  <c:v>20</c:v>
                </c:pt>
                <c:pt idx="86">
                  <c:v>19.3</c:v>
                </c:pt>
                <c:pt idx="87">
                  <c:v>18.399999999999999</c:v>
                </c:pt>
                <c:pt idx="88">
                  <c:v>18.899999999999999</c:v>
                </c:pt>
                <c:pt idx="89">
                  <c:v>18.7</c:v>
                </c:pt>
                <c:pt idx="90">
                  <c:v>18.399999999999999</c:v>
                </c:pt>
                <c:pt idx="91">
                  <c:v>18.7</c:v>
                </c:pt>
                <c:pt idx="92">
                  <c:v>19.5</c:v>
                </c:pt>
                <c:pt idx="93">
                  <c:v>20.3</c:v>
                </c:pt>
                <c:pt idx="94">
                  <c:v>21.2</c:v>
                </c:pt>
                <c:pt idx="95">
                  <c:v>22.1</c:v>
                </c:pt>
                <c:pt idx="96">
                  <c:v>20.6</c:v>
                </c:pt>
                <c:pt idx="97">
                  <c:v>20.3</c:v>
                </c:pt>
                <c:pt idx="98">
                  <c:v>20.3</c:v>
                </c:pt>
                <c:pt idx="99">
                  <c:v>22</c:v>
                </c:pt>
                <c:pt idx="100">
                  <c:v>20.7</c:v>
                </c:pt>
                <c:pt idx="101">
                  <c:v>21</c:v>
                </c:pt>
                <c:pt idx="102">
                  <c:v>21.2</c:v>
                </c:pt>
                <c:pt idx="103">
                  <c:v>20.7</c:v>
                </c:pt>
                <c:pt idx="104">
                  <c:v>20.8</c:v>
                </c:pt>
                <c:pt idx="105">
                  <c:v>20.3</c:v>
                </c:pt>
                <c:pt idx="106">
                  <c:v>20.6</c:v>
                </c:pt>
                <c:pt idx="107">
                  <c:v>21.3</c:v>
                </c:pt>
                <c:pt idx="108">
                  <c:v>21.1</c:v>
                </c:pt>
                <c:pt idx="109">
                  <c:v>18.899999999999999</c:v>
                </c:pt>
                <c:pt idx="110">
                  <c:v>20.399999999999999</c:v>
                </c:pt>
                <c:pt idx="111">
                  <c:v>20.7</c:v>
                </c:pt>
                <c:pt idx="112">
                  <c:v>19.399999999999999</c:v>
                </c:pt>
                <c:pt idx="113">
                  <c:v>19.3</c:v>
                </c:pt>
                <c:pt idx="114">
                  <c:v>18.8</c:v>
                </c:pt>
                <c:pt idx="115">
                  <c:v>21</c:v>
                </c:pt>
                <c:pt idx="116">
                  <c:v>21.2</c:v>
                </c:pt>
                <c:pt idx="117">
                  <c:v>20.7</c:v>
                </c:pt>
                <c:pt idx="118">
                  <c:v>21.4</c:v>
                </c:pt>
                <c:pt idx="119">
                  <c:v>23.2</c:v>
                </c:pt>
                <c:pt idx="120">
                  <c:v>22.6</c:v>
                </c:pt>
                <c:pt idx="121">
                  <c:v>22.9</c:v>
                </c:pt>
                <c:pt idx="122">
                  <c:v>24.1</c:v>
                </c:pt>
                <c:pt idx="123">
                  <c:v>22</c:v>
                </c:pt>
                <c:pt idx="124">
                  <c:v>22.5</c:v>
                </c:pt>
                <c:pt idx="125">
                  <c:v>22.5</c:v>
                </c:pt>
                <c:pt idx="126">
                  <c:v>17.8</c:v>
                </c:pt>
                <c:pt idx="127">
                  <c:v>21.8</c:v>
                </c:pt>
                <c:pt idx="128">
                  <c:v>22.6</c:v>
                </c:pt>
                <c:pt idx="129">
                  <c:v>20.6</c:v>
                </c:pt>
                <c:pt idx="130">
                  <c:v>19.7</c:v>
                </c:pt>
                <c:pt idx="131">
                  <c:v>20.3</c:v>
                </c:pt>
                <c:pt idx="132">
                  <c:v>20.100000000000001</c:v>
                </c:pt>
                <c:pt idx="133">
                  <c:v>20.9</c:v>
                </c:pt>
                <c:pt idx="134">
                  <c:v>22</c:v>
                </c:pt>
                <c:pt idx="135">
                  <c:v>22.7</c:v>
                </c:pt>
                <c:pt idx="136">
                  <c:v>22.6</c:v>
                </c:pt>
                <c:pt idx="137">
                  <c:v>21.6</c:v>
                </c:pt>
                <c:pt idx="138">
                  <c:v>21.9</c:v>
                </c:pt>
                <c:pt idx="139">
                  <c:v>22.7</c:v>
                </c:pt>
                <c:pt idx="140">
                  <c:v>23.4</c:v>
                </c:pt>
                <c:pt idx="141">
                  <c:v>23.7</c:v>
                </c:pt>
                <c:pt idx="142">
                  <c:v>22.3</c:v>
                </c:pt>
                <c:pt idx="143">
                  <c:v>22.1</c:v>
                </c:pt>
                <c:pt idx="144">
                  <c:v>22.6</c:v>
                </c:pt>
                <c:pt idx="145">
                  <c:v>20.3</c:v>
                </c:pt>
                <c:pt idx="146">
                  <c:v>21</c:v>
                </c:pt>
                <c:pt idx="147">
                  <c:v>20.100000000000001</c:v>
                </c:pt>
                <c:pt idx="148">
                  <c:v>19.600000000000001</c:v>
                </c:pt>
                <c:pt idx="149">
                  <c:v>20</c:v>
                </c:pt>
                <c:pt idx="150">
                  <c:v>19.2</c:v>
                </c:pt>
                <c:pt idx="151">
                  <c:v>20.100000000000001</c:v>
                </c:pt>
                <c:pt idx="152">
                  <c:v>20.7</c:v>
                </c:pt>
                <c:pt idx="153">
                  <c:v>22</c:v>
                </c:pt>
                <c:pt idx="154">
                  <c:v>19.5</c:v>
                </c:pt>
                <c:pt idx="155">
                  <c:v>21</c:v>
                </c:pt>
                <c:pt idx="156">
                  <c:v>19.7</c:v>
                </c:pt>
                <c:pt idx="157">
                  <c:v>21.2</c:v>
                </c:pt>
                <c:pt idx="158">
                  <c:v>22</c:v>
                </c:pt>
                <c:pt idx="159">
                  <c:v>20</c:v>
                </c:pt>
                <c:pt idx="160">
                  <c:v>23.6</c:v>
                </c:pt>
                <c:pt idx="161">
                  <c:v>28.6</c:v>
                </c:pt>
                <c:pt idx="162">
                  <c:v>22.3</c:v>
                </c:pt>
                <c:pt idx="163">
                  <c:v>20.3</c:v>
                </c:pt>
                <c:pt idx="164">
                  <c:v>20.399999999999999</c:v>
                </c:pt>
                <c:pt idx="165">
                  <c:v>20.9</c:v>
                </c:pt>
                <c:pt idx="166">
                  <c:v>20.6</c:v>
                </c:pt>
                <c:pt idx="167">
                  <c:v>23</c:v>
                </c:pt>
                <c:pt idx="168">
                  <c:v>27.2</c:v>
                </c:pt>
                <c:pt idx="169">
                  <c:v>24.2</c:v>
                </c:pt>
                <c:pt idx="170">
                  <c:v>28.1</c:v>
                </c:pt>
                <c:pt idx="171">
                  <c:v>28.6</c:v>
                </c:pt>
                <c:pt idx="172">
                  <c:v>28.3</c:v>
                </c:pt>
                <c:pt idx="173">
                  <c:v>29</c:v>
                </c:pt>
                <c:pt idx="174">
                  <c:v>29.1</c:v>
                </c:pt>
                <c:pt idx="175">
                  <c:v>28.2</c:v>
                </c:pt>
                <c:pt idx="176">
                  <c:v>28.2</c:v>
                </c:pt>
                <c:pt idx="177">
                  <c:v>28.2</c:v>
                </c:pt>
                <c:pt idx="178">
                  <c:v>23.7</c:v>
                </c:pt>
                <c:pt idx="179">
                  <c:v>26.4</c:v>
                </c:pt>
                <c:pt idx="180">
                  <c:v>17.600000000000001</c:v>
                </c:pt>
                <c:pt idx="181">
                  <c:v>15.3</c:v>
                </c:pt>
                <c:pt idx="182">
                  <c:v>14.8</c:v>
                </c:pt>
                <c:pt idx="183">
                  <c:v>15.1</c:v>
                </c:pt>
                <c:pt idx="184">
                  <c:v>15</c:v>
                </c:pt>
                <c:pt idx="185">
                  <c:v>13.9</c:v>
                </c:pt>
                <c:pt idx="186">
                  <c:v>12.5</c:v>
                </c:pt>
                <c:pt idx="187">
                  <c:v>11.6</c:v>
                </c:pt>
                <c:pt idx="188">
                  <c:v>11.9</c:v>
                </c:pt>
                <c:pt idx="189">
                  <c:v>11.7</c:v>
                </c:pt>
                <c:pt idx="190">
                  <c:v>11.8</c:v>
                </c:pt>
                <c:pt idx="191">
                  <c:v>11</c:v>
                </c:pt>
                <c:pt idx="192">
                  <c:v>10.8</c:v>
                </c:pt>
                <c:pt idx="193">
                  <c:v>10.8</c:v>
                </c:pt>
                <c:pt idx="194">
                  <c:v>10.6</c:v>
                </c:pt>
                <c:pt idx="195">
                  <c:v>12.8</c:v>
                </c:pt>
                <c:pt idx="196">
                  <c:v>11.3</c:v>
                </c:pt>
                <c:pt idx="197">
                  <c:v>11.7</c:v>
                </c:pt>
                <c:pt idx="198">
                  <c:v>11.6</c:v>
                </c:pt>
                <c:pt idx="199">
                  <c:v>13.3</c:v>
                </c:pt>
                <c:pt idx="200">
                  <c:v>11.5</c:v>
                </c:pt>
                <c:pt idx="201">
                  <c:v>12.3</c:v>
                </c:pt>
                <c:pt idx="202">
                  <c:v>10.6</c:v>
                </c:pt>
                <c:pt idx="203">
                  <c:v>12.1</c:v>
                </c:pt>
                <c:pt idx="204">
                  <c:v>9.8000000000000007</c:v>
                </c:pt>
                <c:pt idx="205">
                  <c:v>10.1</c:v>
                </c:pt>
                <c:pt idx="206">
                  <c:v>10.1</c:v>
                </c:pt>
                <c:pt idx="207">
                  <c:v>11.1</c:v>
                </c:pt>
                <c:pt idx="208">
                  <c:v>11.4</c:v>
                </c:pt>
                <c:pt idx="209">
                  <c:v>10.9</c:v>
                </c:pt>
                <c:pt idx="210">
                  <c:v>12.1</c:v>
                </c:pt>
                <c:pt idx="211">
                  <c:v>11</c:v>
                </c:pt>
                <c:pt idx="212">
                  <c:v>10</c:v>
                </c:pt>
                <c:pt idx="213">
                  <c:v>9.6999999999999993</c:v>
                </c:pt>
                <c:pt idx="214">
                  <c:v>10.3</c:v>
                </c:pt>
                <c:pt idx="215">
                  <c:v>13.1</c:v>
                </c:pt>
                <c:pt idx="216">
                  <c:v>10.8</c:v>
                </c:pt>
                <c:pt idx="217">
                  <c:v>10.5</c:v>
                </c:pt>
                <c:pt idx="218">
                  <c:v>10.1</c:v>
                </c:pt>
                <c:pt idx="219">
                  <c:v>10.1</c:v>
                </c:pt>
                <c:pt idx="220">
                  <c:v>10.8</c:v>
                </c:pt>
                <c:pt idx="221">
                  <c:v>11.5</c:v>
                </c:pt>
                <c:pt idx="222">
                  <c:v>13</c:v>
                </c:pt>
                <c:pt idx="223">
                  <c:v>11.2</c:v>
                </c:pt>
                <c:pt idx="224">
                  <c:v>12.1</c:v>
                </c:pt>
                <c:pt idx="225">
                  <c:v>10.9</c:v>
                </c:pt>
                <c:pt idx="226">
                  <c:v>10.5</c:v>
                </c:pt>
                <c:pt idx="227">
                  <c:v>11.4</c:v>
                </c:pt>
                <c:pt idx="228">
                  <c:v>10.9</c:v>
                </c:pt>
                <c:pt idx="229">
                  <c:v>13.2</c:v>
                </c:pt>
                <c:pt idx="230">
                  <c:v>12.4</c:v>
                </c:pt>
                <c:pt idx="231">
                  <c:v>12</c:v>
                </c:pt>
                <c:pt idx="232">
                  <c:v>10.9</c:v>
                </c:pt>
                <c:pt idx="233">
                  <c:v>10.3</c:v>
                </c:pt>
                <c:pt idx="234">
                  <c:v>10.199999999999999</c:v>
                </c:pt>
                <c:pt idx="235">
                  <c:v>11.5</c:v>
                </c:pt>
                <c:pt idx="236">
                  <c:v>11.3</c:v>
                </c:pt>
                <c:pt idx="237">
                  <c:v>11.5</c:v>
                </c:pt>
                <c:pt idx="238">
                  <c:v>11.1</c:v>
                </c:pt>
                <c:pt idx="239">
                  <c:v>11.4</c:v>
                </c:pt>
                <c:pt idx="240">
                  <c:v>10.9</c:v>
                </c:pt>
                <c:pt idx="241">
                  <c:v>10.6</c:v>
                </c:pt>
                <c:pt idx="242">
                  <c:v>11.2</c:v>
                </c:pt>
                <c:pt idx="243">
                  <c:v>11.5</c:v>
                </c:pt>
                <c:pt idx="244">
                  <c:v>11.6</c:v>
                </c:pt>
                <c:pt idx="245">
                  <c:v>12.2</c:v>
                </c:pt>
                <c:pt idx="246">
                  <c:v>12.4</c:v>
                </c:pt>
                <c:pt idx="247">
                  <c:v>10.8</c:v>
                </c:pt>
                <c:pt idx="248">
                  <c:v>10.7</c:v>
                </c:pt>
                <c:pt idx="249">
                  <c:v>11.2</c:v>
                </c:pt>
                <c:pt idx="250">
                  <c:v>11.8</c:v>
                </c:pt>
                <c:pt idx="251">
                  <c:v>12.5</c:v>
                </c:pt>
                <c:pt idx="252">
                  <c:v>13.6</c:v>
                </c:pt>
                <c:pt idx="253">
                  <c:v>12</c:v>
                </c:pt>
                <c:pt idx="254">
                  <c:v>12</c:v>
                </c:pt>
                <c:pt idx="255">
                  <c:v>12.1</c:v>
                </c:pt>
                <c:pt idx="256">
                  <c:v>12.1</c:v>
                </c:pt>
                <c:pt idx="257">
                  <c:v>11.6</c:v>
                </c:pt>
                <c:pt idx="258">
                  <c:v>10.8</c:v>
                </c:pt>
                <c:pt idx="259">
                  <c:v>10.6</c:v>
                </c:pt>
                <c:pt idx="260">
                  <c:v>11.9</c:v>
                </c:pt>
                <c:pt idx="261">
                  <c:v>12.1</c:v>
                </c:pt>
                <c:pt idx="262">
                  <c:v>13.7</c:v>
                </c:pt>
                <c:pt idx="263">
                  <c:v>11.3</c:v>
                </c:pt>
                <c:pt idx="264">
                  <c:v>11.4</c:v>
                </c:pt>
                <c:pt idx="265">
                  <c:v>11.3</c:v>
                </c:pt>
                <c:pt idx="266">
                  <c:v>11.1</c:v>
                </c:pt>
                <c:pt idx="267">
                  <c:v>11.6</c:v>
                </c:pt>
                <c:pt idx="268">
                  <c:v>11.8</c:v>
                </c:pt>
                <c:pt idx="269">
                  <c:v>12.3</c:v>
                </c:pt>
                <c:pt idx="270">
                  <c:v>12.2</c:v>
                </c:pt>
                <c:pt idx="271">
                  <c:v>11.4</c:v>
                </c:pt>
                <c:pt idx="272">
                  <c:v>11.8</c:v>
                </c:pt>
                <c:pt idx="273">
                  <c:v>11.1</c:v>
                </c:pt>
                <c:pt idx="274">
                  <c:v>11.8</c:v>
                </c:pt>
                <c:pt idx="275">
                  <c:v>11.5</c:v>
                </c:pt>
                <c:pt idx="276">
                  <c:v>11.6</c:v>
                </c:pt>
                <c:pt idx="277">
                  <c:v>12.3</c:v>
                </c:pt>
                <c:pt idx="278">
                  <c:v>12.7</c:v>
                </c:pt>
                <c:pt idx="279">
                  <c:v>14.1</c:v>
                </c:pt>
                <c:pt idx="280">
                  <c:v>16.7</c:v>
                </c:pt>
                <c:pt idx="281">
                  <c:v>11.1</c:v>
                </c:pt>
                <c:pt idx="282">
                  <c:v>13.5</c:v>
                </c:pt>
                <c:pt idx="283">
                  <c:v>11.6</c:v>
                </c:pt>
                <c:pt idx="284">
                  <c:v>13.5</c:v>
                </c:pt>
                <c:pt idx="285">
                  <c:v>18.100000000000001</c:v>
                </c:pt>
                <c:pt idx="286">
                  <c:v>18.100000000000001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1D-9246-A0B5-B1D0A11BE2ED}"/>
            </c:ext>
          </c:extLst>
        </c:ser>
        <c:ser>
          <c:idx val="1"/>
          <c:order val="1"/>
          <c:tx>
            <c:strRef>
              <c:f>'934297-0122 J.LivRm_PVitalsag_2'!$X$1</c:f>
              <c:strCache>
                <c:ptCount val="1"/>
                <c:pt idx="0">
                  <c:v>hi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J.LivRm_PVitalsag_2'!$V$930:$V$1216</c:f>
              <c:numCache>
                <c:formatCode>m/d/yy\ h:mm</c:formatCode>
                <c:ptCount val="287"/>
                <c:pt idx="0">
                  <c:v>45459.166666666664</c:v>
                </c:pt>
                <c:pt idx="1">
                  <c:v>45459.208333333336</c:v>
                </c:pt>
                <c:pt idx="2">
                  <c:v>45459.25</c:v>
                </c:pt>
                <c:pt idx="3">
                  <c:v>45459.291666666664</c:v>
                </c:pt>
                <c:pt idx="4">
                  <c:v>45459.333333333336</c:v>
                </c:pt>
                <c:pt idx="5">
                  <c:v>45459.375</c:v>
                </c:pt>
                <c:pt idx="6">
                  <c:v>45459.416666666664</c:v>
                </c:pt>
                <c:pt idx="7">
                  <c:v>45459.458333333336</c:v>
                </c:pt>
                <c:pt idx="8">
                  <c:v>45459.5</c:v>
                </c:pt>
                <c:pt idx="9">
                  <c:v>45459.541666666664</c:v>
                </c:pt>
                <c:pt idx="10">
                  <c:v>45459.583333333336</c:v>
                </c:pt>
                <c:pt idx="11">
                  <c:v>45459.625</c:v>
                </c:pt>
                <c:pt idx="12">
                  <c:v>45459.666666666664</c:v>
                </c:pt>
                <c:pt idx="13">
                  <c:v>45459.708333333336</c:v>
                </c:pt>
                <c:pt idx="14">
                  <c:v>45459.75</c:v>
                </c:pt>
                <c:pt idx="15">
                  <c:v>45459.791666666664</c:v>
                </c:pt>
                <c:pt idx="16">
                  <c:v>45459.833333333336</c:v>
                </c:pt>
                <c:pt idx="17">
                  <c:v>45459.875</c:v>
                </c:pt>
                <c:pt idx="18">
                  <c:v>45460</c:v>
                </c:pt>
                <c:pt idx="19">
                  <c:v>45460.041666666664</c:v>
                </c:pt>
                <c:pt idx="20">
                  <c:v>45460.083333333336</c:v>
                </c:pt>
                <c:pt idx="21">
                  <c:v>45460.125</c:v>
                </c:pt>
                <c:pt idx="22">
                  <c:v>45460.166666666664</c:v>
                </c:pt>
                <c:pt idx="23">
                  <c:v>45460.208333333336</c:v>
                </c:pt>
                <c:pt idx="24">
                  <c:v>45460.25</c:v>
                </c:pt>
                <c:pt idx="25">
                  <c:v>45460.291666666664</c:v>
                </c:pt>
                <c:pt idx="26">
                  <c:v>45460.333333333336</c:v>
                </c:pt>
                <c:pt idx="27">
                  <c:v>45460.375</c:v>
                </c:pt>
                <c:pt idx="28">
                  <c:v>45460.416666666664</c:v>
                </c:pt>
                <c:pt idx="29">
                  <c:v>45460.458333333336</c:v>
                </c:pt>
                <c:pt idx="30">
                  <c:v>45460.5</c:v>
                </c:pt>
                <c:pt idx="31">
                  <c:v>45460.541666666664</c:v>
                </c:pt>
                <c:pt idx="32">
                  <c:v>45460.583333333336</c:v>
                </c:pt>
                <c:pt idx="33">
                  <c:v>45460.625</c:v>
                </c:pt>
                <c:pt idx="34">
                  <c:v>45460.666666666664</c:v>
                </c:pt>
                <c:pt idx="35">
                  <c:v>45460.708333333336</c:v>
                </c:pt>
                <c:pt idx="36">
                  <c:v>45460.75</c:v>
                </c:pt>
                <c:pt idx="37">
                  <c:v>45460.791666666664</c:v>
                </c:pt>
                <c:pt idx="38">
                  <c:v>45460.833333333336</c:v>
                </c:pt>
                <c:pt idx="39">
                  <c:v>45460.875</c:v>
                </c:pt>
                <c:pt idx="40">
                  <c:v>45460.916666666664</c:v>
                </c:pt>
                <c:pt idx="41">
                  <c:v>45460.958333333336</c:v>
                </c:pt>
                <c:pt idx="42">
                  <c:v>45461</c:v>
                </c:pt>
                <c:pt idx="43">
                  <c:v>45461.041666666664</c:v>
                </c:pt>
                <c:pt idx="44">
                  <c:v>45461.083333333336</c:v>
                </c:pt>
                <c:pt idx="45">
                  <c:v>45461.125</c:v>
                </c:pt>
                <c:pt idx="46">
                  <c:v>45461.166666666664</c:v>
                </c:pt>
                <c:pt idx="47">
                  <c:v>45461.208333333336</c:v>
                </c:pt>
                <c:pt idx="48">
                  <c:v>45461.25</c:v>
                </c:pt>
                <c:pt idx="49">
                  <c:v>45461.291666666664</c:v>
                </c:pt>
                <c:pt idx="50">
                  <c:v>45461.333333333336</c:v>
                </c:pt>
                <c:pt idx="51">
                  <c:v>45461.375</c:v>
                </c:pt>
                <c:pt idx="52">
                  <c:v>45461.416666666664</c:v>
                </c:pt>
                <c:pt idx="53">
                  <c:v>45461.458333333336</c:v>
                </c:pt>
                <c:pt idx="54">
                  <c:v>45461.5</c:v>
                </c:pt>
                <c:pt idx="55">
                  <c:v>45461.541666666664</c:v>
                </c:pt>
                <c:pt idx="56">
                  <c:v>45461.583333333336</c:v>
                </c:pt>
                <c:pt idx="57">
                  <c:v>45461.625</c:v>
                </c:pt>
                <c:pt idx="58">
                  <c:v>45461.666666666664</c:v>
                </c:pt>
                <c:pt idx="59">
                  <c:v>45461.708333333336</c:v>
                </c:pt>
                <c:pt idx="60">
                  <c:v>45461.75</c:v>
                </c:pt>
                <c:pt idx="61">
                  <c:v>45461.791666666664</c:v>
                </c:pt>
                <c:pt idx="62">
                  <c:v>45461.833333333336</c:v>
                </c:pt>
                <c:pt idx="63">
                  <c:v>45461.875</c:v>
                </c:pt>
                <c:pt idx="64">
                  <c:v>45461.958333333336</c:v>
                </c:pt>
                <c:pt idx="65">
                  <c:v>45462.166666666664</c:v>
                </c:pt>
                <c:pt idx="66">
                  <c:v>45462.208333333336</c:v>
                </c:pt>
                <c:pt idx="67">
                  <c:v>45462.25</c:v>
                </c:pt>
                <c:pt idx="68">
                  <c:v>45462.291666666664</c:v>
                </c:pt>
                <c:pt idx="69">
                  <c:v>45462.333333333336</c:v>
                </c:pt>
                <c:pt idx="70">
                  <c:v>45462.375</c:v>
                </c:pt>
                <c:pt idx="71">
                  <c:v>45462.416666666664</c:v>
                </c:pt>
                <c:pt idx="72">
                  <c:v>45462.458333333336</c:v>
                </c:pt>
                <c:pt idx="73">
                  <c:v>45462.5</c:v>
                </c:pt>
                <c:pt idx="74">
                  <c:v>45462.541666666664</c:v>
                </c:pt>
                <c:pt idx="75">
                  <c:v>45462.583333333336</c:v>
                </c:pt>
                <c:pt idx="76">
                  <c:v>45462.625</c:v>
                </c:pt>
                <c:pt idx="77">
                  <c:v>45462.666666666664</c:v>
                </c:pt>
                <c:pt idx="78">
                  <c:v>45462.708333333336</c:v>
                </c:pt>
                <c:pt idx="79">
                  <c:v>45462.75</c:v>
                </c:pt>
                <c:pt idx="80">
                  <c:v>45462.791666666664</c:v>
                </c:pt>
                <c:pt idx="81">
                  <c:v>45462.833333333336</c:v>
                </c:pt>
                <c:pt idx="82">
                  <c:v>45462.875</c:v>
                </c:pt>
                <c:pt idx="83">
                  <c:v>45462.916666666664</c:v>
                </c:pt>
                <c:pt idx="84">
                  <c:v>45463.125</c:v>
                </c:pt>
                <c:pt idx="85">
                  <c:v>45463.166666666664</c:v>
                </c:pt>
                <c:pt idx="86">
                  <c:v>45463.208333333336</c:v>
                </c:pt>
                <c:pt idx="87">
                  <c:v>45463.25</c:v>
                </c:pt>
                <c:pt idx="88">
                  <c:v>45463.291666666664</c:v>
                </c:pt>
                <c:pt idx="89">
                  <c:v>45463.333333333336</c:v>
                </c:pt>
                <c:pt idx="90">
                  <c:v>45463.375</c:v>
                </c:pt>
                <c:pt idx="91">
                  <c:v>45463.416666666664</c:v>
                </c:pt>
                <c:pt idx="92">
                  <c:v>45463.458333333336</c:v>
                </c:pt>
                <c:pt idx="93">
                  <c:v>45463.5</c:v>
                </c:pt>
                <c:pt idx="94">
                  <c:v>45463.541666666664</c:v>
                </c:pt>
                <c:pt idx="95">
                  <c:v>45463.583333333336</c:v>
                </c:pt>
                <c:pt idx="96">
                  <c:v>45463.625</c:v>
                </c:pt>
                <c:pt idx="97">
                  <c:v>45463.666666666664</c:v>
                </c:pt>
                <c:pt idx="98">
                  <c:v>45463.708333333336</c:v>
                </c:pt>
                <c:pt idx="99">
                  <c:v>45463.75</c:v>
                </c:pt>
                <c:pt idx="100">
                  <c:v>45463.791666666664</c:v>
                </c:pt>
                <c:pt idx="101">
                  <c:v>45463.833333333336</c:v>
                </c:pt>
                <c:pt idx="102">
                  <c:v>45463.875</c:v>
                </c:pt>
                <c:pt idx="103">
                  <c:v>45463.916666666664</c:v>
                </c:pt>
                <c:pt idx="104">
                  <c:v>45463.958333333336</c:v>
                </c:pt>
                <c:pt idx="105">
                  <c:v>45464</c:v>
                </c:pt>
                <c:pt idx="106">
                  <c:v>45464.041666666664</c:v>
                </c:pt>
                <c:pt idx="107">
                  <c:v>45464.083333333336</c:v>
                </c:pt>
                <c:pt idx="108">
                  <c:v>45464.125</c:v>
                </c:pt>
                <c:pt idx="109">
                  <c:v>45464.166666666664</c:v>
                </c:pt>
                <c:pt idx="110">
                  <c:v>45464.208333333336</c:v>
                </c:pt>
                <c:pt idx="111">
                  <c:v>45464.25</c:v>
                </c:pt>
                <c:pt idx="112">
                  <c:v>45464.291666666664</c:v>
                </c:pt>
                <c:pt idx="113">
                  <c:v>45464.333333333336</c:v>
                </c:pt>
                <c:pt idx="114">
                  <c:v>45464.375</c:v>
                </c:pt>
                <c:pt idx="115">
                  <c:v>45464.416666666664</c:v>
                </c:pt>
                <c:pt idx="116">
                  <c:v>45464.458333333336</c:v>
                </c:pt>
                <c:pt idx="117">
                  <c:v>45464.5</c:v>
                </c:pt>
                <c:pt idx="118">
                  <c:v>45464.541666666664</c:v>
                </c:pt>
                <c:pt idx="119">
                  <c:v>45464.583333333336</c:v>
                </c:pt>
                <c:pt idx="120">
                  <c:v>45464.625</c:v>
                </c:pt>
                <c:pt idx="121">
                  <c:v>45464.666666666664</c:v>
                </c:pt>
                <c:pt idx="122">
                  <c:v>45464.708333333336</c:v>
                </c:pt>
                <c:pt idx="123">
                  <c:v>45464.75</c:v>
                </c:pt>
                <c:pt idx="124">
                  <c:v>45464.791666666664</c:v>
                </c:pt>
                <c:pt idx="125">
                  <c:v>45464.833333333336</c:v>
                </c:pt>
                <c:pt idx="126">
                  <c:v>45464.875</c:v>
                </c:pt>
                <c:pt idx="127">
                  <c:v>45465.291666666664</c:v>
                </c:pt>
                <c:pt idx="128">
                  <c:v>45465.333333333336</c:v>
                </c:pt>
                <c:pt idx="129">
                  <c:v>45465.375</c:v>
                </c:pt>
                <c:pt idx="130">
                  <c:v>45465.416666666664</c:v>
                </c:pt>
                <c:pt idx="131">
                  <c:v>45465.458333333336</c:v>
                </c:pt>
                <c:pt idx="132">
                  <c:v>45465.5</c:v>
                </c:pt>
                <c:pt idx="133">
                  <c:v>45465.541666666664</c:v>
                </c:pt>
                <c:pt idx="134">
                  <c:v>45465.583333333336</c:v>
                </c:pt>
                <c:pt idx="135">
                  <c:v>45465.625</c:v>
                </c:pt>
                <c:pt idx="136">
                  <c:v>45465.666666666664</c:v>
                </c:pt>
                <c:pt idx="137">
                  <c:v>45465.708333333336</c:v>
                </c:pt>
                <c:pt idx="138">
                  <c:v>45465.75</c:v>
                </c:pt>
                <c:pt idx="139">
                  <c:v>45465.791666666664</c:v>
                </c:pt>
                <c:pt idx="140">
                  <c:v>45465.833333333336</c:v>
                </c:pt>
                <c:pt idx="141">
                  <c:v>45465.875</c:v>
                </c:pt>
                <c:pt idx="142">
                  <c:v>45465.916666666664</c:v>
                </c:pt>
                <c:pt idx="143">
                  <c:v>45465.958333333336</c:v>
                </c:pt>
                <c:pt idx="144">
                  <c:v>45466</c:v>
                </c:pt>
                <c:pt idx="145">
                  <c:v>45466.041666666664</c:v>
                </c:pt>
                <c:pt idx="146">
                  <c:v>45466.083333333336</c:v>
                </c:pt>
                <c:pt idx="147">
                  <c:v>45466.125</c:v>
                </c:pt>
                <c:pt idx="148">
                  <c:v>45466.166666666664</c:v>
                </c:pt>
                <c:pt idx="149">
                  <c:v>45466.208333333336</c:v>
                </c:pt>
                <c:pt idx="150">
                  <c:v>45466.25</c:v>
                </c:pt>
                <c:pt idx="151">
                  <c:v>45466.291666666664</c:v>
                </c:pt>
                <c:pt idx="152">
                  <c:v>45466.333333333336</c:v>
                </c:pt>
                <c:pt idx="153">
                  <c:v>45466.375</c:v>
                </c:pt>
                <c:pt idx="154">
                  <c:v>45466.416666666664</c:v>
                </c:pt>
                <c:pt idx="155">
                  <c:v>45466.458333333336</c:v>
                </c:pt>
                <c:pt idx="156">
                  <c:v>45466.5</c:v>
                </c:pt>
                <c:pt idx="157">
                  <c:v>45466.541666666664</c:v>
                </c:pt>
                <c:pt idx="158">
                  <c:v>45466.583333333336</c:v>
                </c:pt>
                <c:pt idx="159">
                  <c:v>45466.625</c:v>
                </c:pt>
                <c:pt idx="160">
                  <c:v>45466.666666666664</c:v>
                </c:pt>
                <c:pt idx="161">
                  <c:v>45466.708333333336</c:v>
                </c:pt>
                <c:pt idx="162">
                  <c:v>45466.75</c:v>
                </c:pt>
                <c:pt idx="163">
                  <c:v>45466.791666666664</c:v>
                </c:pt>
                <c:pt idx="164">
                  <c:v>45466.833333333336</c:v>
                </c:pt>
                <c:pt idx="165">
                  <c:v>45466.875</c:v>
                </c:pt>
                <c:pt idx="166">
                  <c:v>45466.916666666664</c:v>
                </c:pt>
                <c:pt idx="167">
                  <c:v>45466.958333333336</c:v>
                </c:pt>
                <c:pt idx="168">
                  <c:v>45467</c:v>
                </c:pt>
                <c:pt idx="169">
                  <c:v>45467.041666666664</c:v>
                </c:pt>
                <c:pt idx="170">
                  <c:v>45467.083333333336</c:v>
                </c:pt>
                <c:pt idx="171">
                  <c:v>45467.125</c:v>
                </c:pt>
                <c:pt idx="172">
                  <c:v>45467.166666666664</c:v>
                </c:pt>
                <c:pt idx="173">
                  <c:v>45467.208333333336</c:v>
                </c:pt>
                <c:pt idx="174">
                  <c:v>45467.25</c:v>
                </c:pt>
                <c:pt idx="175">
                  <c:v>45467.291666666664</c:v>
                </c:pt>
                <c:pt idx="176">
                  <c:v>45467.333333333336</c:v>
                </c:pt>
                <c:pt idx="177">
                  <c:v>45467.375</c:v>
                </c:pt>
                <c:pt idx="178">
                  <c:v>45467.416666666664</c:v>
                </c:pt>
                <c:pt idx="179">
                  <c:v>45467.458333333336</c:v>
                </c:pt>
                <c:pt idx="180">
                  <c:v>45467.958333333336</c:v>
                </c:pt>
                <c:pt idx="181">
                  <c:v>45468</c:v>
                </c:pt>
                <c:pt idx="182">
                  <c:v>45468.041666666664</c:v>
                </c:pt>
                <c:pt idx="183">
                  <c:v>45468.083333333336</c:v>
                </c:pt>
                <c:pt idx="184">
                  <c:v>45468.125</c:v>
                </c:pt>
                <c:pt idx="185">
                  <c:v>45468.166666666664</c:v>
                </c:pt>
                <c:pt idx="186">
                  <c:v>45468.208333333336</c:v>
                </c:pt>
                <c:pt idx="187">
                  <c:v>45468.333333333336</c:v>
                </c:pt>
                <c:pt idx="188">
                  <c:v>45468.375</c:v>
                </c:pt>
                <c:pt idx="189">
                  <c:v>45468.416666666664</c:v>
                </c:pt>
                <c:pt idx="190">
                  <c:v>45468.458333333336</c:v>
                </c:pt>
                <c:pt idx="191">
                  <c:v>45468.5</c:v>
                </c:pt>
                <c:pt idx="192">
                  <c:v>45468.541666666664</c:v>
                </c:pt>
                <c:pt idx="193">
                  <c:v>45468.583333333336</c:v>
                </c:pt>
                <c:pt idx="194">
                  <c:v>45468.625</c:v>
                </c:pt>
                <c:pt idx="195">
                  <c:v>45468.666666666664</c:v>
                </c:pt>
                <c:pt idx="196">
                  <c:v>45468.708333333336</c:v>
                </c:pt>
                <c:pt idx="197">
                  <c:v>45468.75</c:v>
                </c:pt>
                <c:pt idx="198">
                  <c:v>45468.791666666664</c:v>
                </c:pt>
                <c:pt idx="199">
                  <c:v>45468.833333333336</c:v>
                </c:pt>
                <c:pt idx="200">
                  <c:v>45468.875</c:v>
                </c:pt>
                <c:pt idx="201">
                  <c:v>45468.916666666664</c:v>
                </c:pt>
                <c:pt idx="202">
                  <c:v>45468.958333333336</c:v>
                </c:pt>
                <c:pt idx="203">
                  <c:v>45469</c:v>
                </c:pt>
                <c:pt idx="204">
                  <c:v>45469.041666666664</c:v>
                </c:pt>
                <c:pt idx="205">
                  <c:v>45469.083333333336</c:v>
                </c:pt>
                <c:pt idx="206">
                  <c:v>45469.125</c:v>
                </c:pt>
                <c:pt idx="207">
                  <c:v>45469.166666666664</c:v>
                </c:pt>
                <c:pt idx="208">
                  <c:v>45469.208333333336</c:v>
                </c:pt>
                <c:pt idx="209">
                  <c:v>45469.25</c:v>
                </c:pt>
                <c:pt idx="210">
                  <c:v>45469.291666666664</c:v>
                </c:pt>
                <c:pt idx="211">
                  <c:v>45469.333333333336</c:v>
                </c:pt>
                <c:pt idx="212">
                  <c:v>45469.375</c:v>
                </c:pt>
                <c:pt idx="213">
                  <c:v>45469.416666666664</c:v>
                </c:pt>
                <c:pt idx="214">
                  <c:v>45469.458333333336</c:v>
                </c:pt>
                <c:pt idx="215">
                  <c:v>45469.5</c:v>
                </c:pt>
                <c:pt idx="216">
                  <c:v>45469.541666666664</c:v>
                </c:pt>
                <c:pt idx="217">
                  <c:v>45469.666666666664</c:v>
                </c:pt>
                <c:pt idx="218">
                  <c:v>45469.708333333336</c:v>
                </c:pt>
                <c:pt idx="219">
                  <c:v>45469.75</c:v>
                </c:pt>
                <c:pt idx="220">
                  <c:v>45469.791666666664</c:v>
                </c:pt>
                <c:pt idx="221">
                  <c:v>45469.833333333336</c:v>
                </c:pt>
                <c:pt idx="222">
                  <c:v>45469.875</c:v>
                </c:pt>
                <c:pt idx="223">
                  <c:v>45469.916666666664</c:v>
                </c:pt>
                <c:pt idx="224">
                  <c:v>45469.958333333336</c:v>
                </c:pt>
                <c:pt idx="225">
                  <c:v>45470</c:v>
                </c:pt>
                <c:pt idx="226">
                  <c:v>45470.041666666664</c:v>
                </c:pt>
                <c:pt idx="227">
                  <c:v>45470.083333333336</c:v>
                </c:pt>
                <c:pt idx="228">
                  <c:v>45470.125</c:v>
                </c:pt>
                <c:pt idx="229">
                  <c:v>45470.166666666664</c:v>
                </c:pt>
                <c:pt idx="230">
                  <c:v>45470.208333333336</c:v>
                </c:pt>
                <c:pt idx="231">
                  <c:v>45470.25</c:v>
                </c:pt>
                <c:pt idx="232">
                  <c:v>45470.291666666664</c:v>
                </c:pt>
                <c:pt idx="233">
                  <c:v>45470.333333333336</c:v>
                </c:pt>
                <c:pt idx="234">
                  <c:v>45470.375</c:v>
                </c:pt>
                <c:pt idx="235">
                  <c:v>45470.416666666664</c:v>
                </c:pt>
                <c:pt idx="236">
                  <c:v>45470.458333333336</c:v>
                </c:pt>
                <c:pt idx="237">
                  <c:v>45470.5</c:v>
                </c:pt>
                <c:pt idx="238">
                  <c:v>45470.541666666664</c:v>
                </c:pt>
                <c:pt idx="239">
                  <c:v>45470.583333333336</c:v>
                </c:pt>
                <c:pt idx="240">
                  <c:v>45470.625</c:v>
                </c:pt>
                <c:pt idx="241">
                  <c:v>45470.666666666664</c:v>
                </c:pt>
                <c:pt idx="242">
                  <c:v>45470.708333333336</c:v>
                </c:pt>
                <c:pt idx="243">
                  <c:v>45470.75</c:v>
                </c:pt>
                <c:pt idx="244">
                  <c:v>45470.791666666664</c:v>
                </c:pt>
                <c:pt idx="245">
                  <c:v>45470.833333333336</c:v>
                </c:pt>
                <c:pt idx="246">
                  <c:v>45470.875</c:v>
                </c:pt>
                <c:pt idx="247">
                  <c:v>45470.916666666664</c:v>
                </c:pt>
                <c:pt idx="248">
                  <c:v>45470.958333333336</c:v>
                </c:pt>
                <c:pt idx="249">
                  <c:v>45471</c:v>
                </c:pt>
                <c:pt idx="250">
                  <c:v>45471.041666666664</c:v>
                </c:pt>
                <c:pt idx="251">
                  <c:v>45471.083333333336</c:v>
                </c:pt>
                <c:pt idx="252">
                  <c:v>45471.125</c:v>
                </c:pt>
                <c:pt idx="253">
                  <c:v>45471.166666666664</c:v>
                </c:pt>
                <c:pt idx="254">
                  <c:v>45471.208333333336</c:v>
                </c:pt>
                <c:pt idx="255">
                  <c:v>45471.25</c:v>
                </c:pt>
                <c:pt idx="256">
                  <c:v>45471.291666666664</c:v>
                </c:pt>
                <c:pt idx="257">
                  <c:v>45471.333333333336</c:v>
                </c:pt>
                <c:pt idx="258">
                  <c:v>45471.375</c:v>
                </c:pt>
                <c:pt idx="259">
                  <c:v>45471.416666666664</c:v>
                </c:pt>
                <c:pt idx="260">
                  <c:v>45471.458333333336</c:v>
                </c:pt>
                <c:pt idx="261">
                  <c:v>45471.5</c:v>
                </c:pt>
                <c:pt idx="262">
                  <c:v>45471.541666666664</c:v>
                </c:pt>
                <c:pt idx="263">
                  <c:v>45471.583333333336</c:v>
                </c:pt>
                <c:pt idx="264">
                  <c:v>45471.625</c:v>
                </c:pt>
                <c:pt idx="265">
                  <c:v>45471.666666666664</c:v>
                </c:pt>
                <c:pt idx="266">
                  <c:v>45471.708333333336</c:v>
                </c:pt>
                <c:pt idx="267">
                  <c:v>45471.75</c:v>
                </c:pt>
                <c:pt idx="268">
                  <c:v>45471.791666666664</c:v>
                </c:pt>
                <c:pt idx="269">
                  <c:v>45471.833333333336</c:v>
                </c:pt>
                <c:pt idx="270">
                  <c:v>45471.875</c:v>
                </c:pt>
                <c:pt idx="271">
                  <c:v>45471.916666666664</c:v>
                </c:pt>
                <c:pt idx="272">
                  <c:v>45471.958333333336</c:v>
                </c:pt>
                <c:pt idx="273">
                  <c:v>45472</c:v>
                </c:pt>
                <c:pt idx="274">
                  <c:v>45472.041666666664</c:v>
                </c:pt>
                <c:pt idx="275">
                  <c:v>45472.083333333336</c:v>
                </c:pt>
                <c:pt idx="276">
                  <c:v>45472.125</c:v>
                </c:pt>
                <c:pt idx="277">
                  <c:v>45472.166666666664</c:v>
                </c:pt>
                <c:pt idx="278">
                  <c:v>45472.208333333336</c:v>
                </c:pt>
                <c:pt idx="279">
                  <c:v>45472.25</c:v>
                </c:pt>
                <c:pt idx="280">
                  <c:v>45472.291666666664</c:v>
                </c:pt>
                <c:pt idx="281">
                  <c:v>45472.333333333336</c:v>
                </c:pt>
                <c:pt idx="282">
                  <c:v>45472.375</c:v>
                </c:pt>
                <c:pt idx="283">
                  <c:v>45472.416666666664</c:v>
                </c:pt>
                <c:pt idx="284">
                  <c:v>45472.708333333336</c:v>
                </c:pt>
                <c:pt idx="285">
                  <c:v>45472.75</c:v>
                </c:pt>
                <c:pt idx="286">
                  <c:v>45472.791666666664</c:v>
                </c:pt>
              </c:numCache>
            </c:numRef>
          </c:cat>
          <c:val>
            <c:numRef>
              <c:f>'934297-0122 J.LivRm_PVitalsag_2'!$X$930:$X$1216</c:f>
              <c:numCache>
                <c:formatCode>General</c:formatCode>
                <c:ptCount val="287"/>
                <c:pt idx="0">
                  <c:v>21.3</c:v>
                </c:pt>
                <c:pt idx="1">
                  <c:v>24.7</c:v>
                </c:pt>
                <c:pt idx="2">
                  <c:v>19.399999999999999</c:v>
                </c:pt>
                <c:pt idx="3">
                  <c:v>21.1</c:v>
                </c:pt>
                <c:pt idx="4">
                  <c:v>22.7</c:v>
                </c:pt>
                <c:pt idx="5">
                  <c:v>24.8</c:v>
                </c:pt>
                <c:pt idx="6">
                  <c:v>22.4</c:v>
                </c:pt>
                <c:pt idx="7">
                  <c:v>21.5</c:v>
                </c:pt>
                <c:pt idx="8">
                  <c:v>23.2</c:v>
                </c:pt>
                <c:pt idx="9">
                  <c:v>23.1</c:v>
                </c:pt>
                <c:pt idx="10">
                  <c:v>26.7</c:v>
                </c:pt>
                <c:pt idx="11">
                  <c:v>23.9</c:v>
                </c:pt>
                <c:pt idx="12">
                  <c:v>24.6</c:v>
                </c:pt>
                <c:pt idx="13">
                  <c:v>22.6</c:v>
                </c:pt>
                <c:pt idx="14">
                  <c:v>30.6</c:v>
                </c:pt>
                <c:pt idx="15">
                  <c:v>25.5</c:v>
                </c:pt>
                <c:pt idx="16">
                  <c:v>24.8</c:v>
                </c:pt>
                <c:pt idx="17">
                  <c:v>21.6</c:v>
                </c:pt>
                <c:pt idx="18">
                  <c:v>23.5</c:v>
                </c:pt>
                <c:pt idx="19">
                  <c:v>21.9</c:v>
                </c:pt>
                <c:pt idx="20">
                  <c:v>34</c:v>
                </c:pt>
                <c:pt idx="21">
                  <c:v>31.2</c:v>
                </c:pt>
                <c:pt idx="22">
                  <c:v>23.2</c:v>
                </c:pt>
                <c:pt idx="23">
                  <c:v>25</c:v>
                </c:pt>
                <c:pt idx="24">
                  <c:v>25.2</c:v>
                </c:pt>
                <c:pt idx="25">
                  <c:v>26.3</c:v>
                </c:pt>
                <c:pt idx="26">
                  <c:v>25.2</c:v>
                </c:pt>
                <c:pt idx="27">
                  <c:v>21.7</c:v>
                </c:pt>
                <c:pt idx="28">
                  <c:v>23.3</c:v>
                </c:pt>
                <c:pt idx="29">
                  <c:v>26.7</c:v>
                </c:pt>
                <c:pt idx="30">
                  <c:v>23.2</c:v>
                </c:pt>
                <c:pt idx="31">
                  <c:v>24.8</c:v>
                </c:pt>
                <c:pt idx="32">
                  <c:v>21.7</c:v>
                </c:pt>
                <c:pt idx="33">
                  <c:v>22.4</c:v>
                </c:pt>
                <c:pt idx="34">
                  <c:v>25.4</c:v>
                </c:pt>
                <c:pt idx="35">
                  <c:v>23.8</c:v>
                </c:pt>
                <c:pt idx="36">
                  <c:v>43.5</c:v>
                </c:pt>
                <c:pt idx="37">
                  <c:v>25.8</c:v>
                </c:pt>
                <c:pt idx="38">
                  <c:v>22.8</c:v>
                </c:pt>
                <c:pt idx="39">
                  <c:v>24.2</c:v>
                </c:pt>
                <c:pt idx="40">
                  <c:v>22.2</c:v>
                </c:pt>
                <c:pt idx="41">
                  <c:v>25.4</c:v>
                </c:pt>
                <c:pt idx="42">
                  <c:v>21.9</c:v>
                </c:pt>
                <c:pt idx="43">
                  <c:v>26.8</c:v>
                </c:pt>
                <c:pt idx="44">
                  <c:v>27.2</c:v>
                </c:pt>
                <c:pt idx="45">
                  <c:v>20.399999999999999</c:v>
                </c:pt>
                <c:pt idx="46">
                  <c:v>22.3</c:v>
                </c:pt>
                <c:pt idx="47">
                  <c:v>21.5</c:v>
                </c:pt>
                <c:pt idx="48">
                  <c:v>23.3</c:v>
                </c:pt>
                <c:pt idx="49">
                  <c:v>21.8</c:v>
                </c:pt>
                <c:pt idx="50">
                  <c:v>20.8</c:v>
                </c:pt>
                <c:pt idx="51">
                  <c:v>29.4</c:v>
                </c:pt>
                <c:pt idx="52">
                  <c:v>28.5</c:v>
                </c:pt>
                <c:pt idx="53">
                  <c:v>22.1</c:v>
                </c:pt>
                <c:pt idx="54">
                  <c:v>31.9</c:v>
                </c:pt>
                <c:pt idx="55">
                  <c:v>24.8</c:v>
                </c:pt>
                <c:pt idx="56">
                  <c:v>22.4</c:v>
                </c:pt>
                <c:pt idx="57">
                  <c:v>22.3</c:v>
                </c:pt>
                <c:pt idx="58">
                  <c:v>25.2</c:v>
                </c:pt>
                <c:pt idx="59">
                  <c:v>21.1</c:v>
                </c:pt>
                <c:pt idx="60">
                  <c:v>22.9</c:v>
                </c:pt>
                <c:pt idx="61">
                  <c:v>27.6</c:v>
                </c:pt>
                <c:pt idx="62">
                  <c:v>20.9</c:v>
                </c:pt>
                <c:pt idx="63">
                  <c:v>21.5</c:v>
                </c:pt>
                <c:pt idx="64">
                  <c:v>19.100000000000001</c:v>
                </c:pt>
                <c:pt idx="65">
                  <c:v>23.5</c:v>
                </c:pt>
                <c:pt idx="66">
                  <c:v>28.6</c:v>
                </c:pt>
                <c:pt idx="67">
                  <c:v>21.1</c:v>
                </c:pt>
                <c:pt idx="68">
                  <c:v>19.100000000000001</c:v>
                </c:pt>
                <c:pt idx="69">
                  <c:v>21.6</c:v>
                </c:pt>
                <c:pt idx="70">
                  <c:v>21.3</c:v>
                </c:pt>
                <c:pt idx="71">
                  <c:v>22.1</c:v>
                </c:pt>
                <c:pt idx="72">
                  <c:v>22.3</c:v>
                </c:pt>
                <c:pt idx="73">
                  <c:v>24.1</c:v>
                </c:pt>
                <c:pt idx="74">
                  <c:v>21.9</c:v>
                </c:pt>
                <c:pt idx="75">
                  <c:v>22.4</c:v>
                </c:pt>
                <c:pt idx="76">
                  <c:v>22.2</c:v>
                </c:pt>
                <c:pt idx="77">
                  <c:v>23.6</c:v>
                </c:pt>
                <c:pt idx="78">
                  <c:v>24.6</c:v>
                </c:pt>
                <c:pt idx="79">
                  <c:v>23.1</c:v>
                </c:pt>
                <c:pt idx="80">
                  <c:v>22.6</c:v>
                </c:pt>
                <c:pt idx="81">
                  <c:v>22.5</c:v>
                </c:pt>
                <c:pt idx="82">
                  <c:v>24</c:v>
                </c:pt>
                <c:pt idx="83">
                  <c:v>23.8</c:v>
                </c:pt>
                <c:pt idx="84">
                  <c:v>31.5</c:v>
                </c:pt>
                <c:pt idx="85">
                  <c:v>24.7</c:v>
                </c:pt>
                <c:pt idx="86">
                  <c:v>32</c:v>
                </c:pt>
                <c:pt idx="87">
                  <c:v>27.1</c:v>
                </c:pt>
                <c:pt idx="88">
                  <c:v>23.6</c:v>
                </c:pt>
                <c:pt idx="89">
                  <c:v>24.2</c:v>
                </c:pt>
                <c:pt idx="90">
                  <c:v>28.8</c:v>
                </c:pt>
                <c:pt idx="91">
                  <c:v>24.7</c:v>
                </c:pt>
                <c:pt idx="92">
                  <c:v>22.2</c:v>
                </c:pt>
                <c:pt idx="93">
                  <c:v>23.8</c:v>
                </c:pt>
                <c:pt idx="94">
                  <c:v>26.8</c:v>
                </c:pt>
                <c:pt idx="95">
                  <c:v>27.5</c:v>
                </c:pt>
                <c:pt idx="96">
                  <c:v>28.3</c:v>
                </c:pt>
                <c:pt idx="97">
                  <c:v>28.7</c:v>
                </c:pt>
                <c:pt idx="98">
                  <c:v>24.6</c:v>
                </c:pt>
                <c:pt idx="99">
                  <c:v>25.2</c:v>
                </c:pt>
                <c:pt idx="100">
                  <c:v>23.6</c:v>
                </c:pt>
                <c:pt idx="101">
                  <c:v>29.4</c:v>
                </c:pt>
                <c:pt idx="102">
                  <c:v>24.4</c:v>
                </c:pt>
                <c:pt idx="103">
                  <c:v>23.5</c:v>
                </c:pt>
                <c:pt idx="104">
                  <c:v>24.5</c:v>
                </c:pt>
                <c:pt idx="105">
                  <c:v>30.5</c:v>
                </c:pt>
                <c:pt idx="106">
                  <c:v>22.8</c:v>
                </c:pt>
                <c:pt idx="107">
                  <c:v>24.8</c:v>
                </c:pt>
                <c:pt idx="108">
                  <c:v>25.8</c:v>
                </c:pt>
                <c:pt idx="109">
                  <c:v>24.7</c:v>
                </c:pt>
                <c:pt idx="110">
                  <c:v>31.9</c:v>
                </c:pt>
                <c:pt idx="111">
                  <c:v>26.9</c:v>
                </c:pt>
                <c:pt idx="112">
                  <c:v>26.6</c:v>
                </c:pt>
                <c:pt idx="113">
                  <c:v>22.8</c:v>
                </c:pt>
                <c:pt idx="114">
                  <c:v>23</c:v>
                </c:pt>
                <c:pt idx="115">
                  <c:v>32.1</c:v>
                </c:pt>
                <c:pt idx="116">
                  <c:v>28.2</c:v>
                </c:pt>
                <c:pt idx="117">
                  <c:v>29.7</c:v>
                </c:pt>
                <c:pt idx="118">
                  <c:v>25.7</c:v>
                </c:pt>
                <c:pt idx="119">
                  <c:v>49.2</c:v>
                </c:pt>
                <c:pt idx="120">
                  <c:v>30.4</c:v>
                </c:pt>
                <c:pt idx="121">
                  <c:v>30.6</c:v>
                </c:pt>
                <c:pt idx="122">
                  <c:v>44.4</c:v>
                </c:pt>
                <c:pt idx="123">
                  <c:v>25.6</c:v>
                </c:pt>
                <c:pt idx="124">
                  <c:v>25</c:v>
                </c:pt>
                <c:pt idx="125">
                  <c:v>25</c:v>
                </c:pt>
                <c:pt idx="126">
                  <c:v>20.3</c:v>
                </c:pt>
                <c:pt idx="127">
                  <c:v>26.5</c:v>
                </c:pt>
                <c:pt idx="128">
                  <c:v>28</c:v>
                </c:pt>
                <c:pt idx="129">
                  <c:v>24</c:v>
                </c:pt>
                <c:pt idx="130">
                  <c:v>22.1</c:v>
                </c:pt>
                <c:pt idx="131">
                  <c:v>22.6</c:v>
                </c:pt>
                <c:pt idx="132">
                  <c:v>25.2</c:v>
                </c:pt>
                <c:pt idx="133">
                  <c:v>24.3</c:v>
                </c:pt>
                <c:pt idx="134">
                  <c:v>34.799999999999997</c:v>
                </c:pt>
                <c:pt idx="135">
                  <c:v>25.8</c:v>
                </c:pt>
                <c:pt idx="136">
                  <c:v>26.6</c:v>
                </c:pt>
                <c:pt idx="137">
                  <c:v>30.9</c:v>
                </c:pt>
                <c:pt idx="138">
                  <c:v>26.9</c:v>
                </c:pt>
                <c:pt idx="139">
                  <c:v>36.299999999999997</c:v>
                </c:pt>
                <c:pt idx="140">
                  <c:v>33.299999999999997</c:v>
                </c:pt>
                <c:pt idx="141">
                  <c:v>28.9</c:v>
                </c:pt>
                <c:pt idx="142">
                  <c:v>25.8</c:v>
                </c:pt>
                <c:pt idx="143">
                  <c:v>26.7</c:v>
                </c:pt>
                <c:pt idx="144">
                  <c:v>38.1</c:v>
                </c:pt>
                <c:pt idx="145">
                  <c:v>26.1</c:v>
                </c:pt>
                <c:pt idx="146">
                  <c:v>33.299999999999997</c:v>
                </c:pt>
                <c:pt idx="147">
                  <c:v>25.6</c:v>
                </c:pt>
                <c:pt idx="148">
                  <c:v>35</c:v>
                </c:pt>
                <c:pt idx="149">
                  <c:v>34.9</c:v>
                </c:pt>
                <c:pt idx="150">
                  <c:v>24.5</c:v>
                </c:pt>
                <c:pt idx="151">
                  <c:v>32.5</c:v>
                </c:pt>
                <c:pt idx="152">
                  <c:v>33.200000000000003</c:v>
                </c:pt>
                <c:pt idx="153">
                  <c:v>29.5</c:v>
                </c:pt>
                <c:pt idx="154">
                  <c:v>25.4</c:v>
                </c:pt>
                <c:pt idx="155">
                  <c:v>36.299999999999997</c:v>
                </c:pt>
                <c:pt idx="156">
                  <c:v>34.6</c:v>
                </c:pt>
                <c:pt idx="157">
                  <c:v>37.700000000000003</c:v>
                </c:pt>
                <c:pt idx="158">
                  <c:v>40.200000000000003</c:v>
                </c:pt>
                <c:pt idx="159">
                  <c:v>25.7</c:v>
                </c:pt>
                <c:pt idx="160">
                  <c:v>38.799999999999997</c:v>
                </c:pt>
                <c:pt idx="161">
                  <c:v>39.6</c:v>
                </c:pt>
                <c:pt idx="162">
                  <c:v>38.6</c:v>
                </c:pt>
                <c:pt idx="163">
                  <c:v>33.700000000000003</c:v>
                </c:pt>
                <c:pt idx="164">
                  <c:v>39.299999999999997</c:v>
                </c:pt>
                <c:pt idx="165">
                  <c:v>38.6</c:v>
                </c:pt>
                <c:pt idx="166">
                  <c:v>36.700000000000003</c:v>
                </c:pt>
                <c:pt idx="167">
                  <c:v>37.9</c:v>
                </c:pt>
                <c:pt idx="168">
                  <c:v>38.700000000000003</c:v>
                </c:pt>
                <c:pt idx="169">
                  <c:v>38.4</c:v>
                </c:pt>
                <c:pt idx="170">
                  <c:v>39.299999999999997</c:v>
                </c:pt>
                <c:pt idx="171">
                  <c:v>39.6</c:v>
                </c:pt>
                <c:pt idx="172">
                  <c:v>38.200000000000003</c:v>
                </c:pt>
                <c:pt idx="173">
                  <c:v>38.9</c:v>
                </c:pt>
                <c:pt idx="174">
                  <c:v>37.1</c:v>
                </c:pt>
                <c:pt idx="175">
                  <c:v>37.4</c:v>
                </c:pt>
                <c:pt idx="176">
                  <c:v>38.4</c:v>
                </c:pt>
                <c:pt idx="177">
                  <c:v>36</c:v>
                </c:pt>
                <c:pt idx="178">
                  <c:v>36</c:v>
                </c:pt>
                <c:pt idx="179">
                  <c:v>35.1</c:v>
                </c:pt>
                <c:pt idx="180">
                  <c:v>29.5</c:v>
                </c:pt>
                <c:pt idx="181">
                  <c:v>20</c:v>
                </c:pt>
                <c:pt idx="182">
                  <c:v>25.3</c:v>
                </c:pt>
                <c:pt idx="183">
                  <c:v>26.4</c:v>
                </c:pt>
                <c:pt idx="184">
                  <c:v>29</c:v>
                </c:pt>
                <c:pt idx="185">
                  <c:v>23.2</c:v>
                </c:pt>
                <c:pt idx="186">
                  <c:v>16.399999999999999</c:v>
                </c:pt>
                <c:pt idx="187">
                  <c:v>17</c:v>
                </c:pt>
                <c:pt idx="188">
                  <c:v>20.2</c:v>
                </c:pt>
                <c:pt idx="189">
                  <c:v>16.600000000000001</c:v>
                </c:pt>
                <c:pt idx="190">
                  <c:v>17.2</c:v>
                </c:pt>
                <c:pt idx="191">
                  <c:v>14.7</c:v>
                </c:pt>
                <c:pt idx="192">
                  <c:v>11.8</c:v>
                </c:pt>
                <c:pt idx="193">
                  <c:v>12.3</c:v>
                </c:pt>
                <c:pt idx="194">
                  <c:v>16</c:v>
                </c:pt>
                <c:pt idx="195">
                  <c:v>19.8</c:v>
                </c:pt>
                <c:pt idx="196">
                  <c:v>15.5</c:v>
                </c:pt>
                <c:pt idx="197">
                  <c:v>18.5</c:v>
                </c:pt>
                <c:pt idx="198">
                  <c:v>21.3</c:v>
                </c:pt>
                <c:pt idx="199">
                  <c:v>25.7</c:v>
                </c:pt>
                <c:pt idx="200">
                  <c:v>17.7</c:v>
                </c:pt>
                <c:pt idx="201">
                  <c:v>21.1</c:v>
                </c:pt>
                <c:pt idx="202">
                  <c:v>16.600000000000001</c:v>
                </c:pt>
                <c:pt idx="203">
                  <c:v>22.7</c:v>
                </c:pt>
                <c:pt idx="204">
                  <c:v>13.4</c:v>
                </c:pt>
                <c:pt idx="205">
                  <c:v>16.2</c:v>
                </c:pt>
                <c:pt idx="206">
                  <c:v>15.2</c:v>
                </c:pt>
                <c:pt idx="207">
                  <c:v>16.600000000000001</c:v>
                </c:pt>
                <c:pt idx="208">
                  <c:v>19.100000000000001</c:v>
                </c:pt>
                <c:pt idx="209">
                  <c:v>15.6</c:v>
                </c:pt>
                <c:pt idx="210">
                  <c:v>20</c:v>
                </c:pt>
                <c:pt idx="211">
                  <c:v>18.100000000000001</c:v>
                </c:pt>
                <c:pt idx="212">
                  <c:v>14.6</c:v>
                </c:pt>
                <c:pt idx="213">
                  <c:v>14.7</c:v>
                </c:pt>
                <c:pt idx="214">
                  <c:v>16.100000000000001</c:v>
                </c:pt>
                <c:pt idx="215">
                  <c:v>36.200000000000003</c:v>
                </c:pt>
                <c:pt idx="216">
                  <c:v>14.5</c:v>
                </c:pt>
                <c:pt idx="217">
                  <c:v>14.1</c:v>
                </c:pt>
                <c:pt idx="218">
                  <c:v>13.3</c:v>
                </c:pt>
                <c:pt idx="219">
                  <c:v>12.4</c:v>
                </c:pt>
                <c:pt idx="220">
                  <c:v>16.100000000000001</c:v>
                </c:pt>
                <c:pt idx="221">
                  <c:v>18.8</c:v>
                </c:pt>
                <c:pt idx="222">
                  <c:v>18.399999999999999</c:v>
                </c:pt>
                <c:pt idx="223">
                  <c:v>17.399999999999999</c:v>
                </c:pt>
                <c:pt idx="224">
                  <c:v>16.7</c:v>
                </c:pt>
                <c:pt idx="225">
                  <c:v>18.3</c:v>
                </c:pt>
                <c:pt idx="226">
                  <c:v>12.5</c:v>
                </c:pt>
                <c:pt idx="227">
                  <c:v>16</c:v>
                </c:pt>
                <c:pt idx="228">
                  <c:v>14.2</c:v>
                </c:pt>
                <c:pt idx="229">
                  <c:v>17.8</c:v>
                </c:pt>
                <c:pt idx="230">
                  <c:v>17.600000000000001</c:v>
                </c:pt>
                <c:pt idx="231">
                  <c:v>17.899999999999999</c:v>
                </c:pt>
                <c:pt idx="232">
                  <c:v>14.1</c:v>
                </c:pt>
                <c:pt idx="233">
                  <c:v>12.2</c:v>
                </c:pt>
                <c:pt idx="234">
                  <c:v>12.5</c:v>
                </c:pt>
                <c:pt idx="235">
                  <c:v>18.600000000000001</c:v>
                </c:pt>
                <c:pt idx="236">
                  <c:v>15.1</c:v>
                </c:pt>
                <c:pt idx="237">
                  <c:v>15.4</c:v>
                </c:pt>
                <c:pt idx="238">
                  <c:v>16.5</c:v>
                </c:pt>
                <c:pt idx="239">
                  <c:v>16.100000000000001</c:v>
                </c:pt>
                <c:pt idx="240">
                  <c:v>14.1</c:v>
                </c:pt>
                <c:pt idx="241">
                  <c:v>12.3</c:v>
                </c:pt>
                <c:pt idx="242">
                  <c:v>20.5</c:v>
                </c:pt>
                <c:pt idx="243">
                  <c:v>15.5</c:v>
                </c:pt>
                <c:pt idx="244">
                  <c:v>17.8</c:v>
                </c:pt>
                <c:pt idx="245">
                  <c:v>19.2</c:v>
                </c:pt>
                <c:pt idx="246">
                  <c:v>18.8</c:v>
                </c:pt>
                <c:pt idx="247">
                  <c:v>12.9</c:v>
                </c:pt>
                <c:pt idx="248">
                  <c:v>13.6</c:v>
                </c:pt>
                <c:pt idx="249">
                  <c:v>16.7</c:v>
                </c:pt>
                <c:pt idx="250">
                  <c:v>15.5</c:v>
                </c:pt>
                <c:pt idx="251">
                  <c:v>17.600000000000001</c:v>
                </c:pt>
                <c:pt idx="252">
                  <c:v>19.600000000000001</c:v>
                </c:pt>
                <c:pt idx="253">
                  <c:v>18.8</c:v>
                </c:pt>
                <c:pt idx="254">
                  <c:v>15.2</c:v>
                </c:pt>
                <c:pt idx="255">
                  <c:v>17.399999999999999</c:v>
                </c:pt>
                <c:pt idx="256">
                  <c:v>15.3</c:v>
                </c:pt>
                <c:pt idx="257">
                  <c:v>13.8</c:v>
                </c:pt>
                <c:pt idx="258">
                  <c:v>16.399999999999999</c:v>
                </c:pt>
                <c:pt idx="259">
                  <c:v>13.8</c:v>
                </c:pt>
                <c:pt idx="260">
                  <c:v>16.899999999999999</c:v>
                </c:pt>
                <c:pt idx="261">
                  <c:v>20.2</c:v>
                </c:pt>
                <c:pt idx="262">
                  <c:v>24.9</c:v>
                </c:pt>
                <c:pt idx="263">
                  <c:v>13.4</c:v>
                </c:pt>
                <c:pt idx="264">
                  <c:v>13.7</c:v>
                </c:pt>
                <c:pt idx="265">
                  <c:v>13.8</c:v>
                </c:pt>
                <c:pt idx="266">
                  <c:v>13.8</c:v>
                </c:pt>
                <c:pt idx="267">
                  <c:v>15.6</c:v>
                </c:pt>
                <c:pt idx="268">
                  <c:v>16.8</c:v>
                </c:pt>
                <c:pt idx="269">
                  <c:v>19.8</c:v>
                </c:pt>
                <c:pt idx="270">
                  <c:v>18.8</c:v>
                </c:pt>
                <c:pt idx="271">
                  <c:v>14.6</c:v>
                </c:pt>
                <c:pt idx="272">
                  <c:v>20</c:v>
                </c:pt>
                <c:pt idx="273">
                  <c:v>12.8</c:v>
                </c:pt>
                <c:pt idx="274">
                  <c:v>14.9</c:v>
                </c:pt>
                <c:pt idx="275">
                  <c:v>14.5</c:v>
                </c:pt>
                <c:pt idx="276">
                  <c:v>15.5</c:v>
                </c:pt>
                <c:pt idx="277">
                  <c:v>16.2</c:v>
                </c:pt>
                <c:pt idx="278">
                  <c:v>17.100000000000001</c:v>
                </c:pt>
                <c:pt idx="279">
                  <c:v>21.6</c:v>
                </c:pt>
                <c:pt idx="280">
                  <c:v>21</c:v>
                </c:pt>
                <c:pt idx="281">
                  <c:v>11.2</c:v>
                </c:pt>
                <c:pt idx="282">
                  <c:v>15.2</c:v>
                </c:pt>
                <c:pt idx="283">
                  <c:v>11.9</c:v>
                </c:pt>
                <c:pt idx="284">
                  <c:v>16.100000000000001</c:v>
                </c:pt>
                <c:pt idx="285">
                  <c:v>24.3</c:v>
                </c:pt>
                <c:pt idx="286">
                  <c:v>19.8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1D-9246-A0B5-B1D0A11BE2ED}"/>
            </c:ext>
          </c:extLst>
        </c:ser>
        <c:ser>
          <c:idx val="2"/>
          <c:order val="2"/>
          <c:tx>
            <c:strRef>
              <c:f>'934297-0122 J.LivRm_PVitalsag_2'!$Y$1</c:f>
              <c:strCache>
                <c:ptCount val="1"/>
                <c:pt idx="0">
                  <c:v>lo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J.LivRm_PVitalsag_2'!$V$930:$V$1216</c:f>
              <c:numCache>
                <c:formatCode>m/d/yy\ h:mm</c:formatCode>
                <c:ptCount val="287"/>
                <c:pt idx="0">
                  <c:v>45459.166666666664</c:v>
                </c:pt>
                <c:pt idx="1">
                  <c:v>45459.208333333336</c:v>
                </c:pt>
                <c:pt idx="2">
                  <c:v>45459.25</c:v>
                </c:pt>
                <c:pt idx="3">
                  <c:v>45459.291666666664</c:v>
                </c:pt>
                <c:pt idx="4">
                  <c:v>45459.333333333336</c:v>
                </c:pt>
                <c:pt idx="5">
                  <c:v>45459.375</c:v>
                </c:pt>
                <c:pt idx="6">
                  <c:v>45459.416666666664</c:v>
                </c:pt>
                <c:pt idx="7">
                  <c:v>45459.458333333336</c:v>
                </c:pt>
                <c:pt idx="8">
                  <c:v>45459.5</c:v>
                </c:pt>
                <c:pt idx="9">
                  <c:v>45459.541666666664</c:v>
                </c:pt>
                <c:pt idx="10">
                  <c:v>45459.583333333336</c:v>
                </c:pt>
                <c:pt idx="11">
                  <c:v>45459.625</c:v>
                </c:pt>
                <c:pt idx="12">
                  <c:v>45459.666666666664</c:v>
                </c:pt>
                <c:pt idx="13">
                  <c:v>45459.708333333336</c:v>
                </c:pt>
                <c:pt idx="14">
                  <c:v>45459.75</c:v>
                </c:pt>
                <c:pt idx="15">
                  <c:v>45459.791666666664</c:v>
                </c:pt>
                <c:pt idx="16">
                  <c:v>45459.833333333336</c:v>
                </c:pt>
                <c:pt idx="17">
                  <c:v>45459.875</c:v>
                </c:pt>
                <c:pt idx="18">
                  <c:v>45460</c:v>
                </c:pt>
                <c:pt idx="19">
                  <c:v>45460.041666666664</c:v>
                </c:pt>
                <c:pt idx="20">
                  <c:v>45460.083333333336</c:v>
                </c:pt>
                <c:pt idx="21">
                  <c:v>45460.125</c:v>
                </c:pt>
                <c:pt idx="22">
                  <c:v>45460.166666666664</c:v>
                </c:pt>
                <c:pt idx="23">
                  <c:v>45460.208333333336</c:v>
                </c:pt>
                <c:pt idx="24">
                  <c:v>45460.25</c:v>
                </c:pt>
                <c:pt idx="25">
                  <c:v>45460.291666666664</c:v>
                </c:pt>
                <c:pt idx="26">
                  <c:v>45460.333333333336</c:v>
                </c:pt>
                <c:pt idx="27">
                  <c:v>45460.375</c:v>
                </c:pt>
                <c:pt idx="28">
                  <c:v>45460.416666666664</c:v>
                </c:pt>
                <c:pt idx="29">
                  <c:v>45460.458333333336</c:v>
                </c:pt>
                <c:pt idx="30">
                  <c:v>45460.5</c:v>
                </c:pt>
                <c:pt idx="31">
                  <c:v>45460.541666666664</c:v>
                </c:pt>
                <c:pt idx="32">
                  <c:v>45460.583333333336</c:v>
                </c:pt>
                <c:pt idx="33">
                  <c:v>45460.625</c:v>
                </c:pt>
                <c:pt idx="34">
                  <c:v>45460.666666666664</c:v>
                </c:pt>
                <c:pt idx="35">
                  <c:v>45460.708333333336</c:v>
                </c:pt>
                <c:pt idx="36">
                  <c:v>45460.75</c:v>
                </c:pt>
                <c:pt idx="37">
                  <c:v>45460.791666666664</c:v>
                </c:pt>
                <c:pt idx="38">
                  <c:v>45460.833333333336</c:v>
                </c:pt>
                <c:pt idx="39">
                  <c:v>45460.875</c:v>
                </c:pt>
                <c:pt idx="40">
                  <c:v>45460.916666666664</c:v>
                </c:pt>
                <c:pt idx="41">
                  <c:v>45460.958333333336</c:v>
                </c:pt>
                <c:pt idx="42">
                  <c:v>45461</c:v>
                </c:pt>
                <c:pt idx="43">
                  <c:v>45461.041666666664</c:v>
                </c:pt>
                <c:pt idx="44">
                  <c:v>45461.083333333336</c:v>
                </c:pt>
                <c:pt idx="45">
                  <c:v>45461.125</c:v>
                </c:pt>
                <c:pt idx="46">
                  <c:v>45461.166666666664</c:v>
                </c:pt>
                <c:pt idx="47">
                  <c:v>45461.208333333336</c:v>
                </c:pt>
                <c:pt idx="48">
                  <c:v>45461.25</c:v>
                </c:pt>
                <c:pt idx="49">
                  <c:v>45461.291666666664</c:v>
                </c:pt>
                <c:pt idx="50">
                  <c:v>45461.333333333336</c:v>
                </c:pt>
                <c:pt idx="51">
                  <c:v>45461.375</c:v>
                </c:pt>
                <c:pt idx="52">
                  <c:v>45461.416666666664</c:v>
                </c:pt>
                <c:pt idx="53">
                  <c:v>45461.458333333336</c:v>
                </c:pt>
                <c:pt idx="54">
                  <c:v>45461.5</c:v>
                </c:pt>
                <c:pt idx="55">
                  <c:v>45461.541666666664</c:v>
                </c:pt>
                <c:pt idx="56">
                  <c:v>45461.583333333336</c:v>
                </c:pt>
                <c:pt idx="57">
                  <c:v>45461.625</c:v>
                </c:pt>
                <c:pt idx="58">
                  <c:v>45461.666666666664</c:v>
                </c:pt>
                <c:pt idx="59">
                  <c:v>45461.708333333336</c:v>
                </c:pt>
                <c:pt idx="60">
                  <c:v>45461.75</c:v>
                </c:pt>
                <c:pt idx="61">
                  <c:v>45461.791666666664</c:v>
                </c:pt>
                <c:pt idx="62">
                  <c:v>45461.833333333336</c:v>
                </c:pt>
                <c:pt idx="63">
                  <c:v>45461.875</c:v>
                </c:pt>
                <c:pt idx="64">
                  <c:v>45461.958333333336</c:v>
                </c:pt>
                <c:pt idx="65">
                  <c:v>45462.166666666664</c:v>
                </c:pt>
                <c:pt idx="66">
                  <c:v>45462.208333333336</c:v>
                </c:pt>
                <c:pt idx="67">
                  <c:v>45462.25</c:v>
                </c:pt>
                <c:pt idx="68">
                  <c:v>45462.291666666664</c:v>
                </c:pt>
                <c:pt idx="69">
                  <c:v>45462.333333333336</c:v>
                </c:pt>
                <c:pt idx="70">
                  <c:v>45462.375</c:v>
                </c:pt>
                <c:pt idx="71">
                  <c:v>45462.416666666664</c:v>
                </c:pt>
                <c:pt idx="72">
                  <c:v>45462.458333333336</c:v>
                </c:pt>
                <c:pt idx="73">
                  <c:v>45462.5</c:v>
                </c:pt>
                <c:pt idx="74">
                  <c:v>45462.541666666664</c:v>
                </c:pt>
                <c:pt idx="75">
                  <c:v>45462.583333333336</c:v>
                </c:pt>
                <c:pt idx="76">
                  <c:v>45462.625</c:v>
                </c:pt>
                <c:pt idx="77">
                  <c:v>45462.666666666664</c:v>
                </c:pt>
                <c:pt idx="78">
                  <c:v>45462.708333333336</c:v>
                </c:pt>
                <c:pt idx="79">
                  <c:v>45462.75</c:v>
                </c:pt>
                <c:pt idx="80">
                  <c:v>45462.791666666664</c:v>
                </c:pt>
                <c:pt idx="81">
                  <c:v>45462.833333333336</c:v>
                </c:pt>
                <c:pt idx="82">
                  <c:v>45462.875</c:v>
                </c:pt>
                <c:pt idx="83">
                  <c:v>45462.916666666664</c:v>
                </c:pt>
                <c:pt idx="84">
                  <c:v>45463.125</c:v>
                </c:pt>
                <c:pt idx="85">
                  <c:v>45463.166666666664</c:v>
                </c:pt>
                <c:pt idx="86">
                  <c:v>45463.208333333336</c:v>
                </c:pt>
                <c:pt idx="87">
                  <c:v>45463.25</c:v>
                </c:pt>
                <c:pt idx="88">
                  <c:v>45463.291666666664</c:v>
                </c:pt>
                <c:pt idx="89">
                  <c:v>45463.333333333336</c:v>
                </c:pt>
                <c:pt idx="90">
                  <c:v>45463.375</c:v>
                </c:pt>
                <c:pt idx="91">
                  <c:v>45463.416666666664</c:v>
                </c:pt>
                <c:pt idx="92">
                  <c:v>45463.458333333336</c:v>
                </c:pt>
                <c:pt idx="93">
                  <c:v>45463.5</c:v>
                </c:pt>
                <c:pt idx="94">
                  <c:v>45463.541666666664</c:v>
                </c:pt>
                <c:pt idx="95">
                  <c:v>45463.583333333336</c:v>
                </c:pt>
                <c:pt idx="96">
                  <c:v>45463.625</c:v>
                </c:pt>
                <c:pt idx="97">
                  <c:v>45463.666666666664</c:v>
                </c:pt>
                <c:pt idx="98">
                  <c:v>45463.708333333336</c:v>
                </c:pt>
                <c:pt idx="99">
                  <c:v>45463.75</c:v>
                </c:pt>
                <c:pt idx="100">
                  <c:v>45463.791666666664</c:v>
                </c:pt>
                <c:pt idx="101">
                  <c:v>45463.833333333336</c:v>
                </c:pt>
                <c:pt idx="102">
                  <c:v>45463.875</c:v>
                </c:pt>
                <c:pt idx="103">
                  <c:v>45463.916666666664</c:v>
                </c:pt>
                <c:pt idx="104">
                  <c:v>45463.958333333336</c:v>
                </c:pt>
                <c:pt idx="105">
                  <c:v>45464</c:v>
                </c:pt>
                <c:pt idx="106">
                  <c:v>45464.041666666664</c:v>
                </c:pt>
                <c:pt idx="107">
                  <c:v>45464.083333333336</c:v>
                </c:pt>
                <c:pt idx="108">
                  <c:v>45464.125</c:v>
                </c:pt>
                <c:pt idx="109">
                  <c:v>45464.166666666664</c:v>
                </c:pt>
                <c:pt idx="110">
                  <c:v>45464.208333333336</c:v>
                </c:pt>
                <c:pt idx="111">
                  <c:v>45464.25</c:v>
                </c:pt>
                <c:pt idx="112">
                  <c:v>45464.291666666664</c:v>
                </c:pt>
                <c:pt idx="113">
                  <c:v>45464.333333333336</c:v>
                </c:pt>
                <c:pt idx="114">
                  <c:v>45464.375</c:v>
                </c:pt>
                <c:pt idx="115">
                  <c:v>45464.416666666664</c:v>
                </c:pt>
                <c:pt idx="116">
                  <c:v>45464.458333333336</c:v>
                </c:pt>
                <c:pt idx="117">
                  <c:v>45464.5</c:v>
                </c:pt>
                <c:pt idx="118">
                  <c:v>45464.541666666664</c:v>
                </c:pt>
                <c:pt idx="119">
                  <c:v>45464.583333333336</c:v>
                </c:pt>
                <c:pt idx="120">
                  <c:v>45464.625</c:v>
                </c:pt>
                <c:pt idx="121">
                  <c:v>45464.666666666664</c:v>
                </c:pt>
                <c:pt idx="122">
                  <c:v>45464.708333333336</c:v>
                </c:pt>
                <c:pt idx="123">
                  <c:v>45464.75</c:v>
                </c:pt>
                <c:pt idx="124">
                  <c:v>45464.791666666664</c:v>
                </c:pt>
                <c:pt idx="125">
                  <c:v>45464.833333333336</c:v>
                </c:pt>
                <c:pt idx="126">
                  <c:v>45464.875</c:v>
                </c:pt>
                <c:pt idx="127">
                  <c:v>45465.291666666664</c:v>
                </c:pt>
                <c:pt idx="128">
                  <c:v>45465.333333333336</c:v>
                </c:pt>
                <c:pt idx="129">
                  <c:v>45465.375</c:v>
                </c:pt>
                <c:pt idx="130">
                  <c:v>45465.416666666664</c:v>
                </c:pt>
                <c:pt idx="131">
                  <c:v>45465.458333333336</c:v>
                </c:pt>
                <c:pt idx="132">
                  <c:v>45465.5</c:v>
                </c:pt>
                <c:pt idx="133">
                  <c:v>45465.541666666664</c:v>
                </c:pt>
                <c:pt idx="134">
                  <c:v>45465.583333333336</c:v>
                </c:pt>
                <c:pt idx="135">
                  <c:v>45465.625</c:v>
                </c:pt>
                <c:pt idx="136">
                  <c:v>45465.666666666664</c:v>
                </c:pt>
                <c:pt idx="137">
                  <c:v>45465.708333333336</c:v>
                </c:pt>
                <c:pt idx="138">
                  <c:v>45465.75</c:v>
                </c:pt>
                <c:pt idx="139">
                  <c:v>45465.791666666664</c:v>
                </c:pt>
                <c:pt idx="140">
                  <c:v>45465.833333333336</c:v>
                </c:pt>
                <c:pt idx="141">
                  <c:v>45465.875</c:v>
                </c:pt>
                <c:pt idx="142">
                  <c:v>45465.916666666664</c:v>
                </c:pt>
                <c:pt idx="143">
                  <c:v>45465.958333333336</c:v>
                </c:pt>
                <c:pt idx="144">
                  <c:v>45466</c:v>
                </c:pt>
                <c:pt idx="145">
                  <c:v>45466.041666666664</c:v>
                </c:pt>
                <c:pt idx="146">
                  <c:v>45466.083333333336</c:v>
                </c:pt>
                <c:pt idx="147">
                  <c:v>45466.125</c:v>
                </c:pt>
                <c:pt idx="148">
                  <c:v>45466.166666666664</c:v>
                </c:pt>
                <c:pt idx="149">
                  <c:v>45466.208333333336</c:v>
                </c:pt>
                <c:pt idx="150">
                  <c:v>45466.25</c:v>
                </c:pt>
                <c:pt idx="151">
                  <c:v>45466.291666666664</c:v>
                </c:pt>
                <c:pt idx="152">
                  <c:v>45466.333333333336</c:v>
                </c:pt>
                <c:pt idx="153">
                  <c:v>45466.375</c:v>
                </c:pt>
                <c:pt idx="154">
                  <c:v>45466.416666666664</c:v>
                </c:pt>
                <c:pt idx="155">
                  <c:v>45466.458333333336</c:v>
                </c:pt>
                <c:pt idx="156">
                  <c:v>45466.5</c:v>
                </c:pt>
                <c:pt idx="157">
                  <c:v>45466.541666666664</c:v>
                </c:pt>
                <c:pt idx="158">
                  <c:v>45466.583333333336</c:v>
                </c:pt>
                <c:pt idx="159">
                  <c:v>45466.625</c:v>
                </c:pt>
                <c:pt idx="160">
                  <c:v>45466.666666666664</c:v>
                </c:pt>
                <c:pt idx="161">
                  <c:v>45466.708333333336</c:v>
                </c:pt>
                <c:pt idx="162">
                  <c:v>45466.75</c:v>
                </c:pt>
                <c:pt idx="163">
                  <c:v>45466.791666666664</c:v>
                </c:pt>
                <c:pt idx="164">
                  <c:v>45466.833333333336</c:v>
                </c:pt>
                <c:pt idx="165">
                  <c:v>45466.875</c:v>
                </c:pt>
                <c:pt idx="166">
                  <c:v>45466.916666666664</c:v>
                </c:pt>
                <c:pt idx="167">
                  <c:v>45466.958333333336</c:v>
                </c:pt>
                <c:pt idx="168">
                  <c:v>45467</c:v>
                </c:pt>
                <c:pt idx="169">
                  <c:v>45467.041666666664</c:v>
                </c:pt>
                <c:pt idx="170">
                  <c:v>45467.083333333336</c:v>
                </c:pt>
                <c:pt idx="171">
                  <c:v>45467.125</c:v>
                </c:pt>
                <c:pt idx="172">
                  <c:v>45467.166666666664</c:v>
                </c:pt>
                <c:pt idx="173">
                  <c:v>45467.208333333336</c:v>
                </c:pt>
                <c:pt idx="174">
                  <c:v>45467.25</c:v>
                </c:pt>
                <c:pt idx="175">
                  <c:v>45467.291666666664</c:v>
                </c:pt>
                <c:pt idx="176">
                  <c:v>45467.333333333336</c:v>
                </c:pt>
                <c:pt idx="177">
                  <c:v>45467.375</c:v>
                </c:pt>
                <c:pt idx="178">
                  <c:v>45467.416666666664</c:v>
                </c:pt>
                <c:pt idx="179">
                  <c:v>45467.458333333336</c:v>
                </c:pt>
                <c:pt idx="180">
                  <c:v>45467.958333333336</c:v>
                </c:pt>
                <c:pt idx="181">
                  <c:v>45468</c:v>
                </c:pt>
                <c:pt idx="182">
                  <c:v>45468.041666666664</c:v>
                </c:pt>
                <c:pt idx="183">
                  <c:v>45468.083333333336</c:v>
                </c:pt>
                <c:pt idx="184">
                  <c:v>45468.125</c:v>
                </c:pt>
                <c:pt idx="185">
                  <c:v>45468.166666666664</c:v>
                </c:pt>
                <c:pt idx="186">
                  <c:v>45468.208333333336</c:v>
                </c:pt>
                <c:pt idx="187">
                  <c:v>45468.333333333336</c:v>
                </c:pt>
                <c:pt idx="188">
                  <c:v>45468.375</c:v>
                </c:pt>
                <c:pt idx="189">
                  <c:v>45468.416666666664</c:v>
                </c:pt>
                <c:pt idx="190">
                  <c:v>45468.458333333336</c:v>
                </c:pt>
                <c:pt idx="191">
                  <c:v>45468.5</c:v>
                </c:pt>
                <c:pt idx="192">
                  <c:v>45468.541666666664</c:v>
                </c:pt>
                <c:pt idx="193">
                  <c:v>45468.583333333336</c:v>
                </c:pt>
                <c:pt idx="194">
                  <c:v>45468.625</c:v>
                </c:pt>
                <c:pt idx="195">
                  <c:v>45468.666666666664</c:v>
                </c:pt>
                <c:pt idx="196">
                  <c:v>45468.708333333336</c:v>
                </c:pt>
                <c:pt idx="197">
                  <c:v>45468.75</c:v>
                </c:pt>
                <c:pt idx="198">
                  <c:v>45468.791666666664</c:v>
                </c:pt>
                <c:pt idx="199">
                  <c:v>45468.833333333336</c:v>
                </c:pt>
                <c:pt idx="200">
                  <c:v>45468.875</c:v>
                </c:pt>
                <c:pt idx="201">
                  <c:v>45468.916666666664</c:v>
                </c:pt>
                <c:pt idx="202">
                  <c:v>45468.958333333336</c:v>
                </c:pt>
                <c:pt idx="203">
                  <c:v>45469</c:v>
                </c:pt>
                <c:pt idx="204">
                  <c:v>45469.041666666664</c:v>
                </c:pt>
                <c:pt idx="205">
                  <c:v>45469.083333333336</c:v>
                </c:pt>
                <c:pt idx="206">
                  <c:v>45469.125</c:v>
                </c:pt>
                <c:pt idx="207">
                  <c:v>45469.166666666664</c:v>
                </c:pt>
                <c:pt idx="208">
                  <c:v>45469.208333333336</c:v>
                </c:pt>
                <c:pt idx="209">
                  <c:v>45469.25</c:v>
                </c:pt>
                <c:pt idx="210">
                  <c:v>45469.291666666664</c:v>
                </c:pt>
                <c:pt idx="211">
                  <c:v>45469.333333333336</c:v>
                </c:pt>
                <c:pt idx="212">
                  <c:v>45469.375</c:v>
                </c:pt>
                <c:pt idx="213">
                  <c:v>45469.416666666664</c:v>
                </c:pt>
                <c:pt idx="214">
                  <c:v>45469.458333333336</c:v>
                </c:pt>
                <c:pt idx="215">
                  <c:v>45469.5</c:v>
                </c:pt>
                <c:pt idx="216">
                  <c:v>45469.541666666664</c:v>
                </c:pt>
                <c:pt idx="217">
                  <c:v>45469.666666666664</c:v>
                </c:pt>
                <c:pt idx="218">
                  <c:v>45469.708333333336</c:v>
                </c:pt>
                <c:pt idx="219">
                  <c:v>45469.75</c:v>
                </c:pt>
                <c:pt idx="220">
                  <c:v>45469.791666666664</c:v>
                </c:pt>
                <c:pt idx="221">
                  <c:v>45469.833333333336</c:v>
                </c:pt>
                <c:pt idx="222">
                  <c:v>45469.875</c:v>
                </c:pt>
                <c:pt idx="223">
                  <c:v>45469.916666666664</c:v>
                </c:pt>
                <c:pt idx="224">
                  <c:v>45469.958333333336</c:v>
                </c:pt>
                <c:pt idx="225">
                  <c:v>45470</c:v>
                </c:pt>
                <c:pt idx="226">
                  <c:v>45470.041666666664</c:v>
                </c:pt>
                <c:pt idx="227">
                  <c:v>45470.083333333336</c:v>
                </c:pt>
                <c:pt idx="228">
                  <c:v>45470.125</c:v>
                </c:pt>
                <c:pt idx="229">
                  <c:v>45470.166666666664</c:v>
                </c:pt>
                <c:pt idx="230">
                  <c:v>45470.208333333336</c:v>
                </c:pt>
                <c:pt idx="231">
                  <c:v>45470.25</c:v>
                </c:pt>
                <c:pt idx="232">
                  <c:v>45470.291666666664</c:v>
                </c:pt>
                <c:pt idx="233">
                  <c:v>45470.333333333336</c:v>
                </c:pt>
                <c:pt idx="234">
                  <c:v>45470.375</c:v>
                </c:pt>
                <c:pt idx="235">
                  <c:v>45470.416666666664</c:v>
                </c:pt>
                <c:pt idx="236">
                  <c:v>45470.458333333336</c:v>
                </c:pt>
                <c:pt idx="237">
                  <c:v>45470.5</c:v>
                </c:pt>
                <c:pt idx="238">
                  <c:v>45470.541666666664</c:v>
                </c:pt>
                <c:pt idx="239">
                  <c:v>45470.583333333336</c:v>
                </c:pt>
                <c:pt idx="240">
                  <c:v>45470.625</c:v>
                </c:pt>
                <c:pt idx="241">
                  <c:v>45470.666666666664</c:v>
                </c:pt>
                <c:pt idx="242">
                  <c:v>45470.708333333336</c:v>
                </c:pt>
                <c:pt idx="243">
                  <c:v>45470.75</c:v>
                </c:pt>
                <c:pt idx="244">
                  <c:v>45470.791666666664</c:v>
                </c:pt>
                <c:pt idx="245">
                  <c:v>45470.833333333336</c:v>
                </c:pt>
                <c:pt idx="246">
                  <c:v>45470.875</c:v>
                </c:pt>
                <c:pt idx="247">
                  <c:v>45470.916666666664</c:v>
                </c:pt>
                <c:pt idx="248">
                  <c:v>45470.958333333336</c:v>
                </c:pt>
                <c:pt idx="249">
                  <c:v>45471</c:v>
                </c:pt>
                <c:pt idx="250">
                  <c:v>45471.041666666664</c:v>
                </c:pt>
                <c:pt idx="251">
                  <c:v>45471.083333333336</c:v>
                </c:pt>
                <c:pt idx="252">
                  <c:v>45471.125</c:v>
                </c:pt>
                <c:pt idx="253">
                  <c:v>45471.166666666664</c:v>
                </c:pt>
                <c:pt idx="254">
                  <c:v>45471.208333333336</c:v>
                </c:pt>
                <c:pt idx="255">
                  <c:v>45471.25</c:v>
                </c:pt>
                <c:pt idx="256">
                  <c:v>45471.291666666664</c:v>
                </c:pt>
                <c:pt idx="257">
                  <c:v>45471.333333333336</c:v>
                </c:pt>
                <c:pt idx="258">
                  <c:v>45471.375</c:v>
                </c:pt>
                <c:pt idx="259">
                  <c:v>45471.416666666664</c:v>
                </c:pt>
                <c:pt idx="260">
                  <c:v>45471.458333333336</c:v>
                </c:pt>
                <c:pt idx="261">
                  <c:v>45471.5</c:v>
                </c:pt>
                <c:pt idx="262">
                  <c:v>45471.541666666664</c:v>
                </c:pt>
                <c:pt idx="263">
                  <c:v>45471.583333333336</c:v>
                </c:pt>
                <c:pt idx="264">
                  <c:v>45471.625</c:v>
                </c:pt>
                <c:pt idx="265">
                  <c:v>45471.666666666664</c:v>
                </c:pt>
                <c:pt idx="266">
                  <c:v>45471.708333333336</c:v>
                </c:pt>
                <c:pt idx="267">
                  <c:v>45471.75</c:v>
                </c:pt>
                <c:pt idx="268">
                  <c:v>45471.791666666664</c:v>
                </c:pt>
                <c:pt idx="269">
                  <c:v>45471.833333333336</c:v>
                </c:pt>
                <c:pt idx="270">
                  <c:v>45471.875</c:v>
                </c:pt>
                <c:pt idx="271">
                  <c:v>45471.916666666664</c:v>
                </c:pt>
                <c:pt idx="272">
                  <c:v>45471.958333333336</c:v>
                </c:pt>
                <c:pt idx="273">
                  <c:v>45472</c:v>
                </c:pt>
                <c:pt idx="274">
                  <c:v>45472.041666666664</c:v>
                </c:pt>
                <c:pt idx="275">
                  <c:v>45472.083333333336</c:v>
                </c:pt>
                <c:pt idx="276">
                  <c:v>45472.125</c:v>
                </c:pt>
                <c:pt idx="277">
                  <c:v>45472.166666666664</c:v>
                </c:pt>
                <c:pt idx="278">
                  <c:v>45472.208333333336</c:v>
                </c:pt>
                <c:pt idx="279">
                  <c:v>45472.25</c:v>
                </c:pt>
                <c:pt idx="280">
                  <c:v>45472.291666666664</c:v>
                </c:pt>
                <c:pt idx="281">
                  <c:v>45472.333333333336</c:v>
                </c:pt>
                <c:pt idx="282">
                  <c:v>45472.375</c:v>
                </c:pt>
                <c:pt idx="283">
                  <c:v>45472.416666666664</c:v>
                </c:pt>
                <c:pt idx="284">
                  <c:v>45472.708333333336</c:v>
                </c:pt>
                <c:pt idx="285">
                  <c:v>45472.75</c:v>
                </c:pt>
                <c:pt idx="286">
                  <c:v>45472.791666666664</c:v>
                </c:pt>
              </c:numCache>
            </c:numRef>
          </c:cat>
          <c:val>
            <c:numRef>
              <c:f>'934297-0122 J.LivRm_PVitalsag_2'!$Y$930:$Y$1216</c:f>
              <c:numCache>
                <c:formatCode>General</c:formatCode>
                <c:ptCount val="287"/>
                <c:pt idx="0">
                  <c:v>21.3</c:v>
                </c:pt>
                <c:pt idx="1">
                  <c:v>15.2</c:v>
                </c:pt>
                <c:pt idx="2">
                  <c:v>14.6</c:v>
                </c:pt>
                <c:pt idx="3">
                  <c:v>14</c:v>
                </c:pt>
                <c:pt idx="4">
                  <c:v>13.4</c:v>
                </c:pt>
                <c:pt idx="5">
                  <c:v>15.7</c:v>
                </c:pt>
                <c:pt idx="6">
                  <c:v>16</c:v>
                </c:pt>
                <c:pt idx="7">
                  <c:v>15.7</c:v>
                </c:pt>
                <c:pt idx="8">
                  <c:v>15.4</c:v>
                </c:pt>
                <c:pt idx="9">
                  <c:v>16.600000000000001</c:v>
                </c:pt>
                <c:pt idx="10">
                  <c:v>17</c:v>
                </c:pt>
                <c:pt idx="11">
                  <c:v>16.3</c:v>
                </c:pt>
                <c:pt idx="12">
                  <c:v>15.9</c:v>
                </c:pt>
                <c:pt idx="13">
                  <c:v>17.899999999999999</c:v>
                </c:pt>
                <c:pt idx="14">
                  <c:v>14</c:v>
                </c:pt>
                <c:pt idx="15">
                  <c:v>15.1</c:v>
                </c:pt>
                <c:pt idx="16">
                  <c:v>16.100000000000001</c:v>
                </c:pt>
                <c:pt idx="17">
                  <c:v>16.600000000000001</c:v>
                </c:pt>
                <c:pt idx="18">
                  <c:v>18.3</c:v>
                </c:pt>
                <c:pt idx="19">
                  <c:v>16.5</c:v>
                </c:pt>
                <c:pt idx="20">
                  <c:v>16.399999999999999</c:v>
                </c:pt>
                <c:pt idx="21">
                  <c:v>14.9</c:v>
                </c:pt>
                <c:pt idx="22">
                  <c:v>12.5</c:v>
                </c:pt>
                <c:pt idx="23">
                  <c:v>13.9</c:v>
                </c:pt>
                <c:pt idx="24">
                  <c:v>13.9</c:v>
                </c:pt>
                <c:pt idx="25">
                  <c:v>12.1</c:v>
                </c:pt>
                <c:pt idx="26">
                  <c:v>16.2</c:v>
                </c:pt>
                <c:pt idx="27">
                  <c:v>15.3</c:v>
                </c:pt>
                <c:pt idx="28">
                  <c:v>15.7</c:v>
                </c:pt>
                <c:pt idx="29">
                  <c:v>15.1</c:v>
                </c:pt>
                <c:pt idx="30">
                  <c:v>16</c:v>
                </c:pt>
                <c:pt idx="31">
                  <c:v>14.8</c:v>
                </c:pt>
                <c:pt idx="32">
                  <c:v>14.2</c:v>
                </c:pt>
                <c:pt idx="33">
                  <c:v>15.6</c:v>
                </c:pt>
                <c:pt idx="34">
                  <c:v>16.399999999999999</c:v>
                </c:pt>
                <c:pt idx="35">
                  <c:v>17.100000000000001</c:v>
                </c:pt>
                <c:pt idx="36">
                  <c:v>17.600000000000001</c:v>
                </c:pt>
                <c:pt idx="37">
                  <c:v>16.8</c:v>
                </c:pt>
                <c:pt idx="38">
                  <c:v>17</c:v>
                </c:pt>
                <c:pt idx="39">
                  <c:v>16.7</c:v>
                </c:pt>
                <c:pt idx="40">
                  <c:v>15</c:v>
                </c:pt>
                <c:pt idx="41">
                  <c:v>14.6</c:v>
                </c:pt>
                <c:pt idx="42">
                  <c:v>15.8</c:v>
                </c:pt>
                <c:pt idx="43">
                  <c:v>15.4</c:v>
                </c:pt>
                <c:pt idx="44">
                  <c:v>15.5</c:v>
                </c:pt>
                <c:pt idx="45">
                  <c:v>15.5</c:v>
                </c:pt>
                <c:pt idx="46">
                  <c:v>15.8</c:v>
                </c:pt>
                <c:pt idx="47">
                  <c:v>14.6</c:v>
                </c:pt>
                <c:pt idx="48">
                  <c:v>15</c:v>
                </c:pt>
                <c:pt idx="49">
                  <c:v>15.5</c:v>
                </c:pt>
                <c:pt idx="50">
                  <c:v>15.7</c:v>
                </c:pt>
                <c:pt idx="51">
                  <c:v>14.7</c:v>
                </c:pt>
                <c:pt idx="52">
                  <c:v>15.6</c:v>
                </c:pt>
                <c:pt idx="53">
                  <c:v>15.4</c:v>
                </c:pt>
                <c:pt idx="54">
                  <c:v>13.6</c:v>
                </c:pt>
                <c:pt idx="55">
                  <c:v>15.2</c:v>
                </c:pt>
                <c:pt idx="56">
                  <c:v>15.5</c:v>
                </c:pt>
                <c:pt idx="57">
                  <c:v>15.9</c:v>
                </c:pt>
                <c:pt idx="58">
                  <c:v>15.1</c:v>
                </c:pt>
                <c:pt idx="59">
                  <c:v>14.1</c:v>
                </c:pt>
                <c:pt idx="60">
                  <c:v>15.1</c:v>
                </c:pt>
                <c:pt idx="61">
                  <c:v>15.1</c:v>
                </c:pt>
                <c:pt idx="62">
                  <c:v>15.8</c:v>
                </c:pt>
                <c:pt idx="63">
                  <c:v>17.600000000000001</c:v>
                </c:pt>
                <c:pt idx="64">
                  <c:v>18</c:v>
                </c:pt>
                <c:pt idx="65">
                  <c:v>18.600000000000001</c:v>
                </c:pt>
                <c:pt idx="66">
                  <c:v>15.4</c:v>
                </c:pt>
                <c:pt idx="67">
                  <c:v>15.7</c:v>
                </c:pt>
                <c:pt idx="68">
                  <c:v>13.3</c:v>
                </c:pt>
                <c:pt idx="69">
                  <c:v>14</c:v>
                </c:pt>
                <c:pt idx="70">
                  <c:v>14.6</c:v>
                </c:pt>
                <c:pt idx="71">
                  <c:v>14.3</c:v>
                </c:pt>
                <c:pt idx="72">
                  <c:v>15.9</c:v>
                </c:pt>
                <c:pt idx="73">
                  <c:v>16.8</c:v>
                </c:pt>
                <c:pt idx="74">
                  <c:v>17.2</c:v>
                </c:pt>
                <c:pt idx="75">
                  <c:v>15.9</c:v>
                </c:pt>
                <c:pt idx="76">
                  <c:v>16.100000000000001</c:v>
                </c:pt>
                <c:pt idx="77">
                  <c:v>16.600000000000001</c:v>
                </c:pt>
                <c:pt idx="78">
                  <c:v>14.2</c:v>
                </c:pt>
                <c:pt idx="79">
                  <c:v>16.3</c:v>
                </c:pt>
                <c:pt idx="80">
                  <c:v>12.5</c:v>
                </c:pt>
                <c:pt idx="81">
                  <c:v>17.399999999999999</c:v>
                </c:pt>
                <c:pt idx="82">
                  <c:v>15.2</c:v>
                </c:pt>
                <c:pt idx="83">
                  <c:v>17.2</c:v>
                </c:pt>
                <c:pt idx="84">
                  <c:v>17.399999999999999</c:v>
                </c:pt>
                <c:pt idx="85">
                  <c:v>17</c:v>
                </c:pt>
                <c:pt idx="86">
                  <c:v>14.9</c:v>
                </c:pt>
                <c:pt idx="87">
                  <c:v>14.3</c:v>
                </c:pt>
                <c:pt idx="88">
                  <c:v>15.4</c:v>
                </c:pt>
                <c:pt idx="89">
                  <c:v>13.3</c:v>
                </c:pt>
                <c:pt idx="90">
                  <c:v>15.2</c:v>
                </c:pt>
                <c:pt idx="91">
                  <c:v>15.3</c:v>
                </c:pt>
                <c:pt idx="92">
                  <c:v>16.100000000000001</c:v>
                </c:pt>
                <c:pt idx="93">
                  <c:v>15.5</c:v>
                </c:pt>
                <c:pt idx="94">
                  <c:v>17</c:v>
                </c:pt>
                <c:pt idx="95">
                  <c:v>18.3</c:v>
                </c:pt>
                <c:pt idx="96">
                  <c:v>16.2</c:v>
                </c:pt>
                <c:pt idx="97">
                  <c:v>15.5</c:v>
                </c:pt>
                <c:pt idx="98">
                  <c:v>18.399999999999999</c:v>
                </c:pt>
                <c:pt idx="99">
                  <c:v>18.899999999999999</c:v>
                </c:pt>
                <c:pt idx="100">
                  <c:v>17.100000000000001</c:v>
                </c:pt>
                <c:pt idx="101">
                  <c:v>15.5</c:v>
                </c:pt>
                <c:pt idx="102">
                  <c:v>19</c:v>
                </c:pt>
                <c:pt idx="103">
                  <c:v>17.2</c:v>
                </c:pt>
                <c:pt idx="104">
                  <c:v>17.8</c:v>
                </c:pt>
                <c:pt idx="105">
                  <c:v>16.600000000000001</c:v>
                </c:pt>
                <c:pt idx="106">
                  <c:v>17.600000000000001</c:v>
                </c:pt>
                <c:pt idx="107">
                  <c:v>17.5</c:v>
                </c:pt>
                <c:pt idx="108">
                  <c:v>17.3</c:v>
                </c:pt>
                <c:pt idx="109">
                  <c:v>15.4</c:v>
                </c:pt>
                <c:pt idx="110">
                  <c:v>17.2</c:v>
                </c:pt>
                <c:pt idx="111">
                  <c:v>17.3</c:v>
                </c:pt>
                <c:pt idx="112">
                  <c:v>15</c:v>
                </c:pt>
                <c:pt idx="113">
                  <c:v>14.7</c:v>
                </c:pt>
                <c:pt idx="114">
                  <c:v>16</c:v>
                </c:pt>
                <c:pt idx="115">
                  <c:v>14.6</c:v>
                </c:pt>
                <c:pt idx="116">
                  <c:v>15.2</c:v>
                </c:pt>
                <c:pt idx="117">
                  <c:v>15.1</c:v>
                </c:pt>
                <c:pt idx="118">
                  <c:v>16.8</c:v>
                </c:pt>
                <c:pt idx="119">
                  <c:v>19.3</c:v>
                </c:pt>
                <c:pt idx="120">
                  <c:v>19.3</c:v>
                </c:pt>
                <c:pt idx="121">
                  <c:v>20</c:v>
                </c:pt>
                <c:pt idx="122">
                  <c:v>19.399999999999999</c:v>
                </c:pt>
                <c:pt idx="123">
                  <c:v>16.2</c:v>
                </c:pt>
                <c:pt idx="124">
                  <c:v>14.9</c:v>
                </c:pt>
                <c:pt idx="125">
                  <c:v>16</c:v>
                </c:pt>
                <c:pt idx="126">
                  <c:v>15.9</c:v>
                </c:pt>
                <c:pt idx="127">
                  <c:v>14.3</c:v>
                </c:pt>
                <c:pt idx="128">
                  <c:v>19.8</c:v>
                </c:pt>
                <c:pt idx="129">
                  <c:v>17.5</c:v>
                </c:pt>
                <c:pt idx="130">
                  <c:v>15.1</c:v>
                </c:pt>
                <c:pt idx="131">
                  <c:v>18.100000000000001</c:v>
                </c:pt>
                <c:pt idx="132">
                  <c:v>15.3</c:v>
                </c:pt>
                <c:pt idx="133">
                  <c:v>14.2</c:v>
                </c:pt>
                <c:pt idx="134">
                  <c:v>17.8</c:v>
                </c:pt>
                <c:pt idx="135">
                  <c:v>18.5</c:v>
                </c:pt>
                <c:pt idx="136">
                  <c:v>19</c:v>
                </c:pt>
                <c:pt idx="137">
                  <c:v>14</c:v>
                </c:pt>
                <c:pt idx="138">
                  <c:v>17</c:v>
                </c:pt>
                <c:pt idx="139">
                  <c:v>11.5</c:v>
                </c:pt>
                <c:pt idx="140">
                  <c:v>19.100000000000001</c:v>
                </c:pt>
                <c:pt idx="141">
                  <c:v>18</c:v>
                </c:pt>
                <c:pt idx="142">
                  <c:v>17.100000000000001</c:v>
                </c:pt>
                <c:pt idx="143">
                  <c:v>19.600000000000001</c:v>
                </c:pt>
                <c:pt idx="144">
                  <c:v>18.399999999999999</c:v>
                </c:pt>
                <c:pt idx="145">
                  <c:v>18.2</c:v>
                </c:pt>
                <c:pt idx="146">
                  <c:v>17.2</c:v>
                </c:pt>
                <c:pt idx="147">
                  <c:v>17.8</c:v>
                </c:pt>
                <c:pt idx="148">
                  <c:v>16.5</c:v>
                </c:pt>
                <c:pt idx="149">
                  <c:v>17.399999999999999</c:v>
                </c:pt>
                <c:pt idx="150">
                  <c:v>17</c:v>
                </c:pt>
                <c:pt idx="151">
                  <c:v>17.3</c:v>
                </c:pt>
                <c:pt idx="152">
                  <c:v>17.3</c:v>
                </c:pt>
                <c:pt idx="153">
                  <c:v>16</c:v>
                </c:pt>
                <c:pt idx="154">
                  <c:v>17.399999999999999</c:v>
                </c:pt>
                <c:pt idx="155">
                  <c:v>17.100000000000001</c:v>
                </c:pt>
                <c:pt idx="156">
                  <c:v>16.5</c:v>
                </c:pt>
                <c:pt idx="157">
                  <c:v>17.2</c:v>
                </c:pt>
                <c:pt idx="158">
                  <c:v>16.3</c:v>
                </c:pt>
                <c:pt idx="159">
                  <c:v>17.3</c:v>
                </c:pt>
                <c:pt idx="160">
                  <c:v>17.8</c:v>
                </c:pt>
                <c:pt idx="161">
                  <c:v>17.8</c:v>
                </c:pt>
                <c:pt idx="162">
                  <c:v>16.5</c:v>
                </c:pt>
                <c:pt idx="163">
                  <c:v>17.2</c:v>
                </c:pt>
                <c:pt idx="164">
                  <c:v>16.2</c:v>
                </c:pt>
                <c:pt idx="165">
                  <c:v>15</c:v>
                </c:pt>
                <c:pt idx="166">
                  <c:v>15</c:v>
                </c:pt>
                <c:pt idx="167">
                  <c:v>16.100000000000001</c:v>
                </c:pt>
                <c:pt idx="168">
                  <c:v>14.8</c:v>
                </c:pt>
                <c:pt idx="169">
                  <c:v>14.6</c:v>
                </c:pt>
                <c:pt idx="170">
                  <c:v>14.9</c:v>
                </c:pt>
                <c:pt idx="171">
                  <c:v>18.399999999999999</c:v>
                </c:pt>
                <c:pt idx="172">
                  <c:v>17.5</c:v>
                </c:pt>
                <c:pt idx="173">
                  <c:v>15.5</c:v>
                </c:pt>
                <c:pt idx="174">
                  <c:v>17</c:v>
                </c:pt>
                <c:pt idx="175">
                  <c:v>17.3</c:v>
                </c:pt>
                <c:pt idx="176">
                  <c:v>17.100000000000001</c:v>
                </c:pt>
                <c:pt idx="177">
                  <c:v>16.2</c:v>
                </c:pt>
                <c:pt idx="178">
                  <c:v>16.7</c:v>
                </c:pt>
                <c:pt idx="179">
                  <c:v>16.8</c:v>
                </c:pt>
                <c:pt idx="180">
                  <c:v>14.7</c:v>
                </c:pt>
                <c:pt idx="181">
                  <c:v>13.1</c:v>
                </c:pt>
                <c:pt idx="182">
                  <c:v>12.4</c:v>
                </c:pt>
                <c:pt idx="183">
                  <c:v>12.1</c:v>
                </c:pt>
                <c:pt idx="184">
                  <c:v>11.6</c:v>
                </c:pt>
                <c:pt idx="185">
                  <c:v>10.6</c:v>
                </c:pt>
                <c:pt idx="186">
                  <c:v>10.3</c:v>
                </c:pt>
                <c:pt idx="187">
                  <c:v>9.6</c:v>
                </c:pt>
                <c:pt idx="188">
                  <c:v>9.9</c:v>
                </c:pt>
                <c:pt idx="189">
                  <c:v>10.3</c:v>
                </c:pt>
                <c:pt idx="190">
                  <c:v>9.3000000000000007</c:v>
                </c:pt>
                <c:pt idx="191">
                  <c:v>9.6999999999999993</c:v>
                </c:pt>
                <c:pt idx="192">
                  <c:v>9.8000000000000007</c:v>
                </c:pt>
                <c:pt idx="193">
                  <c:v>9.5</c:v>
                </c:pt>
                <c:pt idx="194">
                  <c:v>9.3000000000000007</c:v>
                </c:pt>
                <c:pt idx="195">
                  <c:v>9.5</c:v>
                </c:pt>
                <c:pt idx="196">
                  <c:v>9.5</c:v>
                </c:pt>
                <c:pt idx="197">
                  <c:v>9.4</c:v>
                </c:pt>
                <c:pt idx="198">
                  <c:v>9.3000000000000007</c:v>
                </c:pt>
                <c:pt idx="199">
                  <c:v>9.6</c:v>
                </c:pt>
                <c:pt idx="200">
                  <c:v>9.1999999999999993</c:v>
                </c:pt>
                <c:pt idx="201">
                  <c:v>9.3000000000000007</c:v>
                </c:pt>
                <c:pt idx="202">
                  <c:v>8.6999999999999993</c:v>
                </c:pt>
                <c:pt idx="203">
                  <c:v>8.6999999999999993</c:v>
                </c:pt>
                <c:pt idx="204">
                  <c:v>8.8000000000000007</c:v>
                </c:pt>
                <c:pt idx="205">
                  <c:v>8.6999999999999993</c:v>
                </c:pt>
                <c:pt idx="206">
                  <c:v>8.6999999999999993</c:v>
                </c:pt>
                <c:pt idx="207">
                  <c:v>8.6</c:v>
                </c:pt>
                <c:pt idx="208">
                  <c:v>9.1999999999999993</c:v>
                </c:pt>
                <c:pt idx="209">
                  <c:v>8.9</c:v>
                </c:pt>
                <c:pt idx="210">
                  <c:v>9.1</c:v>
                </c:pt>
                <c:pt idx="211">
                  <c:v>8.8000000000000007</c:v>
                </c:pt>
                <c:pt idx="212">
                  <c:v>8.8000000000000007</c:v>
                </c:pt>
                <c:pt idx="213">
                  <c:v>8.6999999999999993</c:v>
                </c:pt>
                <c:pt idx="214">
                  <c:v>8.6</c:v>
                </c:pt>
                <c:pt idx="215">
                  <c:v>9</c:v>
                </c:pt>
                <c:pt idx="216">
                  <c:v>9.3000000000000007</c:v>
                </c:pt>
                <c:pt idx="217">
                  <c:v>8.9</c:v>
                </c:pt>
                <c:pt idx="218">
                  <c:v>8.8000000000000007</c:v>
                </c:pt>
                <c:pt idx="219">
                  <c:v>8.6999999999999993</c:v>
                </c:pt>
                <c:pt idx="220">
                  <c:v>8.9</c:v>
                </c:pt>
                <c:pt idx="221">
                  <c:v>9</c:v>
                </c:pt>
                <c:pt idx="222">
                  <c:v>8.9</c:v>
                </c:pt>
                <c:pt idx="223">
                  <c:v>9.1999999999999993</c:v>
                </c:pt>
                <c:pt idx="224">
                  <c:v>9.1</c:v>
                </c:pt>
                <c:pt idx="225">
                  <c:v>9.1999999999999993</c:v>
                </c:pt>
                <c:pt idx="226">
                  <c:v>9.1</c:v>
                </c:pt>
                <c:pt idx="227">
                  <c:v>9.6</c:v>
                </c:pt>
                <c:pt idx="228">
                  <c:v>9.3000000000000007</c:v>
                </c:pt>
                <c:pt idx="229">
                  <c:v>9.6</c:v>
                </c:pt>
                <c:pt idx="230">
                  <c:v>10.199999999999999</c:v>
                </c:pt>
                <c:pt idx="231">
                  <c:v>9.6999999999999993</c:v>
                </c:pt>
                <c:pt idx="232">
                  <c:v>9.1999999999999993</c:v>
                </c:pt>
                <c:pt idx="233">
                  <c:v>9.1999999999999993</c:v>
                </c:pt>
                <c:pt idx="234">
                  <c:v>8.8000000000000007</c:v>
                </c:pt>
                <c:pt idx="235">
                  <c:v>9.1</c:v>
                </c:pt>
                <c:pt idx="236">
                  <c:v>9.3000000000000007</c:v>
                </c:pt>
                <c:pt idx="237">
                  <c:v>9.6</c:v>
                </c:pt>
                <c:pt idx="238">
                  <c:v>9.5</c:v>
                </c:pt>
                <c:pt idx="239">
                  <c:v>9.5</c:v>
                </c:pt>
                <c:pt idx="240">
                  <c:v>8.9</c:v>
                </c:pt>
                <c:pt idx="241">
                  <c:v>8.8000000000000007</c:v>
                </c:pt>
                <c:pt idx="242">
                  <c:v>8.6999999999999993</c:v>
                </c:pt>
                <c:pt idx="243">
                  <c:v>9.6999999999999993</c:v>
                </c:pt>
                <c:pt idx="244">
                  <c:v>9.1999999999999993</c:v>
                </c:pt>
                <c:pt idx="245">
                  <c:v>9.8000000000000007</c:v>
                </c:pt>
                <c:pt idx="246">
                  <c:v>9.3000000000000007</c:v>
                </c:pt>
                <c:pt idx="247">
                  <c:v>9.1999999999999993</c:v>
                </c:pt>
                <c:pt idx="248">
                  <c:v>9.1</c:v>
                </c:pt>
                <c:pt idx="249">
                  <c:v>9.3000000000000007</c:v>
                </c:pt>
                <c:pt idx="250">
                  <c:v>10</c:v>
                </c:pt>
                <c:pt idx="251">
                  <c:v>10</c:v>
                </c:pt>
                <c:pt idx="252">
                  <c:v>10.3</c:v>
                </c:pt>
                <c:pt idx="253">
                  <c:v>9.6</c:v>
                </c:pt>
                <c:pt idx="254">
                  <c:v>9.9</c:v>
                </c:pt>
                <c:pt idx="255">
                  <c:v>9.1999999999999993</c:v>
                </c:pt>
                <c:pt idx="256">
                  <c:v>9.1</c:v>
                </c:pt>
                <c:pt idx="257">
                  <c:v>9.6999999999999993</c:v>
                </c:pt>
                <c:pt idx="258">
                  <c:v>9.6999999999999993</c:v>
                </c:pt>
                <c:pt idx="259">
                  <c:v>9.5</c:v>
                </c:pt>
                <c:pt idx="260">
                  <c:v>9.9</c:v>
                </c:pt>
                <c:pt idx="261">
                  <c:v>9.6</c:v>
                </c:pt>
                <c:pt idx="262">
                  <c:v>9.8000000000000007</c:v>
                </c:pt>
                <c:pt idx="263">
                  <c:v>9.8000000000000007</c:v>
                </c:pt>
                <c:pt idx="264">
                  <c:v>10.4</c:v>
                </c:pt>
                <c:pt idx="265">
                  <c:v>9.8000000000000007</c:v>
                </c:pt>
                <c:pt idx="266">
                  <c:v>9.3000000000000007</c:v>
                </c:pt>
                <c:pt idx="267">
                  <c:v>9.5</c:v>
                </c:pt>
                <c:pt idx="268">
                  <c:v>10</c:v>
                </c:pt>
                <c:pt idx="269">
                  <c:v>9.3000000000000007</c:v>
                </c:pt>
                <c:pt idx="270">
                  <c:v>9.5</c:v>
                </c:pt>
                <c:pt idx="271">
                  <c:v>9.6</c:v>
                </c:pt>
                <c:pt idx="272">
                  <c:v>9.9</c:v>
                </c:pt>
                <c:pt idx="273">
                  <c:v>9.8000000000000007</c:v>
                </c:pt>
                <c:pt idx="274">
                  <c:v>10.1</c:v>
                </c:pt>
                <c:pt idx="275">
                  <c:v>10.1</c:v>
                </c:pt>
                <c:pt idx="276">
                  <c:v>10</c:v>
                </c:pt>
                <c:pt idx="277">
                  <c:v>10.6</c:v>
                </c:pt>
                <c:pt idx="278">
                  <c:v>10.8</c:v>
                </c:pt>
                <c:pt idx="279">
                  <c:v>11.9</c:v>
                </c:pt>
                <c:pt idx="280">
                  <c:v>11.3</c:v>
                </c:pt>
                <c:pt idx="281">
                  <c:v>11</c:v>
                </c:pt>
                <c:pt idx="282">
                  <c:v>12.5</c:v>
                </c:pt>
                <c:pt idx="283">
                  <c:v>11.2</c:v>
                </c:pt>
                <c:pt idx="284">
                  <c:v>11.6</c:v>
                </c:pt>
                <c:pt idx="285">
                  <c:v>13.2</c:v>
                </c:pt>
                <c:pt idx="286">
                  <c:v>15.4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1D-9246-A0B5-B1D0A11BE2ED}"/>
            </c:ext>
          </c:extLst>
        </c:ser>
        <c:ser>
          <c:idx val="3"/>
          <c:order val="3"/>
          <c:tx>
            <c:strRef>
              <c:f>'934297-0122 J.LivRm_PVitalsag_2'!$Z$1</c:f>
              <c:strCache>
                <c:ptCount val="1"/>
                <c:pt idx="0">
                  <c:v>avg+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J.LivRm_PVitalsag_2'!$V$930:$V$1216</c:f>
              <c:numCache>
                <c:formatCode>m/d/yy\ h:mm</c:formatCode>
                <c:ptCount val="287"/>
                <c:pt idx="0">
                  <c:v>45459.166666666664</c:v>
                </c:pt>
                <c:pt idx="1">
                  <c:v>45459.208333333336</c:v>
                </c:pt>
                <c:pt idx="2">
                  <c:v>45459.25</c:v>
                </c:pt>
                <c:pt idx="3">
                  <c:v>45459.291666666664</c:v>
                </c:pt>
                <c:pt idx="4">
                  <c:v>45459.333333333336</c:v>
                </c:pt>
                <c:pt idx="5">
                  <c:v>45459.375</c:v>
                </c:pt>
                <c:pt idx="6">
                  <c:v>45459.416666666664</c:v>
                </c:pt>
                <c:pt idx="7">
                  <c:v>45459.458333333336</c:v>
                </c:pt>
                <c:pt idx="8">
                  <c:v>45459.5</c:v>
                </c:pt>
                <c:pt idx="9">
                  <c:v>45459.541666666664</c:v>
                </c:pt>
                <c:pt idx="10">
                  <c:v>45459.583333333336</c:v>
                </c:pt>
                <c:pt idx="11">
                  <c:v>45459.625</c:v>
                </c:pt>
                <c:pt idx="12">
                  <c:v>45459.666666666664</c:v>
                </c:pt>
                <c:pt idx="13">
                  <c:v>45459.708333333336</c:v>
                </c:pt>
                <c:pt idx="14">
                  <c:v>45459.75</c:v>
                </c:pt>
                <c:pt idx="15">
                  <c:v>45459.791666666664</c:v>
                </c:pt>
                <c:pt idx="16">
                  <c:v>45459.833333333336</c:v>
                </c:pt>
                <c:pt idx="17">
                  <c:v>45459.875</c:v>
                </c:pt>
                <c:pt idx="18">
                  <c:v>45460</c:v>
                </c:pt>
                <c:pt idx="19">
                  <c:v>45460.041666666664</c:v>
                </c:pt>
                <c:pt idx="20">
                  <c:v>45460.083333333336</c:v>
                </c:pt>
                <c:pt idx="21">
                  <c:v>45460.125</c:v>
                </c:pt>
                <c:pt idx="22">
                  <c:v>45460.166666666664</c:v>
                </c:pt>
                <c:pt idx="23">
                  <c:v>45460.208333333336</c:v>
                </c:pt>
                <c:pt idx="24">
                  <c:v>45460.25</c:v>
                </c:pt>
                <c:pt idx="25">
                  <c:v>45460.291666666664</c:v>
                </c:pt>
                <c:pt idx="26">
                  <c:v>45460.333333333336</c:v>
                </c:pt>
                <c:pt idx="27">
                  <c:v>45460.375</c:v>
                </c:pt>
                <c:pt idx="28">
                  <c:v>45460.416666666664</c:v>
                </c:pt>
                <c:pt idx="29">
                  <c:v>45460.458333333336</c:v>
                </c:pt>
                <c:pt idx="30">
                  <c:v>45460.5</c:v>
                </c:pt>
                <c:pt idx="31">
                  <c:v>45460.541666666664</c:v>
                </c:pt>
                <c:pt idx="32">
                  <c:v>45460.583333333336</c:v>
                </c:pt>
                <c:pt idx="33">
                  <c:v>45460.625</c:v>
                </c:pt>
                <c:pt idx="34">
                  <c:v>45460.666666666664</c:v>
                </c:pt>
                <c:pt idx="35">
                  <c:v>45460.708333333336</c:v>
                </c:pt>
                <c:pt idx="36">
                  <c:v>45460.75</c:v>
                </c:pt>
                <c:pt idx="37">
                  <c:v>45460.791666666664</c:v>
                </c:pt>
                <c:pt idx="38">
                  <c:v>45460.833333333336</c:v>
                </c:pt>
                <c:pt idx="39">
                  <c:v>45460.875</c:v>
                </c:pt>
                <c:pt idx="40">
                  <c:v>45460.916666666664</c:v>
                </c:pt>
                <c:pt idx="41">
                  <c:v>45460.958333333336</c:v>
                </c:pt>
                <c:pt idx="42">
                  <c:v>45461</c:v>
                </c:pt>
                <c:pt idx="43">
                  <c:v>45461.041666666664</c:v>
                </c:pt>
                <c:pt idx="44">
                  <c:v>45461.083333333336</c:v>
                </c:pt>
                <c:pt idx="45">
                  <c:v>45461.125</c:v>
                </c:pt>
                <c:pt idx="46">
                  <c:v>45461.166666666664</c:v>
                </c:pt>
                <c:pt idx="47">
                  <c:v>45461.208333333336</c:v>
                </c:pt>
                <c:pt idx="48">
                  <c:v>45461.25</c:v>
                </c:pt>
                <c:pt idx="49">
                  <c:v>45461.291666666664</c:v>
                </c:pt>
                <c:pt idx="50">
                  <c:v>45461.333333333336</c:v>
                </c:pt>
                <c:pt idx="51">
                  <c:v>45461.375</c:v>
                </c:pt>
                <c:pt idx="52">
                  <c:v>45461.416666666664</c:v>
                </c:pt>
                <c:pt idx="53">
                  <c:v>45461.458333333336</c:v>
                </c:pt>
                <c:pt idx="54">
                  <c:v>45461.5</c:v>
                </c:pt>
                <c:pt idx="55">
                  <c:v>45461.541666666664</c:v>
                </c:pt>
                <c:pt idx="56">
                  <c:v>45461.583333333336</c:v>
                </c:pt>
                <c:pt idx="57">
                  <c:v>45461.625</c:v>
                </c:pt>
                <c:pt idx="58">
                  <c:v>45461.666666666664</c:v>
                </c:pt>
                <c:pt idx="59">
                  <c:v>45461.708333333336</c:v>
                </c:pt>
                <c:pt idx="60">
                  <c:v>45461.75</c:v>
                </c:pt>
                <c:pt idx="61">
                  <c:v>45461.791666666664</c:v>
                </c:pt>
                <c:pt idx="62">
                  <c:v>45461.833333333336</c:v>
                </c:pt>
                <c:pt idx="63">
                  <c:v>45461.875</c:v>
                </c:pt>
                <c:pt idx="64">
                  <c:v>45461.958333333336</c:v>
                </c:pt>
                <c:pt idx="65">
                  <c:v>45462.166666666664</c:v>
                </c:pt>
                <c:pt idx="66">
                  <c:v>45462.208333333336</c:v>
                </c:pt>
                <c:pt idx="67">
                  <c:v>45462.25</c:v>
                </c:pt>
                <c:pt idx="68">
                  <c:v>45462.291666666664</c:v>
                </c:pt>
                <c:pt idx="69">
                  <c:v>45462.333333333336</c:v>
                </c:pt>
                <c:pt idx="70">
                  <c:v>45462.375</c:v>
                </c:pt>
                <c:pt idx="71">
                  <c:v>45462.416666666664</c:v>
                </c:pt>
                <c:pt idx="72">
                  <c:v>45462.458333333336</c:v>
                </c:pt>
                <c:pt idx="73">
                  <c:v>45462.5</c:v>
                </c:pt>
                <c:pt idx="74">
                  <c:v>45462.541666666664</c:v>
                </c:pt>
                <c:pt idx="75">
                  <c:v>45462.583333333336</c:v>
                </c:pt>
                <c:pt idx="76">
                  <c:v>45462.625</c:v>
                </c:pt>
                <c:pt idx="77">
                  <c:v>45462.666666666664</c:v>
                </c:pt>
                <c:pt idx="78">
                  <c:v>45462.708333333336</c:v>
                </c:pt>
                <c:pt idx="79">
                  <c:v>45462.75</c:v>
                </c:pt>
                <c:pt idx="80">
                  <c:v>45462.791666666664</c:v>
                </c:pt>
                <c:pt idx="81">
                  <c:v>45462.833333333336</c:v>
                </c:pt>
                <c:pt idx="82">
                  <c:v>45462.875</c:v>
                </c:pt>
                <c:pt idx="83">
                  <c:v>45462.916666666664</c:v>
                </c:pt>
                <c:pt idx="84">
                  <c:v>45463.125</c:v>
                </c:pt>
                <c:pt idx="85">
                  <c:v>45463.166666666664</c:v>
                </c:pt>
                <c:pt idx="86">
                  <c:v>45463.208333333336</c:v>
                </c:pt>
                <c:pt idx="87">
                  <c:v>45463.25</c:v>
                </c:pt>
                <c:pt idx="88">
                  <c:v>45463.291666666664</c:v>
                </c:pt>
                <c:pt idx="89">
                  <c:v>45463.333333333336</c:v>
                </c:pt>
                <c:pt idx="90">
                  <c:v>45463.375</c:v>
                </c:pt>
                <c:pt idx="91">
                  <c:v>45463.416666666664</c:v>
                </c:pt>
                <c:pt idx="92">
                  <c:v>45463.458333333336</c:v>
                </c:pt>
                <c:pt idx="93">
                  <c:v>45463.5</c:v>
                </c:pt>
                <c:pt idx="94">
                  <c:v>45463.541666666664</c:v>
                </c:pt>
                <c:pt idx="95">
                  <c:v>45463.583333333336</c:v>
                </c:pt>
                <c:pt idx="96">
                  <c:v>45463.625</c:v>
                </c:pt>
                <c:pt idx="97">
                  <c:v>45463.666666666664</c:v>
                </c:pt>
                <c:pt idx="98">
                  <c:v>45463.708333333336</c:v>
                </c:pt>
                <c:pt idx="99">
                  <c:v>45463.75</c:v>
                </c:pt>
                <c:pt idx="100">
                  <c:v>45463.791666666664</c:v>
                </c:pt>
                <c:pt idx="101">
                  <c:v>45463.833333333336</c:v>
                </c:pt>
                <c:pt idx="102">
                  <c:v>45463.875</c:v>
                </c:pt>
                <c:pt idx="103">
                  <c:v>45463.916666666664</c:v>
                </c:pt>
                <c:pt idx="104">
                  <c:v>45463.958333333336</c:v>
                </c:pt>
                <c:pt idx="105">
                  <c:v>45464</c:v>
                </c:pt>
                <c:pt idx="106">
                  <c:v>45464.041666666664</c:v>
                </c:pt>
                <c:pt idx="107">
                  <c:v>45464.083333333336</c:v>
                </c:pt>
                <c:pt idx="108">
                  <c:v>45464.125</c:v>
                </c:pt>
                <c:pt idx="109">
                  <c:v>45464.166666666664</c:v>
                </c:pt>
                <c:pt idx="110">
                  <c:v>45464.208333333336</c:v>
                </c:pt>
                <c:pt idx="111">
                  <c:v>45464.25</c:v>
                </c:pt>
                <c:pt idx="112">
                  <c:v>45464.291666666664</c:v>
                </c:pt>
                <c:pt idx="113">
                  <c:v>45464.333333333336</c:v>
                </c:pt>
                <c:pt idx="114">
                  <c:v>45464.375</c:v>
                </c:pt>
                <c:pt idx="115">
                  <c:v>45464.416666666664</c:v>
                </c:pt>
                <c:pt idx="116">
                  <c:v>45464.458333333336</c:v>
                </c:pt>
                <c:pt idx="117">
                  <c:v>45464.5</c:v>
                </c:pt>
                <c:pt idx="118">
                  <c:v>45464.541666666664</c:v>
                </c:pt>
                <c:pt idx="119">
                  <c:v>45464.583333333336</c:v>
                </c:pt>
                <c:pt idx="120">
                  <c:v>45464.625</c:v>
                </c:pt>
                <c:pt idx="121">
                  <c:v>45464.666666666664</c:v>
                </c:pt>
                <c:pt idx="122">
                  <c:v>45464.708333333336</c:v>
                </c:pt>
                <c:pt idx="123">
                  <c:v>45464.75</c:v>
                </c:pt>
                <c:pt idx="124">
                  <c:v>45464.791666666664</c:v>
                </c:pt>
                <c:pt idx="125">
                  <c:v>45464.833333333336</c:v>
                </c:pt>
                <c:pt idx="126">
                  <c:v>45464.875</c:v>
                </c:pt>
                <c:pt idx="127">
                  <c:v>45465.291666666664</c:v>
                </c:pt>
                <c:pt idx="128">
                  <c:v>45465.333333333336</c:v>
                </c:pt>
                <c:pt idx="129">
                  <c:v>45465.375</c:v>
                </c:pt>
                <c:pt idx="130">
                  <c:v>45465.416666666664</c:v>
                </c:pt>
                <c:pt idx="131">
                  <c:v>45465.458333333336</c:v>
                </c:pt>
                <c:pt idx="132">
                  <c:v>45465.5</c:v>
                </c:pt>
                <c:pt idx="133">
                  <c:v>45465.541666666664</c:v>
                </c:pt>
                <c:pt idx="134">
                  <c:v>45465.583333333336</c:v>
                </c:pt>
                <c:pt idx="135">
                  <c:v>45465.625</c:v>
                </c:pt>
                <c:pt idx="136">
                  <c:v>45465.666666666664</c:v>
                </c:pt>
                <c:pt idx="137">
                  <c:v>45465.708333333336</c:v>
                </c:pt>
                <c:pt idx="138">
                  <c:v>45465.75</c:v>
                </c:pt>
                <c:pt idx="139">
                  <c:v>45465.791666666664</c:v>
                </c:pt>
                <c:pt idx="140">
                  <c:v>45465.833333333336</c:v>
                </c:pt>
                <c:pt idx="141">
                  <c:v>45465.875</c:v>
                </c:pt>
                <c:pt idx="142">
                  <c:v>45465.916666666664</c:v>
                </c:pt>
                <c:pt idx="143">
                  <c:v>45465.958333333336</c:v>
                </c:pt>
                <c:pt idx="144">
                  <c:v>45466</c:v>
                </c:pt>
                <c:pt idx="145">
                  <c:v>45466.041666666664</c:v>
                </c:pt>
                <c:pt idx="146">
                  <c:v>45466.083333333336</c:v>
                </c:pt>
                <c:pt idx="147">
                  <c:v>45466.125</c:v>
                </c:pt>
                <c:pt idx="148">
                  <c:v>45466.166666666664</c:v>
                </c:pt>
                <c:pt idx="149">
                  <c:v>45466.208333333336</c:v>
                </c:pt>
                <c:pt idx="150">
                  <c:v>45466.25</c:v>
                </c:pt>
                <c:pt idx="151">
                  <c:v>45466.291666666664</c:v>
                </c:pt>
                <c:pt idx="152">
                  <c:v>45466.333333333336</c:v>
                </c:pt>
                <c:pt idx="153">
                  <c:v>45466.375</c:v>
                </c:pt>
                <c:pt idx="154">
                  <c:v>45466.416666666664</c:v>
                </c:pt>
                <c:pt idx="155">
                  <c:v>45466.458333333336</c:v>
                </c:pt>
                <c:pt idx="156">
                  <c:v>45466.5</c:v>
                </c:pt>
                <c:pt idx="157">
                  <c:v>45466.541666666664</c:v>
                </c:pt>
                <c:pt idx="158">
                  <c:v>45466.583333333336</c:v>
                </c:pt>
                <c:pt idx="159">
                  <c:v>45466.625</c:v>
                </c:pt>
                <c:pt idx="160">
                  <c:v>45466.666666666664</c:v>
                </c:pt>
                <c:pt idx="161">
                  <c:v>45466.708333333336</c:v>
                </c:pt>
                <c:pt idx="162">
                  <c:v>45466.75</c:v>
                </c:pt>
                <c:pt idx="163">
                  <c:v>45466.791666666664</c:v>
                </c:pt>
                <c:pt idx="164">
                  <c:v>45466.833333333336</c:v>
                </c:pt>
                <c:pt idx="165">
                  <c:v>45466.875</c:v>
                </c:pt>
                <c:pt idx="166">
                  <c:v>45466.916666666664</c:v>
                </c:pt>
                <c:pt idx="167">
                  <c:v>45466.958333333336</c:v>
                </c:pt>
                <c:pt idx="168">
                  <c:v>45467</c:v>
                </c:pt>
                <c:pt idx="169">
                  <c:v>45467.041666666664</c:v>
                </c:pt>
                <c:pt idx="170">
                  <c:v>45467.083333333336</c:v>
                </c:pt>
                <c:pt idx="171">
                  <c:v>45467.125</c:v>
                </c:pt>
                <c:pt idx="172">
                  <c:v>45467.166666666664</c:v>
                </c:pt>
                <c:pt idx="173">
                  <c:v>45467.208333333336</c:v>
                </c:pt>
                <c:pt idx="174">
                  <c:v>45467.25</c:v>
                </c:pt>
                <c:pt idx="175">
                  <c:v>45467.291666666664</c:v>
                </c:pt>
                <c:pt idx="176">
                  <c:v>45467.333333333336</c:v>
                </c:pt>
                <c:pt idx="177">
                  <c:v>45467.375</c:v>
                </c:pt>
                <c:pt idx="178">
                  <c:v>45467.416666666664</c:v>
                </c:pt>
                <c:pt idx="179">
                  <c:v>45467.458333333336</c:v>
                </c:pt>
                <c:pt idx="180">
                  <c:v>45467.958333333336</c:v>
                </c:pt>
                <c:pt idx="181">
                  <c:v>45468</c:v>
                </c:pt>
                <c:pt idx="182">
                  <c:v>45468.041666666664</c:v>
                </c:pt>
                <c:pt idx="183">
                  <c:v>45468.083333333336</c:v>
                </c:pt>
                <c:pt idx="184">
                  <c:v>45468.125</c:v>
                </c:pt>
                <c:pt idx="185">
                  <c:v>45468.166666666664</c:v>
                </c:pt>
                <c:pt idx="186">
                  <c:v>45468.208333333336</c:v>
                </c:pt>
                <c:pt idx="187">
                  <c:v>45468.333333333336</c:v>
                </c:pt>
                <c:pt idx="188">
                  <c:v>45468.375</c:v>
                </c:pt>
                <c:pt idx="189">
                  <c:v>45468.416666666664</c:v>
                </c:pt>
                <c:pt idx="190">
                  <c:v>45468.458333333336</c:v>
                </c:pt>
                <c:pt idx="191">
                  <c:v>45468.5</c:v>
                </c:pt>
                <c:pt idx="192">
                  <c:v>45468.541666666664</c:v>
                </c:pt>
                <c:pt idx="193">
                  <c:v>45468.583333333336</c:v>
                </c:pt>
                <c:pt idx="194">
                  <c:v>45468.625</c:v>
                </c:pt>
                <c:pt idx="195">
                  <c:v>45468.666666666664</c:v>
                </c:pt>
                <c:pt idx="196">
                  <c:v>45468.708333333336</c:v>
                </c:pt>
                <c:pt idx="197">
                  <c:v>45468.75</c:v>
                </c:pt>
                <c:pt idx="198">
                  <c:v>45468.791666666664</c:v>
                </c:pt>
                <c:pt idx="199">
                  <c:v>45468.833333333336</c:v>
                </c:pt>
                <c:pt idx="200">
                  <c:v>45468.875</c:v>
                </c:pt>
                <c:pt idx="201">
                  <c:v>45468.916666666664</c:v>
                </c:pt>
                <c:pt idx="202">
                  <c:v>45468.958333333336</c:v>
                </c:pt>
                <c:pt idx="203">
                  <c:v>45469</c:v>
                </c:pt>
                <c:pt idx="204">
                  <c:v>45469.041666666664</c:v>
                </c:pt>
                <c:pt idx="205">
                  <c:v>45469.083333333336</c:v>
                </c:pt>
                <c:pt idx="206">
                  <c:v>45469.125</c:v>
                </c:pt>
                <c:pt idx="207">
                  <c:v>45469.166666666664</c:v>
                </c:pt>
                <c:pt idx="208">
                  <c:v>45469.208333333336</c:v>
                </c:pt>
                <c:pt idx="209">
                  <c:v>45469.25</c:v>
                </c:pt>
                <c:pt idx="210">
                  <c:v>45469.291666666664</c:v>
                </c:pt>
                <c:pt idx="211">
                  <c:v>45469.333333333336</c:v>
                </c:pt>
                <c:pt idx="212">
                  <c:v>45469.375</c:v>
                </c:pt>
                <c:pt idx="213">
                  <c:v>45469.416666666664</c:v>
                </c:pt>
                <c:pt idx="214">
                  <c:v>45469.458333333336</c:v>
                </c:pt>
                <c:pt idx="215">
                  <c:v>45469.5</c:v>
                </c:pt>
                <c:pt idx="216">
                  <c:v>45469.541666666664</c:v>
                </c:pt>
                <c:pt idx="217">
                  <c:v>45469.666666666664</c:v>
                </c:pt>
                <c:pt idx="218">
                  <c:v>45469.708333333336</c:v>
                </c:pt>
                <c:pt idx="219">
                  <c:v>45469.75</c:v>
                </c:pt>
                <c:pt idx="220">
                  <c:v>45469.791666666664</c:v>
                </c:pt>
                <c:pt idx="221">
                  <c:v>45469.833333333336</c:v>
                </c:pt>
                <c:pt idx="222">
                  <c:v>45469.875</c:v>
                </c:pt>
                <c:pt idx="223">
                  <c:v>45469.916666666664</c:v>
                </c:pt>
                <c:pt idx="224">
                  <c:v>45469.958333333336</c:v>
                </c:pt>
                <c:pt idx="225">
                  <c:v>45470</c:v>
                </c:pt>
                <c:pt idx="226">
                  <c:v>45470.041666666664</c:v>
                </c:pt>
                <c:pt idx="227">
                  <c:v>45470.083333333336</c:v>
                </c:pt>
                <c:pt idx="228">
                  <c:v>45470.125</c:v>
                </c:pt>
                <c:pt idx="229">
                  <c:v>45470.166666666664</c:v>
                </c:pt>
                <c:pt idx="230">
                  <c:v>45470.208333333336</c:v>
                </c:pt>
                <c:pt idx="231">
                  <c:v>45470.25</c:v>
                </c:pt>
                <c:pt idx="232">
                  <c:v>45470.291666666664</c:v>
                </c:pt>
                <c:pt idx="233">
                  <c:v>45470.333333333336</c:v>
                </c:pt>
                <c:pt idx="234">
                  <c:v>45470.375</c:v>
                </c:pt>
                <c:pt idx="235">
                  <c:v>45470.416666666664</c:v>
                </c:pt>
                <c:pt idx="236">
                  <c:v>45470.458333333336</c:v>
                </c:pt>
                <c:pt idx="237">
                  <c:v>45470.5</c:v>
                </c:pt>
                <c:pt idx="238">
                  <c:v>45470.541666666664</c:v>
                </c:pt>
                <c:pt idx="239">
                  <c:v>45470.583333333336</c:v>
                </c:pt>
                <c:pt idx="240">
                  <c:v>45470.625</c:v>
                </c:pt>
                <c:pt idx="241">
                  <c:v>45470.666666666664</c:v>
                </c:pt>
                <c:pt idx="242">
                  <c:v>45470.708333333336</c:v>
                </c:pt>
                <c:pt idx="243">
                  <c:v>45470.75</c:v>
                </c:pt>
                <c:pt idx="244">
                  <c:v>45470.791666666664</c:v>
                </c:pt>
                <c:pt idx="245">
                  <c:v>45470.833333333336</c:v>
                </c:pt>
                <c:pt idx="246">
                  <c:v>45470.875</c:v>
                </c:pt>
                <c:pt idx="247">
                  <c:v>45470.916666666664</c:v>
                </c:pt>
                <c:pt idx="248">
                  <c:v>45470.958333333336</c:v>
                </c:pt>
                <c:pt idx="249">
                  <c:v>45471</c:v>
                </c:pt>
                <c:pt idx="250">
                  <c:v>45471.041666666664</c:v>
                </c:pt>
                <c:pt idx="251">
                  <c:v>45471.083333333336</c:v>
                </c:pt>
                <c:pt idx="252">
                  <c:v>45471.125</c:v>
                </c:pt>
                <c:pt idx="253">
                  <c:v>45471.166666666664</c:v>
                </c:pt>
                <c:pt idx="254">
                  <c:v>45471.208333333336</c:v>
                </c:pt>
                <c:pt idx="255">
                  <c:v>45471.25</c:v>
                </c:pt>
                <c:pt idx="256">
                  <c:v>45471.291666666664</c:v>
                </c:pt>
                <c:pt idx="257">
                  <c:v>45471.333333333336</c:v>
                </c:pt>
                <c:pt idx="258">
                  <c:v>45471.375</c:v>
                </c:pt>
                <c:pt idx="259">
                  <c:v>45471.416666666664</c:v>
                </c:pt>
                <c:pt idx="260">
                  <c:v>45471.458333333336</c:v>
                </c:pt>
                <c:pt idx="261">
                  <c:v>45471.5</c:v>
                </c:pt>
                <c:pt idx="262">
                  <c:v>45471.541666666664</c:v>
                </c:pt>
                <c:pt idx="263">
                  <c:v>45471.583333333336</c:v>
                </c:pt>
                <c:pt idx="264">
                  <c:v>45471.625</c:v>
                </c:pt>
                <c:pt idx="265">
                  <c:v>45471.666666666664</c:v>
                </c:pt>
                <c:pt idx="266">
                  <c:v>45471.708333333336</c:v>
                </c:pt>
                <c:pt idx="267">
                  <c:v>45471.75</c:v>
                </c:pt>
                <c:pt idx="268">
                  <c:v>45471.791666666664</c:v>
                </c:pt>
                <c:pt idx="269">
                  <c:v>45471.833333333336</c:v>
                </c:pt>
                <c:pt idx="270">
                  <c:v>45471.875</c:v>
                </c:pt>
                <c:pt idx="271">
                  <c:v>45471.916666666664</c:v>
                </c:pt>
                <c:pt idx="272">
                  <c:v>45471.958333333336</c:v>
                </c:pt>
                <c:pt idx="273">
                  <c:v>45472</c:v>
                </c:pt>
                <c:pt idx="274">
                  <c:v>45472.041666666664</c:v>
                </c:pt>
                <c:pt idx="275">
                  <c:v>45472.083333333336</c:v>
                </c:pt>
                <c:pt idx="276">
                  <c:v>45472.125</c:v>
                </c:pt>
                <c:pt idx="277">
                  <c:v>45472.166666666664</c:v>
                </c:pt>
                <c:pt idx="278">
                  <c:v>45472.208333333336</c:v>
                </c:pt>
                <c:pt idx="279">
                  <c:v>45472.25</c:v>
                </c:pt>
                <c:pt idx="280">
                  <c:v>45472.291666666664</c:v>
                </c:pt>
                <c:pt idx="281">
                  <c:v>45472.333333333336</c:v>
                </c:pt>
                <c:pt idx="282">
                  <c:v>45472.375</c:v>
                </c:pt>
                <c:pt idx="283">
                  <c:v>45472.416666666664</c:v>
                </c:pt>
                <c:pt idx="284">
                  <c:v>45472.708333333336</c:v>
                </c:pt>
                <c:pt idx="285">
                  <c:v>45472.75</c:v>
                </c:pt>
                <c:pt idx="286">
                  <c:v>45472.791666666664</c:v>
                </c:pt>
              </c:numCache>
            </c:numRef>
          </c:cat>
          <c:val>
            <c:numRef>
              <c:f>'934297-0122 J.LivRm_PVitalsag_2'!$Z$930:$Z$1216</c:f>
              <c:numCache>
                <c:formatCode>General</c:formatCode>
                <c:ptCount val="287"/>
                <c:pt idx="0">
                  <c:v>22.3</c:v>
                </c:pt>
                <c:pt idx="1">
                  <c:v>19.100000000000001</c:v>
                </c:pt>
                <c:pt idx="2">
                  <c:v>17.8</c:v>
                </c:pt>
                <c:pt idx="3">
                  <c:v>17.899999999999999</c:v>
                </c:pt>
                <c:pt idx="4">
                  <c:v>20.5</c:v>
                </c:pt>
                <c:pt idx="5">
                  <c:v>19.5</c:v>
                </c:pt>
                <c:pt idx="6">
                  <c:v>21.2</c:v>
                </c:pt>
                <c:pt idx="7">
                  <c:v>19.2</c:v>
                </c:pt>
                <c:pt idx="8">
                  <c:v>20.2</c:v>
                </c:pt>
                <c:pt idx="9">
                  <c:v>21.4</c:v>
                </c:pt>
                <c:pt idx="10">
                  <c:v>21.2</c:v>
                </c:pt>
                <c:pt idx="11">
                  <c:v>20.5</c:v>
                </c:pt>
                <c:pt idx="12">
                  <c:v>20.9</c:v>
                </c:pt>
                <c:pt idx="13">
                  <c:v>21.3</c:v>
                </c:pt>
                <c:pt idx="14">
                  <c:v>20.399999999999999</c:v>
                </c:pt>
                <c:pt idx="15">
                  <c:v>21.5</c:v>
                </c:pt>
                <c:pt idx="16">
                  <c:v>21</c:v>
                </c:pt>
                <c:pt idx="17">
                  <c:v>20.8</c:v>
                </c:pt>
                <c:pt idx="18">
                  <c:v>21.7</c:v>
                </c:pt>
                <c:pt idx="19">
                  <c:v>20</c:v>
                </c:pt>
                <c:pt idx="20">
                  <c:v>20.7</c:v>
                </c:pt>
                <c:pt idx="21">
                  <c:v>18.600000000000001</c:v>
                </c:pt>
                <c:pt idx="22">
                  <c:v>18.399999999999999</c:v>
                </c:pt>
                <c:pt idx="23">
                  <c:v>18.399999999999999</c:v>
                </c:pt>
                <c:pt idx="24">
                  <c:v>18.8</c:v>
                </c:pt>
                <c:pt idx="25">
                  <c:v>20.8</c:v>
                </c:pt>
                <c:pt idx="26">
                  <c:v>19.399999999999999</c:v>
                </c:pt>
                <c:pt idx="27">
                  <c:v>19.399999999999999</c:v>
                </c:pt>
                <c:pt idx="28">
                  <c:v>20.5</c:v>
                </c:pt>
                <c:pt idx="29">
                  <c:v>21.3</c:v>
                </c:pt>
                <c:pt idx="30">
                  <c:v>20.399999999999999</c:v>
                </c:pt>
                <c:pt idx="31">
                  <c:v>21.7</c:v>
                </c:pt>
                <c:pt idx="32">
                  <c:v>19</c:v>
                </c:pt>
                <c:pt idx="33">
                  <c:v>19.3</c:v>
                </c:pt>
                <c:pt idx="34">
                  <c:v>20.8</c:v>
                </c:pt>
                <c:pt idx="35">
                  <c:v>21.1</c:v>
                </c:pt>
                <c:pt idx="36">
                  <c:v>23.6</c:v>
                </c:pt>
                <c:pt idx="37">
                  <c:v>21.6</c:v>
                </c:pt>
                <c:pt idx="38">
                  <c:v>21.3</c:v>
                </c:pt>
                <c:pt idx="39">
                  <c:v>19.8</c:v>
                </c:pt>
                <c:pt idx="40">
                  <c:v>19.100000000000001</c:v>
                </c:pt>
                <c:pt idx="41">
                  <c:v>19.600000000000001</c:v>
                </c:pt>
                <c:pt idx="42">
                  <c:v>19.5</c:v>
                </c:pt>
                <c:pt idx="43">
                  <c:v>19.399999999999999</c:v>
                </c:pt>
                <c:pt idx="44">
                  <c:v>19.3</c:v>
                </c:pt>
                <c:pt idx="45">
                  <c:v>19.100000000000001</c:v>
                </c:pt>
                <c:pt idx="46">
                  <c:v>19.399999999999999</c:v>
                </c:pt>
                <c:pt idx="47">
                  <c:v>18.2</c:v>
                </c:pt>
                <c:pt idx="48">
                  <c:v>19.3</c:v>
                </c:pt>
                <c:pt idx="49">
                  <c:v>18.899999999999999</c:v>
                </c:pt>
                <c:pt idx="50">
                  <c:v>19.3</c:v>
                </c:pt>
                <c:pt idx="51">
                  <c:v>18.600000000000001</c:v>
                </c:pt>
                <c:pt idx="52">
                  <c:v>19.600000000000001</c:v>
                </c:pt>
                <c:pt idx="53">
                  <c:v>18.8</c:v>
                </c:pt>
                <c:pt idx="54">
                  <c:v>20.399999999999999</c:v>
                </c:pt>
                <c:pt idx="55">
                  <c:v>20.2</c:v>
                </c:pt>
                <c:pt idx="56">
                  <c:v>19.399999999999999</c:v>
                </c:pt>
                <c:pt idx="57">
                  <c:v>20.100000000000001</c:v>
                </c:pt>
                <c:pt idx="58">
                  <c:v>20.2</c:v>
                </c:pt>
                <c:pt idx="59">
                  <c:v>19.5</c:v>
                </c:pt>
                <c:pt idx="60">
                  <c:v>20.5</c:v>
                </c:pt>
                <c:pt idx="61">
                  <c:v>21</c:v>
                </c:pt>
                <c:pt idx="62">
                  <c:v>19.8</c:v>
                </c:pt>
                <c:pt idx="63">
                  <c:v>20</c:v>
                </c:pt>
                <c:pt idx="64">
                  <c:v>19.399999999999999</c:v>
                </c:pt>
                <c:pt idx="65">
                  <c:v>22.5</c:v>
                </c:pt>
                <c:pt idx="66">
                  <c:v>21.1</c:v>
                </c:pt>
                <c:pt idx="67">
                  <c:v>19.7</c:v>
                </c:pt>
                <c:pt idx="68">
                  <c:v>17.8</c:v>
                </c:pt>
                <c:pt idx="69">
                  <c:v>18.3</c:v>
                </c:pt>
                <c:pt idx="70">
                  <c:v>18.600000000000001</c:v>
                </c:pt>
                <c:pt idx="71">
                  <c:v>19.3</c:v>
                </c:pt>
                <c:pt idx="72">
                  <c:v>20</c:v>
                </c:pt>
                <c:pt idx="73">
                  <c:v>21</c:v>
                </c:pt>
                <c:pt idx="74">
                  <c:v>20.7</c:v>
                </c:pt>
                <c:pt idx="75">
                  <c:v>20.7</c:v>
                </c:pt>
                <c:pt idx="76">
                  <c:v>21</c:v>
                </c:pt>
                <c:pt idx="77">
                  <c:v>20.9</c:v>
                </c:pt>
                <c:pt idx="78">
                  <c:v>20.7</c:v>
                </c:pt>
                <c:pt idx="79">
                  <c:v>21</c:v>
                </c:pt>
                <c:pt idx="80">
                  <c:v>19.100000000000001</c:v>
                </c:pt>
                <c:pt idx="81">
                  <c:v>21.2</c:v>
                </c:pt>
                <c:pt idx="82">
                  <c:v>22</c:v>
                </c:pt>
                <c:pt idx="83">
                  <c:v>21.8</c:v>
                </c:pt>
                <c:pt idx="84">
                  <c:v>23.1</c:v>
                </c:pt>
                <c:pt idx="85">
                  <c:v>21</c:v>
                </c:pt>
                <c:pt idx="86">
                  <c:v>20.3</c:v>
                </c:pt>
                <c:pt idx="87">
                  <c:v>19.399999999999999</c:v>
                </c:pt>
                <c:pt idx="88">
                  <c:v>19.899999999999999</c:v>
                </c:pt>
                <c:pt idx="89">
                  <c:v>19.7</c:v>
                </c:pt>
                <c:pt idx="90">
                  <c:v>19.399999999999999</c:v>
                </c:pt>
                <c:pt idx="91">
                  <c:v>19.7</c:v>
                </c:pt>
                <c:pt idx="92">
                  <c:v>20.5</c:v>
                </c:pt>
                <c:pt idx="93">
                  <c:v>21.3</c:v>
                </c:pt>
                <c:pt idx="94">
                  <c:v>22.2</c:v>
                </c:pt>
                <c:pt idx="95">
                  <c:v>23.1</c:v>
                </c:pt>
                <c:pt idx="96">
                  <c:v>21.6</c:v>
                </c:pt>
                <c:pt idx="97">
                  <c:v>21.3</c:v>
                </c:pt>
                <c:pt idx="98">
                  <c:v>21.3</c:v>
                </c:pt>
                <c:pt idx="99">
                  <c:v>23</c:v>
                </c:pt>
                <c:pt idx="100">
                  <c:v>21.7</c:v>
                </c:pt>
                <c:pt idx="101">
                  <c:v>22</c:v>
                </c:pt>
                <c:pt idx="102">
                  <c:v>22.2</c:v>
                </c:pt>
                <c:pt idx="103">
                  <c:v>21.7</c:v>
                </c:pt>
                <c:pt idx="104">
                  <c:v>21.8</c:v>
                </c:pt>
                <c:pt idx="105">
                  <c:v>21.3</c:v>
                </c:pt>
                <c:pt idx="106">
                  <c:v>21.6</c:v>
                </c:pt>
                <c:pt idx="107">
                  <c:v>22.3</c:v>
                </c:pt>
                <c:pt idx="108">
                  <c:v>22.1</c:v>
                </c:pt>
                <c:pt idx="109">
                  <c:v>19.899999999999999</c:v>
                </c:pt>
                <c:pt idx="110">
                  <c:v>21.4</c:v>
                </c:pt>
                <c:pt idx="111">
                  <c:v>21.7</c:v>
                </c:pt>
                <c:pt idx="112">
                  <c:v>20.399999999999999</c:v>
                </c:pt>
                <c:pt idx="113">
                  <c:v>20.3</c:v>
                </c:pt>
                <c:pt idx="114">
                  <c:v>19.8</c:v>
                </c:pt>
                <c:pt idx="115">
                  <c:v>22</c:v>
                </c:pt>
                <c:pt idx="116">
                  <c:v>22.2</c:v>
                </c:pt>
                <c:pt idx="117">
                  <c:v>21.7</c:v>
                </c:pt>
                <c:pt idx="118">
                  <c:v>22.4</c:v>
                </c:pt>
                <c:pt idx="119">
                  <c:v>24.2</c:v>
                </c:pt>
                <c:pt idx="120">
                  <c:v>23.6</c:v>
                </c:pt>
                <c:pt idx="121">
                  <c:v>23.9</c:v>
                </c:pt>
                <c:pt idx="122">
                  <c:v>25.1</c:v>
                </c:pt>
                <c:pt idx="123">
                  <c:v>23</c:v>
                </c:pt>
                <c:pt idx="124">
                  <c:v>23.5</c:v>
                </c:pt>
                <c:pt idx="125">
                  <c:v>23.5</c:v>
                </c:pt>
                <c:pt idx="126">
                  <c:v>18.8</c:v>
                </c:pt>
                <c:pt idx="127">
                  <c:v>22.8</c:v>
                </c:pt>
                <c:pt idx="128">
                  <c:v>23.6</c:v>
                </c:pt>
                <c:pt idx="129">
                  <c:v>21.6</c:v>
                </c:pt>
                <c:pt idx="130">
                  <c:v>20.7</c:v>
                </c:pt>
                <c:pt idx="131">
                  <c:v>21.3</c:v>
                </c:pt>
                <c:pt idx="132">
                  <c:v>21.1</c:v>
                </c:pt>
                <c:pt idx="133">
                  <c:v>21.9</c:v>
                </c:pt>
                <c:pt idx="134">
                  <c:v>23</c:v>
                </c:pt>
                <c:pt idx="135">
                  <c:v>23.7</c:v>
                </c:pt>
                <c:pt idx="136">
                  <c:v>23.6</c:v>
                </c:pt>
                <c:pt idx="137">
                  <c:v>22.6</c:v>
                </c:pt>
                <c:pt idx="138">
                  <c:v>22.9</c:v>
                </c:pt>
                <c:pt idx="139">
                  <c:v>23.7</c:v>
                </c:pt>
                <c:pt idx="140">
                  <c:v>24.4</c:v>
                </c:pt>
                <c:pt idx="141">
                  <c:v>24.7</c:v>
                </c:pt>
                <c:pt idx="142">
                  <c:v>23.3</c:v>
                </c:pt>
                <c:pt idx="143">
                  <c:v>23.1</c:v>
                </c:pt>
                <c:pt idx="144">
                  <c:v>23.6</c:v>
                </c:pt>
                <c:pt idx="145">
                  <c:v>21.3</c:v>
                </c:pt>
                <c:pt idx="146">
                  <c:v>22</c:v>
                </c:pt>
                <c:pt idx="147">
                  <c:v>21.1</c:v>
                </c:pt>
                <c:pt idx="148">
                  <c:v>20.6</c:v>
                </c:pt>
                <c:pt idx="149">
                  <c:v>21</c:v>
                </c:pt>
                <c:pt idx="150">
                  <c:v>20.2</c:v>
                </c:pt>
                <c:pt idx="151">
                  <c:v>21.1</c:v>
                </c:pt>
                <c:pt idx="152">
                  <c:v>21.7</c:v>
                </c:pt>
                <c:pt idx="153">
                  <c:v>23</c:v>
                </c:pt>
                <c:pt idx="154">
                  <c:v>20.5</c:v>
                </c:pt>
                <c:pt idx="155">
                  <c:v>22</c:v>
                </c:pt>
                <c:pt idx="156">
                  <c:v>20.7</c:v>
                </c:pt>
                <c:pt idx="157">
                  <c:v>22.2</c:v>
                </c:pt>
                <c:pt idx="158">
                  <c:v>23</c:v>
                </c:pt>
                <c:pt idx="159">
                  <c:v>21</c:v>
                </c:pt>
                <c:pt idx="160">
                  <c:v>24.6</c:v>
                </c:pt>
                <c:pt idx="161">
                  <c:v>29.6</c:v>
                </c:pt>
                <c:pt idx="162">
                  <c:v>23.3</c:v>
                </c:pt>
                <c:pt idx="163">
                  <c:v>21.3</c:v>
                </c:pt>
                <c:pt idx="164">
                  <c:v>21.4</c:v>
                </c:pt>
                <c:pt idx="165">
                  <c:v>21.9</c:v>
                </c:pt>
                <c:pt idx="166">
                  <c:v>21.6</c:v>
                </c:pt>
                <c:pt idx="167">
                  <c:v>24</c:v>
                </c:pt>
                <c:pt idx="168">
                  <c:v>28.2</c:v>
                </c:pt>
                <c:pt idx="169">
                  <c:v>25.2</c:v>
                </c:pt>
                <c:pt idx="170">
                  <c:v>29.1</c:v>
                </c:pt>
                <c:pt idx="171">
                  <c:v>29.6</c:v>
                </c:pt>
                <c:pt idx="172">
                  <c:v>29.3</c:v>
                </c:pt>
                <c:pt idx="173">
                  <c:v>30</c:v>
                </c:pt>
                <c:pt idx="174">
                  <c:v>30.1</c:v>
                </c:pt>
                <c:pt idx="175">
                  <c:v>29.2</c:v>
                </c:pt>
                <c:pt idx="176">
                  <c:v>29.2</c:v>
                </c:pt>
                <c:pt idx="177">
                  <c:v>29.2</c:v>
                </c:pt>
                <c:pt idx="178">
                  <c:v>24.7</c:v>
                </c:pt>
                <c:pt idx="179">
                  <c:v>27.4</c:v>
                </c:pt>
                <c:pt idx="180">
                  <c:v>18.600000000000001</c:v>
                </c:pt>
                <c:pt idx="181">
                  <c:v>16.3</c:v>
                </c:pt>
                <c:pt idx="182">
                  <c:v>15.8</c:v>
                </c:pt>
                <c:pt idx="183">
                  <c:v>16.100000000000001</c:v>
                </c:pt>
                <c:pt idx="184">
                  <c:v>16</c:v>
                </c:pt>
                <c:pt idx="185">
                  <c:v>14.9</c:v>
                </c:pt>
                <c:pt idx="186">
                  <c:v>13.5</c:v>
                </c:pt>
                <c:pt idx="187">
                  <c:v>12.6</c:v>
                </c:pt>
                <c:pt idx="188">
                  <c:v>12.9</c:v>
                </c:pt>
                <c:pt idx="189">
                  <c:v>12.7</c:v>
                </c:pt>
                <c:pt idx="190">
                  <c:v>12.8</c:v>
                </c:pt>
                <c:pt idx="191">
                  <c:v>12</c:v>
                </c:pt>
                <c:pt idx="192">
                  <c:v>11.8</c:v>
                </c:pt>
                <c:pt idx="193">
                  <c:v>11.8</c:v>
                </c:pt>
                <c:pt idx="194">
                  <c:v>11.6</c:v>
                </c:pt>
                <c:pt idx="195">
                  <c:v>13.8</c:v>
                </c:pt>
                <c:pt idx="196">
                  <c:v>12.3</c:v>
                </c:pt>
                <c:pt idx="197">
                  <c:v>12.7</c:v>
                </c:pt>
                <c:pt idx="198">
                  <c:v>12.6</c:v>
                </c:pt>
                <c:pt idx="199">
                  <c:v>14.3</c:v>
                </c:pt>
                <c:pt idx="200">
                  <c:v>12.5</c:v>
                </c:pt>
                <c:pt idx="201">
                  <c:v>13.3</c:v>
                </c:pt>
                <c:pt idx="202">
                  <c:v>11.6</c:v>
                </c:pt>
                <c:pt idx="203">
                  <c:v>13.1</c:v>
                </c:pt>
                <c:pt idx="204">
                  <c:v>10.8</c:v>
                </c:pt>
                <c:pt idx="205">
                  <c:v>11.1</c:v>
                </c:pt>
                <c:pt idx="206">
                  <c:v>11.1</c:v>
                </c:pt>
                <c:pt idx="207">
                  <c:v>12.1</c:v>
                </c:pt>
                <c:pt idx="208">
                  <c:v>12.4</c:v>
                </c:pt>
                <c:pt idx="209">
                  <c:v>11.9</c:v>
                </c:pt>
                <c:pt idx="210">
                  <c:v>13.1</c:v>
                </c:pt>
                <c:pt idx="211">
                  <c:v>12</c:v>
                </c:pt>
                <c:pt idx="212">
                  <c:v>11</c:v>
                </c:pt>
                <c:pt idx="213">
                  <c:v>10.7</c:v>
                </c:pt>
                <c:pt idx="214">
                  <c:v>11.3</c:v>
                </c:pt>
                <c:pt idx="215">
                  <c:v>14.1</c:v>
                </c:pt>
                <c:pt idx="216">
                  <c:v>11.8</c:v>
                </c:pt>
                <c:pt idx="217">
                  <c:v>11.5</c:v>
                </c:pt>
                <c:pt idx="218">
                  <c:v>11.1</c:v>
                </c:pt>
                <c:pt idx="219">
                  <c:v>11.1</c:v>
                </c:pt>
                <c:pt idx="220">
                  <c:v>11.8</c:v>
                </c:pt>
                <c:pt idx="221">
                  <c:v>12.5</c:v>
                </c:pt>
                <c:pt idx="222">
                  <c:v>14</c:v>
                </c:pt>
                <c:pt idx="223">
                  <c:v>12.2</c:v>
                </c:pt>
                <c:pt idx="224">
                  <c:v>13.1</c:v>
                </c:pt>
                <c:pt idx="225">
                  <c:v>11.9</c:v>
                </c:pt>
                <c:pt idx="226">
                  <c:v>11.5</c:v>
                </c:pt>
                <c:pt idx="227">
                  <c:v>12.4</c:v>
                </c:pt>
                <c:pt idx="228">
                  <c:v>11.9</c:v>
                </c:pt>
                <c:pt idx="229">
                  <c:v>14.2</c:v>
                </c:pt>
                <c:pt idx="230">
                  <c:v>13.4</c:v>
                </c:pt>
                <c:pt idx="231">
                  <c:v>13</c:v>
                </c:pt>
                <c:pt idx="232">
                  <c:v>11.9</c:v>
                </c:pt>
                <c:pt idx="233">
                  <c:v>11.3</c:v>
                </c:pt>
                <c:pt idx="234">
                  <c:v>11.2</c:v>
                </c:pt>
                <c:pt idx="235">
                  <c:v>12.5</c:v>
                </c:pt>
                <c:pt idx="236">
                  <c:v>12.3</c:v>
                </c:pt>
                <c:pt idx="237">
                  <c:v>12.5</c:v>
                </c:pt>
                <c:pt idx="238">
                  <c:v>12.1</c:v>
                </c:pt>
                <c:pt idx="239">
                  <c:v>12.4</c:v>
                </c:pt>
                <c:pt idx="240">
                  <c:v>11.9</c:v>
                </c:pt>
                <c:pt idx="241">
                  <c:v>11.6</c:v>
                </c:pt>
                <c:pt idx="242">
                  <c:v>12.2</c:v>
                </c:pt>
                <c:pt idx="243">
                  <c:v>12.5</c:v>
                </c:pt>
                <c:pt idx="244">
                  <c:v>12.6</c:v>
                </c:pt>
                <c:pt idx="245">
                  <c:v>13.2</c:v>
                </c:pt>
                <c:pt idx="246">
                  <c:v>13.4</c:v>
                </c:pt>
                <c:pt idx="247">
                  <c:v>11.8</c:v>
                </c:pt>
                <c:pt idx="248">
                  <c:v>11.7</c:v>
                </c:pt>
                <c:pt idx="249">
                  <c:v>12.2</c:v>
                </c:pt>
                <c:pt idx="250">
                  <c:v>12.8</c:v>
                </c:pt>
                <c:pt idx="251">
                  <c:v>13.5</c:v>
                </c:pt>
                <c:pt idx="252">
                  <c:v>14.6</c:v>
                </c:pt>
                <c:pt idx="253">
                  <c:v>13</c:v>
                </c:pt>
                <c:pt idx="254">
                  <c:v>13</c:v>
                </c:pt>
                <c:pt idx="255">
                  <c:v>13.1</c:v>
                </c:pt>
                <c:pt idx="256">
                  <c:v>13.1</c:v>
                </c:pt>
                <c:pt idx="257">
                  <c:v>12.6</c:v>
                </c:pt>
                <c:pt idx="258">
                  <c:v>11.8</c:v>
                </c:pt>
                <c:pt idx="259">
                  <c:v>11.6</c:v>
                </c:pt>
                <c:pt idx="260">
                  <c:v>12.9</c:v>
                </c:pt>
                <c:pt idx="261">
                  <c:v>13.1</c:v>
                </c:pt>
                <c:pt idx="262">
                  <c:v>14.7</c:v>
                </c:pt>
                <c:pt idx="263">
                  <c:v>12.3</c:v>
                </c:pt>
                <c:pt idx="264">
                  <c:v>12.4</c:v>
                </c:pt>
                <c:pt idx="265">
                  <c:v>12.3</c:v>
                </c:pt>
                <c:pt idx="266">
                  <c:v>12.1</c:v>
                </c:pt>
                <c:pt idx="267">
                  <c:v>12.6</c:v>
                </c:pt>
                <c:pt idx="268">
                  <c:v>12.8</c:v>
                </c:pt>
                <c:pt idx="269">
                  <c:v>13.3</c:v>
                </c:pt>
                <c:pt idx="270">
                  <c:v>13.2</c:v>
                </c:pt>
                <c:pt idx="271">
                  <c:v>12.4</c:v>
                </c:pt>
                <c:pt idx="272">
                  <c:v>12.8</c:v>
                </c:pt>
                <c:pt idx="273">
                  <c:v>12.1</c:v>
                </c:pt>
                <c:pt idx="274">
                  <c:v>12.8</c:v>
                </c:pt>
                <c:pt idx="275">
                  <c:v>12.5</c:v>
                </c:pt>
                <c:pt idx="276">
                  <c:v>12.6</c:v>
                </c:pt>
                <c:pt idx="277">
                  <c:v>13.3</c:v>
                </c:pt>
                <c:pt idx="278">
                  <c:v>13.7</c:v>
                </c:pt>
                <c:pt idx="279">
                  <c:v>15.1</c:v>
                </c:pt>
                <c:pt idx="280">
                  <c:v>17.7</c:v>
                </c:pt>
                <c:pt idx="281">
                  <c:v>12.1</c:v>
                </c:pt>
                <c:pt idx="282">
                  <c:v>14.5</c:v>
                </c:pt>
                <c:pt idx="283">
                  <c:v>12.6</c:v>
                </c:pt>
                <c:pt idx="284">
                  <c:v>14.5</c:v>
                </c:pt>
                <c:pt idx="285">
                  <c:v>19.100000000000001</c:v>
                </c:pt>
                <c:pt idx="286">
                  <c:v>19.100000000000001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1D-9246-A0B5-B1D0A11BE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upDownBars>
          <c:gapWidth val="150"/>
          <c:upBars>
            <c:spPr>
              <a:solidFill>
                <a:srgbClr val="FF0000"/>
              </a:solidFill>
            </c:spPr>
          </c:upBars>
          <c:downBars/>
        </c:upDownBars>
        <c:axId val="247851264"/>
        <c:axId val="247865344"/>
      </c:stockChart>
      <c:catAx>
        <c:axId val="247851264"/>
        <c:scaling>
          <c:orientation val="minMax"/>
        </c:scaling>
        <c:delete val="0"/>
        <c:axPos val="b"/>
        <c:numFmt formatCode="m/d/yy\ h:mm" sourceLinked="1"/>
        <c:majorTickMark val="out"/>
        <c:minorTickMark val="none"/>
        <c:tickLblPos val="nextTo"/>
        <c:crossAx val="247865344"/>
        <c:crosses val="autoZero"/>
        <c:auto val="0"/>
        <c:lblAlgn val="ctr"/>
        <c:lblOffset val="100"/>
        <c:tickLblSkip val="12"/>
        <c:tickMarkSkip val="12"/>
        <c:noMultiLvlLbl val="0"/>
      </c:catAx>
      <c:valAx>
        <c:axId val="247865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8512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66</xdr:col>
      <xdr:colOff>85725</xdr:colOff>
      <xdr:row>7</xdr:row>
      <xdr:rowOff>85725</xdr:rowOff>
    </xdr:from>
    <xdr:to>
      <xdr:col>78</xdr:col>
      <xdr:colOff>276226</xdr:colOff>
      <xdr:row>30</xdr:row>
      <xdr:rowOff>152401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66</xdr:col>
      <xdr:colOff>9524</xdr:colOff>
      <xdr:row>31</xdr:row>
      <xdr:rowOff>142875</xdr:rowOff>
    </xdr:from>
    <xdr:to>
      <xdr:col>78</xdr:col>
      <xdr:colOff>266700</xdr:colOff>
      <xdr:row>53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123826</xdr:colOff>
      <xdr:row>2</xdr:row>
      <xdr:rowOff>180980</xdr:rowOff>
    </xdr:from>
    <xdr:to>
      <xdr:col>71</xdr:col>
      <xdr:colOff>25400</xdr:colOff>
      <xdr:row>29</xdr:row>
      <xdr:rowOff>28575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104774</xdr:colOff>
      <xdr:row>30</xdr:row>
      <xdr:rowOff>107951</xdr:rowOff>
    </xdr:from>
    <xdr:to>
      <xdr:col>71</xdr:col>
      <xdr:colOff>38100</xdr:colOff>
      <xdr:row>57</xdr:row>
      <xdr:rowOff>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0.76463</cdr:x>
      <cdr:y>0.6424</cdr:y>
    </cdr:from>
    <cdr:to>
      <cdr:x>0.9863</cdr:x>
      <cdr:y>0.72591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848351" y="2857501"/>
          <a:ext cx="1695450" cy="3714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beats per minute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0.40811</cdr:x>
      <cdr:y>0.10926</cdr:y>
    </cdr:from>
    <cdr:to>
      <cdr:x>0.65281</cdr:x>
      <cdr:y>0.21162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46938" y="394426"/>
          <a:ext cx="2006791" cy="3695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breaths per minute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219"/>
  <sheetViews>
    <sheetView tabSelected="1" topLeftCell="AT9" workbookViewId="0">
      <selection activeCell="X26" sqref="X26"/>
    </sheetView>
  </sheetViews>
  <sheetFormatPr baseColWidth="10" defaultColWidth="8.83203125" defaultRowHeight="15" x14ac:dyDescent="0.2"/>
  <cols>
    <col min="1" max="1" width="10.6640625" bestFit="1" customWidth="1"/>
    <col min="2" max="2" width="8.1640625" bestFit="1" customWidth="1"/>
    <col min="3" max="3" width="15.83203125" style="6" bestFit="1" customWidth="1"/>
    <col min="4" max="4" width="7.5" bestFit="1" customWidth="1"/>
    <col min="5" max="5" width="8.5" bestFit="1" customWidth="1"/>
    <col min="6" max="6" width="7.83203125" bestFit="1" customWidth="1"/>
    <col min="7" max="7" width="1.5" bestFit="1" customWidth="1"/>
    <col min="8" max="8" width="6.83203125" bestFit="1" customWidth="1"/>
    <col min="9" max="9" width="8" bestFit="1" customWidth="1"/>
    <col min="10" max="10" width="7.6640625" bestFit="1" customWidth="1"/>
    <col min="11" max="11" width="1.5" bestFit="1" customWidth="1"/>
    <col min="12" max="12" width="4" bestFit="1" customWidth="1"/>
    <col min="13" max="14" width="4" customWidth="1"/>
    <col min="15" max="15" width="14.83203125" style="6" bestFit="1" customWidth="1"/>
    <col min="16" max="16" width="4" customWidth="1"/>
    <col min="17" max="17" width="4.83203125" bestFit="1" customWidth="1"/>
    <col min="18" max="18" width="4.33203125" bestFit="1" customWidth="1"/>
    <col min="19" max="19" width="5" bestFit="1" customWidth="1"/>
    <col min="20" max="21" width="4" customWidth="1"/>
    <col min="22" max="22" width="14.83203125" bestFit="1" customWidth="1"/>
    <col min="23" max="23" width="4" customWidth="1"/>
    <col min="24" max="25" width="5.1640625" bestFit="1" customWidth="1"/>
    <col min="26" max="26" width="5" bestFit="1" customWidth="1"/>
    <col min="27" max="46" width="5" customWidth="1"/>
    <col min="47" max="50" width="4" customWidth="1"/>
    <col min="51" max="51" width="12.1640625" bestFit="1" customWidth="1"/>
    <col min="52" max="53" width="5.83203125" bestFit="1" customWidth="1"/>
    <col min="54" max="54" width="7.6640625" bestFit="1" customWidth="1"/>
    <col min="55" max="55" width="4.5" bestFit="1" customWidth="1"/>
    <col min="56" max="56" width="6" bestFit="1" customWidth="1"/>
    <col min="57" max="57" width="5" bestFit="1" customWidth="1"/>
    <col min="58" max="58" width="8.5" bestFit="1" customWidth="1"/>
    <col min="59" max="59" width="2" bestFit="1" customWidth="1"/>
    <col min="60" max="60" width="5" customWidth="1"/>
    <col min="61" max="61" width="7.6640625" bestFit="1" customWidth="1"/>
    <col min="62" max="62" width="4.5" bestFit="1" customWidth="1"/>
    <col min="63" max="63" width="5" bestFit="1" customWidth="1"/>
    <col min="64" max="64" width="4" bestFit="1" customWidth="1"/>
    <col min="65" max="65" width="8.5" bestFit="1" customWidth="1"/>
    <col min="67" max="67" width="13.83203125" bestFit="1" customWidth="1"/>
    <col min="70" max="70" width="13.83203125" bestFit="1" customWidth="1"/>
  </cols>
  <sheetData>
    <row r="1" spans="1:70" x14ac:dyDescent="0.2">
      <c r="A1" t="s">
        <v>0</v>
      </c>
      <c r="B1" t="s">
        <v>1</v>
      </c>
      <c r="C1" s="6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17</v>
      </c>
      <c r="O1" s="6" t="s">
        <v>190</v>
      </c>
      <c r="P1" t="s">
        <v>12</v>
      </c>
      <c r="Q1" t="s">
        <v>10</v>
      </c>
      <c r="R1" t="s">
        <v>11</v>
      </c>
      <c r="S1" t="s">
        <v>13</v>
      </c>
      <c r="V1" t="s">
        <v>191</v>
      </c>
      <c r="W1" t="s">
        <v>12</v>
      </c>
      <c r="X1" t="s">
        <v>14</v>
      </c>
      <c r="Y1" t="s">
        <v>15</v>
      </c>
      <c r="Z1" t="s">
        <v>13</v>
      </c>
      <c r="BB1" t="s">
        <v>16</v>
      </c>
      <c r="BC1" t="s">
        <v>12</v>
      </c>
      <c r="BD1" t="s">
        <v>10</v>
      </c>
      <c r="BE1" t="s">
        <v>11</v>
      </c>
      <c r="BF1" t="s">
        <v>13</v>
      </c>
      <c r="BJ1" t="s">
        <v>12</v>
      </c>
      <c r="BK1" t="s">
        <v>14</v>
      </c>
      <c r="BL1" t="s">
        <v>15</v>
      </c>
      <c r="BM1" t="s">
        <v>13</v>
      </c>
    </row>
    <row r="2" spans="1:70" x14ac:dyDescent="0.2">
      <c r="A2" s="1"/>
      <c r="B2" s="2"/>
      <c r="BC2" s="10"/>
    </row>
    <row r="3" spans="1:70" ht="16" x14ac:dyDescent="0.2">
      <c r="A3" s="1">
        <v>45413</v>
      </c>
      <c r="B3" s="2">
        <v>0</v>
      </c>
      <c r="C3" s="6">
        <v>45413</v>
      </c>
      <c r="D3">
        <v>60.8</v>
      </c>
      <c r="E3">
        <v>73.900000000000006</v>
      </c>
      <c r="F3">
        <v>54.7</v>
      </c>
      <c r="G3" t="s">
        <v>6</v>
      </c>
      <c r="H3">
        <v>21.8</v>
      </c>
      <c r="I3">
        <v>29</v>
      </c>
      <c r="J3">
        <v>13.7</v>
      </c>
      <c r="K3" t="s">
        <v>6</v>
      </c>
      <c r="L3">
        <v>184</v>
      </c>
      <c r="M3" t="s">
        <v>6</v>
      </c>
      <c r="O3" s="6">
        <f t="shared" ref="O3:O63" si="0">C3</f>
        <v>45413</v>
      </c>
      <c r="P3">
        <f t="shared" ref="P3:P63" si="1">D3</f>
        <v>60.8</v>
      </c>
      <c r="Q3">
        <f t="shared" ref="Q3:Q63" si="2">E3</f>
        <v>73.900000000000006</v>
      </c>
      <c r="R3">
        <f t="shared" ref="R3:R63" si="3">F3</f>
        <v>54.7</v>
      </c>
      <c r="S3">
        <f t="shared" ref="S3:S63" si="4">P3+1</f>
        <v>61.8</v>
      </c>
      <c r="V3" s="6">
        <f t="shared" ref="V3:V63" si="5">O3</f>
        <v>45413</v>
      </c>
      <c r="W3">
        <f t="shared" ref="W3:W63" si="6">H3</f>
        <v>21.8</v>
      </c>
      <c r="X3">
        <f t="shared" ref="X3:X63" si="7">I3</f>
        <v>29</v>
      </c>
      <c r="Y3">
        <f t="shared" ref="Y3:Y63" si="8">J3</f>
        <v>13.7</v>
      </c>
      <c r="Z3">
        <f t="shared" ref="Z3:Z63" si="9">W3+1</f>
        <v>22.8</v>
      </c>
      <c r="AY3" t="s">
        <v>18</v>
      </c>
      <c r="AZ3">
        <f ca="1">MIN(ROW(INDIRECT(AY3)))</f>
        <v>3</v>
      </c>
      <c r="BA3">
        <f ca="1">MIN(ROW(INDIRECT(AY3))) + ROWS(INDIRECT(AY3)) -1</f>
        <v>17</v>
      </c>
      <c r="BB3" s="11">
        <v>45302</v>
      </c>
      <c r="BC3" s="10">
        <f ca="1">IFERROR(AVERAGE(INDIRECT("D" &amp; $AZ3):INDIRECT("D" &amp; $BA3)),"")</f>
        <v>63.46</v>
      </c>
      <c r="BD3">
        <f ca="1">IFERROR(MAX(INDIRECT("E" &amp; $AZ3):INDIRECT("E" &amp; $BA3)),"")</f>
        <v>74.7</v>
      </c>
      <c r="BE3">
        <f ca="1">IFERROR(MIN(INDIRECT("F" &amp; $AZ3):INDIRECT("F" &amp; $BA3)),"")</f>
        <v>50.3</v>
      </c>
      <c r="BF3" s="10">
        <f ca="1">BC3+1</f>
        <v>64.460000000000008</v>
      </c>
      <c r="BG3" s="10"/>
      <c r="BH3" s="10"/>
      <c r="BI3" s="11">
        <v>45302</v>
      </c>
      <c r="BJ3" s="10">
        <f ca="1">IFERROR(AVERAGE(INDIRECT("H" &amp; $AZ3):INDIRECT("H" &amp; $BA3)),"")</f>
        <v>19.706666666666663</v>
      </c>
      <c r="BK3">
        <f ca="1">IFERROR(MAX(INDIRECT("I" &amp; $AZ3):INDIRECT("I" &amp; $BA3)),"")</f>
        <v>29.4</v>
      </c>
      <c r="BL3">
        <f ca="1">IFERROR(MIN(INDIRECT("J" &amp; $AZ3):INDIRECT("J" &amp; $BA3)),"")</f>
        <v>12.1</v>
      </c>
      <c r="BM3" s="10">
        <f ca="1">BJ3+0.3</f>
        <v>20.006666666666664</v>
      </c>
      <c r="BO3" s="6">
        <f>BB3+9/24</f>
        <v>45302.375</v>
      </c>
      <c r="BQ3" s="12" t="e">
        <f ca="1">CELL("address",INDEX(C2:C2,MATCH(BO3,C2:C2,1)))</f>
        <v>#N/A</v>
      </c>
    </row>
    <row r="4" spans="1:70" ht="16" x14ac:dyDescent="0.2">
      <c r="A4" s="1">
        <v>45413</v>
      </c>
      <c r="B4" s="2">
        <v>4.1666666666666664E-2</v>
      </c>
      <c r="C4" s="6">
        <v>45413.041666666664</v>
      </c>
      <c r="D4">
        <v>65.2</v>
      </c>
      <c r="E4">
        <v>72.7</v>
      </c>
      <c r="F4">
        <v>59.7</v>
      </c>
      <c r="G4" t="s">
        <v>6</v>
      </c>
      <c r="H4">
        <v>22.1</v>
      </c>
      <c r="I4">
        <v>26.3</v>
      </c>
      <c r="J4">
        <v>18.399999999999999</v>
      </c>
      <c r="K4" t="s">
        <v>6</v>
      </c>
      <c r="L4">
        <v>217</v>
      </c>
      <c r="M4" t="s">
        <v>6</v>
      </c>
      <c r="O4" s="6">
        <f t="shared" si="0"/>
        <v>45413.041666666664</v>
      </c>
      <c r="P4">
        <f t="shared" si="1"/>
        <v>65.2</v>
      </c>
      <c r="Q4">
        <f t="shared" si="2"/>
        <v>72.7</v>
      </c>
      <c r="R4">
        <f t="shared" si="3"/>
        <v>59.7</v>
      </c>
      <c r="S4">
        <f t="shared" si="4"/>
        <v>66.2</v>
      </c>
      <c r="V4" s="6">
        <f t="shared" si="5"/>
        <v>45413.041666666664</v>
      </c>
      <c r="W4">
        <f t="shared" si="6"/>
        <v>22.1</v>
      </c>
      <c r="X4">
        <f t="shared" si="7"/>
        <v>26.3</v>
      </c>
      <c r="Y4">
        <f t="shared" si="8"/>
        <v>18.399999999999999</v>
      </c>
      <c r="Z4">
        <f t="shared" si="9"/>
        <v>23.1</v>
      </c>
      <c r="AY4" t="s">
        <v>19</v>
      </c>
      <c r="AZ4">
        <f t="shared" ref="AZ4:AZ37" ca="1" si="10">MIN(ROW(INDIRECT(AY4)))</f>
        <v>18</v>
      </c>
      <c r="BA4">
        <f t="shared" ref="BA4:BA37" ca="1" si="11">MIN(ROW(INDIRECT(AY4))) + ROWS(INDIRECT(AY4)) -1</f>
        <v>36</v>
      </c>
      <c r="BB4" s="11">
        <f>BB3+1</f>
        <v>45303</v>
      </c>
      <c r="BC4" s="10">
        <f ca="1">IFERROR(AVERAGE(INDIRECT("D" &amp; $AZ4):INDIRECT("D" &amp; $BA4)),"")</f>
        <v>62.163157894736834</v>
      </c>
      <c r="BD4">
        <f ca="1">IFERROR(MAX(INDIRECT("E" &amp; $AZ4):INDIRECT("E" &amp; $BA4)),"")</f>
        <v>78</v>
      </c>
      <c r="BE4">
        <f ca="1">IFERROR(MIN(INDIRECT("F" &amp; $AZ4):INDIRECT("F" &amp; $BA4)),"")</f>
        <v>43.5</v>
      </c>
      <c r="BF4" s="10">
        <f t="shared" ref="BF4:BF37" ca="1" si="12">BC4+1</f>
        <v>63.163157894736834</v>
      </c>
      <c r="BG4" s="10"/>
      <c r="BH4" s="10"/>
      <c r="BI4" s="11">
        <f>BI3+1</f>
        <v>45303</v>
      </c>
      <c r="BJ4" s="10">
        <f ca="1">IFERROR(AVERAGE(INDIRECT("H" &amp; $AZ4):INDIRECT("H" &amp; $BA4)),"")</f>
        <v>19.994736842105269</v>
      </c>
      <c r="BK4">
        <f ca="1">IFERROR(MAX(INDIRECT("I" &amp; $AZ4):INDIRECT("I" &amp; $BA4)),"")</f>
        <v>27.5</v>
      </c>
      <c r="BL4">
        <f ca="1">IFERROR(MIN(INDIRECT("J" &amp; $AZ4):INDIRECT("J" &amp; $BA4)),"")</f>
        <v>12.7</v>
      </c>
      <c r="BM4" s="10">
        <f t="shared" ref="BM4:BM37" ca="1" si="13">BJ4+0.3</f>
        <v>20.294736842105269</v>
      </c>
      <c r="BO4" s="6">
        <f t="shared" ref="BO4:BO7" si="14">BB4+9/24</f>
        <v>45303.375</v>
      </c>
      <c r="BQ4" s="12" t="e">
        <f ca="1">CELL("address",INDEX(C:C,MATCH(BO4,C:C,1)))</f>
        <v>#N/A</v>
      </c>
      <c r="BR4" s="6" t="e">
        <f ca="1">INDIRECT(BQ4)</f>
        <v>#N/A</v>
      </c>
    </row>
    <row r="5" spans="1:70" ht="16" x14ac:dyDescent="0.2">
      <c r="A5" s="1">
        <v>45413</v>
      </c>
      <c r="B5" s="2">
        <v>8.3333333333333329E-2</v>
      </c>
      <c r="C5" s="6">
        <v>45413.083333333336</v>
      </c>
      <c r="D5">
        <v>66.900000000000006</v>
      </c>
      <c r="E5">
        <v>71.3</v>
      </c>
      <c r="F5">
        <v>61.2</v>
      </c>
      <c r="G5" t="s">
        <v>6</v>
      </c>
      <c r="H5">
        <v>21.1</v>
      </c>
      <c r="I5">
        <v>27.9</v>
      </c>
      <c r="J5">
        <v>15.7</v>
      </c>
      <c r="K5" t="s">
        <v>6</v>
      </c>
      <c r="L5">
        <v>209</v>
      </c>
      <c r="M5" t="s">
        <v>6</v>
      </c>
      <c r="O5" s="6">
        <f t="shared" si="0"/>
        <v>45413.083333333336</v>
      </c>
      <c r="P5">
        <f t="shared" si="1"/>
        <v>66.900000000000006</v>
      </c>
      <c r="Q5">
        <f t="shared" si="2"/>
        <v>71.3</v>
      </c>
      <c r="R5">
        <f t="shared" si="3"/>
        <v>61.2</v>
      </c>
      <c r="S5">
        <f t="shared" si="4"/>
        <v>67.900000000000006</v>
      </c>
      <c r="V5" s="6">
        <f t="shared" si="5"/>
        <v>45413.083333333336</v>
      </c>
      <c r="W5">
        <f t="shared" si="6"/>
        <v>21.1</v>
      </c>
      <c r="X5">
        <f t="shared" si="7"/>
        <v>27.9</v>
      </c>
      <c r="Y5">
        <f t="shared" si="8"/>
        <v>15.7</v>
      </c>
      <c r="Z5">
        <f t="shared" si="9"/>
        <v>22.1</v>
      </c>
      <c r="AY5" t="s">
        <v>20</v>
      </c>
      <c r="AZ5">
        <f t="shared" ca="1" si="10"/>
        <v>37</v>
      </c>
      <c r="BA5">
        <f t="shared" ca="1" si="11"/>
        <v>60</v>
      </c>
      <c r="BB5" s="11">
        <f t="shared" ref="BB5:BB69" si="15">BB4+1</f>
        <v>45304</v>
      </c>
      <c r="BC5" s="10">
        <f ca="1">IFERROR(AVERAGE(INDIRECT("D" &amp; $AZ5):INDIRECT("D" &amp; $BA5)),"")</f>
        <v>62.958333333333343</v>
      </c>
      <c r="BD5">
        <f ca="1">IFERROR(MAX(INDIRECT("E" &amp; $AZ5):INDIRECT("E" &amp; $BA5)),"")</f>
        <v>79.8</v>
      </c>
      <c r="BE5">
        <f ca="1">IFERROR(MIN(INDIRECT("F" &amp; $AZ5):INDIRECT("F" &amp; $BA5)),"")</f>
        <v>47.5</v>
      </c>
      <c r="BF5" s="10">
        <f t="shared" ca="1" si="12"/>
        <v>63.958333333333343</v>
      </c>
      <c r="BG5" s="10"/>
      <c r="BH5" s="10"/>
      <c r="BI5" s="11">
        <f t="shared" ref="BI5:BI69" si="16">BI4+1</f>
        <v>45304</v>
      </c>
      <c r="BJ5" s="10">
        <f ca="1">IFERROR(AVERAGE(INDIRECT("H" &amp; $AZ5):INDIRECT("H" &amp; $BA5)),"")</f>
        <v>19.991666666666667</v>
      </c>
      <c r="BK5">
        <f ca="1">IFERROR(MAX(INDIRECT("I" &amp; $AZ5):INDIRECT("I" &amp; $BA5)),"")</f>
        <v>33.299999999999997</v>
      </c>
      <c r="BL5">
        <f ca="1">IFERROR(MIN(INDIRECT("J" &amp; $AZ5):INDIRECT("J" &amp; $BA5)),"")</f>
        <v>12.6</v>
      </c>
      <c r="BM5" s="10">
        <f t="shared" ca="1" si="13"/>
        <v>20.291666666666668</v>
      </c>
      <c r="BO5" s="6">
        <f t="shared" si="14"/>
        <v>45304.375</v>
      </c>
      <c r="BQ5" s="12" t="e">
        <f ca="1">CELL("address",INDEX(C:C,MATCH(BO5,C:C,1)))</f>
        <v>#N/A</v>
      </c>
      <c r="BR5" s="6" t="e">
        <f t="shared" ref="BR5:BR7" ca="1" si="17">INDIRECT(BQ5)</f>
        <v>#N/A</v>
      </c>
    </row>
    <row r="6" spans="1:70" ht="16" x14ac:dyDescent="0.2">
      <c r="A6" s="1">
        <v>45413</v>
      </c>
      <c r="B6" s="2">
        <v>0.125</v>
      </c>
      <c r="C6" s="6">
        <v>45413.125</v>
      </c>
      <c r="D6">
        <v>67.099999999999994</v>
      </c>
      <c r="E6">
        <v>72.099999999999994</v>
      </c>
      <c r="F6">
        <v>63.1</v>
      </c>
      <c r="G6" t="s">
        <v>6</v>
      </c>
      <c r="H6">
        <v>22.5</v>
      </c>
      <c r="I6">
        <v>26.6</v>
      </c>
      <c r="J6">
        <v>18.5</v>
      </c>
      <c r="K6" t="s">
        <v>6</v>
      </c>
      <c r="L6">
        <v>168</v>
      </c>
      <c r="M6" t="s">
        <v>6</v>
      </c>
      <c r="O6" s="6">
        <f t="shared" si="0"/>
        <v>45413.125</v>
      </c>
      <c r="P6">
        <f t="shared" si="1"/>
        <v>67.099999999999994</v>
      </c>
      <c r="Q6">
        <f t="shared" si="2"/>
        <v>72.099999999999994</v>
      </c>
      <c r="R6">
        <f t="shared" si="3"/>
        <v>63.1</v>
      </c>
      <c r="S6">
        <f t="shared" si="4"/>
        <v>68.099999999999994</v>
      </c>
      <c r="V6" s="6">
        <f t="shared" si="5"/>
        <v>45413.125</v>
      </c>
      <c r="W6">
        <f t="shared" si="6"/>
        <v>22.5</v>
      </c>
      <c r="X6">
        <f t="shared" si="7"/>
        <v>26.6</v>
      </c>
      <c r="Y6">
        <f t="shared" si="8"/>
        <v>18.5</v>
      </c>
      <c r="Z6">
        <f t="shared" si="9"/>
        <v>23.5</v>
      </c>
      <c r="AY6" t="s">
        <v>21</v>
      </c>
      <c r="AZ6">
        <f t="shared" ca="1" si="10"/>
        <v>61</v>
      </c>
      <c r="BA6">
        <f t="shared" ca="1" si="11"/>
        <v>80</v>
      </c>
      <c r="BB6" s="11">
        <f t="shared" si="15"/>
        <v>45305</v>
      </c>
      <c r="BC6" s="10">
        <f ca="1">IFERROR(AVERAGE(INDIRECT("D" &amp; $AZ6):INDIRECT("D" &amp; $BA6)),"")</f>
        <v>59.864999999999995</v>
      </c>
      <c r="BD6">
        <f ca="1">IFERROR(MAX(INDIRECT("E" &amp; $AZ6):INDIRECT("E" &amp; $BA6)),"")</f>
        <v>79.7</v>
      </c>
      <c r="BE6">
        <f ca="1">IFERROR(MIN(INDIRECT("F" &amp; $AZ6):INDIRECT("F" &amp; $BA6)),"")</f>
        <v>44.8</v>
      </c>
      <c r="BF6" s="10">
        <f t="shared" ca="1" si="12"/>
        <v>60.864999999999995</v>
      </c>
      <c r="BG6" s="10"/>
      <c r="BH6" s="10"/>
      <c r="BI6" s="11">
        <f t="shared" si="16"/>
        <v>45305</v>
      </c>
      <c r="BJ6" s="10">
        <f ca="1">IFERROR(AVERAGE(INDIRECT("H" &amp; $AZ6):INDIRECT("H" &amp; $BA6)),"")</f>
        <v>20.14</v>
      </c>
      <c r="BK6">
        <f ca="1">IFERROR(MAX(INDIRECT("I" &amp; $AZ6):INDIRECT("I" &amp; $BA6)),"")</f>
        <v>30.1</v>
      </c>
      <c r="BL6">
        <f ca="1">IFERROR(MIN(INDIRECT("J" &amp; $AZ6):INDIRECT("J" &amp; $BA6)),"")</f>
        <v>12.8</v>
      </c>
      <c r="BM6" s="10">
        <f t="shared" ca="1" si="13"/>
        <v>20.440000000000001</v>
      </c>
      <c r="BO6" s="6">
        <f t="shared" si="14"/>
        <v>45305.375</v>
      </c>
      <c r="BQ6" s="12" t="e">
        <f ca="1">CELL("address",INDEX(C:C,MATCH(BO6,C:C,1)))</f>
        <v>#N/A</v>
      </c>
      <c r="BR6" s="6" t="e">
        <f t="shared" ca="1" si="17"/>
        <v>#N/A</v>
      </c>
    </row>
    <row r="7" spans="1:70" ht="16" x14ac:dyDescent="0.2">
      <c r="A7" s="1">
        <v>45413</v>
      </c>
      <c r="B7" s="2">
        <v>0.16666666666666666</v>
      </c>
      <c r="C7" s="6">
        <v>45413.166666666664</v>
      </c>
      <c r="D7">
        <v>64.5</v>
      </c>
      <c r="E7">
        <v>74.400000000000006</v>
      </c>
      <c r="F7">
        <v>61</v>
      </c>
      <c r="G7" t="s">
        <v>6</v>
      </c>
      <c r="H7">
        <v>21.2</v>
      </c>
      <c r="I7">
        <v>23.2</v>
      </c>
      <c r="J7">
        <v>16.100000000000001</v>
      </c>
      <c r="K7" t="s">
        <v>6</v>
      </c>
      <c r="L7">
        <v>61</v>
      </c>
      <c r="M7" t="s">
        <v>6</v>
      </c>
      <c r="O7" s="6">
        <f t="shared" si="0"/>
        <v>45413.166666666664</v>
      </c>
      <c r="P7">
        <f t="shared" si="1"/>
        <v>64.5</v>
      </c>
      <c r="Q7">
        <f t="shared" si="2"/>
        <v>74.400000000000006</v>
      </c>
      <c r="R7">
        <f t="shared" si="3"/>
        <v>61</v>
      </c>
      <c r="S7">
        <f t="shared" si="4"/>
        <v>65.5</v>
      </c>
      <c r="V7" s="6">
        <f t="shared" si="5"/>
        <v>45413.166666666664</v>
      </c>
      <c r="W7">
        <f t="shared" si="6"/>
        <v>21.2</v>
      </c>
      <c r="X7">
        <f t="shared" si="7"/>
        <v>23.2</v>
      </c>
      <c r="Y7">
        <f t="shared" si="8"/>
        <v>16.100000000000001</v>
      </c>
      <c r="Z7">
        <f t="shared" si="9"/>
        <v>22.2</v>
      </c>
      <c r="AY7" t="s">
        <v>22</v>
      </c>
      <c r="AZ7">
        <f t="shared" ca="1" si="10"/>
        <v>81</v>
      </c>
      <c r="BA7">
        <f t="shared" ca="1" si="11"/>
        <v>101</v>
      </c>
      <c r="BB7" s="11">
        <f t="shared" si="15"/>
        <v>45306</v>
      </c>
      <c r="BC7" s="10">
        <f ca="1">IFERROR(AVERAGE(INDIRECT("D" &amp; $AZ7):INDIRECT("D" &amp; $BA7)),"")</f>
        <v>59.371428571428567</v>
      </c>
      <c r="BD7">
        <f ca="1">IFERROR(MAX(INDIRECT("E" &amp; $AZ7):INDIRECT("E" &amp; $BA7)),"")</f>
        <v>82.1</v>
      </c>
      <c r="BE7">
        <f ca="1">IFERROR(MIN(INDIRECT("F" &amp; $AZ7):INDIRECT("F" &amp; $BA7)),"")</f>
        <v>44.2</v>
      </c>
      <c r="BF7" s="10">
        <f t="shared" ca="1" si="12"/>
        <v>60.371428571428567</v>
      </c>
      <c r="BG7" s="10"/>
      <c r="BH7" s="10"/>
      <c r="BI7" s="11">
        <f t="shared" si="16"/>
        <v>45306</v>
      </c>
      <c r="BJ7" s="10">
        <f ca="1">IFERROR(AVERAGE(INDIRECT("H" &amp; $AZ7):INDIRECT("H" &amp; $BA7)),"")</f>
        <v>19.919047619047621</v>
      </c>
      <c r="BK7">
        <f ca="1">IFERROR(MAX(INDIRECT("I" &amp; $AZ7):INDIRECT("I" &amp; $BA7)),"")</f>
        <v>30.5</v>
      </c>
      <c r="BL7">
        <f ca="1">IFERROR(MIN(INDIRECT("J" &amp; $AZ7):INDIRECT("J" &amp; $BA7)),"")</f>
        <v>13.3</v>
      </c>
      <c r="BM7" s="10">
        <f t="shared" ca="1" si="13"/>
        <v>20.219047619047622</v>
      </c>
      <c r="BO7" s="6">
        <f t="shared" si="14"/>
        <v>45306.375</v>
      </c>
      <c r="BQ7" s="12" t="e">
        <f ca="1">CELL("address",INDEX(C:C,MATCH(BO7,C:C,1)))</f>
        <v>#N/A</v>
      </c>
      <c r="BR7" s="6" t="e">
        <f t="shared" ca="1" si="17"/>
        <v>#N/A</v>
      </c>
    </row>
    <row r="8" spans="1:70" x14ac:dyDescent="0.2">
      <c r="A8" s="1">
        <v>45413</v>
      </c>
      <c r="B8" s="2">
        <v>0.20833333333333334</v>
      </c>
      <c r="C8" s="6">
        <v>45413.208333333336</v>
      </c>
      <c r="D8">
        <v>62.7</v>
      </c>
      <c r="E8">
        <v>71.3</v>
      </c>
      <c r="F8">
        <v>57.7</v>
      </c>
      <c r="G8" t="s">
        <v>6</v>
      </c>
      <c r="H8">
        <v>18.5</v>
      </c>
      <c r="I8">
        <v>22.7</v>
      </c>
      <c r="J8">
        <v>13.6</v>
      </c>
      <c r="K8" t="s">
        <v>6</v>
      </c>
      <c r="L8">
        <v>222</v>
      </c>
      <c r="M8" t="s">
        <v>6</v>
      </c>
      <c r="O8" s="6">
        <f t="shared" si="0"/>
        <v>45413.208333333336</v>
      </c>
      <c r="P8">
        <f t="shared" si="1"/>
        <v>62.7</v>
      </c>
      <c r="Q8">
        <f t="shared" si="2"/>
        <v>71.3</v>
      </c>
      <c r="R8">
        <f t="shared" si="3"/>
        <v>57.7</v>
      </c>
      <c r="S8">
        <f t="shared" si="4"/>
        <v>63.7</v>
      </c>
      <c r="V8" s="6">
        <f t="shared" si="5"/>
        <v>45413.208333333336</v>
      </c>
      <c r="W8">
        <f t="shared" si="6"/>
        <v>18.5</v>
      </c>
      <c r="X8">
        <f t="shared" si="7"/>
        <v>22.7</v>
      </c>
      <c r="Y8">
        <f t="shared" si="8"/>
        <v>13.6</v>
      </c>
      <c r="Z8">
        <f t="shared" si="9"/>
        <v>19.5</v>
      </c>
      <c r="AY8" t="s">
        <v>23</v>
      </c>
      <c r="AZ8">
        <f t="shared" ca="1" si="10"/>
        <v>102</v>
      </c>
      <c r="BA8">
        <f t="shared" ca="1" si="11"/>
        <v>122</v>
      </c>
      <c r="BB8" s="11">
        <f t="shared" si="15"/>
        <v>45307</v>
      </c>
      <c r="BC8" s="10">
        <f ca="1">IFERROR(AVERAGE(INDIRECT("D" &amp; $AZ8):INDIRECT("D" &amp; $BA8)),"")</f>
        <v>60.723809523809514</v>
      </c>
      <c r="BD8">
        <f ca="1">IFERROR(MAX(INDIRECT("E" &amp; $AZ8):INDIRECT("E" &amp; $BA8)),"")</f>
        <v>75.2</v>
      </c>
      <c r="BE8">
        <f ca="1">IFERROR(MIN(INDIRECT("F" &amp; $AZ8):INDIRECT("F" &amp; $BA8)),"")</f>
        <v>50.2</v>
      </c>
      <c r="BF8" s="10">
        <f t="shared" ca="1" si="12"/>
        <v>61.723809523809514</v>
      </c>
      <c r="BI8" s="11">
        <f t="shared" si="16"/>
        <v>45307</v>
      </c>
      <c r="BJ8" s="10">
        <f ca="1">IFERROR(AVERAGE(INDIRECT("H" &amp; $AZ8):INDIRECT("H" &amp; $BA8)),"")</f>
        <v>19.766666666666669</v>
      </c>
      <c r="BK8">
        <f ca="1">IFERROR(MAX(INDIRECT("I" &amp; $AZ8):INDIRECT("I" &amp; $BA8)),"")</f>
        <v>28.8</v>
      </c>
      <c r="BL8">
        <f ca="1">IFERROR(MIN(INDIRECT("J" &amp; $AZ8):INDIRECT("J" &amp; $BA8)),"")</f>
        <v>13.5</v>
      </c>
      <c r="BM8" s="10">
        <f t="shared" ca="1" si="13"/>
        <v>20.06666666666667</v>
      </c>
    </row>
    <row r="9" spans="1:70" x14ac:dyDescent="0.2">
      <c r="A9" s="1">
        <v>45413</v>
      </c>
      <c r="B9" s="2">
        <v>0.25</v>
      </c>
      <c r="C9" s="6">
        <v>45413.25</v>
      </c>
      <c r="D9">
        <v>64.099999999999994</v>
      </c>
      <c r="E9">
        <v>68.900000000000006</v>
      </c>
      <c r="F9">
        <v>59</v>
      </c>
      <c r="G9" t="s">
        <v>6</v>
      </c>
      <c r="H9">
        <v>18.899999999999999</v>
      </c>
      <c r="I9">
        <v>22.7</v>
      </c>
      <c r="J9">
        <v>14.7</v>
      </c>
      <c r="K9" t="s">
        <v>6</v>
      </c>
      <c r="L9">
        <v>215</v>
      </c>
      <c r="M9" t="s">
        <v>6</v>
      </c>
      <c r="O9" s="6">
        <f t="shared" si="0"/>
        <v>45413.25</v>
      </c>
      <c r="P9">
        <f t="shared" si="1"/>
        <v>64.099999999999994</v>
      </c>
      <c r="Q9">
        <f t="shared" si="2"/>
        <v>68.900000000000006</v>
      </c>
      <c r="R9">
        <f t="shared" si="3"/>
        <v>59</v>
      </c>
      <c r="S9">
        <f t="shared" si="4"/>
        <v>65.099999999999994</v>
      </c>
      <c r="V9" s="6">
        <f t="shared" si="5"/>
        <v>45413.25</v>
      </c>
      <c r="W9">
        <f t="shared" si="6"/>
        <v>18.899999999999999</v>
      </c>
      <c r="X9">
        <f t="shared" si="7"/>
        <v>22.7</v>
      </c>
      <c r="Y9">
        <f t="shared" si="8"/>
        <v>14.7</v>
      </c>
      <c r="Z9">
        <f t="shared" si="9"/>
        <v>19.899999999999999</v>
      </c>
      <c r="AY9" t="s">
        <v>24</v>
      </c>
      <c r="AZ9">
        <f t="shared" ca="1" si="10"/>
        <v>123</v>
      </c>
      <c r="BA9">
        <f t="shared" ca="1" si="11"/>
        <v>146</v>
      </c>
      <c r="BB9" s="11">
        <f t="shared" si="15"/>
        <v>45308</v>
      </c>
      <c r="BC9" s="10">
        <f ca="1">IFERROR(AVERAGE(INDIRECT("D" &amp; $AZ9):INDIRECT("D" &amp; $BA9)),"")</f>
        <v>61.491666666666667</v>
      </c>
      <c r="BD9">
        <f ca="1">IFERROR(MAX(INDIRECT("E" &amp; $AZ9):INDIRECT("E" &amp; $BA9)),"")</f>
        <v>79.900000000000006</v>
      </c>
      <c r="BE9">
        <f ca="1">IFERROR(MIN(INDIRECT("F" &amp; $AZ9):INDIRECT("F" &amp; $BA9)),"")</f>
        <v>49.1</v>
      </c>
      <c r="BF9" s="10">
        <f t="shared" ca="1" si="12"/>
        <v>62.491666666666667</v>
      </c>
      <c r="BI9" s="11">
        <f t="shared" si="16"/>
        <v>45308</v>
      </c>
      <c r="BJ9" s="10">
        <f ca="1">IFERROR(AVERAGE(INDIRECT("H" &amp; $AZ9):INDIRECT("H" &amp; $BA9)),"")</f>
        <v>19.920833333333331</v>
      </c>
      <c r="BK9">
        <f ca="1">IFERROR(MAX(INDIRECT("I" &amp; $AZ9):INDIRECT("I" &amp; $BA9)),"")</f>
        <v>28.3</v>
      </c>
      <c r="BL9">
        <f ca="1">IFERROR(MIN(INDIRECT("J" &amp; $AZ9):INDIRECT("J" &amp; $BA9)),"")</f>
        <v>11.4</v>
      </c>
      <c r="BM9" s="10">
        <f t="shared" ca="1" si="13"/>
        <v>20.220833333333331</v>
      </c>
    </row>
    <row r="10" spans="1:70" x14ac:dyDescent="0.2">
      <c r="A10" s="1">
        <v>45413</v>
      </c>
      <c r="B10" s="2">
        <v>0.29166666666666669</v>
      </c>
      <c r="C10" s="6">
        <v>45413.291666666664</v>
      </c>
      <c r="D10">
        <v>62.4</v>
      </c>
      <c r="E10">
        <v>68.7</v>
      </c>
      <c r="F10">
        <v>57.4</v>
      </c>
      <c r="G10" t="s">
        <v>6</v>
      </c>
      <c r="H10">
        <v>17.8</v>
      </c>
      <c r="I10">
        <v>21</v>
      </c>
      <c r="J10">
        <v>14.7</v>
      </c>
      <c r="K10" t="s">
        <v>6</v>
      </c>
      <c r="L10">
        <v>215</v>
      </c>
      <c r="M10" t="s">
        <v>6</v>
      </c>
      <c r="O10" s="6">
        <f t="shared" si="0"/>
        <v>45413.291666666664</v>
      </c>
      <c r="P10">
        <f t="shared" si="1"/>
        <v>62.4</v>
      </c>
      <c r="Q10">
        <f t="shared" si="2"/>
        <v>68.7</v>
      </c>
      <c r="R10">
        <f t="shared" si="3"/>
        <v>57.4</v>
      </c>
      <c r="S10">
        <f t="shared" si="4"/>
        <v>63.4</v>
      </c>
      <c r="V10" s="6">
        <f t="shared" si="5"/>
        <v>45413.291666666664</v>
      </c>
      <c r="W10">
        <f t="shared" si="6"/>
        <v>17.8</v>
      </c>
      <c r="X10">
        <f t="shared" si="7"/>
        <v>21</v>
      </c>
      <c r="Y10">
        <f t="shared" si="8"/>
        <v>14.7</v>
      </c>
      <c r="Z10">
        <f t="shared" si="9"/>
        <v>18.8</v>
      </c>
      <c r="AY10" t="s">
        <v>25</v>
      </c>
      <c r="AZ10">
        <f t="shared" ca="1" si="10"/>
        <v>147</v>
      </c>
      <c r="BA10">
        <f t="shared" ca="1" si="11"/>
        <v>165</v>
      </c>
      <c r="BB10" s="11">
        <f t="shared" si="15"/>
        <v>45309</v>
      </c>
      <c r="BC10" s="10">
        <f ca="1">IFERROR(AVERAGE(INDIRECT("D" &amp; $AZ10):INDIRECT("D" &amp; $BA10)),"")</f>
        <v>65.984210526315763</v>
      </c>
      <c r="BD10">
        <f ca="1">IFERROR(MAX(INDIRECT("E" &amp; $AZ10):INDIRECT("E" &amp; $BA10)),"")</f>
        <v>85</v>
      </c>
      <c r="BE10">
        <f ca="1">IFERROR(MIN(INDIRECT("F" &amp; $AZ10):INDIRECT("F" &amp; $BA10)),"")</f>
        <v>50.4</v>
      </c>
      <c r="BF10" s="10">
        <f t="shared" ca="1" si="12"/>
        <v>66.984210526315763</v>
      </c>
      <c r="BI10" s="11">
        <f t="shared" si="16"/>
        <v>45309</v>
      </c>
      <c r="BJ10" s="10">
        <f ca="1">IFERROR(AVERAGE(INDIRECT("H" &amp; $AZ10):INDIRECT("H" &amp; $BA10)),"")</f>
        <v>19.41578947368421</v>
      </c>
      <c r="BK10">
        <f ca="1">IFERROR(MAX(INDIRECT("I" &amp; $AZ10):INDIRECT("I" &amp; $BA10)),"")</f>
        <v>41.1</v>
      </c>
      <c r="BL10">
        <f ca="1">IFERROR(MIN(INDIRECT("J" &amp; $AZ10):INDIRECT("J" &amp; $BA10)),"")</f>
        <v>13.2</v>
      </c>
      <c r="BM10" s="10">
        <f t="shared" ca="1" si="13"/>
        <v>19.715789473684211</v>
      </c>
    </row>
    <row r="11" spans="1:70" x14ac:dyDescent="0.2">
      <c r="A11" s="14">
        <v>45413</v>
      </c>
      <c r="B11" s="7">
        <v>0.33333333333333331</v>
      </c>
      <c r="C11" s="8">
        <v>45413.333333333336</v>
      </c>
      <c r="D11" s="9">
        <v>62.4</v>
      </c>
      <c r="E11" s="9">
        <v>66.900000000000006</v>
      </c>
      <c r="F11" s="9">
        <v>57.5</v>
      </c>
      <c r="G11" s="9" t="s">
        <v>6</v>
      </c>
      <c r="H11" s="9">
        <v>18.2</v>
      </c>
      <c r="I11" s="9">
        <v>22.5</v>
      </c>
      <c r="J11" s="9">
        <v>12.9</v>
      </c>
      <c r="K11" s="9" t="s">
        <v>6</v>
      </c>
      <c r="L11" s="9">
        <v>219</v>
      </c>
      <c r="M11" t="s">
        <v>6</v>
      </c>
      <c r="O11" s="6">
        <f t="shared" si="0"/>
        <v>45413.333333333336</v>
      </c>
      <c r="P11">
        <f t="shared" si="1"/>
        <v>62.4</v>
      </c>
      <c r="Q11">
        <f t="shared" si="2"/>
        <v>66.900000000000006</v>
      </c>
      <c r="R11">
        <f t="shared" si="3"/>
        <v>57.5</v>
      </c>
      <c r="S11">
        <f t="shared" si="4"/>
        <v>63.4</v>
      </c>
      <c r="V11" s="6">
        <f t="shared" si="5"/>
        <v>45413.333333333336</v>
      </c>
      <c r="W11">
        <f t="shared" si="6"/>
        <v>18.2</v>
      </c>
      <c r="X11">
        <f t="shared" si="7"/>
        <v>22.5</v>
      </c>
      <c r="Y11">
        <f t="shared" si="8"/>
        <v>12.9</v>
      </c>
      <c r="Z11">
        <f t="shared" si="9"/>
        <v>19.2</v>
      </c>
      <c r="AY11" t="s">
        <v>26</v>
      </c>
      <c r="AZ11">
        <f t="shared" ca="1" si="10"/>
        <v>166</v>
      </c>
      <c r="BA11">
        <f t="shared" ca="1" si="11"/>
        <v>187</v>
      </c>
      <c r="BB11" s="11">
        <f t="shared" si="15"/>
        <v>45310</v>
      </c>
      <c r="BC11" s="10">
        <f ca="1">IFERROR(AVERAGE(INDIRECT("D" &amp; $AZ11):INDIRECT("D" &amp; $BA11)),"")</f>
        <v>60.181818181818173</v>
      </c>
      <c r="BD11">
        <f ca="1">IFERROR(MAX(INDIRECT("E" &amp; $AZ11):INDIRECT("E" &amp; $BA11)),"")</f>
        <v>79.900000000000006</v>
      </c>
      <c r="BE11">
        <f ca="1">IFERROR(MIN(INDIRECT("F" &amp; $AZ11):INDIRECT("F" &amp; $BA11)),"")</f>
        <v>46.7</v>
      </c>
      <c r="BF11" s="10">
        <f t="shared" ca="1" si="12"/>
        <v>61.181818181818173</v>
      </c>
      <c r="BI11" s="11">
        <f t="shared" si="16"/>
        <v>45310</v>
      </c>
      <c r="BJ11" s="10">
        <f ca="1">IFERROR(AVERAGE(INDIRECT("H" &amp; $AZ11):INDIRECT("H" &amp; $BA11)),"")</f>
        <v>20.236363636363635</v>
      </c>
      <c r="BK11">
        <f ca="1">IFERROR(MAX(INDIRECT("I" &amp; $AZ11):INDIRECT("I" &amp; $BA11)),"")</f>
        <v>29.1</v>
      </c>
      <c r="BL11">
        <f ca="1">IFERROR(MIN(INDIRECT("J" &amp; $AZ11):INDIRECT("J" &amp; $BA11)),"")</f>
        <v>12.9</v>
      </c>
      <c r="BM11" s="10">
        <f t="shared" ca="1" si="13"/>
        <v>20.536363636363635</v>
      </c>
    </row>
    <row r="12" spans="1:70" x14ac:dyDescent="0.2">
      <c r="A12" s="13">
        <v>45413</v>
      </c>
      <c r="B12" s="3">
        <v>0.375</v>
      </c>
      <c r="C12" s="4">
        <v>45413.375</v>
      </c>
      <c r="D12" s="5">
        <v>65.099999999999994</v>
      </c>
      <c r="E12" s="5">
        <v>70.099999999999994</v>
      </c>
      <c r="F12" s="5">
        <v>58.2</v>
      </c>
      <c r="G12" s="5" t="s">
        <v>6</v>
      </c>
      <c r="H12" s="5">
        <v>18</v>
      </c>
      <c r="I12" s="5">
        <v>21.5</v>
      </c>
      <c r="J12" s="5">
        <v>15.4</v>
      </c>
      <c r="K12" s="5" t="s">
        <v>6</v>
      </c>
      <c r="L12" s="5">
        <v>219</v>
      </c>
      <c r="M12" t="s">
        <v>6</v>
      </c>
      <c r="O12" s="6">
        <f t="shared" si="0"/>
        <v>45413.375</v>
      </c>
      <c r="P12">
        <f t="shared" si="1"/>
        <v>65.099999999999994</v>
      </c>
      <c r="Q12">
        <f t="shared" si="2"/>
        <v>70.099999999999994</v>
      </c>
      <c r="R12">
        <f t="shared" si="3"/>
        <v>58.2</v>
      </c>
      <c r="S12">
        <f t="shared" si="4"/>
        <v>66.099999999999994</v>
      </c>
      <c r="V12" s="6">
        <f t="shared" si="5"/>
        <v>45413.375</v>
      </c>
      <c r="W12">
        <f t="shared" si="6"/>
        <v>18</v>
      </c>
      <c r="X12">
        <f t="shared" si="7"/>
        <v>21.5</v>
      </c>
      <c r="Y12">
        <f t="shared" si="8"/>
        <v>15.4</v>
      </c>
      <c r="Z12">
        <f t="shared" si="9"/>
        <v>19</v>
      </c>
      <c r="AY12" t="s">
        <v>27</v>
      </c>
      <c r="AZ12">
        <f t="shared" ca="1" si="10"/>
        <v>188</v>
      </c>
      <c r="BA12">
        <f t="shared" ca="1" si="11"/>
        <v>208</v>
      </c>
      <c r="BB12" s="11">
        <f t="shared" si="15"/>
        <v>45311</v>
      </c>
      <c r="BC12" s="10">
        <f ca="1">IFERROR(AVERAGE(INDIRECT("D" &amp; $AZ12):INDIRECT("D" &amp; $BA12)),"")</f>
        <v>62.647619047619031</v>
      </c>
      <c r="BD12">
        <f ca="1">IFERROR(MAX(INDIRECT("E" &amp; $AZ12):INDIRECT("E" &amp; $BA12)),"")</f>
        <v>81.7</v>
      </c>
      <c r="BE12">
        <f ca="1">IFERROR(MIN(INDIRECT("F" &amp; $AZ12):INDIRECT("F" &amp; $BA12)),"")</f>
        <v>49.3</v>
      </c>
      <c r="BF12" s="10">
        <f t="shared" ca="1" si="12"/>
        <v>63.647619047619031</v>
      </c>
      <c r="BI12" s="11">
        <f t="shared" si="16"/>
        <v>45311</v>
      </c>
      <c r="BJ12" s="10">
        <f ca="1">IFERROR(AVERAGE(INDIRECT("H" &amp; $AZ12):INDIRECT("H" &amp; $BA12)),"")</f>
        <v>19.242857142857147</v>
      </c>
      <c r="BK12">
        <f ca="1">IFERROR(MAX(INDIRECT("I" &amp; $AZ12):INDIRECT("I" &amp; $BA12)),"")</f>
        <v>34.9</v>
      </c>
      <c r="BL12">
        <f ca="1">IFERROR(MIN(INDIRECT("J" &amp; $AZ12):INDIRECT("J" &amp; $BA12)),"")</f>
        <v>12.6</v>
      </c>
      <c r="BM12" s="10">
        <f t="shared" ca="1" si="13"/>
        <v>19.542857142857148</v>
      </c>
    </row>
    <row r="13" spans="1:70" x14ac:dyDescent="0.2">
      <c r="A13" s="1">
        <v>45413</v>
      </c>
      <c r="B13" s="2">
        <v>0.41666666666666669</v>
      </c>
      <c r="C13" s="6">
        <v>45413.416666666664</v>
      </c>
      <c r="D13">
        <v>62.6</v>
      </c>
      <c r="E13">
        <v>66.900000000000006</v>
      </c>
      <c r="F13">
        <v>57</v>
      </c>
      <c r="G13" t="s">
        <v>6</v>
      </c>
      <c r="H13">
        <v>18.3</v>
      </c>
      <c r="I13">
        <v>29.4</v>
      </c>
      <c r="J13">
        <v>15.2</v>
      </c>
      <c r="K13" t="s">
        <v>6</v>
      </c>
      <c r="L13">
        <v>220</v>
      </c>
      <c r="M13" t="s">
        <v>6</v>
      </c>
      <c r="O13" s="6">
        <f t="shared" si="0"/>
        <v>45413.416666666664</v>
      </c>
      <c r="P13">
        <f t="shared" si="1"/>
        <v>62.6</v>
      </c>
      <c r="Q13">
        <f t="shared" si="2"/>
        <v>66.900000000000006</v>
      </c>
      <c r="R13">
        <f t="shared" si="3"/>
        <v>57</v>
      </c>
      <c r="S13">
        <f t="shared" si="4"/>
        <v>63.6</v>
      </c>
      <c r="V13" s="6">
        <f t="shared" si="5"/>
        <v>45413.416666666664</v>
      </c>
      <c r="W13">
        <f t="shared" si="6"/>
        <v>18.3</v>
      </c>
      <c r="X13">
        <f t="shared" si="7"/>
        <v>29.4</v>
      </c>
      <c r="Y13">
        <f t="shared" si="8"/>
        <v>15.2</v>
      </c>
      <c r="Z13">
        <f t="shared" si="9"/>
        <v>19.3</v>
      </c>
      <c r="AY13" t="s">
        <v>28</v>
      </c>
      <c r="AZ13">
        <f t="shared" ca="1" si="10"/>
        <v>209</v>
      </c>
      <c r="BA13">
        <f t="shared" ca="1" si="11"/>
        <v>228</v>
      </c>
      <c r="BB13" s="11">
        <f t="shared" si="15"/>
        <v>45312</v>
      </c>
      <c r="BC13" s="10">
        <f ca="1">IFERROR(AVERAGE(INDIRECT("D" &amp; $AZ13):INDIRECT("D" &amp; $BA13)),"")</f>
        <v>59.500000000000014</v>
      </c>
      <c r="BD13">
        <f ca="1">IFERROR(MAX(INDIRECT("E" &amp; $AZ13):INDIRECT("E" &amp; $BA13)),"")</f>
        <v>76.599999999999994</v>
      </c>
      <c r="BE13">
        <f ca="1">IFERROR(MIN(INDIRECT("F" &amp; $AZ13):INDIRECT("F" &amp; $BA13)),"")</f>
        <v>48.1</v>
      </c>
      <c r="BF13" s="10">
        <f t="shared" ca="1" si="12"/>
        <v>60.500000000000014</v>
      </c>
      <c r="BI13" s="11">
        <f t="shared" si="16"/>
        <v>45312</v>
      </c>
      <c r="BJ13" s="10">
        <f ca="1">IFERROR(AVERAGE(INDIRECT("H" &amp; $AZ13):INDIRECT("H" &amp; $BA13)),"")</f>
        <v>18.965</v>
      </c>
      <c r="BK13">
        <f ca="1">IFERROR(MAX(INDIRECT("I" &amp; $AZ13):INDIRECT("I" &amp; $BA13)),"")</f>
        <v>26.3</v>
      </c>
      <c r="BL13">
        <f ca="1">IFERROR(MIN(INDIRECT("J" &amp; $AZ13):INDIRECT("J" &amp; $BA13)),"")</f>
        <v>13.5</v>
      </c>
      <c r="BM13" s="10">
        <f t="shared" ca="1" si="13"/>
        <v>19.265000000000001</v>
      </c>
    </row>
    <row r="14" spans="1:70" x14ac:dyDescent="0.2">
      <c r="A14" s="1">
        <v>45413</v>
      </c>
      <c r="B14" s="2">
        <v>0.45833333333333331</v>
      </c>
      <c r="C14" s="6">
        <v>45413.458333333336</v>
      </c>
      <c r="D14">
        <v>61.7</v>
      </c>
      <c r="E14">
        <v>69.099999999999994</v>
      </c>
      <c r="F14">
        <v>54.9</v>
      </c>
      <c r="G14" t="s">
        <v>6</v>
      </c>
      <c r="H14">
        <v>19.100000000000001</v>
      </c>
      <c r="I14">
        <v>25.3</v>
      </c>
      <c r="J14">
        <v>15.5</v>
      </c>
      <c r="K14" t="s">
        <v>6</v>
      </c>
      <c r="L14">
        <v>162</v>
      </c>
      <c r="M14" t="s">
        <v>6</v>
      </c>
      <c r="O14" s="6">
        <f t="shared" si="0"/>
        <v>45413.458333333336</v>
      </c>
      <c r="P14">
        <f t="shared" si="1"/>
        <v>61.7</v>
      </c>
      <c r="Q14">
        <f t="shared" si="2"/>
        <v>69.099999999999994</v>
      </c>
      <c r="R14">
        <f t="shared" si="3"/>
        <v>54.9</v>
      </c>
      <c r="S14">
        <f t="shared" si="4"/>
        <v>62.7</v>
      </c>
      <c r="V14" s="6">
        <f t="shared" si="5"/>
        <v>45413.458333333336</v>
      </c>
      <c r="W14">
        <f t="shared" si="6"/>
        <v>19.100000000000001</v>
      </c>
      <c r="X14">
        <f t="shared" si="7"/>
        <v>25.3</v>
      </c>
      <c r="Y14">
        <f t="shared" si="8"/>
        <v>15.5</v>
      </c>
      <c r="Z14">
        <f t="shared" si="9"/>
        <v>20.100000000000001</v>
      </c>
      <c r="AY14" t="s">
        <v>29</v>
      </c>
      <c r="AZ14">
        <f t="shared" ca="1" si="10"/>
        <v>229</v>
      </c>
      <c r="BA14">
        <f t="shared" ca="1" si="11"/>
        <v>250</v>
      </c>
      <c r="BB14" s="11">
        <f t="shared" si="15"/>
        <v>45313</v>
      </c>
      <c r="BC14" s="10">
        <f ca="1">IFERROR(AVERAGE(INDIRECT("D" &amp; $AZ14):INDIRECT("D" &amp; $BA14)),"")</f>
        <v>66.63181818181819</v>
      </c>
      <c r="BD14">
        <f ca="1">IFERROR(MAX(INDIRECT("E" &amp; $AZ14):INDIRECT("E" &amp; $BA14)),"")</f>
        <v>95</v>
      </c>
      <c r="BE14">
        <f ca="1">IFERROR(MIN(INDIRECT("F" &amp; $AZ14):INDIRECT("F" &amp; $BA14)),"")</f>
        <v>49.1</v>
      </c>
      <c r="BF14" s="10">
        <f t="shared" ca="1" si="12"/>
        <v>67.63181818181819</v>
      </c>
      <c r="BI14" s="11">
        <f t="shared" si="16"/>
        <v>45313</v>
      </c>
      <c r="BJ14" s="10">
        <f ca="1">IFERROR(AVERAGE(INDIRECT("H" &amp; $AZ14):INDIRECT("H" &amp; $BA14)),"")</f>
        <v>20.577272727272728</v>
      </c>
      <c r="BK14">
        <f ca="1">IFERROR(MAX(INDIRECT("I" &amp; $AZ14):INDIRECT("I" &amp; $BA14)),"")</f>
        <v>29.7</v>
      </c>
      <c r="BL14">
        <f ca="1">IFERROR(MIN(INDIRECT("J" &amp; $AZ14):INDIRECT("J" &amp; $BA14)),"")</f>
        <v>13.2</v>
      </c>
      <c r="BM14" s="10">
        <f t="shared" ca="1" si="13"/>
        <v>20.877272727272729</v>
      </c>
    </row>
    <row r="15" spans="1:70" x14ac:dyDescent="0.2">
      <c r="A15" s="1">
        <v>45413</v>
      </c>
      <c r="B15" s="2">
        <v>0.5</v>
      </c>
      <c r="C15" s="6">
        <v>45413.5</v>
      </c>
      <c r="D15">
        <v>57.5</v>
      </c>
      <c r="E15">
        <v>72.900000000000006</v>
      </c>
      <c r="F15">
        <v>50.3</v>
      </c>
      <c r="G15" t="s">
        <v>6</v>
      </c>
      <c r="H15">
        <v>19.5</v>
      </c>
      <c r="I15">
        <v>24.7</v>
      </c>
      <c r="J15">
        <v>14.6</v>
      </c>
      <c r="K15" t="s">
        <v>6</v>
      </c>
      <c r="L15">
        <v>194</v>
      </c>
      <c r="M15" t="s">
        <v>6</v>
      </c>
      <c r="O15" s="6">
        <f t="shared" si="0"/>
        <v>45413.5</v>
      </c>
      <c r="P15">
        <f t="shared" si="1"/>
        <v>57.5</v>
      </c>
      <c r="Q15">
        <f t="shared" si="2"/>
        <v>72.900000000000006</v>
      </c>
      <c r="R15">
        <f t="shared" si="3"/>
        <v>50.3</v>
      </c>
      <c r="S15">
        <f t="shared" si="4"/>
        <v>58.5</v>
      </c>
      <c r="V15" s="6">
        <f t="shared" si="5"/>
        <v>45413.5</v>
      </c>
      <c r="W15">
        <f t="shared" si="6"/>
        <v>19.5</v>
      </c>
      <c r="X15">
        <f t="shared" si="7"/>
        <v>24.7</v>
      </c>
      <c r="Y15">
        <f t="shared" si="8"/>
        <v>14.6</v>
      </c>
      <c r="Z15">
        <f t="shared" si="9"/>
        <v>20.5</v>
      </c>
      <c r="AY15" t="s">
        <v>30</v>
      </c>
      <c r="AZ15">
        <f t="shared" ca="1" si="10"/>
        <v>251</v>
      </c>
      <c r="BA15">
        <f t="shared" ca="1" si="11"/>
        <v>270</v>
      </c>
      <c r="BB15" s="11">
        <f t="shared" si="15"/>
        <v>45314</v>
      </c>
      <c r="BC15" s="10">
        <f ca="1">IFERROR(AVERAGE(INDIRECT("D" &amp; $AZ15):INDIRECT("D" &amp; $BA15)),"")</f>
        <v>61.614999999999995</v>
      </c>
      <c r="BD15">
        <f ca="1">IFERROR(MAX(INDIRECT("E" &amp; $AZ15):INDIRECT("E" &amp; $BA15)),"")</f>
        <v>79</v>
      </c>
      <c r="BE15">
        <f ca="1">IFERROR(MIN(INDIRECT("F" &amp; $AZ15):INDIRECT("F" &amp; $BA15)),"")</f>
        <v>45.8</v>
      </c>
      <c r="BF15" s="10">
        <f t="shared" ca="1" si="12"/>
        <v>62.614999999999995</v>
      </c>
      <c r="BG15">
        <v>1</v>
      </c>
      <c r="BI15" s="11">
        <f t="shared" si="16"/>
        <v>45314</v>
      </c>
      <c r="BJ15" s="10">
        <f ca="1">IFERROR(AVERAGE(INDIRECT("H" &amp; $AZ15):INDIRECT("H" &amp; $BA15)),"")</f>
        <v>21.014999999999997</v>
      </c>
      <c r="BK15">
        <f ca="1">IFERROR(MAX(INDIRECT("I" &amp; $AZ15):INDIRECT("I" &amp; $BA15)),"")</f>
        <v>27.8</v>
      </c>
      <c r="BL15">
        <f ca="1">IFERROR(MIN(INDIRECT("J" &amp; $AZ15):INDIRECT("J" &amp; $BA15)),"")</f>
        <v>13.8</v>
      </c>
      <c r="BM15" s="10">
        <f t="shared" ca="1" si="13"/>
        <v>21.314999999999998</v>
      </c>
    </row>
    <row r="16" spans="1:70" x14ac:dyDescent="0.2">
      <c r="A16" s="1">
        <v>45413</v>
      </c>
      <c r="B16" s="2">
        <v>0.54166666666666663</v>
      </c>
      <c r="C16" s="6">
        <v>45413.541666666664</v>
      </c>
      <c r="D16">
        <v>66.099999999999994</v>
      </c>
      <c r="E16">
        <v>74.7</v>
      </c>
      <c r="F16">
        <v>57.9</v>
      </c>
      <c r="G16" t="s">
        <v>6</v>
      </c>
      <c r="H16">
        <v>19.2</v>
      </c>
      <c r="I16">
        <v>23.6</v>
      </c>
      <c r="J16">
        <v>16.100000000000001</v>
      </c>
      <c r="K16" t="s">
        <v>6</v>
      </c>
      <c r="L16">
        <v>222</v>
      </c>
      <c r="M16" t="s">
        <v>6</v>
      </c>
      <c r="O16" s="6">
        <f t="shared" si="0"/>
        <v>45413.541666666664</v>
      </c>
      <c r="P16">
        <f t="shared" si="1"/>
        <v>66.099999999999994</v>
      </c>
      <c r="Q16">
        <f t="shared" si="2"/>
        <v>74.7</v>
      </c>
      <c r="R16">
        <f t="shared" si="3"/>
        <v>57.9</v>
      </c>
      <c r="S16">
        <f t="shared" si="4"/>
        <v>67.099999999999994</v>
      </c>
      <c r="V16" s="6">
        <f t="shared" si="5"/>
        <v>45413.541666666664</v>
      </c>
      <c r="W16">
        <f t="shared" si="6"/>
        <v>19.2</v>
      </c>
      <c r="X16">
        <f t="shared" si="7"/>
        <v>23.6</v>
      </c>
      <c r="Y16">
        <f t="shared" si="8"/>
        <v>16.100000000000001</v>
      </c>
      <c r="Z16">
        <f t="shared" si="9"/>
        <v>20.2</v>
      </c>
      <c r="AY16" t="s">
        <v>31</v>
      </c>
      <c r="AZ16">
        <f t="shared" ca="1" si="10"/>
        <v>271</v>
      </c>
      <c r="BA16">
        <f t="shared" ca="1" si="11"/>
        <v>293</v>
      </c>
      <c r="BB16" s="11">
        <f t="shared" si="15"/>
        <v>45315</v>
      </c>
      <c r="BC16" s="10">
        <f ca="1">IFERROR(AVERAGE(INDIRECT("D" &amp; $AZ16):INDIRECT("D" &amp; $BA16)),"")</f>
        <v>58.765217391304333</v>
      </c>
      <c r="BD16">
        <f ca="1">IFERROR(MAX(INDIRECT("E" &amp; $AZ16):INDIRECT("E" &amp; $BA16)),"")</f>
        <v>75.2</v>
      </c>
      <c r="BE16">
        <f ca="1">IFERROR(MIN(INDIRECT("F" &amp; $AZ16):INDIRECT("F" &amp; $BA16)),"")</f>
        <v>46.9</v>
      </c>
      <c r="BF16" s="10">
        <f t="shared" ca="1" si="12"/>
        <v>59.765217391304333</v>
      </c>
      <c r="BI16" s="11">
        <f t="shared" si="16"/>
        <v>45315</v>
      </c>
      <c r="BJ16" s="10">
        <f ca="1">IFERROR(AVERAGE(INDIRECT("H" &amp; $AZ16):INDIRECT("H" &amp; $BA16)),"")</f>
        <v>19.321739130434775</v>
      </c>
      <c r="BK16">
        <f ca="1">IFERROR(MAX(INDIRECT("I" &amp; $AZ16):INDIRECT("I" &amp; $BA16)),"")</f>
        <v>48.8</v>
      </c>
      <c r="BL16">
        <f ca="1">IFERROR(MIN(INDIRECT("J" &amp; $AZ16):INDIRECT("J" &amp; $BA16)),"")</f>
        <v>12.8</v>
      </c>
      <c r="BM16" s="10">
        <f t="shared" ca="1" si="13"/>
        <v>19.621739130434776</v>
      </c>
    </row>
    <row r="17" spans="1:65" x14ac:dyDescent="0.2">
      <c r="A17" s="1">
        <v>45413</v>
      </c>
      <c r="B17" s="2">
        <v>0.58333333333333337</v>
      </c>
      <c r="C17" s="6">
        <v>45413.583333333336</v>
      </c>
      <c r="D17">
        <v>62.8</v>
      </c>
      <c r="E17">
        <v>72.400000000000006</v>
      </c>
      <c r="F17">
        <v>57.3</v>
      </c>
      <c r="G17" t="s">
        <v>6</v>
      </c>
      <c r="H17">
        <v>19.399999999999999</v>
      </c>
      <c r="I17">
        <v>23.5</v>
      </c>
      <c r="J17">
        <v>12.1</v>
      </c>
      <c r="K17" t="s">
        <v>6</v>
      </c>
      <c r="L17">
        <v>220</v>
      </c>
      <c r="M17" t="s">
        <v>6</v>
      </c>
      <c r="O17" s="6">
        <f t="shared" si="0"/>
        <v>45413.583333333336</v>
      </c>
      <c r="P17">
        <f t="shared" si="1"/>
        <v>62.8</v>
      </c>
      <c r="Q17">
        <f t="shared" si="2"/>
        <v>72.400000000000006</v>
      </c>
      <c r="R17">
        <f t="shared" si="3"/>
        <v>57.3</v>
      </c>
      <c r="S17">
        <f t="shared" si="4"/>
        <v>63.8</v>
      </c>
      <c r="V17" s="6">
        <f t="shared" si="5"/>
        <v>45413.583333333336</v>
      </c>
      <c r="W17">
        <f t="shared" si="6"/>
        <v>19.399999999999999</v>
      </c>
      <c r="X17">
        <f t="shared" si="7"/>
        <v>23.5</v>
      </c>
      <c r="Y17">
        <f t="shared" si="8"/>
        <v>12.1</v>
      </c>
      <c r="Z17">
        <f t="shared" si="9"/>
        <v>20.399999999999999</v>
      </c>
      <c r="AY17" t="s">
        <v>32</v>
      </c>
      <c r="AZ17">
        <f t="shared" ca="1" si="10"/>
        <v>294</v>
      </c>
      <c r="BA17">
        <f t="shared" ca="1" si="11"/>
        <v>311</v>
      </c>
      <c r="BB17" s="11">
        <f t="shared" si="15"/>
        <v>45316</v>
      </c>
      <c r="BC17" s="10">
        <f ca="1">IFERROR(AVERAGE(INDIRECT("D" &amp; $AZ17):INDIRECT("D" &amp; $BA17)),"")</f>
        <v>56.55</v>
      </c>
      <c r="BD17">
        <f ca="1">IFERROR(MAX(INDIRECT("E" &amp; $AZ17):INDIRECT("E" &amp; $BA17)),"")</f>
        <v>73</v>
      </c>
      <c r="BE17">
        <f ca="1">IFERROR(MIN(INDIRECT("F" &amp; $AZ17):INDIRECT("F" &amp; $BA17)),"")</f>
        <v>47.2</v>
      </c>
      <c r="BF17" s="10">
        <f t="shared" ca="1" si="12"/>
        <v>57.55</v>
      </c>
      <c r="BI17" s="11">
        <f t="shared" si="16"/>
        <v>45316</v>
      </c>
      <c r="BJ17" s="10">
        <f ca="1">IFERROR(AVERAGE(INDIRECT("H" &amp; $AZ17):INDIRECT("H" &amp; $BA17)),"")</f>
        <v>18.605555555555558</v>
      </c>
      <c r="BK17">
        <f ca="1">IFERROR(MAX(INDIRECT("I" &amp; $AZ17):INDIRECT("I" &amp; $BA17)),"")</f>
        <v>27.2</v>
      </c>
      <c r="BL17">
        <f ca="1">IFERROR(MIN(INDIRECT("J" &amp; $AZ17):INDIRECT("J" &amp; $BA17)),"")</f>
        <v>12.3</v>
      </c>
      <c r="BM17" s="10">
        <f t="shared" ca="1" si="13"/>
        <v>18.905555555555559</v>
      </c>
    </row>
    <row r="18" spans="1:65" x14ac:dyDescent="0.2">
      <c r="A18" s="1">
        <v>45413</v>
      </c>
      <c r="B18" s="2">
        <v>0.625</v>
      </c>
      <c r="C18" s="6">
        <v>45413.625</v>
      </c>
      <c r="D18">
        <v>62.3</v>
      </c>
      <c r="E18">
        <v>67.7</v>
      </c>
      <c r="F18">
        <v>57.7</v>
      </c>
      <c r="G18" t="s">
        <v>6</v>
      </c>
      <c r="H18">
        <v>19.899999999999999</v>
      </c>
      <c r="I18">
        <v>24.3</v>
      </c>
      <c r="J18">
        <v>16.399999999999999</v>
      </c>
      <c r="K18" t="s">
        <v>6</v>
      </c>
      <c r="L18">
        <v>222</v>
      </c>
      <c r="M18" t="s">
        <v>6</v>
      </c>
      <c r="O18" s="6">
        <f t="shared" si="0"/>
        <v>45413.625</v>
      </c>
      <c r="P18">
        <f t="shared" si="1"/>
        <v>62.3</v>
      </c>
      <c r="Q18">
        <f t="shared" si="2"/>
        <v>67.7</v>
      </c>
      <c r="R18">
        <f t="shared" si="3"/>
        <v>57.7</v>
      </c>
      <c r="S18">
        <f t="shared" si="4"/>
        <v>63.3</v>
      </c>
      <c r="V18" s="6">
        <f t="shared" si="5"/>
        <v>45413.625</v>
      </c>
      <c r="W18">
        <f t="shared" si="6"/>
        <v>19.899999999999999</v>
      </c>
      <c r="X18">
        <f t="shared" si="7"/>
        <v>24.3</v>
      </c>
      <c r="Y18">
        <f t="shared" si="8"/>
        <v>16.399999999999999</v>
      </c>
      <c r="Z18">
        <f t="shared" si="9"/>
        <v>20.9</v>
      </c>
      <c r="AY18" t="s">
        <v>33</v>
      </c>
      <c r="AZ18">
        <f t="shared" ca="1" si="10"/>
        <v>312</v>
      </c>
      <c r="BA18">
        <f t="shared" ca="1" si="11"/>
        <v>332</v>
      </c>
      <c r="BB18" s="11">
        <f t="shared" si="15"/>
        <v>45317</v>
      </c>
      <c r="BC18" s="10">
        <f ca="1">IFERROR(AVERAGE(INDIRECT("D" &amp; $AZ18):INDIRECT("D" &amp; $BA18)),"")</f>
        <v>61.695238095238103</v>
      </c>
      <c r="BD18">
        <f ca="1">IFERROR(MAX(INDIRECT("E" &amp; $AZ18):INDIRECT("E" &amp; $BA18)),"")</f>
        <v>88.4</v>
      </c>
      <c r="BE18">
        <f ca="1">IFERROR(MIN(INDIRECT("F" &amp; $AZ18):INDIRECT("F" &amp; $BA18)),"")</f>
        <v>47.8</v>
      </c>
      <c r="BF18" s="10">
        <f t="shared" ca="1" si="12"/>
        <v>62.695238095238103</v>
      </c>
      <c r="BI18" s="11">
        <f t="shared" si="16"/>
        <v>45317</v>
      </c>
      <c r="BJ18" s="10">
        <f ca="1">IFERROR(AVERAGE(INDIRECT("H" &amp; $AZ18):INDIRECT("H" &amp; $BA18)),"")</f>
        <v>18.619047619047617</v>
      </c>
      <c r="BK18">
        <f ca="1">IFERROR(MAX(INDIRECT("I" &amp; $AZ18):INDIRECT("I" &amp; $BA18)),"")</f>
        <v>26.8</v>
      </c>
      <c r="BL18">
        <f ca="1">IFERROR(MIN(INDIRECT("J" &amp; $AZ18):INDIRECT("J" &amp; $BA18)),"")</f>
        <v>11.2</v>
      </c>
      <c r="BM18" s="10">
        <f t="shared" ca="1" si="13"/>
        <v>18.919047619047618</v>
      </c>
    </row>
    <row r="19" spans="1:65" x14ac:dyDescent="0.2">
      <c r="A19" s="1">
        <v>45413</v>
      </c>
      <c r="B19" s="2">
        <v>0.66666666666666663</v>
      </c>
      <c r="C19" s="6">
        <v>45413.666666666664</v>
      </c>
      <c r="D19">
        <v>59.6</v>
      </c>
      <c r="E19">
        <v>64.8</v>
      </c>
      <c r="F19">
        <v>55.6</v>
      </c>
      <c r="G19" t="s">
        <v>6</v>
      </c>
      <c r="H19">
        <v>20.2</v>
      </c>
      <c r="I19">
        <v>23.9</v>
      </c>
      <c r="J19">
        <v>16.8</v>
      </c>
      <c r="K19" t="s">
        <v>6</v>
      </c>
      <c r="L19">
        <v>214</v>
      </c>
      <c r="M19" t="s">
        <v>6</v>
      </c>
      <c r="O19" s="6">
        <f t="shared" si="0"/>
        <v>45413.666666666664</v>
      </c>
      <c r="P19">
        <f t="shared" si="1"/>
        <v>59.6</v>
      </c>
      <c r="Q19">
        <f t="shared" si="2"/>
        <v>64.8</v>
      </c>
      <c r="R19">
        <f t="shared" si="3"/>
        <v>55.6</v>
      </c>
      <c r="S19">
        <f t="shared" si="4"/>
        <v>60.6</v>
      </c>
      <c r="V19" s="6">
        <f t="shared" si="5"/>
        <v>45413.666666666664</v>
      </c>
      <c r="W19">
        <f t="shared" si="6"/>
        <v>20.2</v>
      </c>
      <c r="X19">
        <f t="shared" si="7"/>
        <v>23.9</v>
      </c>
      <c r="Y19">
        <f t="shared" si="8"/>
        <v>16.8</v>
      </c>
      <c r="Z19">
        <f t="shared" si="9"/>
        <v>21.2</v>
      </c>
      <c r="AY19" t="s">
        <v>34</v>
      </c>
      <c r="AZ19">
        <f t="shared" ca="1" si="10"/>
        <v>333</v>
      </c>
      <c r="BA19">
        <f t="shared" ca="1" si="11"/>
        <v>351</v>
      </c>
      <c r="BB19" s="11">
        <f t="shared" si="15"/>
        <v>45318</v>
      </c>
      <c r="BC19" s="10">
        <f ca="1">IFERROR(AVERAGE(INDIRECT("D" &amp; $AZ19):INDIRECT("D" &amp; $BA19)),"")</f>
        <v>61.126315789473686</v>
      </c>
      <c r="BD19">
        <f ca="1">IFERROR(MAX(INDIRECT("E" &amp; $AZ19):INDIRECT("E" &amp; $BA19)),"")</f>
        <v>83.9</v>
      </c>
      <c r="BE19">
        <f ca="1">IFERROR(MIN(INDIRECT("F" &amp; $AZ19):INDIRECT("F" &amp; $BA19)),"")</f>
        <v>46.8</v>
      </c>
      <c r="BF19" s="10">
        <f t="shared" ca="1" si="12"/>
        <v>62.126315789473686</v>
      </c>
      <c r="BI19" s="11">
        <f t="shared" si="16"/>
        <v>45318</v>
      </c>
      <c r="BJ19" s="10">
        <f ca="1">IFERROR(AVERAGE(INDIRECT("H" &amp; $AZ19):INDIRECT("H" &amp; $BA19)),"")</f>
        <v>19.557894736842105</v>
      </c>
      <c r="BK19">
        <f ca="1">IFERROR(MAX(INDIRECT("I" &amp; $AZ19):INDIRECT("I" &amp; $BA19)),"")</f>
        <v>26.8</v>
      </c>
      <c r="BL19">
        <f ca="1">IFERROR(MIN(INDIRECT("J" &amp; $AZ19):INDIRECT("J" &amp; $BA19)),"")</f>
        <v>14.5</v>
      </c>
      <c r="BM19" s="10">
        <f t="shared" ca="1" si="13"/>
        <v>19.857894736842105</v>
      </c>
    </row>
    <row r="20" spans="1:65" x14ac:dyDescent="0.2">
      <c r="A20" s="1">
        <v>45413</v>
      </c>
      <c r="B20" s="2">
        <v>0.70833333333333337</v>
      </c>
      <c r="C20" s="6">
        <v>45413.708333333336</v>
      </c>
      <c r="D20">
        <v>59.9</v>
      </c>
      <c r="E20">
        <v>63.8</v>
      </c>
      <c r="F20">
        <v>55.7</v>
      </c>
      <c r="G20" t="s">
        <v>6</v>
      </c>
      <c r="H20">
        <v>19.399999999999999</v>
      </c>
      <c r="I20">
        <v>23.6</v>
      </c>
      <c r="J20">
        <v>15</v>
      </c>
      <c r="K20" t="s">
        <v>6</v>
      </c>
      <c r="L20">
        <v>221</v>
      </c>
      <c r="M20" t="s">
        <v>6</v>
      </c>
      <c r="O20" s="6">
        <f t="shared" si="0"/>
        <v>45413.708333333336</v>
      </c>
      <c r="P20">
        <f t="shared" si="1"/>
        <v>59.9</v>
      </c>
      <c r="Q20">
        <f t="shared" si="2"/>
        <v>63.8</v>
      </c>
      <c r="R20">
        <f t="shared" si="3"/>
        <v>55.7</v>
      </c>
      <c r="S20">
        <f t="shared" si="4"/>
        <v>60.9</v>
      </c>
      <c r="V20" s="6">
        <f t="shared" si="5"/>
        <v>45413.708333333336</v>
      </c>
      <c r="W20">
        <f t="shared" si="6"/>
        <v>19.399999999999999</v>
      </c>
      <c r="X20">
        <f t="shared" si="7"/>
        <v>23.6</v>
      </c>
      <c r="Y20">
        <f t="shared" si="8"/>
        <v>15</v>
      </c>
      <c r="Z20">
        <f t="shared" si="9"/>
        <v>20.399999999999999</v>
      </c>
      <c r="AY20" t="s">
        <v>35</v>
      </c>
      <c r="AZ20">
        <f t="shared" ca="1" si="10"/>
        <v>352</v>
      </c>
      <c r="BA20">
        <f t="shared" ca="1" si="11"/>
        <v>371</v>
      </c>
      <c r="BB20" s="11">
        <f t="shared" si="15"/>
        <v>45319</v>
      </c>
      <c r="BC20" s="10">
        <f ca="1">IFERROR(AVERAGE(INDIRECT("D" &amp; $AZ20):INDIRECT("D" &amp; $BA20)),"")</f>
        <v>58.20000000000001</v>
      </c>
      <c r="BD20">
        <f ca="1">IFERROR(MAX(INDIRECT("E" &amp; $AZ20):INDIRECT("E" &amp; $BA20)),"")</f>
        <v>69.599999999999994</v>
      </c>
      <c r="BE20">
        <f ca="1">IFERROR(MIN(INDIRECT("F" &amp; $AZ20):INDIRECT("F" &amp; $BA20)),"")</f>
        <v>46.8</v>
      </c>
      <c r="BF20" s="10">
        <f t="shared" ca="1" si="12"/>
        <v>59.20000000000001</v>
      </c>
      <c r="BI20" s="11">
        <f t="shared" si="16"/>
        <v>45319</v>
      </c>
      <c r="BJ20" s="10">
        <f ca="1">IFERROR(AVERAGE(INDIRECT("H" &amp; $AZ20):INDIRECT("H" &amp; $BA20)),"")</f>
        <v>19.35499999999999</v>
      </c>
      <c r="BK20">
        <f ca="1">IFERROR(MAX(INDIRECT("I" &amp; $AZ20):INDIRECT("I" &amp; $BA20)),"")</f>
        <v>29.4</v>
      </c>
      <c r="BL20">
        <f ca="1">IFERROR(MIN(INDIRECT("J" &amp; $AZ20):INDIRECT("J" &amp; $BA20)),"")</f>
        <v>12.5</v>
      </c>
      <c r="BM20" s="10">
        <f t="shared" ca="1" si="13"/>
        <v>19.65499999999999</v>
      </c>
    </row>
    <row r="21" spans="1:65" x14ac:dyDescent="0.2">
      <c r="A21" s="1">
        <v>45413</v>
      </c>
      <c r="B21" s="2">
        <v>0.75</v>
      </c>
      <c r="C21" s="6">
        <v>45413.75</v>
      </c>
      <c r="D21">
        <v>60.2</v>
      </c>
      <c r="E21">
        <v>66.099999999999994</v>
      </c>
      <c r="F21">
        <v>53.5</v>
      </c>
      <c r="G21" t="s">
        <v>6</v>
      </c>
      <c r="H21">
        <v>20</v>
      </c>
      <c r="I21">
        <v>24</v>
      </c>
      <c r="J21">
        <v>16.2</v>
      </c>
      <c r="K21" t="s">
        <v>6</v>
      </c>
      <c r="L21">
        <v>179</v>
      </c>
      <c r="M21" t="s">
        <v>6</v>
      </c>
      <c r="O21" s="6">
        <f t="shared" si="0"/>
        <v>45413.75</v>
      </c>
      <c r="P21">
        <f t="shared" si="1"/>
        <v>60.2</v>
      </c>
      <c r="Q21">
        <f t="shared" si="2"/>
        <v>66.099999999999994</v>
      </c>
      <c r="R21">
        <f t="shared" si="3"/>
        <v>53.5</v>
      </c>
      <c r="S21">
        <f t="shared" si="4"/>
        <v>61.2</v>
      </c>
      <c r="V21" s="6">
        <f t="shared" si="5"/>
        <v>45413.75</v>
      </c>
      <c r="W21">
        <f t="shared" si="6"/>
        <v>20</v>
      </c>
      <c r="X21">
        <f t="shared" si="7"/>
        <v>24</v>
      </c>
      <c r="Y21">
        <f t="shared" si="8"/>
        <v>16.2</v>
      </c>
      <c r="Z21">
        <f t="shared" si="9"/>
        <v>21</v>
      </c>
      <c r="AY21" t="s">
        <v>36</v>
      </c>
      <c r="AZ21">
        <f t="shared" ca="1" si="10"/>
        <v>372</v>
      </c>
      <c r="BA21">
        <f t="shared" ca="1" si="11"/>
        <v>391</v>
      </c>
      <c r="BB21" s="11">
        <f t="shared" si="15"/>
        <v>45320</v>
      </c>
      <c r="BC21" s="10">
        <f ca="1">IFERROR(AVERAGE(INDIRECT("D" &amp; $AZ21):INDIRECT("D" &amp; $BA21)),"")</f>
        <v>60.015000000000008</v>
      </c>
      <c r="BD21">
        <f ca="1">IFERROR(MAX(INDIRECT("E" &amp; $AZ21):INDIRECT("E" &amp; $BA21)),"")</f>
        <v>70.7</v>
      </c>
      <c r="BE21">
        <f ca="1">IFERROR(MIN(INDIRECT("F" &amp; $AZ21):INDIRECT("F" &amp; $BA21)),"")</f>
        <v>49.4</v>
      </c>
      <c r="BF21" s="10">
        <f t="shared" ca="1" si="12"/>
        <v>61.015000000000008</v>
      </c>
      <c r="BI21" s="11">
        <f t="shared" si="16"/>
        <v>45320</v>
      </c>
      <c r="BJ21" s="10">
        <f ca="1">IFERROR(AVERAGE(INDIRECT("H" &amp; $AZ21):INDIRECT("H" &amp; $BA21)),"")</f>
        <v>19.504999999999999</v>
      </c>
      <c r="BK21">
        <f ca="1">IFERROR(MAX(INDIRECT("I" &amp; $AZ21):INDIRECT("I" &amp; $BA21)),"")</f>
        <v>34.700000000000003</v>
      </c>
      <c r="BL21">
        <f ca="1">IFERROR(MIN(INDIRECT("J" &amp; $AZ21):INDIRECT("J" &amp; $BA21)),"")</f>
        <v>13.4</v>
      </c>
      <c r="BM21" s="10">
        <f t="shared" ca="1" si="13"/>
        <v>19.805</v>
      </c>
    </row>
    <row r="22" spans="1:65" x14ac:dyDescent="0.2">
      <c r="A22" s="1">
        <v>45413</v>
      </c>
      <c r="B22" s="2">
        <v>0.79166666666666663</v>
      </c>
      <c r="C22" s="6">
        <v>45413.791666666664</v>
      </c>
      <c r="D22">
        <v>62.3</v>
      </c>
      <c r="E22">
        <v>74.400000000000006</v>
      </c>
      <c r="F22">
        <v>52.1</v>
      </c>
      <c r="G22" t="s">
        <v>6</v>
      </c>
      <c r="H22">
        <v>19.399999999999999</v>
      </c>
      <c r="I22">
        <v>22.7</v>
      </c>
      <c r="J22">
        <v>13.2</v>
      </c>
      <c r="K22" t="s">
        <v>6</v>
      </c>
      <c r="L22">
        <v>211</v>
      </c>
      <c r="M22" t="s">
        <v>6</v>
      </c>
      <c r="O22" s="6">
        <f t="shared" si="0"/>
        <v>45413.791666666664</v>
      </c>
      <c r="P22">
        <f t="shared" si="1"/>
        <v>62.3</v>
      </c>
      <c r="Q22">
        <f t="shared" si="2"/>
        <v>74.400000000000006</v>
      </c>
      <c r="R22">
        <f t="shared" si="3"/>
        <v>52.1</v>
      </c>
      <c r="S22">
        <f t="shared" si="4"/>
        <v>63.3</v>
      </c>
      <c r="V22" s="6">
        <f t="shared" si="5"/>
        <v>45413.791666666664</v>
      </c>
      <c r="W22">
        <f t="shared" si="6"/>
        <v>19.399999999999999</v>
      </c>
      <c r="X22">
        <f t="shared" si="7"/>
        <v>22.7</v>
      </c>
      <c r="Y22">
        <f t="shared" si="8"/>
        <v>13.2</v>
      </c>
      <c r="Z22">
        <f t="shared" si="9"/>
        <v>20.399999999999999</v>
      </c>
      <c r="AY22" t="s">
        <v>37</v>
      </c>
      <c r="AZ22">
        <f t="shared" ca="1" si="10"/>
        <v>392</v>
      </c>
      <c r="BA22">
        <f t="shared" ca="1" si="11"/>
        <v>410</v>
      </c>
      <c r="BB22" s="11">
        <f t="shared" si="15"/>
        <v>45321</v>
      </c>
      <c r="BC22" s="10">
        <f ca="1">IFERROR(AVERAGE(INDIRECT("D" &amp; $AZ22):INDIRECT("D" &amp; $BA22)),"")</f>
        <v>58.063157894736847</v>
      </c>
      <c r="BD22">
        <f ca="1">IFERROR(MAX(INDIRECT("E" &amp; $AZ22):INDIRECT("E" &amp; $BA22)),"")</f>
        <v>73.2</v>
      </c>
      <c r="BE22">
        <f ca="1">IFERROR(MIN(INDIRECT("F" &amp; $AZ22):INDIRECT("F" &amp; $BA22)),"")</f>
        <v>49.4</v>
      </c>
      <c r="BF22" s="10">
        <f t="shared" ca="1" si="12"/>
        <v>59.063157894736847</v>
      </c>
      <c r="BI22" s="11">
        <f t="shared" si="16"/>
        <v>45321</v>
      </c>
      <c r="BJ22" s="10">
        <f ca="1">IFERROR(AVERAGE(INDIRECT("H" &amp; $AZ22):INDIRECT("H" &amp; $BA22)),"")</f>
        <v>19.894736842105264</v>
      </c>
      <c r="BK22">
        <f ca="1">IFERROR(MAX(INDIRECT("I" &amp; $AZ22):INDIRECT("I" &amp; $BA22)),"")</f>
        <v>30.5</v>
      </c>
      <c r="BL22">
        <f ca="1">IFERROR(MIN(INDIRECT("J" &amp; $AZ22):INDIRECT("J" &amp; $BA22)),"")</f>
        <v>13</v>
      </c>
      <c r="BM22" s="10">
        <f t="shared" ca="1" si="13"/>
        <v>20.194736842105264</v>
      </c>
    </row>
    <row r="23" spans="1:65" x14ac:dyDescent="0.2">
      <c r="A23" s="1">
        <v>45413</v>
      </c>
      <c r="B23" s="2">
        <v>0.83333333333333337</v>
      </c>
      <c r="C23" s="6">
        <v>45413.833333333336</v>
      </c>
      <c r="D23">
        <v>62.7</v>
      </c>
      <c r="E23">
        <v>67.900000000000006</v>
      </c>
      <c r="F23">
        <v>57.7</v>
      </c>
      <c r="G23" t="s">
        <v>6</v>
      </c>
      <c r="H23">
        <v>19.600000000000001</v>
      </c>
      <c r="I23">
        <v>23.2</v>
      </c>
      <c r="J23">
        <v>14.8</v>
      </c>
      <c r="K23" t="s">
        <v>6</v>
      </c>
      <c r="L23">
        <v>217</v>
      </c>
      <c r="M23" t="s">
        <v>6</v>
      </c>
      <c r="O23" s="6">
        <f t="shared" si="0"/>
        <v>45413.833333333336</v>
      </c>
      <c r="P23">
        <f t="shared" si="1"/>
        <v>62.7</v>
      </c>
      <c r="Q23">
        <f t="shared" si="2"/>
        <v>67.900000000000006</v>
      </c>
      <c r="R23">
        <f t="shared" si="3"/>
        <v>57.7</v>
      </c>
      <c r="S23">
        <f t="shared" si="4"/>
        <v>63.7</v>
      </c>
      <c r="V23" s="6">
        <f t="shared" si="5"/>
        <v>45413.833333333336</v>
      </c>
      <c r="W23">
        <f t="shared" si="6"/>
        <v>19.600000000000001</v>
      </c>
      <c r="X23">
        <f t="shared" si="7"/>
        <v>23.2</v>
      </c>
      <c r="Y23">
        <f t="shared" si="8"/>
        <v>14.8</v>
      </c>
      <c r="Z23">
        <f t="shared" si="9"/>
        <v>20.6</v>
      </c>
      <c r="AY23" t="s">
        <v>38</v>
      </c>
      <c r="AZ23">
        <f t="shared" ca="1" si="10"/>
        <v>411</v>
      </c>
      <c r="BA23">
        <f t="shared" ca="1" si="11"/>
        <v>429</v>
      </c>
      <c r="BB23" s="11">
        <f t="shared" si="15"/>
        <v>45322</v>
      </c>
      <c r="BC23" s="10">
        <f ca="1">IFERROR(AVERAGE(INDIRECT("D" &amp; $AZ23):INDIRECT("D" &amp; $BA23)),"")</f>
        <v>57.815789473684212</v>
      </c>
      <c r="BD23">
        <f ca="1">IFERROR(MAX(INDIRECT("E" &amp; $AZ23):INDIRECT("E" &amp; $BA23)),"")</f>
        <v>74.900000000000006</v>
      </c>
      <c r="BE23">
        <f ca="1">IFERROR(MIN(INDIRECT("F" &amp; $AZ23):INDIRECT("F" &amp; $BA23)),"")</f>
        <v>49.2</v>
      </c>
      <c r="BF23" s="10">
        <f t="shared" ca="1" si="12"/>
        <v>58.815789473684212</v>
      </c>
      <c r="BI23" s="11">
        <f t="shared" si="16"/>
        <v>45322</v>
      </c>
      <c r="BJ23" s="10">
        <f ca="1">IFERROR(AVERAGE(INDIRECT("H" &amp; $AZ23):INDIRECT("H" &amp; $BA23)),"")</f>
        <v>19.184210526315791</v>
      </c>
      <c r="BK23">
        <f ca="1">IFERROR(MAX(INDIRECT("I" &amp; $AZ23):INDIRECT("I" &amp; $BA23)),"")</f>
        <v>29</v>
      </c>
      <c r="BL23">
        <f ca="1">IFERROR(MIN(INDIRECT("J" &amp; $AZ23):INDIRECT("J" &amp; $BA23)),"")</f>
        <v>12.8</v>
      </c>
      <c r="BM23" s="10">
        <f t="shared" ca="1" si="13"/>
        <v>19.484210526315792</v>
      </c>
    </row>
    <row r="24" spans="1:65" x14ac:dyDescent="0.2">
      <c r="A24" s="1">
        <v>45413</v>
      </c>
      <c r="B24" s="2">
        <v>0.875</v>
      </c>
      <c r="C24" s="6">
        <v>45413.875</v>
      </c>
      <c r="D24">
        <v>66.099999999999994</v>
      </c>
      <c r="E24">
        <v>78</v>
      </c>
      <c r="F24">
        <v>54</v>
      </c>
      <c r="G24" t="s">
        <v>6</v>
      </c>
      <c r="H24">
        <v>21.3</v>
      </c>
      <c r="I24">
        <v>27.3</v>
      </c>
      <c r="J24">
        <v>16.5</v>
      </c>
      <c r="K24" t="s">
        <v>6</v>
      </c>
      <c r="L24">
        <v>185</v>
      </c>
      <c r="M24" t="s">
        <v>6</v>
      </c>
      <c r="O24" s="6">
        <f t="shared" si="0"/>
        <v>45413.875</v>
      </c>
      <c r="P24">
        <f t="shared" si="1"/>
        <v>66.099999999999994</v>
      </c>
      <c r="Q24">
        <f t="shared" si="2"/>
        <v>78</v>
      </c>
      <c r="R24">
        <f t="shared" si="3"/>
        <v>54</v>
      </c>
      <c r="S24">
        <f t="shared" si="4"/>
        <v>67.099999999999994</v>
      </c>
      <c r="V24" s="6">
        <f t="shared" si="5"/>
        <v>45413.875</v>
      </c>
      <c r="W24">
        <f t="shared" si="6"/>
        <v>21.3</v>
      </c>
      <c r="X24">
        <f t="shared" si="7"/>
        <v>27.3</v>
      </c>
      <c r="Y24">
        <f t="shared" si="8"/>
        <v>16.5</v>
      </c>
      <c r="Z24">
        <f t="shared" si="9"/>
        <v>22.3</v>
      </c>
      <c r="AY24" t="s">
        <v>39</v>
      </c>
      <c r="AZ24">
        <f t="shared" ca="1" si="10"/>
        <v>430</v>
      </c>
      <c r="BA24">
        <f t="shared" ca="1" si="11"/>
        <v>447</v>
      </c>
      <c r="BB24" s="11">
        <f t="shared" si="15"/>
        <v>45323</v>
      </c>
      <c r="BC24" s="10">
        <f ca="1">IFERROR(AVERAGE(INDIRECT("D" &amp; $AZ24):INDIRECT("D" &amp; $BA24)),"")</f>
        <v>58.833333333333343</v>
      </c>
      <c r="BD24">
        <f ca="1">IFERROR(MAX(INDIRECT("E" &amp; $AZ24):INDIRECT("E" &amp; $BA24)),"")</f>
        <v>76</v>
      </c>
      <c r="BE24">
        <f ca="1">IFERROR(MIN(INDIRECT("F" &amp; $AZ24):INDIRECT("F" &amp; $BA24)),"")</f>
        <v>47.7</v>
      </c>
      <c r="BF24" s="10">
        <f t="shared" ca="1" si="12"/>
        <v>59.833333333333343</v>
      </c>
      <c r="BG24">
        <v>1</v>
      </c>
      <c r="BI24" s="11">
        <f t="shared" si="16"/>
        <v>45323</v>
      </c>
      <c r="BJ24" s="10">
        <f ca="1">IFERROR(AVERAGE(INDIRECT("H" &amp; $AZ24):INDIRECT("H" &amp; $BA24)),"")</f>
        <v>19.572222222222226</v>
      </c>
      <c r="BK24">
        <f ca="1">IFERROR(MAX(INDIRECT("I" &amp; $AZ24):INDIRECT("I" &amp; $BA24)),"")</f>
        <v>35.6</v>
      </c>
      <c r="BL24">
        <f ca="1">IFERROR(MIN(INDIRECT("J" &amp; $AZ24):INDIRECT("J" &amp; $BA24)),"")</f>
        <v>12.4</v>
      </c>
      <c r="BM24" s="10">
        <f t="shared" ca="1" si="13"/>
        <v>19.872222222222227</v>
      </c>
    </row>
    <row r="25" spans="1:65" x14ac:dyDescent="0.2">
      <c r="A25" s="1">
        <v>45413</v>
      </c>
      <c r="B25" s="2">
        <v>0.91666666666666663</v>
      </c>
      <c r="C25" s="6">
        <v>45413.916666666664</v>
      </c>
      <c r="D25">
        <v>64.2</v>
      </c>
      <c r="E25">
        <v>69.5</v>
      </c>
      <c r="F25">
        <v>53</v>
      </c>
      <c r="G25" t="s">
        <v>6</v>
      </c>
      <c r="H25">
        <v>21.6</v>
      </c>
      <c r="I25">
        <v>24.5</v>
      </c>
      <c r="J25">
        <v>16.899999999999999</v>
      </c>
      <c r="K25" t="s">
        <v>6</v>
      </c>
      <c r="L25">
        <v>192</v>
      </c>
      <c r="M25" t="s">
        <v>6</v>
      </c>
      <c r="O25" s="6">
        <f t="shared" si="0"/>
        <v>45413.916666666664</v>
      </c>
      <c r="P25">
        <f t="shared" si="1"/>
        <v>64.2</v>
      </c>
      <c r="Q25">
        <f t="shared" si="2"/>
        <v>69.5</v>
      </c>
      <c r="R25">
        <f t="shared" si="3"/>
        <v>53</v>
      </c>
      <c r="S25">
        <f t="shared" si="4"/>
        <v>65.2</v>
      </c>
      <c r="V25" s="6">
        <f t="shared" si="5"/>
        <v>45413.916666666664</v>
      </c>
      <c r="W25">
        <f t="shared" si="6"/>
        <v>21.6</v>
      </c>
      <c r="X25">
        <f t="shared" si="7"/>
        <v>24.5</v>
      </c>
      <c r="Y25">
        <f t="shared" si="8"/>
        <v>16.899999999999999</v>
      </c>
      <c r="Z25">
        <f t="shared" si="9"/>
        <v>22.6</v>
      </c>
      <c r="AY25" t="s">
        <v>40</v>
      </c>
      <c r="AZ25">
        <f t="shared" ca="1" si="10"/>
        <v>448</v>
      </c>
      <c r="BA25">
        <f t="shared" ca="1" si="11"/>
        <v>469</v>
      </c>
      <c r="BB25" s="11">
        <f t="shared" si="15"/>
        <v>45324</v>
      </c>
      <c r="BC25" s="10">
        <f ca="1">IFERROR(AVERAGE(INDIRECT("D" &amp; $AZ25):INDIRECT("D" &amp; $BA25)),"")</f>
        <v>58.445454545454531</v>
      </c>
      <c r="BD25">
        <f ca="1">IFERROR(MAX(INDIRECT("E" &amp; $AZ25):INDIRECT("E" &amp; $BA25)),"")</f>
        <v>72.3</v>
      </c>
      <c r="BE25">
        <f ca="1">IFERROR(MIN(INDIRECT("F" &amp; $AZ25):INDIRECT("F" &amp; $BA25)),"")</f>
        <v>50</v>
      </c>
      <c r="BF25" s="10">
        <f t="shared" ca="1" si="12"/>
        <v>59.445454545454531</v>
      </c>
      <c r="BI25" s="11">
        <f t="shared" si="16"/>
        <v>45324</v>
      </c>
      <c r="BJ25" s="10">
        <f ca="1">IFERROR(AVERAGE(INDIRECT("H" &amp; $AZ25):INDIRECT("H" &amp; $BA25)),"")</f>
        <v>19.790909090909093</v>
      </c>
      <c r="BK25">
        <f ca="1">IFERROR(MAX(INDIRECT("I" &amp; $AZ25):INDIRECT("I" &amp; $BA25)),"")</f>
        <v>28.5</v>
      </c>
      <c r="BL25">
        <f ca="1">IFERROR(MIN(INDIRECT("J" &amp; $AZ25):INDIRECT("J" &amp; $BA25)),"")</f>
        <v>13.2</v>
      </c>
      <c r="BM25" s="10">
        <f t="shared" ca="1" si="13"/>
        <v>20.090909090909093</v>
      </c>
    </row>
    <row r="26" spans="1:65" x14ac:dyDescent="0.2">
      <c r="A26" s="1">
        <v>45413</v>
      </c>
      <c r="B26" s="2">
        <v>0.95833333333333337</v>
      </c>
      <c r="C26" s="6">
        <v>45413.958333333336</v>
      </c>
      <c r="D26">
        <v>59.3</v>
      </c>
      <c r="E26">
        <v>65.3</v>
      </c>
      <c r="F26">
        <v>55</v>
      </c>
      <c r="G26" t="s">
        <v>6</v>
      </c>
      <c r="H26">
        <v>22.9</v>
      </c>
      <c r="I26">
        <v>27.4</v>
      </c>
      <c r="J26">
        <v>16.7</v>
      </c>
      <c r="K26" t="s">
        <v>6</v>
      </c>
      <c r="L26">
        <v>164</v>
      </c>
      <c r="M26" t="s">
        <v>6</v>
      </c>
      <c r="O26" s="6">
        <f t="shared" si="0"/>
        <v>45413.958333333336</v>
      </c>
      <c r="P26">
        <f t="shared" si="1"/>
        <v>59.3</v>
      </c>
      <c r="Q26">
        <f t="shared" si="2"/>
        <v>65.3</v>
      </c>
      <c r="R26">
        <f t="shared" si="3"/>
        <v>55</v>
      </c>
      <c r="S26">
        <f t="shared" si="4"/>
        <v>60.3</v>
      </c>
      <c r="V26" s="6">
        <f t="shared" si="5"/>
        <v>45413.958333333336</v>
      </c>
      <c r="W26">
        <f t="shared" si="6"/>
        <v>22.9</v>
      </c>
      <c r="X26">
        <f t="shared" si="7"/>
        <v>27.4</v>
      </c>
      <c r="Y26">
        <f t="shared" si="8"/>
        <v>16.7</v>
      </c>
      <c r="Z26">
        <f t="shared" si="9"/>
        <v>23.9</v>
      </c>
      <c r="AY26" t="s">
        <v>41</v>
      </c>
      <c r="AZ26">
        <f t="shared" ca="1" si="10"/>
        <v>470</v>
      </c>
      <c r="BA26">
        <f t="shared" ca="1" si="11"/>
        <v>486</v>
      </c>
      <c r="BB26" s="11">
        <f t="shared" si="15"/>
        <v>45325</v>
      </c>
      <c r="BC26" s="10">
        <f ca="1">IFERROR(AVERAGE(INDIRECT("D" &amp; $AZ26):INDIRECT("D" &amp; $BA26)),"")</f>
        <v>61.370588235294115</v>
      </c>
      <c r="BD26">
        <f ca="1">IFERROR(MAX(INDIRECT("E" &amp; $AZ26):INDIRECT("E" &amp; $BA26)),"")</f>
        <v>75.2</v>
      </c>
      <c r="BE26">
        <f ca="1">IFERROR(MIN(INDIRECT("F" &amp; $AZ26):INDIRECT("F" &amp; $BA26)),"")</f>
        <v>50.7</v>
      </c>
      <c r="BF26" s="10">
        <f t="shared" ca="1" si="12"/>
        <v>62.370588235294115</v>
      </c>
      <c r="BI26" s="11">
        <f t="shared" si="16"/>
        <v>45325</v>
      </c>
      <c r="BJ26" s="10">
        <f ca="1">IFERROR(AVERAGE(INDIRECT("H" &amp; $AZ26):INDIRECT("H" &amp; $BA26)),"")</f>
        <v>19.952941176470592</v>
      </c>
      <c r="BK26">
        <f ca="1">IFERROR(MAX(INDIRECT("I" &amp; $AZ26):INDIRECT("I" &amp; $BA26)),"")</f>
        <v>30.5</v>
      </c>
      <c r="BL26">
        <f ca="1">IFERROR(MIN(INDIRECT("J" &amp; $AZ26):INDIRECT("J" &amp; $BA26)),"")</f>
        <v>13.7</v>
      </c>
      <c r="BM26" s="10">
        <f t="shared" ca="1" si="13"/>
        <v>20.252941176470593</v>
      </c>
    </row>
    <row r="27" spans="1:65" x14ac:dyDescent="0.2">
      <c r="A27" s="1">
        <v>45414</v>
      </c>
      <c r="B27" s="2">
        <v>0</v>
      </c>
      <c r="C27" s="6">
        <v>45414</v>
      </c>
      <c r="D27">
        <v>56.8</v>
      </c>
      <c r="E27">
        <v>63.8</v>
      </c>
      <c r="F27">
        <v>51.4</v>
      </c>
      <c r="G27" t="s">
        <v>6</v>
      </c>
      <c r="H27">
        <v>22.1</v>
      </c>
      <c r="I27">
        <v>25.6</v>
      </c>
      <c r="J27">
        <v>18.600000000000001</v>
      </c>
      <c r="K27" t="s">
        <v>6</v>
      </c>
      <c r="L27">
        <v>196</v>
      </c>
      <c r="M27" t="s">
        <v>6</v>
      </c>
      <c r="O27" s="6">
        <f t="shared" si="0"/>
        <v>45414</v>
      </c>
      <c r="P27">
        <f t="shared" si="1"/>
        <v>56.8</v>
      </c>
      <c r="Q27">
        <f t="shared" si="2"/>
        <v>63.8</v>
      </c>
      <c r="R27">
        <f t="shared" si="3"/>
        <v>51.4</v>
      </c>
      <c r="S27">
        <f t="shared" si="4"/>
        <v>57.8</v>
      </c>
      <c r="V27" s="6">
        <f t="shared" si="5"/>
        <v>45414</v>
      </c>
      <c r="W27">
        <f t="shared" si="6"/>
        <v>22.1</v>
      </c>
      <c r="X27">
        <f t="shared" si="7"/>
        <v>25.6</v>
      </c>
      <c r="Y27">
        <f t="shared" si="8"/>
        <v>18.600000000000001</v>
      </c>
      <c r="Z27">
        <f t="shared" si="9"/>
        <v>23.1</v>
      </c>
      <c r="AY27" t="s">
        <v>42</v>
      </c>
      <c r="AZ27">
        <f t="shared" ca="1" si="10"/>
        <v>487</v>
      </c>
      <c r="BA27">
        <f t="shared" ca="1" si="11"/>
        <v>507</v>
      </c>
      <c r="BB27" s="11">
        <f t="shared" si="15"/>
        <v>45326</v>
      </c>
      <c r="BC27" s="10">
        <f ca="1">IFERROR(AVERAGE(INDIRECT("D" &amp; $AZ27):INDIRECT("D" &amp; $BA27)),"")</f>
        <v>58.176190476190477</v>
      </c>
      <c r="BD27">
        <f ca="1">IFERROR(MAX(INDIRECT("E" &amp; $AZ27):INDIRECT("E" &amp; $BA27)),"")</f>
        <v>74.900000000000006</v>
      </c>
      <c r="BE27">
        <f ca="1">IFERROR(MIN(INDIRECT("F" &amp; $AZ27):INDIRECT("F" &amp; $BA27)),"")</f>
        <v>46.4</v>
      </c>
      <c r="BF27" s="10">
        <f t="shared" ca="1" si="12"/>
        <v>59.176190476190477</v>
      </c>
      <c r="BI27" s="11">
        <f t="shared" si="16"/>
        <v>45326</v>
      </c>
      <c r="BJ27" s="10">
        <f ca="1">IFERROR(AVERAGE(INDIRECT("H" &amp; $AZ27):INDIRECT("H" &amp; $BA27)),"")</f>
        <v>19.128571428571426</v>
      </c>
      <c r="BK27">
        <f ca="1">IFERROR(MAX(INDIRECT("I" &amp; $AZ27):INDIRECT("I" &amp; $BA27)),"")</f>
        <v>32.799999999999997</v>
      </c>
      <c r="BL27">
        <f ca="1">IFERROR(MIN(INDIRECT("J" &amp; $AZ27):INDIRECT("J" &amp; $BA27)),"")</f>
        <v>13.3</v>
      </c>
      <c r="BM27" s="10">
        <f t="shared" ca="1" si="13"/>
        <v>19.428571428571427</v>
      </c>
    </row>
    <row r="28" spans="1:65" x14ac:dyDescent="0.2">
      <c r="A28" s="1">
        <v>45414</v>
      </c>
      <c r="B28" s="2">
        <v>4.1666666666666664E-2</v>
      </c>
      <c r="C28" s="6">
        <v>45414.041666666664</v>
      </c>
      <c r="D28">
        <v>68.400000000000006</v>
      </c>
      <c r="E28">
        <v>74.099999999999994</v>
      </c>
      <c r="F28">
        <v>62.2</v>
      </c>
      <c r="G28" t="s">
        <v>6</v>
      </c>
      <c r="H28">
        <v>20.3</v>
      </c>
      <c r="I28">
        <v>23.2</v>
      </c>
      <c r="J28">
        <v>15.4</v>
      </c>
      <c r="K28" t="s">
        <v>6</v>
      </c>
      <c r="L28">
        <v>213</v>
      </c>
      <c r="M28" t="s">
        <v>6</v>
      </c>
      <c r="O28" s="6">
        <f t="shared" si="0"/>
        <v>45414.041666666664</v>
      </c>
      <c r="P28">
        <f t="shared" si="1"/>
        <v>68.400000000000006</v>
      </c>
      <c r="Q28">
        <f t="shared" si="2"/>
        <v>74.099999999999994</v>
      </c>
      <c r="R28">
        <f t="shared" si="3"/>
        <v>62.2</v>
      </c>
      <c r="S28">
        <f t="shared" si="4"/>
        <v>69.400000000000006</v>
      </c>
      <c r="V28" s="6">
        <f t="shared" si="5"/>
        <v>45414.041666666664</v>
      </c>
      <c r="W28">
        <f t="shared" si="6"/>
        <v>20.3</v>
      </c>
      <c r="X28">
        <f t="shared" si="7"/>
        <v>23.2</v>
      </c>
      <c r="Y28">
        <f t="shared" si="8"/>
        <v>15.4</v>
      </c>
      <c r="Z28">
        <f t="shared" si="9"/>
        <v>21.3</v>
      </c>
      <c r="AY28" t="s">
        <v>43</v>
      </c>
      <c r="AZ28">
        <f t="shared" ca="1" si="10"/>
        <v>508</v>
      </c>
      <c r="BA28">
        <f t="shared" ca="1" si="11"/>
        <v>525</v>
      </c>
      <c r="BB28" s="11">
        <f t="shared" si="15"/>
        <v>45327</v>
      </c>
      <c r="BC28" s="10">
        <f ca="1">IFERROR(AVERAGE(INDIRECT("D" &amp; $AZ28):INDIRECT("D" &amp; $BA28)),"")</f>
        <v>61.150000000000006</v>
      </c>
      <c r="BD28">
        <f ca="1">IFERROR(MAX(INDIRECT("E" &amp; $AZ28):INDIRECT("E" &amp; $BA28)),"")</f>
        <v>84.4</v>
      </c>
      <c r="BE28">
        <f ca="1">IFERROR(MIN(INDIRECT("F" &amp; $AZ28):INDIRECT("F" &amp; $BA28)),"")</f>
        <v>48.6</v>
      </c>
      <c r="BF28" s="10">
        <f t="shared" ca="1" si="12"/>
        <v>62.150000000000006</v>
      </c>
      <c r="BI28" s="11">
        <f t="shared" si="16"/>
        <v>45327</v>
      </c>
      <c r="BJ28" s="10">
        <f ca="1">IFERROR(AVERAGE(INDIRECT("H" &amp; $AZ28):INDIRECT("H" &amp; $BA28)),"")</f>
        <v>19.549999999999997</v>
      </c>
      <c r="BK28">
        <f ca="1">IFERROR(MAX(INDIRECT("I" &amp; $AZ28):INDIRECT("I" &amp; $BA28)),"")</f>
        <v>30.5</v>
      </c>
      <c r="BL28">
        <f ca="1">IFERROR(MIN(INDIRECT("J" &amp; $AZ28):INDIRECT("J" &amp; $BA28)),"")</f>
        <v>12.5</v>
      </c>
      <c r="BM28" s="10">
        <f t="shared" ca="1" si="13"/>
        <v>19.849999999999998</v>
      </c>
    </row>
    <row r="29" spans="1:65" x14ac:dyDescent="0.2">
      <c r="A29" s="1">
        <v>45414</v>
      </c>
      <c r="B29" s="2">
        <v>8.3333333333333329E-2</v>
      </c>
      <c r="C29" s="6">
        <v>45414.083333333336</v>
      </c>
      <c r="D29">
        <v>69.099999999999994</v>
      </c>
      <c r="E29">
        <v>75.400000000000006</v>
      </c>
      <c r="F29">
        <v>58.6</v>
      </c>
      <c r="G29" t="s">
        <v>6</v>
      </c>
      <c r="H29">
        <v>21</v>
      </c>
      <c r="I29">
        <v>27.5</v>
      </c>
      <c r="J29">
        <v>15.9</v>
      </c>
      <c r="K29" t="s">
        <v>6</v>
      </c>
      <c r="L29">
        <v>195</v>
      </c>
      <c r="M29" t="s">
        <v>6</v>
      </c>
      <c r="O29" s="6">
        <f t="shared" si="0"/>
        <v>45414.083333333336</v>
      </c>
      <c r="P29">
        <f t="shared" si="1"/>
        <v>69.099999999999994</v>
      </c>
      <c r="Q29">
        <f t="shared" si="2"/>
        <v>75.400000000000006</v>
      </c>
      <c r="R29">
        <f t="shared" si="3"/>
        <v>58.6</v>
      </c>
      <c r="S29">
        <f t="shared" si="4"/>
        <v>70.099999999999994</v>
      </c>
      <c r="V29" s="6">
        <f t="shared" si="5"/>
        <v>45414.083333333336</v>
      </c>
      <c r="W29">
        <f t="shared" si="6"/>
        <v>21</v>
      </c>
      <c r="X29">
        <f t="shared" si="7"/>
        <v>27.5</v>
      </c>
      <c r="Y29">
        <f t="shared" si="8"/>
        <v>15.9</v>
      </c>
      <c r="Z29">
        <f t="shared" si="9"/>
        <v>22</v>
      </c>
      <c r="AY29" t="s">
        <v>44</v>
      </c>
      <c r="AZ29">
        <f t="shared" ca="1" si="10"/>
        <v>526</v>
      </c>
      <c r="BA29">
        <f t="shared" ca="1" si="11"/>
        <v>543</v>
      </c>
      <c r="BB29" s="11">
        <f t="shared" si="15"/>
        <v>45328</v>
      </c>
      <c r="BC29" s="10">
        <f ca="1">IFERROR(AVERAGE(INDIRECT("D" &amp; $AZ29):INDIRECT("D" &amp; $BA29)),"")</f>
        <v>58.31666666666667</v>
      </c>
      <c r="BD29">
        <f ca="1">IFERROR(MAX(INDIRECT("E" &amp; $AZ29):INDIRECT("E" &amp; $BA29)),"")</f>
        <v>71.599999999999994</v>
      </c>
      <c r="BE29">
        <f ca="1">IFERROR(MIN(INDIRECT("F" &amp; $AZ29):INDIRECT("F" &amp; $BA29)),"")</f>
        <v>49.2</v>
      </c>
      <c r="BF29" s="10">
        <f t="shared" ca="1" si="12"/>
        <v>59.31666666666667</v>
      </c>
      <c r="BI29" s="11">
        <f t="shared" si="16"/>
        <v>45328</v>
      </c>
      <c r="BJ29" s="10">
        <f ca="1">IFERROR(AVERAGE(INDIRECT("H" &amp; $AZ29):INDIRECT("H" &amp; $BA29)),"")</f>
        <v>18.927777777777777</v>
      </c>
      <c r="BK29">
        <f ca="1">IFERROR(MAX(INDIRECT("I" &amp; $AZ29):INDIRECT("I" &amp; $BA29)),"")</f>
        <v>29.8</v>
      </c>
      <c r="BL29">
        <f ca="1">IFERROR(MIN(INDIRECT("J" &amp; $AZ29):INDIRECT("J" &amp; $BA29)),"")</f>
        <v>13.2</v>
      </c>
      <c r="BM29" s="10">
        <f t="shared" ca="1" si="13"/>
        <v>19.227777777777778</v>
      </c>
    </row>
    <row r="30" spans="1:65" x14ac:dyDescent="0.2">
      <c r="A30" s="1">
        <v>45414</v>
      </c>
      <c r="B30" s="2">
        <v>0.125</v>
      </c>
      <c r="C30" s="6">
        <v>45414.125</v>
      </c>
      <c r="D30">
        <v>64.7</v>
      </c>
      <c r="E30">
        <v>72.099999999999994</v>
      </c>
      <c r="F30">
        <v>58.7</v>
      </c>
      <c r="G30" t="s">
        <v>6</v>
      </c>
      <c r="H30">
        <v>19.2</v>
      </c>
      <c r="I30">
        <v>24.7</v>
      </c>
      <c r="J30">
        <v>16.5</v>
      </c>
      <c r="K30" t="s">
        <v>6</v>
      </c>
      <c r="L30">
        <v>214</v>
      </c>
      <c r="M30" t="s">
        <v>6</v>
      </c>
      <c r="O30" s="6">
        <f t="shared" si="0"/>
        <v>45414.125</v>
      </c>
      <c r="P30">
        <f t="shared" si="1"/>
        <v>64.7</v>
      </c>
      <c r="Q30">
        <f t="shared" si="2"/>
        <v>72.099999999999994</v>
      </c>
      <c r="R30">
        <f t="shared" si="3"/>
        <v>58.7</v>
      </c>
      <c r="S30">
        <f t="shared" si="4"/>
        <v>65.7</v>
      </c>
      <c r="V30" s="6">
        <f t="shared" si="5"/>
        <v>45414.125</v>
      </c>
      <c r="W30">
        <f t="shared" si="6"/>
        <v>19.2</v>
      </c>
      <c r="X30">
        <f t="shared" si="7"/>
        <v>24.7</v>
      </c>
      <c r="Y30">
        <f t="shared" si="8"/>
        <v>16.5</v>
      </c>
      <c r="Z30">
        <f t="shared" si="9"/>
        <v>20.2</v>
      </c>
      <c r="AY30" t="s">
        <v>45</v>
      </c>
      <c r="AZ30">
        <f t="shared" ca="1" si="10"/>
        <v>544</v>
      </c>
      <c r="BA30">
        <f t="shared" ca="1" si="11"/>
        <v>564</v>
      </c>
      <c r="BB30" s="11">
        <f t="shared" si="15"/>
        <v>45329</v>
      </c>
      <c r="BC30" s="10">
        <f ca="1">IFERROR(AVERAGE(INDIRECT("D" &amp; $AZ30):INDIRECT("D" &amp; $BA30)),"")</f>
        <v>58.004761904761899</v>
      </c>
      <c r="BD30">
        <f ca="1">IFERROR(MAX(INDIRECT("E" &amp; $AZ30):INDIRECT("E" &amp; $BA30)),"")</f>
        <v>68.900000000000006</v>
      </c>
      <c r="BE30">
        <f ca="1">IFERROR(MIN(INDIRECT("F" &amp; $AZ30):INDIRECT("F" &amp; $BA30)),"")</f>
        <v>48.7</v>
      </c>
      <c r="BF30" s="10">
        <f t="shared" ca="1" si="12"/>
        <v>59.004761904761899</v>
      </c>
      <c r="BI30" s="11">
        <f t="shared" si="16"/>
        <v>45329</v>
      </c>
      <c r="BJ30" s="10">
        <f ca="1">IFERROR(AVERAGE(INDIRECT("H" &amp; $AZ30):INDIRECT("H" &amp; $BA30)),"")</f>
        <v>19.333333333333332</v>
      </c>
      <c r="BK30">
        <f ca="1">IFERROR(MAX(INDIRECT("I" &amp; $AZ30):INDIRECT("I" &amp; $BA30)),"")</f>
        <v>27.3</v>
      </c>
      <c r="BL30">
        <f ca="1">IFERROR(MIN(INDIRECT("J" &amp; $AZ30):INDIRECT("J" &amp; $BA30)),"")</f>
        <v>13</v>
      </c>
      <c r="BM30" s="10">
        <f t="shared" ca="1" si="13"/>
        <v>19.633333333333333</v>
      </c>
    </row>
    <row r="31" spans="1:65" x14ac:dyDescent="0.2">
      <c r="A31" s="1">
        <v>45414</v>
      </c>
      <c r="B31" s="2">
        <v>0.16666666666666666</v>
      </c>
      <c r="C31" s="6">
        <v>45414.166666666664</v>
      </c>
      <c r="D31">
        <v>58</v>
      </c>
      <c r="E31">
        <v>62</v>
      </c>
      <c r="F31">
        <v>52.8</v>
      </c>
      <c r="G31" t="s">
        <v>6</v>
      </c>
      <c r="H31">
        <v>17.7</v>
      </c>
      <c r="I31">
        <v>21.1</v>
      </c>
      <c r="J31">
        <v>12.7</v>
      </c>
      <c r="K31" t="s">
        <v>6</v>
      </c>
      <c r="L31">
        <v>213</v>
      </c>
      <c r="M31" t="s">
        <v>6</v>
      </c>
      <c r="O31" s="6">
        <f t="shared" si="0"/>
        <v>45414.166666666664</v>
      </c>
      <c r="P31">
        <f t="shared" si="1"/>
        <v>58</v>
      </c>
      <c r="Q31">
        <f t="shared" si="2"/>
        <v>62</v>
      </c>
      <c r="R31">
        <f t="shared" si="3"/>
        <v>52.8</v>
      </c>
      <c r="S31">
        <f t="shared" si="4"/>
        <v>59</v>
      </c>
      <c r="V31" s="6">
        <f t="shared" si="5"/>
        <v>45414.166666666664</v>
      </c>
      <c r="W31">
        <f t="shared" si="6"/>
        <v>17.7</v>
      </c>
      <c r="X31">
        <f t="shared" si="7"/>
        <v>21.1</v>
      </c>
      <c r="Y31">
        <f t="shared" si="8"/>
        <v>12.7</v>
      </c>
      <c r="Z31">
        <f t="shared" si="9"/>
        <v>18.7</v>
      </c>
      <c r="AY31" t="s">
        <v>46</v>
      </c>
      <c r="AZ31">
        <f t="shared" ca="1" si="10"/>
        <v>565</v>
      </c>
      <c r="BA31">
        <f t="shared" ca="1" si="11"/>
        <v>585</v>
      </c>
      <c r="BB31" s="11">
        <f t="shared" si="15"/>
        <v>45330</v>
      </c>
      <c r="BC31" s="10">
        <f ca="1">IFERROR(AVERAGE(INDIRECT("D" &amp; $AZ31):INDIRECT("D" &amp; $BA31)),"")</f>
        <v>61.05238095238095</v>
      </c>
      <c r="BD31">
        <f ca="1">IFERROR(MAX(INDIRECT("E" &amp; $AZ31):INDIRECT("E" &amp; $BA31)),"")</f>
        <v>80.2</v>
      </c>
      <c r="BE31">
        <f ca="1">IFERROR(MIN(INDIRECT("F" &amp; $AZ31):INDIRECT("F" &amp; $BA31)),"")</f>
        <v>46.6</v>
      </c>
      <c r="BF31" s="10">
        <f t="shared" ca="1" si="12"/>
        <v>62.05238095238095</v>
      </c>
      <c r="BI31" s="11">
        <f t="shared" si="16"/>
        <v>45330</v>
      </c>
      <c r="BJ31" s="10">
        <f ca="1">IFERROR(AVERAGE(INDIRECT("H" &amp; $AZ31):INDIRECT("H" &amp; $BA31)),"")</f>
        <v>19.776190476190479</v>
      </c>
      <c r="BK31">
        <f ca="1">IFERROR(MAX(INDIRECT("I" &amp; $AZ31):INDIRECT("I" &amp; $BA31)),"")</f>
        <v>28.6</v>
      </c>
      <c r="BL31">
        <f ca="1">IFERROR(MIN(INDIRECT("J" &amp; $AZ31):INDIRECT("J" &amp; $BA31)),"")</f>
        <v>13.4</v>
      </c>
      <c r="BM31" s="10">
        <f t="shared" ca="1" si="13"/>
        <v>20.076190476190479</v>
      </c>
    </row>
    <row r="32" spans="1:65" x14ac:dyDescent="0.2">
      <c r="A32" s="1">
        <v>45414</v>
      </c>
      <c r="B32" s="2">
        <v>0.20833333333333334</v>
      </c>
      <c r="C32" s="6">
        <v>45414.208333333336</v>
      </c>
      <c r="D32">
        <v>59.3</v>
      </c>
      <c r="E32">
        <v>64.900000000000006</v>
      </c>
      <c r="F32">
        <v>54.7</v>
      </c>
      <c r="G32" t="s">
        <v>6</v>
      </c>
      <c r="H32">
        <v>19.600000000000001</v>
      </c>
      <c r="I32">
        <v>25.3</v>
      </c>
      <c r="J32">
        <v>15.6</v>
      </c>
      <c r="K32" t="s">
        <v>6</v>
      </c>
      <c r="L32">
        <v>192</v>
      </c>
      <c r="M32" t="s">
        <v>6</v>
      </c>
      <c r="O32" s="6">
        <f t="shared" si="0"/>
        <v>45414.208333333336</v>
      </c>
      <c r="P32">
        <f t="shared" si="1"/>
        <v>59.3</v>
      </c>
      <c r="Q32">
        <f t="shared" si="2"/>
        <v>64.900000000000006</v>
      </c>
      <c r="R32">
        <f t="shared" si="3"/>
        <v>54.7</v>
      </c>
      <c r="S32">
        <f t="shared" si="4"/>
        <v>60.3</v>
      </c>
      <c r="V32" s="6">
        <f t="shared" si="5"/>
        <v>45414.208333333336</v>
      </c>
      <c r="W32">
        <f t="shared" si="6"/>
        <v>19.600000000000001</v>
      </c>
      <c r="X32">
        <f t="shared" si="7"/>
        <v>25.3</v>
      </c>
      <c r="Y32">
        <f t="shared" si="8"/>
        <v>15.6</v>
      </c>
      <c r="Z32">
        <f t="shared" si="9"/>
        <v>20.6</v>
      </c>
      <c r="AY32" t="s">
        <v>47</v>
      </c>
      <c r="AZ32">
        <f t="shared" ca="1" si="10"/>
        <v>586</v>
      </c>
      <c r="BA32">
        <f t="shared" ca="1" si="11"/>
        <v>606</v>
      </c>
      <c r="BB32" s="11">
        <f t="shared" si="15"/>
        <v>45331</v>
      </c>
      <c r="BC32" s="10">
        <f ca="1">IFERROR(AVERAGE(INDIRECT("D" &amp; $AZ32):INDIRECT("D" &amp; $BA32)),"")</f>
        <v>61.571428571428562</v>
      </c>
      <c r="BD32">
        <f ca="1">IFERROR(MAX(INDIRECT("E" &amp; $AZ32):INDIRECT("E" &amp; $BA32)),"")</f>
        <v>80.7</v>
      </c>
      <c r="BE32">
        <f ca="1">IFERROR(MIN(INDIRECT("F" &amp; $AZ32):INDIRECT("F" &amp; $BA32)),"")</f>
        <v>47.5</v>
      </c>
      <c r="BF32" s="10">
        <f t="shared" ca="1" si="12"/>
        <v>62.571428571428562</v>
      </c>
      <c r="BI32" s="11">
        <f t="shared" si="16"/>
        <v>45331</v>
      </c>
      <c r="BJ32" s="10">
        <f ca="1">IFERROR(AVERAGE(INDIRECT("H" &amp; $AZ32):INDIRECT("H" &amp; $BA32)),"")</f>
        <v>19.328571428571429</v>
      </c>
      <c r="BK32">
        <f ca="1">IFERROR(MAX(INDIRECT("I" &amp; $AZ32):INDIRECT("I" &amp; $BA32)),"")</f>
        <v>33.4</v>
      </c>
      <c r="BL32">
        <f ca="1">IFERROR(MIN(INDIRECT("J" &amp; $AZ32):INDIRECT("J" &amp; $BA32)),"")</f>
        <v>10.7</v>
      </c>
      <c r="BM32" s="10">
        <f t="shared" ca="1" si="13"/>
        <v>19.62857142857143</v>
      </c>
    </row>
    <row r="33" spans="1:65" x14ac:dyDescent="0.2">
      <c r="A33" s="1">
        <v>45414</v>
      </c>
      <c r="B33" s="2">
        <v>0.25</v>
      </c>
      <c r="C33" s="6">
        <v>45414.25</v>
      </c>
      <c r="D33">
        <v>61.9</v>
      </c>
      <c r="E33">
        <v>66.7</v>
      </c>
      <c r="F33">
        <v>55.2</v>
      </c>
      <c r="G33" t="s">
        <v>6</v>
      </c>
      <c r="H33">
        <v>18.8</v>
      </c>
      <c r="I33">
        <v>24.4</v>
      </c>
      <c r="J33">
        <v>13.9</v>
      </c>
      <c r="K33" t="s">
        <v>6</v>
      </c>
      <c r="L33">
        <v>212</v>
      </c>
      <c r="M33" t="s">
        <v>6</v>
      </c>
      <c r="O33" s="6">
        <f t="shared" si="0"/>
        <v>45414.25</v>
      </c>
      <c r="P33">
        <f t="shared" si="1"/>
        <v>61.9</v>
      </c>
      <c r="Q33">
        <f t="shared" si="2"/>
        <v>66.7</v>
      </c>
      <c r="R33">
        <f t="shared" si="3"/>
        <v>55.2</v>
      </c>
      <c r="S33">
        <f t="shared" si="4"/>
        <v>62.9</v>
      </c>
      <c r="V33" s="6">
        <f t="shared" si="5"/>
        <v>45414.25</v>
      </c>
      <c r="W33">
        <f t="shared" si="6"/>
        <v>18.8</v>
      </c>
      <c r="X33">
        <f t="shared" si="7"/>
        <v>24.4</v>
      </c>
      <c r="Y33">
        <f t="shared" si="8"/>
        <v>13.9</v>
      </c>
      <c r="Z33">
        <f t="shared" si="9"/>
        <v>19.8</v>
      </c>
      <c r="AY33" t="s">
        <v>48</v>
      </c>
      <c r="AZ33">
        <f t="shared" ca="1" si="10"/>
        <v>607</v>
      </c>
      <c r="BA33">
        <f t="shared" ca="1" si="11"/>
        <v>626</v>
      </c>
      <c r="BB33" s="11">
        <f t="shared" si="15"/>
        <v>45332</v>
      </c>
      <c r="BC33" s="10">
        <f ca="1">IFERROR(AVERAGE(INDIRECT("D" &amp; $AZ33):INDIRECT("D" &amp; $BA33)),"")</f>
        <v>58.234999999999999</v>
      </c>
      <c r="BD33">
        <f ca="1">IFERROR(MAX(INDIRECT("E" &amp; $AZ33):INDIRECT("E" &amp; $BA33)),"")</f>
        <v>71</v>
      </c>
      <c r="BE33">
        <f ca="1">IFERROR(MIN(INDIRECT("F" &amp; $AZ33):INDIRECT("F" &amp; $BA33)),"")</f>
        <v>48</v>
      </c>
      <c r="BF33" s="10">
        <f t="shared" ca="1" si="12"/>
        <v>59.234999999999999</v>
      </c>
      <c r="BI33" s="11">
        <f t="shared" si="16"/>
        <v>45332</v>
      </c>
      <c r="BJ33" s="10">
        <f ca="1">IFERROR(AVERAGE(INDIRECT("H" &amp; $AZ33):INDIRECT("H" &amp; $BA33)),"")</f>
        <v>19.185000000000006</v>
      </c>
      <c r="BK33">
        <f ca="1">IFERROR(MAX(INDIRECT("I" &amp; $AZ33):INDIRECT("I" &amp; $BA33)),"")</f>
        <v>27</v>
      </c>
      <c r="BL33">
        <f ca="1">IFERROR(MIN(INDIRECT("J" &amp; $AZ33):INDIRECT("J" &amp; $BA33)),"")</f>
        <v>12.5</v>
      </c>
      <c r="BM33" s="10">
        <f t="shared" ca="1" si="13"/>
        <v>19.485000000000007</v>
      </c>
    </row>
    <row r="34" spans="1:65" x14ac:dyDescent="0.2">
      <c r="A34" s="1">
        <v>45414</v>
      </c>
      <c r="B34" s="2">
        <v>0.29166666666666669</v>
      </c>
      <c r="C34" s="6">
        <v>45414.291666666664</v>
      </c>
      <c r="D34">
        <v>61.3</v>
      </c>
      <c r="E34">
        <v>67.8</v>
      </c>
      <c r="F34">
        <v>54</v>
      </c>
      <c r="G34" t="s">
        <v>6</v>
      </c>
      <c r="H34">
        <v>18.100000000000001</v>
      </c>
      <c r="I34">
        <v>22.6</v>
      </c>
      <c r="J34">
        <v>15.3</v>
      </c>
      <c r="K34" t="s">
        <v>6</v>
      </c>
      <c r="L34">
        <v>217</v>
      </c>
      <c r="M34" t="s">
        <v>6</v>
      </c>
      <c r="O34" s="6">
        <f t="shared" si="0"/>
        <v>45414.291666666664</v>
      </c>
      <c r="P34">
        <f t="shared" si="1"/>
        <v>61.3</v>
      </c>
      <c r="Q34">
        <f t="shared" si="2"/>
        <v>67.8</v>
      </c>
      <c r="R34">
        <f t="shared" si="3"/>
        <v>54</v>
      </c>
      <c r="S34">
        <f t="shared" si="4"/>
        <v>62.3</v>
      </c>
      <c r="V34" s="6">
        <f t="shared" si="5"/>
        <v>45414.291666666664</v>
      </c>
      <c r="W34">
        <f t="shared" si="6"/>
        <v>18.100000000000001</v>
      </c>
      <c r="X34">
        <f t="shared" si="7"/>
        <v>22.6</v>
      </c>
      <c r="Y34">
        <f t="shared" si="8"/>
        <v>15.3</v>
      </c>
      <c r="Z34">
        <f t="shared" si="9"/>
        <v>19.100000000000001</v>
      </c>
      <c r="AY34" t="s">
        <v>49</v>
      </c>
      <c r="AZ34">
        <f t="shared" ca="1" si="10"/>
        <v>627</v>
      </c>
      <c r="BA34">
        <f t="shared" ca="1" si="11"/>
        <v>649</v>
      </c>
      <c r="BB34" s="11">
        <f t="shared" si="15"/>
        <v>45333</v>
      </c>
      <c r="BC34" s="10">
        <f ca="1">IFERROR(AVERAGE(INDIRECT("D" &amp; $AZ34):INDIRECT("D" &amp; $BA34)),"")</f>
        <v>61.330434782608691</v>
      </c>
      <c r="BD34">
        <f ca="1">IFERROR(MAX(INDIRECT("E" &amp; $AZ34):INDIRECT("E" &amp; $BA34)),"")</f>
        <v>80.2</v>
      </c>
      <c r="BE34">
        <f ca="1">IFERROR(MIN(INDIRECT("F" &amp; $AZ34):INDIRECT("F" &amp; $BA34)),"")</f>
        <v>47.8</v>
      </c>
      <c r="BF34" s="10">
        <f t="shared" ca="1" si="12"/>
        <v>62.330434782608691</v>
      </c>
      <c r="BI34" s="11">
        <f t="shared" si="16"/>
        <v>45333</v>
      </c>
      <c r="BJ34" s="10">
        <f ca="1">IFERROR(AVERAGE(INDIRECT("H" &amp; $AZ34):INDIRECT("H" &amp; $BA34)),"")</f>
        <v>19.460869565217394</v>
      </c>
      <c r="BK34">
        <f ca="1">IFERROR(MAX(INDIRECT("I" &amp; $AZ34):INDIRECT("I" &amp; $BA34)),"")</f>
        <v>27.1</v>
      </c>
      <c r="BL34">
        <f ca="1">IFERROR(MIN(INDIRECT("J" &amp; $AZ34):INDIRECT("J" &amp; $BA34)),"")</f>
        <v>12</v>
      </c>
      <c r="BM34" s="10">
        <f t="shared" ca="1" si="13"/>
        <v>19.760869565217394</v>
      </c>
    </row>
    <row r="35" spans="1:65" x14ac:dyDescent="0.2">
      <c r="A35" s="14">
        <v>45414</v>
      </c>
      <c r="B35" s="7">
        <v>0.33333333333333331</v>
      </c>
      <c r="C35" s="8">
        <v>45414.333333333336</v>
      </c>
      <c r="D35" s="9">
        <v>62.5</v>
      </c>
      <c r="E35" s="9">
        <v>72.3</v>
      </c>
      <c r="F35" s="9">
        <v>49.1</v>
      </c>
      <c r="G35" s="9" t="s">
        <v>6</v>
      </c>
      <c r="H35" s="9">
        <v>19.8</v>
      </c>
      <c r="I35" s="9">
        <v>24.6</v>
      </c>
      <c r="J35" s="9">
        <v>13.3</v>
      </c>
      <c r="K35" s="9" t="s">
        <v>6</v>
      </c>
      <c r="L35" s="9">
        <v>201</v>
      </c>
      <c r="M35" t="s">
        <v>6</v>
      </c>
      <c r="O35" s="6">
        <f t="shared" si="0"/>
        <v>45414.333333333336</v>
      </c>
      <c r="P35">
        <f t="shared" si="1"/>
        <v>62.5</v>
      </c>
      <c r="Q35">
        <f t="shared" si="2"/>
        <v>72.3</v>
      </c>
      <c r="R35">
        <f t="shared" si="3"/>
        <v>49.1</v>
      </c>
      <c r="S35">
        <f t="shared" si="4"/>
        <v>63.5</v>
      </c>
      <c r="V35" s="6">
        <f t="shared" si="5"/>
        <v>45414.333333333336</v>
      </c>
      <c r="W35">
        <f t="shared" si="6"/>
        <v>19.8</v>
      </c>
      <c r="X35">
        <f t="shared" si="7"/>
        <v>24.6</v>
      </c>
      <c r="Y35">
        <f t="shared" si="8"/>
        <v>13.3</v>
      </c>
      <c r="Z35">
        <f t="shared" si="9"/>
        <v>20.8</v>
      </c>
      <c r="AY35" t="s">
        <v>50</v>
      </c>
      <c r="AZ35">
        <f t="shared" ca="1" si="10"/>
        <v>650</v>
      </c>
      <c r="BA35">
        <f t="shared" ca="1" si="11"/>
        <v>671</v>
      </c>
      <c r="BB35" s="11">
        <f t="shared" si="15"/>
        <v>45334</v>
      </c>
      <c r="BC35" s="10">
        <f ca="1">IFERROR(AVERAGE(INDIRECT("D" &amp; $AZ35):INDIRECT("D" &amp; $BA35)),"")</f>
        <v>61.56363636363637</v>
      </c>
      <c r="BD35">
        <f ca="1">IFERROR(MAX(INDIRECT("E" &amp; $AZ35):INDIRECT("E" &amp; $BA35)),"")</f>
        <v>76.599999999999994</v>
      </c>
      <c r="BE35">
        <f ca="1">IFERROR(MIN(INDIRECT("F" &amp; $AZ35):INDIRECT("F" &amp; $BA35)),"")</f>
        <v>49.3</v>
      </c>
      <c r="BF35" s="10">
        <f t="shared" ca="1" si="12"/>
        <v>62.56363636363637</v>
      </c>
      <c r="BI35" s="11">
        <f t="shared" si="16"/>
        <v>45334</v>
      </c>
      <c r="BJ35" s="10">
        <f ca="1">IFERROR(AVERAGE(INDIRECT("H" &amp; $AZ35):INDIRECT("H" &amp; $BA35)),"")</f>
        <v>19</v>
      </c>
      <c r="BK35">
        <f ca="1">IFERROR(MAX(INDIRECT("I" &amp; $AZ35):INDIRECT("I" &amp; $BA35)),"")</f>
        <v>34</v>
      </c>
      <c r="BL35">
        <f ca="1">IFERROR(MIN(INDIRECT("J" &amp; $AZ35):INDIRECT("J" &amp; $BA35)),"")</f>
        <v>13.2</v>
      </c>
      <c r="BM35" s="10">
        <f t="shared" ca="1" si="13"/>
        <v>19.3</v>
      </c>
    </row>
    <row r="36" spans="1:65" x14ac:dyDescent="0.2">
      <c r="A36" s="13">
        <v>45414</v>
      </c>
      <c r="B36" s="3">
        <v>0.375</v>
      </c>
      <c r="C36" s="4">
        <v>45414.375</v>
      </c>
      <c r="D36" s="5">
        <v>62.5</v>
      </c>
      <c r="E36" s="5">
        <v>76.900000000000006</v>
      </c>
      <c r="F36" s="5">
        <v>43.5</v>
      </c>
      <c r="G36" s="5" t="s">
        <v>6</v>
      </c>
      <c r="H36" s="5">
        <v>19</v>
      </c>
      <c r="I36" s="5">
        <v>23.6</v>
      </c>
      <c r="J36" s="5">
        <v>16.7</v>
      </c>
      <c r="K36" s="5" t="s">
        <v>6</v>
      </c>
      <c r="L36" s="5">
        <v>205</v>
      </c>
      <c r="M36" t="s">
        <v>6</v>
      </c>
      <c r="O36" s="6">
        <f t="shared" si="0"/>
        <v>45414.375</v>
      </c>
      <c r="P36">
        <f t="shared" si="1"/>
        <v>62.5</v>
      </c>
      <c r="Q36">
        <f t="shared" si="2"/>
        <v>76.900000000000006</v>
      </c>
      <c r="R36">
        <f t="shared" si="3"/>
        <v>43.5</v>
      </c>
      <c r="S36">
        <f t="shared" si="4"/>
        <v>63.5</v>
      </c>
      <c r="V36" s="6">
        <f t="shared" si="5"/>
        <v>45414.375</v>
      </c>
      <c r="W36">
        <f t="shared" si="6"/>
        <v>19</v>
      </c>
      <c r="X36">
        <f t="shared" si="7"/>
        <v>23.6</v>
      </c>
      <c r="Y36">
        <f t="shared" si="8"/>
        <v>16.7</v>
      </c>
      <c r="Z36">
        <f t="shared" si="9"/>
        <v>20</v>
      </c>
      <c r="AY36" t="s">
        <v>51</v>
      </c>
      <c r="AZ36">
        <f t="shared" ca="1" si="10"/>
        <v>672</v>
      </c>
      <c r="BA36">
        <f t="shared" ca="1" si="11"/>
        <v>691</v>
      </c>
      <c r="BB36" s="11">
        <f t="shared" si="15"/>
        <v>45335</v>
      </c>
      <c r="BC36" s="10">
        <f ca="1">IFERROR(AVERAGE(INDIRECT("D" &amp; $AZ36):INDIRECT("D" &amp; $BA36)),"")</f>
        <v>61.915000000000006</v>
      </c>
      <c r="BD36">
        <f ca="1">IFERROR(MAX(INDIRECT("E" &amp; $AZ36):INDIRECT("E" &amp; $BA36)),"")</f>
        <v>76.7</v>
      </c>
      <c r="BE36">
        <f ca="1">IFERROR(MIN(INDIRECT("F" &amp; $AZ36):INDIRECT("F" &amp; $BA36)),"")</f>
        <v>50.2</v>
      </c>
      <c r="BF36" s="10">
        <f t="shared" ca="1" si="12"/>
        <v>62.915000000000006</v>
      </c>
      <c r="BI36" s="11">
        <f t="shared" si="16"/>
        <v>45335</v>
      </c>
      <c r="BJ36" s="10">
        <f ca="1">IFERROR(AVERAGE(INDIRECT("H" &amp; $AZ36):INDIRECT("H" &amp; $BA36)),"")</f>
        <v>19.45</v>
      </c>
      <c r="BK36">
        <f ca="1">IFERROR(MAX(INDIRECT("I" &amp; $AZ36):INDIRECT("I" &amp; $BA36)),"")</f>
        <v>36.4</v>
      </c>
      <c r="BL36">
        <f ca="1">IFERROR(MIN(INDIRECT("J" &amp; $AZ36):INDIRECT("J" &amp; $BA36)),"")</f>
        <v>12.5</v>
      </c>
      <c r="BM36" s="10">
        <f t="shared" ca="1" si="13"/>
        <v>19.75</v>
      </c>
    </row>
    <row r="37" spans="1:65" x14ac:dyDescent="0.2">
      <c r="A37" s="1">
        <v>45414</v>
      </c>
      <c r="B37" s="2">
        <v>0.41666666666666669</v>
      </c>
      <c r="C37" s="6">
        <v>45414.416666666664</v>
      </c>
      <c r="D37">
        <v>67.599999999999994</v>
      </c>
      <c r="E37">
        <v>73.099999999999994</v>
      </c>
      <c r="F37">
        <v>60.2</v>
      </c>
      <c r="G37" t="s">
        <v>6</v>
      </c>
      <c r="H37">
        <v>17.899999999999999</v>
      </c>
      <c r="I37">
        <v>24</v>
      </c>
      <c r="J37">
        <v>15</v>
      </c>
      <c r="K37" t="s">
        <v>6</v>
      </c>
      <c r="L37">
        <v>223</v>
      </c>
      <c r="M37" t="s">
        <v>6</v>
      </c>
      <c r="O37" s="6">
        <f t="shared" si="0"/>
        <v>45414.416666666664</v>
      </c>
      <c r="P37">
        <f t="shared" si="1"/>
        <v>67.599999999999994</v>
      </c>
      <c r="Q37">
        <f t="shared" si="2"/>
        <v>73.099999999999994</v>
      </c>
      <c r="R37">
        <f t="shared" si="3"/>
        <v>60.2</v>
      </c>
      <c r="S37">
        <f t="shared" si="4"/>
        <v>68.599999999999994</v>
      </c>
      <c r="V37" s="6">
        <f t="shared" si="5"/>
        <v>45414.416666666664</v>
      </c>
      <c r="W37">
        <f t="shared" si="6"/>
        <v>17.899999999999999</v>
      </c>
      <c r="X37">
        <f t="shared" si="7"/>
        <v>24</v>
      </c>
      <c r="Y37">
        <f t="shared" si="8"/>
        <v>15</v>
      </c>
      <c r="Z37">
        <f t="shared" si="9"/>
        <v>18.899999999999999</v>
      </c>
      <c r="AY37" t="s">
        <v>52</v>
      </c>
      <c r="AZ37">
        <f t="shared" ca="1" si="10"/>
        <v>692</v>
      </c>
      <c r="BA37">
        <f t="shared" ca="1" si="11"/>
        <v>714</v>
      </c>
      <c r="BB37" s="11">
        <f t="shared" si="15"/>
        <v>45336</v>
      </c>
      <c r="BC37" s="10">
        <f ca="1">IFERROR(AVERAGE(INDIRECT("D" &amp; $AZ37):INDIRECT("D" &amp; $BA37)),"")</f>
        <v>61.086956521739133</v>
      </c>
      <c r="BD37">
        <f ca="1">IFERROR(MAX(INDIRECT("E" &amp; $AZ37):INDIRECT("E" &amp; $BA37)),"")</f>
        <v>79.8</v>
      </c>
      <c r="BE37">
        <f ca="1">IFERROR(MIN(INDIRECT("F" &amp; $AZ37):INDIRECT("F" &amp; $BA37)),"")</f>
        <v>45.5</v>
      </c>
      <c r="BF37" s="10">
        <f t="shared" ca="1" si="12"/>
        <v>62.086956521739133</v>
      </c>
      <c r="BI37" s="11">
        <f t="shared" si="16"/>
        <v>45336</v>
      </c>
      <c r="BJ37" s="10">
        <f ca="1">IFERROR(AVERAGE(INDIRECT("H" &amp; $AZ37):INDIRECT("H" &amp; $BA37)),"")</f>
        <v>19.847826086956523</v>
      </c>
      <c r="BK37">
        <f ca="1">IFERROR(MAX(INDIRECT("I" &amp; $AZ37):INDIRECT("I" &amp; $BA37)),"")</f>
        <v>43.5</v>
      </c>
      <c r="BL37">
        <f ca="1">IFERROR(MIN(INDIRECT("J" &amp; $AZ37):INDIRECT("J" &amp; $BA37)),"")</f>
        <v>12.8</v>
      </c>
      <c r="BM37" s="10">
        <f t="shared" ca="1" si="13"/>
        <v>20.147826086956524</v>
      </c>
    </row>
    <row r="38" spans="1:65" x14ac:dyDescent="0.2">
      <c r="A38" s="1">
        <v>45414</v>
      </c>
      <c r="B38" s="2">
        <v>0.45833333333333331</v>
      </c>
      <c r="C38" s="6">
        <v>45414.458333333336</v>
      </c>
      <c r="D38">
        <v>63.7</v>
      </c>
      <c r="E38">
        <v>74</v>
      </c>
      <c r="F38">
        <v>59.2</v>
      </c>
      <c r="G38" t="s">
        <v>6</v>
      </c>
      <c r="H38">
        <v>19.2</v>
      </c>
      <c r="I38">
        <v>22.9</v>
      </c>
      <c r="J38">
        <v>16.100000000000001</v>
      </c>
      <c r="K38" t="s">
        <v>6</v>
      </c>
      <c r="L38">
        <v>174</v>
      </c>
      <c r="M38" t="s">
        <v>6</v>
      </c>
      <c r="O38" s="6">
        <f t="shared" si="0"/>
        <v>45414.458333333336</v>
      </c>
      <c r="P38">
        <f t="shared" si="1"/>
        <v>63.7</v>
      </c>
      <c r="Q38">
        <f t="shared" si="2"/>
        <v>74</v>
      </c>
      <c r="R38">
        <f t="shared" si="3"/>
        <v>59.2</v>
      </c>
      <c r="S38">
        <f t="shared" si="4"/>
        <v>64.7</v>
      </c>
      <c r="V38" s="6">
        <f t="shared" si="5"/>
        <v>45414.458333333336</v>
      </c>
      <c r="W38">
        <f t="shared" si="6"/>
        <v>19.2</v>
      </c>
      <c r="X38">
        <f t="shared" si="7"/>
        <v>22.9</v>
      </c>
      <c r="Y38">
        <f t="shared" si="8"/>
        <v>16.100000000000001</v>
      </c>
      <c r="Z38">
        <f t="shared" si="9"/>
        <v>20.2</v>
      </c>
      <c r="AY38" t="s">
        <v>53</v>
      </c>
      <c r="AZ38">
        <f t="shared" ref="AZ38" ca="1" si="18">MIN(ROW(INDIRECT(AY38)))</f>
        <v>715</v>
      </c>
      <c r="BA38">
        <f t="shared" ref="BA38" ca="1" si="19">MIN(ROW(INDIRECT(AY38))) + ROWS(INDIRECT(AY38)) -1</f>
        <v>733</v>
      </c>
      <c r="BB38" s="11">
        <f t="shared" si="15"/>
        <v>45337</v>
      </c>
      <c r="BC38" s="10">
        <f ca="1">IFERROR(AVERAGE(INDIRECT("D" &amp; $AZ38):INDIRECT("D" &amp; $BA38)),"")</f>
        <v>62.38421052631579</v>
      </c>
      <c r="BD38">
        <f ca="1">IFERROR(MAX(INDIRECT("E" &amp; $AZ38):INDIRECT("E" &amp; $BA38)),"")</f>
        <v>84.2</v>
      </c>
      <c r="BE38">
        <f ca="1">IFERROR(MIN(INDIRECT("F" &amp; $AZ38):INDIRECT("F" &amp; $BA38)),"")</f>
        <v>49.7</v>
      </c>
      <c r="BF38" s="10">
        <f t="shared" ref="BF38" ca="1" si="20">BC38+1</f>
        <v>63.38421052631579</v>
      </c>
      <c r="BG38">
        <v>1</v>
      </c>
      <c r="BI38" s="11">
        <f t="shared" si="16"/>
        <v>45337</v>
      </c>
      <c r="BJ38" s="10">
        <f ca="1">IFERROR(AVERAGE(INDIRECT("H" &amp; $AZ38):INDIRECT("H" &amp; $BA38)),"")</f>
        <v>19.905263157894741</v>
      </c>
      <c r="BK38">
        <f ca="1">IFERROR(MAX(INDIRECT("I" &amp; $AZ38):INDIRECT("I" &amp; $BA38)),"")</f>
        <v>27.2</v>
      </c>
      <c r="BL38">
        <f ca="1">IFERROR(MIN(INDIRECT("J" &amp; $AZ38):INDIRECT("J" &amp; $BA38)),"")</f>
        <v>13</v>
      </c>
      <c r="BM38" s="10">
        <f t="shared" ref="BM38" ca="1" si="21">BJ38+0.3</f>
        <v>20.205263157894741</v>
      </c>
    </row>
    <row r="39" spans="1:65" x14ac:dyDescent="0.2">
      <c r="A39" s="1">
        <v>45414</v>
      </c>
      <c r="B39" s="2">
        <v>0.5</v>
      </c>
      <c r="C39" s="6">
        <v>45414.5</v>
      </c>
      <c r="D39">
        <v>67.7</v>
      </c>
      <c r="E39">
        <v>75.599999999999994</v>
      </c>
      <c r="F39">
        <v>56.8</v>
      </c>
      <c r="G39" t="s">
        <v>6</v>
      </c>
      <c r="H39">
        <v>20.3</v>
      </c>
      <c r="I39">
        <v>24.1</v>
      </c>
      <c r="J39">
        <v>14.9</v>
      </c>
      <c r="K39" t="s">
        <v>6</v>
      </c>
      <c r="L39">
        <v>191</v>
      </c>
      <c r="M39" t="s">
        <v>6</v>
      </c>
      <c r="O39" s="6">
        <f t="shared" si="0"/>
        <v>45414.5</v>
      </c>
      <c r="P39">
        <f t="shared" si="1"/>
        <v>67.7</v>
      </c>
      <c r="Q39">
        <f t="shared" si="2"/>
        <v>75.599999999999994</v>
      </c>
      <c r="R39">
        <f t="shared" si="3"/>
        <v>56.8</v>
      </c>
      <c r="S39">
        <f t="shared" si="4"/>
        <v>68.7</v>
      </c>
      <c r="V39" s="6">
        <f t="shared" si="5"/>
        <v>45414.5</v>
      </c>
      <c r="W39">
        <f t="shared" si="6"/>
        <v>20.3</v>
      </c>
      <c r="X39">
        <f t="shared" si="7"/>
        <v>24.1</v>
      </c>
      <c r="Y39">
        <f t="shared" si="8"/>
        <v>14.9</v>
      </c>
      <c r="Z39">
        <f t="shared" si="9"/>
        <v>21.3</v>
      </c>
      <c r="AY39" t="s">
        <v>54</v>
      </c>
      <c r="AZ39">
        <f t="shared" ref="AZ39" ca="1" si="22">MIN(ROW(INDIRECT(AY39)))</f>
        <v>734</v>
      </c>
      <c r="BA39">
        <f t="shared" ref="BA39" ca="1" si="23">MIN(ROW(INDIRECT(AY39))) + ROWS(INDIRECT(AY39)) -1</f>
        <v>752</v>
      </c>
      <c r="BB39" s="11">
        <f t="shared" si="15"/>
        <v>45338</v>
      </c>
      <c r="BC39" s="10">
        <f ca="1">IFERROR(AVERAGE(INDIRECT("D" &amp; $AZ39):INDIRECT("D" &amp; $BA39)),"")</f>
        <v>61.542105263157893</v>
      </c>
      <c r="BD39">
        <f ca="1">IFERROR(MAX(INDIRECT("E" &amp; $AZ39):INDIRECT("E" &amp; $BA39)),"")</f>
        <v>77.099999999999994</v>
      </c>
      <c r="BE39">
        <f ca="1">IFERROR(MIN(INDIRECT("F" &amp; $AZ39):INDIRECT("F" &amp; $BA39)),"")</f>
        <v>45.7</v>
      </c>
      <c r="BF39" s="10">
        <f t="shared" ref="BF39" ca="1" si="24">BC39+1</f>
        <v>62.542105263157893</v>
      </c>
      <c r="BI39" s="11">
        <f t="shared" si="16"/>
        <v>45338</v>
      </c>
      <c r="BJ39" s="10">
        <f ca="1">IFERROR(AVERAGE(INDIRECT("H" &amp; $AZ39):INDIRECT("H" &amp; $BA39)),"")</f>
        <v>20.55263157894737</v>
      </c>
      <c r="BK39">
        <f ca="1">IFERROR(MAX(INDIRECT("I" &amp; $AZ39):INDIRECT("I" &amp; $BA39)),"")</f>
        <v>26</v>
      </c>
      <c r="BL39">
        <f ca="1">IFERROR(MIN(INDIRECT("J" &amp; $AZ39):INDIRECT("J" &amp; $BA39)),"")</f>
        <v>9.9</v>
      </c>
      <c r="BM39" s="10">
        <f t="shared" ref="BM39" ca="1" si="25">BJ39+0.3</f>
        <v>20.852631578947371</v>
      </c>
    </row>
    <row r="40" spans="1:65" x14ac:dyDescent="0.2">
      <c r="A40" s="1">
        <v>45414</v>
      </c>
      <c r="B40" s="2">
        <v>0.54166666666666663</v>
      </c>
      <c r="C40" s="6">
        <v>45414.541666666664</v>
      </c>
      <c r="D40">
        <v>63.6</v>
      </c>
      <c r="E40">
        <v>71.8</v>
      </c>
      <c r="F40">
        <v>54.7</v>
      </c>
      <c r="G40" t="s">
        <v>6</v>
      </c>
      <c r="H40">
        <v>17.3</v>
      </c>
      <c r="I40">
        <v>21.5</v>
      </c>
      <c r="J40">
        <v>14</v>
      </c>
      <c r="K40" t="s">
        <v>6</v>
      </c>
      <c r="L40">
        <v>224</v>
      </c>
      <c r="M40" t="s">
        <v>6</v>
      </c>
      <c r="O40" s="6">
        <f t="shared" si="0"/>
        <v>45414.541666666664</v>
      </c>
      <c r="P40">
        <f t="shared" si="1"/>
        <v>63.6</v>
      </c>
      <c r="Q40">
        <f t="shared" si="2"/>
        <v>71.8</v>
      </c>
      <c r="R40">
        <f t="shared" si="3"/>
        <v>54.7</v>
      </c>
      <c r="S40">
        <f t="shared" si="4"/>
        <v>64.599999999999994</v>
      </c>
      <c r="V40" s="6">
        <f t="shared" si="5"/>
        <v>45414.541666666664</v>
      </c>
      <c r="W40">
        <f t="shared" si="6"/>
        <v>17.3</v>
      </c>
      <c r="X40">
        <f t="shared" si="7"/>
        <v>21.5</v>
      </c>
      <c r="Y40">
        <f t="shared" si="8"/>
        <v>14</v>
      </c>
      <c r="Z40">
        <f t="shared" si="9"/>
        <v>18.3</v>
      </c>
      <c r="AY40" t="s">
        <v>55</v>
      </c>
      <c r="AZ40">
        <f t="shared" ref="AZ40:AZ41" ca="1" si="26">MIN(ROW(INDIRECT(AY40)))</f>
        <v>753</v>
      </c>
      <c r="BA40">
        <f t="shared" ref="BA40:BA41" ca="1" si="27">MIN(ROW(INDIRECT(AY40))) + ROWS(INDIRECT(AY40)) -1</f>
        <v>767</v>
      </c>
      <c r="BB40" s="11">
        <f t="shared" si="15"/>
        <v>45339</v>
      </c>
      <c r="BC40" s="10">
        <f ca="1">IFERROR(AVERAGE(INDIRECT("D" &amp; $AZ40):INDIRECT("D" &amp; $BA40)),"")</f>
        <v>60.793333333333344</v>
      </c>
      <c r="BD40">
        <f ca="1">IFERROR(MAX(INDIRECT("E" &amp; $AZ40):INDIRECT("E" &amp; $BA40)),"")</f>
        <v>74.099999999999994</v>
      </c>
      <c r="BE40">
        <f ca="1">IFERROR(MIN(INDIRECT("F" &amp; $AZ40):INDIRECT("F" &amp; $BA40)),"")</f>
        <v>51.2</v>
      </c>
      <c r="BF40" s="10">
        <f t="shared" ref="BF40:BF41" ca="1" si="28">BC40+1</f>
        <v>61.793333333333344</v>
      </c>
      <c r="BI40" s="11">
        <f t="shared" si="16"/>
        <v>45339</v>
      </c>
      <c r="BJ40" s="10">
        <f ca="1">IFERROR(AVERAGE(INDIRECT("H" &amp; $AZ40):INDIRECT("H" &amp; $BA40)),"")</f>
        <v>20.740000000000002</v>
      </c>
      <c r="BK40">
        <f ca="1">IFERROR(MAX(INDIRECT("I" &amp; $AZ40):INDIRECT("I" &amp; $BA40)),"")</f>
        <v>28.1</v>
      </c>
      <c r="BL40">
        <f ca="1">IFERROR(MIN(INDIRECT("J" &amp; $AZ40):INDIRECT("J" &amp; $BA40)),"")</f>
        <v>8.4</v>
      </c>
      <c r="BM40" s="10">
        <f t="shared" ref="BM40:BM41" ca="1" si="29">BJ40+0.3</f>
        <v>21.040000000000003</v>
      </c>
    </row>
    <row r="41" spans="1:65" x14ac:dyDescent="0.2">
      <c r="A41" s="1">
        <v>45414</v>
      </c>
      <c r="B41" s="2">
        <v>0.58333333333333337</v>
      </c>
      <c r="C41" s="6">
        <v>45414.583333333336</v>
      </c>
      <c r="D41">
        <v>64.900000000000006</v>
      </c>
      <c r="E41">
        <v>71.2</v>
      </c>
      <c r="F41">
        <v>58.4</v>
      </c>
      <c r="G41" t="s">
        <v>6</v>
      </c>
      <c r="H41">
        <v>18.2</v>
      </c>
      <c r="I41">
        <v>23.5</v>
      </c>
      <c r="J41">
        <v>15.1</v>
      </c>
      <c r="K41" t="s">
        <v>6</v>
      </c>
      <c r="L41">
        <v>200</v>
      </c>
      <c r="M41" t="s">
        <v>6</v>
      </c>
      <c r="O41" s="6">
        <f t="shared" si="0"/>
        <v>45414.583333333336</v>
      </c>
      <c r="P41">
        <f t="shared" si="1"/>
        <v>64.900000000000006</v>
      </c>
      <c r="Q41">
        <f t="shared" si="2"/>
        <v>71.2</v>
      </c>
      <c r="R41">
        <f t="shared" si="3"/>
        <v>58.4</v>
      </c>
      <c r="S41">
        <f t="shared" si="4"/>
        <v>65.900000000000006</v>
      </c>
      <c r="V41" s="6">
        <f t="shared" si="5"/>
        <v>45414.583333333336</v>
      </c>
      <c r="W41">
        <f t="shared" si="6"/>
        <v>18.2</v>
      </c>
      <c r="X41">
        <f t="shared" si="7"/>
        <v>23.5</v>
      </c>
      <c r="Y41">
        <f t="shared" si="8"/>
        <v>15.1</v>
      </c>
      <c r="Z41">
        <f t="shared" si="9"/>
        <v>19.2</v>
      </c>
      <c r="AY41" t="s">
        <v>56</v>
      </c>
      <c r="AZ41">
        <f t="shared" ca="1" si="26"/>
        <v>768</v>
      </c>
      <c r="BA41">
        <f t="shared" ca="1" si="27"/>
        <v>787</v>
      </c>
      <c r="BB41" s="11">
        <f t="shared" si="15"/>
        <v>45340</v>
      </c>
      <c r="BC41" s="10">
        <f ca="1">IFERROR(AVERAGE(INDIRECT("D" &amp; $AZ41):INDIRECT("D" &amp; $BA41)),"")</f>
        <v>61.529999999999994</v>
      </c>
      <c r="BD41">
        <f ca="1">IFERROR(MAX(INDIRECT("E" &amp; $AZ41):INDIRECT("E" &amp; $BA41)),"")</f>
        <v>82.6</v>
      </c>
      <c r="BE41">
        <f ca="1">IFERROR(MIN(INDIRECT("F" &amp; $AZ41):INDIRECT("F" &amp; $BA41)),"")</f>
        <v>46.8</v>
      </c>
      <c r="BF41" s="10">
        <f t="shared" ca="1" si="28"/>
        <v>62.529999999999994</v>
      </c>
      <c r="BI41" s="11">
        <f t="shared" si="16"/>
        <v>45340</v>
      </c>
      <c r="BJ41" s="10">
        <f ca="1">IFERROR(AVERAGE(INDIRECT("H" &amp; $AZ41):INDIRECT("H" &amp; $BA41)),"")</f>
        <v>19.875</v>
      </c>
      <c r="BK41">
        <f ca="1">IFERROR(MAX(INDIRECT("I" &amp; $AZ41):INDIRECT("I" &amp; $BA41)),"")</f>
        <v>32.4</v>
      </c>
      <c r="BL41">
        <f ca="1">IFERROR(MIN(INDIRECT("J" &amp; $AZ41):INDIRECT("J" &amp; $BA41)),"")</f>
        <v>12.7</v>
      </c>
      <c r="BM41" s="10">
        <f t="shared" ca="1" si="29"/>
        <v>20.175000000000001</v>
      </c>
    </row>
    <row r="42" spans="1:65" x14ac:dyDescent="0.2">
      <c r="A42" s="1">
        <v>45414</v>
      </c>
      <c r="B42" s="2">
        <v>0.625</v>
      </c>
      <c r="C42" s="6">
        <v>45414.625</v>
      </c>
      <c r="D42">
        <v>64.5</v>
      </c>
      <c r="E42">
        <v>73.099999999999994</v>
      </c>
      <c r="F42">
        <v>59.5</v>
      </c>
      <c r="G42" t="s">
        <v>6</v>
      </c>
      <c r="H42">
        <v>18.100000000000001</v>
      </c>
      <c r="I42">
        <v>22.1</v>
      </c>
      <c r="J42">
        <v>13.8</v>
      </c>
      <c r="K42" t="s">
        <v>6</v>
      </c>
      <c r="L42">
        <v>220</v>
      </c>
      <c r="M42" t="s">
        <v>6</v>
      </c>
      <c r="O42" s="6">
        <f t="shared" si="0"/>
        <v>45414.625</v>
      </c>
      <c r="P42">
        <f t="shared" si="1"/>
        <v>64.5</v>
      </c>
      <c r="Q42">
        <f t="shared" si="2"/>
        <v>73.099999999999994</v>
      </c>
      <c r="R42">
        <f t="shared" si="3"/>
        <v>59.5</v>
      </c>
      <c r="S42">
        <f t="shared" si="4"/>
        <v>65.5</v>
      </c>
      <c r="V42" s="6">
        <f t="shared" si="5"/>
        <v>45414.625</v>
      </c>
      <c r="W42">
        <f t="shared" si="6"/>
        <v>18.100000000000001</v>
      </c>
      <c r="X42">
        <f t="shared" si="7"/>
        <v>22.1</v>
      </c>
      <c r="Y42">
        <f t="shared" si="8"/>
        <v>13.8</v>
      </c>
      <c r="Z42">
        <f t="shared" si="9"/>
        <v>19.100000000000001</v>
      </c>
      <c r="AY42" t="s">
        <v>57</v>
      </c>
      <c r="AZ42">
        <f t="shared" ref="AZ42" ca="1" si="30">MIN(ROW(INDIRECT(AY42)))</f>
        <v>788</v>
      </c>
      <c r="BA42">
        <f t="shared" ref="BA42" ca="1" si="31">MIN(ROW(INDIRECT(AY42))) + ROWS(INDIRECT(AY42)) -1</f>
        <v>811</v>
      </c>
      <c r="BB42" s="11">
        <f t="shared" si="15"/>
        <v>45341</v>
      </c>
      <c r="BC42" s="10">
        <f ca="1">IFERROR(AVERAGE(INDIRECT("D" &amp; $AZ42):INDIRECT("D" &amp; $BA42)),"")</f>
        <v>67.150000000000006</v>
      </c>
      <c r="BD42">
        <f ca="1">IFERROR(MAX(INDIRECT("E" &amp; $AZ42):INDIRECT("E" &amp; $BA42)),"")</f>
        <v>94.5</v>
      </c>
      <c r="BE42">
        <f ca="1">IFERROR(MIN(INDIRECT("F" &amp; $AZ42):INDIRECT("F" &amp; $BA42)),"")</f>
        <v>52.3</v>
      </c>
      <c r="BF42" s="10">
        <f t="shared" ref="BF42" ca="1" si="32">BC42+1</f>
        <v>68.150000000000006</v>
      </c>
      <c r="BI42" s="11">
        <f t="shared" si="16"/>
        <v>45341</v>
      </c>
      <c r="BJ42" s="10">
        <f ca="1">IFERROR(AVERAGE(INDIRECT("H" &amp; $AZ42):INDIRECT("H" &amp; $BA42)),"")</f>
        <v>19.837500000000002</v>
      </c>
      <c r="BK42">
        <f ca="1">IFERROR(MAX(INDIRECT("I" &amp; $AZ42):INDIRECT("I" &amp; $BA42)),"")</f>
        <v>28.4</v>
      </c>
      <c r="BL42">
        <f ca="1">IFERROR(MIN(INDIRECT("J" &amp; $AZ42):INDIRECT("J" &amp; $BA42)),"")</f>
        <v>11.5</v>
      </c>
      <c r="BM42" s="10">
        <f t="shared" ref="BM42" ca="1" si="33">BJ42+0.3</f>
        <v>20.137500000000003</v>
      </c>
    </row>
    <row r="43" spans="1:65" x14ac:dyDescent="0.2">
      <c r="A43" s="1">
        <v>45414</v>
      </c>
      <c r="B43" s="2">
        <v>0.66666666666666663</v>
      </c>
      <c r="C43" s="6">
        <v>45414.666666666664</v>
      </c>
      <c r="D43">
        <v>63.8</v>
      </c>
      <c r="E43">
        <v>73.7</v>
      </c>
      <c r="F43">
        <v>57.9</v>
      </c>
      <c r="G43" t="s">
        <v>6</v>
      </c>
      <c r="H43">
        <v>20.399999999999999</v>
      </c>
      <c r="I43">
        <v>26.3</v>
      </c>
      <c r="J43">
        <v>16.5</v>
      </c>
      <c r="K43" t="s">
        <v>6</v>
      </c>
      <c r="L43">
        <v>191</v>
      </c>
      <c r="M43" t="s">
        <v>6</v>
      </c>
      <c r="O43" s="6">
        <f t="shared" si="0"/>
        <v>45414.666666666664</v>
      </c>
      <c r="P43">
        <f t="shared" si="1"/>
        <v>63.8</v>
      </c>
      <c r="Q43">
        <f t="shared" si="2"/>
        <v>73.7</v>
      </c>
      <c r="R43">
        <f t="shared" si="3"/>
        <v>57.9</v>
      </c>
      <c r="S43">
        <f t="shared" si="4"/>
        <v>64.8</v>
      </c>
      <c r="V43" s="6">
        <f t="shared" si="5"/>
        <v>45414.666666666664</v>
      </c>
      <c r="W43">
        <f t="shared" si="6"/>
        <v>20.399999999999999</v>
      </c>
      <c r="X43">
        <f t="shared" si="7"/>
        <v>26.3</v>
      </c>
      <c r="Y43">
        <f t="shared" si="8"/>
        <v>16.5</v>
      </c>
      <c r="Z43">
        <f t="shared" si="9"/>
        <v>21.4</v>
      </c>
      <c r="AY43" t="s">
        <v>58</v>
      </c>
      <c r="AZ43">
        <f t="shared" ref="AZ43" ca="1" si="34">MIN(ROW(INDIRECT(AY43)))</f>
        <v>812</v>
      </c>
      <c r="BA43">
        <f t="shared" ref="BA43" ca="1" si="35">MIN(ROW(INDIRECT(AY43))) + ROWS(INDIRECT(AY43)) -1</f>
        <v>831</v>
      </c>
      <c r="BB43" s="11">
        <f t="shared" si="15"/>
        <v>45342</v>
      </c>
      <c r="BC43" s="10">
        <f ca="1">IFERROR(AVERAGE(INDIRECT("D" &amp; $AZ43):INDIRECT("D" &amp; $BA43)),"")</f>
        <v>59.04999999999999</v>
      </c>
      <c r="BD43">
        <f ca="1">IFERROR(MAX(INDIRECT("E" &amp; $AZ43):INDIRECT("E" &amp; $BA43)),"")</f>
        <v>70.099999999999994</v>
      </c>
      <c r="BE43">
        <f ca="1">IFERROR(MIN(INDIRECT("F" &amp; $AZ43):INDIRECT("F" &amp; $BA43)),"")</f>
        <v>49.2</v>
      </c>
      <c r="BF43" s="10">
        <f t="shared" ref="BF43" ca="1" si="36">BC43+1</f>
        <v>60.04999999999999</v>
      </c>
      <c r="BI43" s="11">
        <f t="shared" si="16"/>
        <v>45342</v>
      </c>
      <c r="BJ43" s="10">
        <f ca="1">IFERROR(AVERAGE(INDIRECT("H" &amp; $AZ43):INDIRECT("H" &amp; $BA43)),"")</f>
        <v>20.104999999999997</v>
      </c>
      <c r="BK43">
        <f ca="1">IFERROR(MAX(INDIRECT("I" &amp; $AZ43):INDIRECT("I" &amp; $BA43)),"")</f>
        <v>30.8</v>
      </c>
      <c r="BL43">
        <f ca="1">IFERROR(MIN(INDIRECT("J" &amp; $AZ43):INDIRECT("J" &amp; $BA43)),"")</f>
        <v>13.2</v>
      </c>
      <c r="BM43" s="10">
        <f t="shared" ref="BM43" ca="1" si="37">BJ43+0.3</f>
        <v>20.404999999999998</v>
      </c>
    </row>
    <row r="44" spans="1:65" x14ac:dyDescent="0.2">
      <c r="A44" s="1">
        <v>45414</v>
      </c>
      <c r="B44" s="2">
        <v>0.70833333333333337</v>
      </c>
      <c r="C44" s="6">
        <v>45414.708333333336</v>
      </c>
      <c r="D44">
        <v>62.4</v>
      </c>
      <c r="E44">
        <v>70.900000000000006</v>
      </c>
      <c r="F44">
        <v>56.7</v>
      </c>
      <c r="G44" t="s">
        <v>6</v>
      </c>
      <c r="H44">
        <v>21.3</v>
      </c>
      <c r="I44">
        <v>26.1</v>
      </c>
      <c r="J44">
        <v>16.5</v>
      </c>
      <c r="K44" t="s">
        <v>6</v>
      </c>
      <c r="L44">
        <v>213</v>
      </c>
      <c r="M44" t="s">
        <v>6</v>
      </c>
      <c r="O44" s="6">
        <f t="shared" si="0"/>
        <v>45414.708333333336</v>
      </c>
      <c r="P44">
        <f t="shared" si="1"/>
        <v>62.4</v>
      </c>
      <c r="Q44">
        <f t="shared" si="2"/>
        <v>70.900000000000006</v>
      </c>
      <c r="R44">
        <f t="shared" si="3"/>
        <v>56.7</v>
      </c>
      <c r="S44">
        <f t="shared" si="4"/>
        <v>63.4</v>
      </c>
      <c r="V44" s="6">
        <f t="shared" si="5"/>
        <v>45414.708333333336</v>
      </c>
      <c r="W44">
        <f t="shared" si="6"/>
        <v>21.3</v>
      </c>
      <c r="X44">
        <f t="shared" si="7"/>
        <v>26.1</v>
      </c>
      <c r="Y44">
        <f t="shared" si="8"/>
        <v>16.5</v>
      </c>
      <c r="Z44">
        <f t="shared" si="9"/>
        <v>22.3</v>
      </c>
      <c r="AY44" t="s">
        <v>59</v>
      </c>
      <c r="AZ44">
        <f t="shared" ref="AZ44" ca="1" si="38">MIN(ROW(INDIRECT(AY44)))</f>
        <v>832</v>
      </c>
      <c r="BA44">
        <f t="shared" ref="BA44" ca="1" si="39">MIN(ROW(INDIRECT(AY44))) + ROWS(INDIRECT(AY44)) -1</f>
        <v>849</v>
      </c>
      <c r="BB44" s="11">
        <f t="shared" si="15"/>
        <v>45343</v>
      </c>
      <c r="BC44" s="10">
        <f ca="1">IFERROR(AVERAGE(INDIRECT("D" &amp; $AZ44):INDIRECT("D" &amp; $BA44)),"")</f>
        <v>61.488888888888887</v>
      </c>
      <c r="BD44">
        <f ca="1">IFERROR(MAX(INDIRECT("E" &amp; $AZ44):INDIRECT("E" &amp; $BA44)),"")</f>
        <v>74.7</v>
      </c>
      <c r="BE44">
        <f ca="1">IFERROR(MIN(INDIRECT("F" &amp; $AZ44):INDIRECT("F" &amp; $BA44)),"")</f>
        <v>48</v>
      </c>
      <c r="BF44" s="10">
        <f t="shared" ref="BF44" ca="1" si="40">BC44+1</f>
        <v>62.488888888888887</v>
      </c>
      <c r="BI44" s="11">
        <f t="shared" si="16"/>
        <v>45343</v>
      </c>
      <c r="BJ44" s="10">
        <f ca="1">IFERROR(AVERAGE(INDIRECT("H" &amp; $AZ44):INDIRECT("H" &amp; $BA44)),"")</f>
        <v>20.361111111111107</v>
      </c>
      <c r="BK44">
        <f ca="1">IFERROR(MAX(INDIRECT("I" &amp; $AZ44):INDIRECT("I" &amp; $BA44)),"")</f>
        <v>29.4</v>
      </c>
      <c r="BL44">
        <f ca="1">IFERROR(MIN(INDIRECT("J" &amp; $AZ44):INDIRECT("J" &amp; $BA44)),"")</f>
        <v>13.4</v>
      </c>
      <c r="BM44" s="10">
        <f t="shared" ref="BM44" ca="1" si="41">BJ44+0.3</f>
        <v>20.661111111111108</v>
      </c>
    </row>
    <row r="45" spans="1:65" x14ac:dyDescent="0.2">
      <c r="A45" s="1">
        <v>45414</v>
      </c>
      <c r="B45" s="2">
        <v>0.75</v>
      </c>
      <c r="C45" s="6">
        <v>45414.75</v>
      </c>
      <c r="D45">
        <v>58.8</v>
      </c>
      <c r="E45">
        <v>64.8</v>
      </c>
      <c r="F45">
        <v>51.4</v>
      </c>
      <c r="G45" t="s">
        <v>6</v>
      </c>
      <c r="H45">
        <v>19.2</v>
      </c>
      <c r="I45">
        <v>22.5</v>
      </c>
      <c r="J45">
        <v>12.6</v>
      </c>
      <c r="K45" t="s">
        <v>6</v>
      </c>
      <c r="L45">
        <v>209</v>
      </c>
      <c r="M45" t="s">
        <v>6</v>
      </c>
      <c r="O45" s="6">
        <f t="shared" si="0"/>
        <v>45414.75</v>
      </c>
      <c r="P45">
        <f t="shared" si="1"/>
        <v>58.8</v>
      </c>
      <c r="Q45">
        <f t="shared" si="2"/>
        <v>64.8</v>
      </c>
      <c r="R45">
        <f t="shared" si="3"/>
        <v>51.4</v>
      </c>
      <c r="S45">
        <f t="shared" si="4"/>
        <v>59.8</v>
      </c>
      <c r="V45" s="6">
        <f t="shared" si="5"/>
        <v>45414.75</v>
      </c>
      <c r="W45">
        <f t="shared" si="6"/>
        <v>19.2</v>
      </c>
      <c r="X45">
        <f t="shared" si="7"/>
        <v>22.5</v>
      </c>
      <c r="Y45">
        <f t="shared" si="8"/>
        <v>12.6</v>
      </c>
      <c r="Z45">
        <f t="shared" si="9"/>
        <v>20.2</v>
      </c>
      <c r="AY45" t="s">
        <v>60</v>
      </c>
      <c r="AZ45">
        <f t="shared" ref="AZ45" ca="1" si="42">MIN(ROW(INDIRECT(AY45)))</f>
        <v>850</v>
      </c>
      <c r="BA45">
        <f t="shared" ref="BA45" ca="1" si="43">MIN(ROW(INDIRECT(AY45))) + ROWS(INDIRECT(AY45)) -1</f>
        <v>873</v>
      </c>
      <c r="BB45" s="11">
        <f t="shared" si="15"/>
        <v>45344</v>
      </c>
      <c r="BC45" s="10">
        <f ca="1">IFERROR(AVERAGE(INDIRECT("D" &amp; $AZ45):INDIRECT("D" &amp; $BA45)),"")</f>
        <v>60.191666666666656</v>
      </c>
      <c r="BD45">
        <f ca="1">IFERROR(MAX(INDIRECT("E" &amp; $AZ45):INDIRECT("E" &amp; $BA45)),"")</f>
        <v>78.3</v>
      </c>
      <c r="BE45">
        <f ca="1">IFERROR(MIN(INDIRECT("F" &amp; $AZ45):INDIRECT("F" &amp; $BA45)),"")</f>
        <v>48.8</v>
      </c>
      <c r="BF45" s="10">
        <f t="shared" ref="BF45" ca="1" si="44">BC45+1</f>
        <v>61.191666666666656</v>
      </c>
      <c r="BI45" s="11">
        <f t="shared" si="16"/>
        <v>45344</v>
      </c>
      <c r="BJ45" s="10">
        <f ca="1">IFERROR(AVERAGE(INDIRECT("H" &amp; $AZ45):INDIRECT("H" &amp; $BA45)),"")</f>
        <v>20.616666666666664</v>
      </c>
      <c r="BK45">
        <f ca="1">IFERROR(MAX(INDIRECT("I" &amp; $AZ45):INDIRECT("I" &amp; $BA45)),"")</f>
        <v>33.1</v>
      </c>
      <c r="BL45">
        <f ca="1">IFERROR(MIN(INDIRECT("J" &amp; $AZ45):INDIRECT("J" &amp; $BA45)),"")</f>
        <v>12.6</v>
      </c>
      <c r="BM45" s="10">
        <f t="shared" ref="BM45" ca="1" si="45">BJ45+0.3</f>
        <v>20.916666666666664</v>
      </c>
    </row>
    <row r="46" spans="1:65" x14ac:dyDescent="0.2">
      <c r="A46" s="1">
        <v>45414</v>
      </c>
      <c r="B46" s="2">
        <v>0.79166666666666663</v>
      </c>
      <c r="C46" s="6">
        <v>45414.791666666664</v>
      </c>
      <c r="D46">
        <v>53</v>
      </c>
      <c r="E46">
        <v>60.8</v>
      </c>
      <c r="F46">
        <v>47.5</v>
      </c>
      <c r="G46" t="s">
        <v>6</v>
      </c>
      <c r="H46">
        <v>19.600000000000001</v>
      </c>
      <c r="I46">
        <v>23.2</v>
      </c>
      <c r="J46">
        <v>13</v>
      </c>
      <c r="K46" t="s">
        <v>6</v>
      </c>
      <c r="L46">
        <v>216</v>
      </c>
      <c r="M46" t="s">
        <v>6</v>
      </c>
      <c r="O46" s="6">
        <f t="shared" si="0"/>
        <v>45414.791666666664</v>
      </c>
      <c r="P46">
        <f t="shared" si="1"/>
        <v>53</v>
      </c>
      <c r="Q46">
        <f t="shared" si="2"/>
        <v>60.8</v>
      </c>
      <c r="R46">
        <f t="shared" si="3"/>
        <v>47.5</v>
      </c>
      <c r="S46">
        <f t="shared" si="4"/>
        <v>54</v>
      </c>
      <c r="V46" s="6">
        <f t="shared" si="5"/>
        <v>45414.791666666664</v>
      </c>
      <c r="W46">
        <f t="shared" si="6"/>
        <v>19.600000000000001</v>
      </c>
      <c r="X46">
        <f t="shared" si="7"/>
        <v>23.2</v>
      </c>
      <c r="Y46">
        <f t="shared" si="8"/>
        <v>13</v>
      </c>
      <c r="Z46">
        <f t="shared" si="9"/>
        <v>20.6</v>
      </c>
      <c r="AY46" t="s">
        <v>61</v>
      </c>
      <c r="AZ46">
        <f t="shared" ref="AZ46" ca="1" si="46">MIN(ROW(INDIRECT(AY46)))</f>
        <v>874</v>
      </c>
      <c r="BA46">
        <f t="shared" ref="BA46" ca="1" si="47">MIN(ROW(INDIRECT(AY46))) + ROWS(INDIRECT(AY46)) -1</f>
        <v>891</v>
      </c>
      <c r="BB46" s="11">
        <f t="shared" si="15"/>
        <v>45345</v>
      </c>
      <c r="BC46" s="10">
        <f ca="1">IFERROR(AVERAGE(INDIRECT("D" &amp; $AZ46):INDIRECT("D" &amp; $BA46)),"")</f>
        <v>58.550000000000004</v>
      </c>
      <c r="BD46">
        <f ca="1">IFERROR(MAX(INDIRECT("E" &amp; $AZ46):INDIRECT("E" &amp; $BA46)),"")</f>
        <v>79.400000000000006</v>
      </c>
      <c r="BE46">
        <f ca="1">IFERROR(MIN(INDIRECT("F" &amp; $AZ46):INDIRECT("F" &amp; $BA46)),"")</f>
        <v>48.2</v>
      </c>
      <c r="BF46" s="10">
        <f t="shared" ref="BF46" ca="1" si="48">BC46+1</f>
        <v>59.550000000000004</v>
      </c>
      <c r="BI46" s="11">
        <f t="shared" si="16"/>
        <v>45345</v>
      </c>
      <c r="BJ46" s="10">
        <f ca="1">IFERROR(AVERAGE(INDIRECT("H" &amp; $AZ46):INDIRECT("H" &amp; $BA46)),"")</f>
        <v>20.12777777777778</v>
      </c>
      <c r="BK46">
        <f ca="1">IFERROR(MAX(INDIRECT("I" &amp; $AZ46):INDIRECT("I" &amp; $BA46)),"")</f>
        <v>26.8</v>
      </c>
      <c r="BL46">
        <f ca="1">IFERROR(MIN(INDIRECT("J" &amp; $AZ46):INDIRECT("J" &amp; $BA46)),"")</f>
        <v>9.4</v>
      </c>
      <c r="BM46" s="10">
        <f t="shared" ref="BM46" ca="1" si="49">BJ46+0.3</f>
        <v>20.427777777777781</v>
      </c>
    </row>
    <row r="47" spans="1:65" x14ac:dyDescent="0.2">
      <c r="A47" s="1">
        <v>45414</v>
      </c>
      <c r="B47" s="2">
        <v>0.83333333333333337</v>
      </c>
      <c r="C47" s="6">
        <v>45414.833333333336</v>
      </c>
      <c r="D47">
        <v>56.9</v>
      </c>
      <c r="E47">
        <v>66.2</v>
      </c>
      <c r="F47">
        <v>50.4</v>
      </c>
      <c r="G47" t="s">
        <v>6</v>
      </c>
      <c r="H47">
        <v>20.6</v>
      </c>
      <c r="I47">
        <v>25</v>
      </c>
      <c r="J47">
        <v>14.3</v>
      </c>
      <c r="K47" t="s">
        <v>6</v>
      </c>
      <c r="L47">
        <v>220</v>
      </c>
      <c r="M47" t="s">
        <v>6</v>
      </c>
      <c r="O47" s="6">
        <f t="shared" si="0"/>
        <v>45414.833333333336</v>
      </c>
      <c r="P47">
        <f t="shared" si="1"/>
        <v>56.9</v>
      </c>
      <c r="Q47">
        <f t="shared" si="2"/>
        <v>66.2</v>
      </c>
      <c r="R47">
        <f t="shared" si="3"/>
        <v>50.4</v>
      </c>
      <c r="S47">
        <f t="shared" si="4"/>
        <v>57.9</v>
      </c>
      <c r="V47" s="6">
        <f t="shared" si="5"/>
        <v>45414.833333333336</v>
      </c>
      <c r="W47">
        <f t="shared" si="6"/>
        <v>20.6</v>
      </c>
      <c r="X47">
        <f t="shared" si="7"/>
        <v>25</v>
      </c>
      <c r="Y47">
        <f t="shared" si="8"/>
        <v>14.3</v>
      </c>
      <c r="Z47">
        <f t="shared" si="9"/>
        <v>21.6</v>
      </c>
      <c r="AY47" t="s">
        <v>62</v>
      </c>
      <c r="AZ47">
        <f t="shared" ref="AZ47:AZ49" ca="1" si="50">MIN(ROW(INDIRECT(AY47)))</f>
        <v>892</v>
      </c>
      <c r="BA47">
        <f t="shared" ref="BA47:BA49" ca="1" si="51">MIN(ROW(INDIRECT(AY47))) + ROWS(INDIRECT(AY47)) -1</f>
        <v>914</v>
      </c>
      <c r="BB47" s="11">
        <f t="shared" si="15"/>
        <v>45346</v>
      </c>
      <c r="BC47" s="10">
        <f ca="1">IFERROR(AVERAGE(INDIRECT("D" &amp; $AZ47):INDIRECT("D" &amp; $BA47)),"")</f>
        <v>60.556521739130432</v>
      </c>
      <c r="BD47">
        <f ca="1">IFERROR(MAX(INDIRECT("E" &amp; $AZ47):INDIRECT("E" &amp; $BA47)),"")</f>
        <v>76.7</v>
      </c>
      <c r="BE47">
        <f ca="1">IFERROR(MIN(INDIRECT("F" &amp; $AZ47):INDIRECT("F" &amp; $BA47)),"")</f>
        <v>49.4</v>
      </c>
      <c r="BF47" s="10">
        <f t="shared" ref="BF47:BF49" ca="1" si="52">BC47+1</f>
        <v>61.556521739130432</v>
      </c>
      <c r="BI47" s="11">
        <f t="shared" si="16"/>
        <v>45346</v>
      </c>
      <c r="BJ47" s="10">
        <f ca="1">IFERROR(AVERAGE(INDIRECT("H" &amp; $AZ47):INDIRECT("H" &amp; $BA47)),"")</f>
        <v>19.452173913043474</v>
      </c>
      <c r="BK47">
        <f ca="1">IFERROR(MAX(INDIRECT("I" &amp; $AZ47):INDIRECT("I" &amp; $BA47)),"")</f>
        <v>42.2</v>
      </c>
      <c r="BL47">
        <f ca="1">IFERROR(MIN(INDIRECT("J" &amp; $AZ47):INDIRECT("J" &amp; $BA47)),"")</f>
        <v>13.4</v>
      </c>
      <c r="BM47" s="10">
        <f t="shared" ref="BM47:BM49" ca="1" si="53">BJ47+0.3</f>
        <v>19.752173913043475</v>
      </c>
    </row>
    <row r="48" spans="1:65" x14ac:dyDescent="0.2">
      <c r="A48" s="1">
        <v>45414</v>
      </c>
      <c r="B48" s="2">
        <v>0.875</v>
      </c>
      <c r="C48" s="6">
        <v>45414.875</v>
      </c>
      <c r="D48">
        <v>63</v>
      </c>
      <c r="E48">
        <v>68.599999999999994</v>
      </c>
      <c r="F48">
        <v>57.6</v>
      </c>
      <c r="G48" t="s">
        <v>6</v>
      </c>
      <c r="H48">
        <v>21.2</v>
      </c>
      <c r="I48">
        <v>27.2</v>
      </c>
      <c r="J48">
        <v>17.3</v>
      </c>
      <c r="K48" t="s">
        <v>6</v>
      </c>
      <c r="L48">
        <v>217</v>
      </c>
      <c r="M48" t="s">
        <v>6</v>
      </c>
      <c r="O48" s="6">
        <f t="shared" si="0"/>
        <v>45414.875</v>
      </c>
      <c r="P48">
        <f t="shared" si="1"/>
        <v>63</v>
      </c>
      <c r="Q48">
        <f t="shared" si="2"/>
        <v>68.599999999999994</v>
      </c>
      <c r="R48">
        <f t="shared" si="3"/>
        <v>57.6</v>
      </c>
      <c r="S48">
        <f t="shared" si="4"/>
        <v>64</v>
      </c>
      <c r="V48" s="6">
        <f t="shared" si="5"/>
        <v>45414.875</v>
      </c>
      <c r="W48">
        <f t="shared" si="6"/>
        <v>21.2</v>
      </c>
      <c r="X48">
        <f t="shared" si="7"/>
        <v>27.2</v>
      </c>
      <c r="Y48">
        <f t="shared" si="8"/>
        <v>17.3</v>
      </c>
      <c r="Z48">
        <f t="shared" si="9"/>
        <v>22.2</v>
      </c>
      <c r="AY48" t="s">
        <v>63</v>
      </c>
      <c r="AZ48">
        <f t="shared" ca="1" si="50"/>
        <v>915</v>
      </c>
      <c r="BA48">
        <f t="shared" ca="1" si="51"/>
        <v>931</v>
      </c>
      <c r="BB48" s="11">
        <f t="shared" si="15"/>
        <v>45347</v>
      </c>
      <c r="BC48" s="10">
        <f ca="1">IFERROR(AVERAGE(INDIRECT("D" &amp; $AZ48):INDIRECT("D" &amp; $BA48)),"")</f>
        <v>59.247058823529393</v>
      </c>
      <c r="BD48">
        <f ca="1">IFERROR(MAX(INDIRECT("E" &amp; $AZ48):INDIRECT("E" &amp; $BA48)),"")</f>
        <v>75.400000000000006</v>
      </c>
      <c r="BE48">
        <f ca="1">IFERROR(MIN(INDIRECT("F" &amp; $AZ48):INDIRECT("F" &amp; $BA48)),"")</f>
        <v>48.3</v>
      </c>
      <c r="BF48" s="10">
        <f t="shared" ca="1" si="52"/>
        <v>60.247058823529393</v>
      </c>
      <c r="BI48" s="11">
        <f t="shared" si="16"/>
        <v>45347</v>
      </c>
      <c r="BJ48" s="10">
        <f ca="1">IFERROR(AVERAGE(INDIRECT("H" &amp; $AZ48):INDIRECT("H" &amp; $BA48)),"")</f>
        <v>19.711764705882356</v>
      </c>
      <c r="BK48">
        <f ca="1">IFERROR(MAX(INDIRECT("I" &amp; $AZ48):INDIRECT("I" &amp; $BA48)),"")</f>
        <v>26.3</v>
      </c>
      <c r="BL48">
        <f ca="1">IFERROR(MIN(INDIRECT("J" &amp; $AZ48):INDIRECT("J" &amp; $BA48)),"")</f>
        <v>13.2</v>
      </c>
      <c r="BM48" s="10">
        <f t="shared" ca="1" si="53"/>
        <v>20.011764705882356</v>
      </c>
    </row>
    <row r="49" spans="1:65" x14ac:dyDescent="0.2">
      <c r="A49" s="1">
        <v>45414</v>
      </c>
      <c r="B49" s="2">
        <v>0.91666666666666663</v>
      </c>
      <c r="C49" s="6">
        <v>45414.916666666664</v>
      </c>
      <c r="D49">
        <v>65.099999999999994</v>
      </c>
      <c r="E49">
        <v>68.900000000000006</v>
      </c>
      <c r="F49">
        <v>57.6</v>
      </c>
      <c r="G49" t="s">
        <v>6</v>
      </c>
      <c r="H49">
        <v>21.3</v>
      </c>
      <c r="I49">
        <v>25.1</v>
      </c>
      <c r="J49">
        <v>16.7</v>
      </c>
      <c r="K49" t="s">
        <v>6</v>
      </c>
      <c r="L49">
        <v>216</v>
      </c>
      <c r="M49" t="s">
        <v>6</v>
      </c>
      <c r="O49" s="6">
        <f t="shared" si="0"/>
        <v>45414.916666666664</v>
      </c>
      <c r="P49">
        <f t="shared" si="1"/>
        <v>65.099999999999994</v>
      </c>
      <c r="Q49">
        <f t="shared" si="2"/>
        <v>68.900000000000006</v>
      </c>
      <c r="R49">
        <f t="shared" si="3"/>
        <v>57.6</v>
      </c>
      <c r="S49">
        <f t="shared" si="4"/>
        <v>66.099999999999994</v>
      </c>
      <c r="V49" s="6">
        <f t="shared" si="5"/>
        <v>45414.916666666664</v>
      </c>
      <c r="W49">
        <f t="shared" si="6"/>
        <v>21.3</v>
      </c>
      <c r="X49">
        <f t="shared" si="7"/>
        <v>25.1</v>
      </c>
      <c r="Y49">
        <f t="shared" si="8"/>
        <v>16.7</v>
      </c>
      <c r="Z49">
        <f t="shared" si="9"/>
        <v>22.3</v>
      </c>
      <c r="AY49" t="s">
        <v>64</v>
      </c>
      <c r="AZ49">
        <f t="shared" ca="1" si="50"/>
        <v>932</v>
      </c>
      <c r="BA49">
        <f t="shared" ca="1" si="51"/>
        <v>953</v>
      </c>
      <c r="BB49" s="11">
        <f t="shared" si="15"/>
        <v>45348</v>
      </c>
      <c r="BC49" s="10">
        <f ca="1">IFERROR(AVERAGE(INDIRECT("D" &amp; $AZ49):INDIRECT("D" &amp; $BA49)),"")</f>
        <v>59.377272727272718</v>
      </c>
      <c r="BD49">
        <f ca="1">IFERROR(MAX(INDIRECT("E" &amp; $AZ49):INDIRECT("E" &amp; $BA49)),"")</f>
        <v>72.099999999999994</v>
      </c>
      <c r="BE49">
        <f ca="1">IFERROR(MIN(INDIRECT("F" &amp; $AZ49):INDIRECT("F" &amp; $BA49)),"")</f>
        <v>48.4</v>
      </c>
      <c r="BF49" s="10">
        <f t="shared" ca="1" si="52"/>
        <v>60.377272727272718</v>
      </c>
      <c r="BI49" s="11">
        <f t="shared" si="16"/>
        <v>45348</v>
      </c>
      <c r="BJ49" s="10">
        <f ca="1">IFERROR(AVERAGE(INDIRECT("H" &amp; $AZ49):INDIRECT("H" &amp; $BA49)),"")</f>
        <v>19.140909090909091</v>
      </c>
      <c r="BK49">
        <f ca="1">IFERROR(MAX(INDIRECT("I" &amp; $AZ49):INDIRECT("I" &amp; $BA49)),"")</f>
        <v>34</v>
      </c>
      <c r="BL49">
        <f ca="1">IFERROR(MIN(INDIRECT("J" &amp; $AZ49):INDIRECT("J" &amp; $BA49)),"")</f>
        <v>12.5</v>
      </c>
      <c r="BM49" s="10">
        <f t="shared" ca="1" si="53"/>
        <v>19.440909090909091</v>
      </c>
    </row>
    <row r="50" spans="1:65" x14ac:dyDescent="0.2">
      <c r="A50" s="1">
        <v>45414</v>
      </c>
      <c r="B50" s="2">
        <v>0.95833333333333337</v>
      </c>
      <c r="C50" s="6">
        <v>45414.958333333336</v>
      </c>
      <c r="D50">
        <v>72.099999999999994</v>
      </c>
      <c r="E50">
        <v>79.8</v>
      </c>
      <c r="F50">
        <v>55.2</v>
      </c>
      <c r="G50" t="s">
        <v>6</v>
      </c>
      <c r="H50">
        <v>23.8</v>
      </c>
      <c r="I50">
        <v>27.8</v>
      </c>
      <c r="J50">
        <v>15.8</v>
      </c>
      <c r="K50" t="s">
        <v>6</v>
      </c>
      <c r="L50">
        <v>189</v>
      </c>
      <c r="M50" t="s">
        <v>6</v>
      </c>
      <c r="O50" s="6">
        <f t="shared" si="0"/>
        <v>45414.958333333336</v>
      </c>
      <c r="P50">
        <f t="shared" si="1"/>
        <v>72.099999999999994</v>
      </c>
      <c r="Q50">
        <f t="shared" si="2"/>
        <v>79.8</v>
      </c>
      <c r="R50">
        <f t="shared" si="3"/>
        <v>55.2</v>
      </c>
      <c r="S50">
        <f t="shared" si="4"/>
        <v>73.099999999999994</v>
      </c>
      <c r="V50" s="6">
        <f t="shared" si="5"/>
        <v>45414.958333333336</v>
      </c>
      <c r="W50">
        <f t="shared" si="6"/>
        <v>23.8</v>
      </c>
      <c r="X50">
        <f t="shared" si="7"/>
        <v>27.8</v>
      </c>
      <c r="Y50">
        <f t="shared" si="8"/>
        <v>15.8</v>
      </c>
      <c r="Z50">
        <f t="shared" si="9"/>
        <v>24.8</v>
      </c>
      <c r="AY50" t="s">
        <v>65</v>
      </c>
      <c r="AZ50">
        <f t="shared" ref="AZ50" ca="1" si="54">MIN(ROW(INDIRECT(AY50)))</f>
        <v>954</v>
      </c>
      <c r="BA50">
        <f t="shared" ref="BA50" ca="1" si="55">MIN(ROW(INDIRECT(AY50))) + ROWS(INDIRECT(AY50)) -1</f>
        <v>976</v>
      </c>
      <c r="BB50" s="11">
        <f t="shared" si="15"/>
        <v>45349</v>
      </c>
      <c r="BC50" s="10">
        <f ca="1">IFERROR(AVERAGE(INDIRECT("D" &amp; $AZ50):INDIRECT("D" &amp; $BA50)),"")</f>
        <v>60.339130434782604</v>
      </c>
      <c r="BD50">
        <f ca="1">IFERROR(MAX(INDIRECT("E" &amp; $AZ50):INDIRECT("E" &amp; $BA50)),"")</f>
        <v>73.3</v>
      </c>
      <c r="BE50">
        <f ca="1">IFERROR(MIN(INDIRECT("F" &amp; $AZ50):INDIRECT("F" &amp; $BA50)),"")</f>
        <v>49.6</v>
      </c>
      <c r="BF50" s="10">
        <f t="shared" ref="BF50" ca="1" si="56">BC50+1</f>
        <v>61.339130434782604</v>
      </c>
      <c r="BI50" s="11">
        <f t="shared" si="16"/>
        <v>45349</v>
      </c>
      <c r="BJ50" s="10">
        <f ca="1">IFERROR(AVERAGE(INDIRECT("H" &amp; $AZ50):INDIRECT("H" &amp; $BA50)),"")</f>
        <v>19.182608695652174</v>
      </c>
      <c r="BK50">
        <f ca="1">IFERROR(MAX(INDIRECT("I" &amp; $AZ50):INDIRECT("I" &amp; $BA50)),"")</f>
        <v>43.5</v>
      </c>
      <c r="BL50">
        <f ca="1">IFERROR(MIN(INDIRECT("J" &amp; $AZ50):INDIRECT("J" &amp; $BA50)),"")</f>
        <v>12.1</v>
      </c>
      <c r="BM50" s="10">
        <f t="shared" ref="BM50" ca="1" si="57">BJ50+0.3</f>
        <v>19.482608695652175</v>
      </c>
    </row>
    <row r="51" spans="1:65" x14ac:dyDescent="0.2">
      <c r="A51" s="1">
        <v>45415</v>
      </c>
      <c r="B51" s="2">
        <v>0</v>
      </c>
      <c r="C51" s="6">
        <v>45415</v>
      </c>
      <c r="D51">
        <v>66.599999999999994</v>
      </c>
      <c r="E51">
        <v>76.5</v>
      </c>
      <c r="F51">
        <v>59.1</v>
      </c>
      <c r="G51" t="s">
        <v>6</v>
      </c>
      <c r="H51">
        <v>23.8</v>
      </c>
      <c r="I51">
        <v>33.299999999999997</v>
      </c>
      <c r="J51">
        <v>16.600000000000001</v>
      </c>
      <c r="K51" t="s">
        <v>6</v>
      </c>
      <c r="L51">
        <v>173</v>
      </c>
      <c r="M51" t="s">
        <v>6</v>
      </c>
      <c r="O51" s="6">
        <f t="shared" si="0"/>
        <v>45415</v>
      </c>
      <c r="P51">
        <f t="shared" si="1"/>
        <v>66.599999999999994</v>
      </c>
      <c r="Q51">
        <f t="shared" si="2"/>
        <v>76.5</v>
      </c>
      <c r="R51">
        <f t="shared" si="3"/>
        <v>59.1</v>
      </c>
      <c r="S51">
        <f t="shared" si="4"/>
        <v>67.599999999999994</v>
      </c>
      <c r="V51" s="6">
        <f t="shared" si="5"/>
        <v>45415</v>
      </c>
      <c r="W51">
        <f t="shared" si="6"/>
        <v>23.8</v>
      </c>
      <c r="X51">
        <f t="shared" si="7"/>
        <v>33.299999999999997</v>
      </c>
      <c r="Y51">
        <f t="shared" si="8"/>
        <v>16.600000000000001</v>
      </c>
      <c r="Z51">
        <f t="shared" si="9"/>
        <v>24.8</v>
      </c>
      <c r="AY51" t="s">
        <v>66</v>
      </c>
      <c r="AZ51">
        <f t="shared" ref="AZ51" ca="1" si="58">MIN(ROW(INDIRECT(AY51)))</f>
        <v>977</v>
      </c>
      <c r="BA51">
        <f t="shared" ref="BA51" ca="1" si="59">MIN(ROW(INDIRECT(AY51))) + ROWS(INDIRECT(AY51)) -1</f>
        <v>996</v>
      </c>
      <c r="BB51" s="11">
        <f t="shared" si="15"/>
        <v>45350</v>
      </c>
      <c r="BC51" s="10">
        <f ca="1">IFERROR(AVERAGE(INDIRECT("D" &amp; $AZ51):INDIRECT("D" &amp; $BA51)),"")</f>
        <v>59.219999999999992</v>
      </c>
      <c r="BD51">
        <f ca="1">IFERROR(MAX(INDIRECT("E" &amp; $AZ51):INDIRECT("E" &amp; $BA51)),"")</f>
        <v>77.3</v>
      </c>
      <c r="BE51">
        <f ca="1">IFERROR(MIN(INDIRECT("F" &amp; $AZ51):INDIRECT("F" &amp; $BA51)),"")</f>
        <v>48.9</v>
      </c>
      <c r="BF51" s="10">
        <f t="shared" ref="BF51" ca="1" si="60">BC51+1</f>
        <v>60.219999999999992</v>
      </c>
      <c r="BI51" s="11">
        <f t="shared" si="16"/>
        <v>45350</v>
      </c>
      <c r="BJ51" s="10">
        <f ca="1">IFERROR(AVERAGE(INDIRECT("H" &amp; $AZ51):INDIRECT("H" &amp; $BA51)),"")</f>
        <v>18.84</v>
      </c>
      <c r="BK51">
        <f ca="1">IFERROR(MAX(INDIRECT("I" &amp; $AZ51):INDIRECT("I" &amp; $BA51)),"")</f>
        <v>31.9</v>
      </c>
      <c r="BL51">
        <f ca="1">IFERROR(MIN(INDIRECT("J" &amp; $AZ51):INDIRECT("J" &amp; $BA51)),"")</f>
        <v>13.6</v>
      </c>
      <c r="BM51" s="10">
        <f t="shared" ref="BM51" ca="1" si="61">BJ51+0.3</f>
        <v>19.14</v>
      </c>
    </row>
    <row r="52" spans="1:65" x14ac:dyDescent="0.2">
      <c r="A52" s="1">
        <v>45415</v>
      </c>
      <c r="B52" s="2">
        <v>4.1666666666666664E-2</v>
      </c>
      <c r="C52" s="6">
        <v>45415.041666666664</v>
      </c>
      <c r="D52">
        <v>61.2</v>
      </c>
      <c r="E52">
        <v>68.2</v>
      </c>
      <c r="F52">
        <v>56.5</v>
      </c>
      <c r="G52" t="s">
        <v>6</v>
      </c>
      <c r="H52">
        <v>22.3</v>
      </c>
      <c r="I52">
        <v>27.1</v>
      </c>
      <c r="J52">
        <v>16.7</v>
      </c>
      <c r="K52" t="s">
        <v>6</v>
      </c>
      <c r="L52">
        <v>202</v>
      </c>
      <c r="M52" t="s">
        <v>6</v>
      </c>
      <c r="O52" s="6">
        <f t="shared" si="0"/>
        <v>45415.041666666664</v>
      </c>
      <c r="P52">
        <f t="shared" si="1"/>
        <v>61.2</v>
      </c>
      <c r="Q52">
        <f t="shared" si="2"/>
        <v>68.2</v>
      </c>
      <c r="R52">
        <f t="shared" si="3"/>
        <v>56.5</v>
      </c>
      <c r="S52">
        <f t="shared" si="4"/>
        <v>62.2</v>
      </c>
      <c r="V52" s="6">
        <f t="shared" si="5"/>
        <v>45415.041666666664</v>
      </c>
      <c r="W52">
        <f t="shared" si="6"/>
        <v>22.3</v>
      </c>
      <c r="X52">
        <f t="shared" si="7"/>
        <v>27.1</v>
      </c>
      <c r="Y52">
        <f t="shared" si="8"/>
        <v>16.7</v>
      </c>
      <c r="Z52">
        <f t="shared" si="9"/>
        <v>23.3</v>
      </c>
      <c r="AY52" t="s">
        <v>67</v>
      </c>
      <c r="AZ52">
        <f t="shared" ref="AZ52" ca="1" si="62">MIN(ROW(INDIRECT(AY52)))</f>
        <v>997</v>
      </c>
      <c r="BA52">
        <f t="shared" ref="BA52" ca="1" si="63">MIN(ROW(INDIRECT(AY52))) + ROWS(INDIRECT(AY52)) -1</f>
        <v>1018</v>
      </c>
      <c r="BB52" s="11">
        <f t="shared" si="15"/>
        <v>45351</v>
      </c>
      <c r="BC52" s="10">
        <f ca="1">IFERROR(AVERAGE(INDIRECT("D" &amp; $AZ52):INDIRECT("D" &amp; $BA52)),"")</f>
        <v>61.6</v>
      </c>
      <c r="BD52">
        <f ca="1">IFERROR(MAX(INDIRECT("E" &amp; $AZ52):INDIRECT("E" &amp; $BA52)),"")</f>
        <v>80</v>
      </c>
      <c r="BE52">
        <f ca="1">IFERROR(MIN(INDIRECT("F" &amp; $AZ52):INDIRECT("F" &amp; $BA52)),"")</f>
        <v>52.5</v>
      </c>
      <c r="BF52" s="10">
        <f t="shared" ref="BF52" ca="1" si="64">BC52+1</f>
        <v>62.6</v>
      </c>
      <c r="BI52" s="11">
        <f t="shared" si="16"/>
        <v>45351</v>
      </c>
      <c r="BJ52" s="10">
        <f ca="1">IFERROR(AVERAGE(INDIRECT("H" &amp; $AZ52):INDIRECT("H" &amp; $BA52)),"")</f>
        <v>19.34090909090909</v>
      </c>
      <c r="BK52">
        <f ca="1">IFERROR(MAX(INDIRECT("I" &amp; $AZ52):INDIRECT("I" &amp; $BA52)),"")</f>
        <v>32</v>
      </c>
      <c r="BL52">
        <f ca="1">IFERROR(MIN(INDIRECT("J" &amp; $AZ52):INDIRECT("J" &amp; $BA52)),"")</f>
        <v>12.5</v>
      </c>
      <c r="BM52" s="10">
        <f t="shared" ref="BM52" ca="1" si="65">BJ52+0.3</f>
        <v>19.640909090909091</v>
      </c>
    </row>
    <row r="53" spans="1:65" x14ac:dyDescent="0.2">
      <c r="A53" s="1">
        <v>45415</v>
      </c>
      <c r="B53" s="2">
        <v>8.3333333333333329E-2</v>
      </c>
      <c r="C53" s="6">
        <v>45415.083333333336</v>
      </c>
      <c r="D53">
        <v>63</v>
      </c>
      <c r="E53">
        <v>68.900000000000006</v>
      </c>
      <c r="F53">
        <v>58.8</v>
      </c>
      <c r="G53" t="s">
        <v>6</v>
      </c>
      <c r="H53">
        <v>20.100000000000001</v>
      </c>
      <c r="I53">
        <v>26</v>
      </c>
      <c r="J53">
        <v>16.399999999999999</v>
      </c>
      <c r="K53" t="s">
        <v>6</v>
      </c>
      <c r="L53">
        <v>210</v>
      </c>
      <c r="M53" t="s">
        <v>6</v>
      </c>
      <c r="O53" s="6">
        <f t="shared" si="0"/>
        <v>45415.083333333336</v>
      </c>
      <c r="P53">
        <f t="shared" si="1"/>
        <v>63</v>
      </c>
      <c r="Q53">
        <f t="shared" si="2"/>
        <v>68.900000000000006</v>
      </c>
      <c r="R53">
        <f t="shared" si="3"/>
        <v>58.8</v>
      </c>
      <c r="S53">
        <f t="shared" si="4"/>
        <v>64</v>
      </c>
      <c r="V53" s="6">
        <f t="shared" si="5"/>
        <v>45415.083333333336</v>
      </c>
      <c r="W53">
        <f t="shared" si="6"/>
        <v>20.100000000000001</v>
      </c>
      <c r="X53">
        <f t="shared" si="7"/>
        <v>26</v>
      </c>
      <c r="Y53">
        <f t="shared" si="8"/>
        <v>16.399999999999999</v>
      </c>
      <c r="Z53">
        <f t="shared" si="9"/>
        <v>21.1</v>
      </c>
      <c r="AY53" t="s">
        <v>68</v>
      </c>
      <c r="AZ53">
        <f t="shared" ref="AZ53" ca="1" si="66">MIN(ROW(INDIRECT(AY53)))</f>
        <v>1019</v>
      </c>
      <c r="BA53">
        <f t="shared" ref="BA53" ca="1" si="67">MIN(ROW(INDIRECT(AY53))) + ROWS(INDIRECT(AY53)) -1</f>
        <v>1040</v>
      </c>
      <c r="BB53" s="11">
        <f t="shared" si="15"/>
        <v>45352</v>
      </c>
      <c r="BC53" s="10">
        <f ca="1">IFERROR(AVERAGE(INDIRECT("D" &amp; $AZ53):INDIRECT("D" &amp; $BA53)),"")</f>
        <v>62.040909090909082</v>
      </c>
      <c r="BD53">
        <f ca="1">IFERROR(MAX(INDIRECT("E" &amp; $AZ53):INDIRECT("E" &amp; $BA53)),"")</f>
        <v>80.8</v>
      </c>
      <c r="BE53">
        <f ca="1">IFERROR(MIN(INDIRECT("F" &amp; $AZ53):INDIRECT("F" &amp; $BA53)),"")</f>
        <v>46.7</v>
      </c>
      <c r="BF53" s="10">
        <f t="shared" ref="BF53" ca="1" si="68">BC53+1</f>
        <v>63.040909090909082</v>
      </c>
      <c r="BG53">
        <v>1</v>
      </c>
      <c r="BI53" s="11">
        <f t="shared" si="16"/>
        <v>45352</v>
      </c>
      <c r="BJ53" s="10">
        <f ca="1">IFERROR(AVERAGE(INDIRECT("H" &amp; $AZ53):INDIRECT("H" &amp; $BA53)),"")</f>
        <v>20.413636363636364</v>
      </c>
      <c r="BK53">
        <f ca="1">IFERROR(MAX(INDIRECT("I" &amp; $AZ53):INDIRECT("I" &amp; $BA53)),"")</f>
        <v>31.9</v>
      </c>
      <c r="BL53">
        <f ca="1">IFERROR(MIN(INDIRECT("J" &amp; $AZ53):INDIRECT("J" &amp; $BA53)),"")</f>
        <v>13.3</v>
      </c>
      <c r="BM53" s="10">
        <f t="shared" ref="BM53" ca="1" si="69">BJ53+0.3</f>
        <v>20.713636363636365</v>
      </c>
    </row>
    <row r="54" spans="1:65" x14ac:dyDescent="0.2">
      <c r="A54" s="1">
        <v>45415</v>
      </c>
      <c r="B54" s="2">
        <v>0.125</v>
      </c>
      <c r="C54" s="6">
        <v>45415.125</v>
      </c>
      <c r="D54">
        <v>63.9</v>
      </c>
      <c r="E54">
        <v>70.2</v>
      </c>
      <c r="F54">
        <v>57.2</v>
      </c>
      <c r="G54" t="s">
        <v>6</v>
      </c>
      <c r="H54">
        <v>19.600000000000001</v>
      </c>
      <c r="I54">
        <v>25.2</v>
      </c>
      <c r="J54">
        <v>14.3</v>
      </c>
      <c r="K54" t="s">
        <v>6</v>
      </c>
      <c r="L54">
        <v>226</v>
      </c>
      <c r="M54" t="s">
        <v>6</v>
      </c>
      <c r="O54" s="6">
        <f t="shared" si="0"/>
        <v>45415.125</v>
      </c>
      <c r="P54">
        <f t="shared" si="1"/>
        <v>63.9</v>
      </c>
      <c r="Q54">
        <f t="shared" si="2"/>
        <v>70.2</v>
      </c>
      <c r="R54">
        <f t="shared" si="3"/>
        <v>57.2</v>
      </c>
      <c r="S54">
        <f t="shared" si="4"/>
        <v>64.900000000000006</v>
      </c>
      <c r="V54" s="6">
        <f t="shared" si="5"/>
        <v>45415.125</v>
      </c>
      <c r="W54">
        <f t="shared" si="6"/>
        <v>19.600000000000001</v>
      </c>
      <c r="X54">
        <f t="shared" si="7"/>
        <v>25.2</v>
      </c>
      <c r="Y54">
        <f t="shared" si="8"/>
        <v>14.3</v>
      </c>
      <c r="Z54">
        <f t="shared" si="9"/>
        <v>20.6</v>
      </c>
      <c r="AY54" t="s">
        <v>69</v>
      </c>
      <c r="AZ54">
        <f t="shared" ref="AZ54:AZ56" ca="1" si="70">MIN(ROW(INDIRECT(AY54)))</f>
        <v>1041</v>
      </c>
      <c r="BA54">
        <f t="shared" ref="BA54:BA56" ca="1" si="71">MIN(ROW(INDIRECT(AY54))) + ROWS(INDIRECT(AY54)) -1</f>
        <v>1056</v>
      </c>
      <c r="BB54" s="11">
        <f t="shared" si="15"/>
        <v>45353</v>
      </c>
      <c r="BC54" s="10">
        <f ca="1">IFERROR(AVERAGE(INDIRECT("D" &amp; $AZ54):INDIRECT("D" &amp; $BA54)),"")</f>
        <v>61.574999999999989</v>
      </c>
      <c r="BD54">
        <f ca="1">IFERROR(MAX(INDIRECT("E" &amp; $AZ54):INDIRECT("E" &amp; $BA54)),"")</f>
        <v>77.099999999999994</v>
      </c>
      <c r="BE54">
        <f ca="1">IFERROR(MIN(INDIRECT("F" &amp; $AZ54):INDIRECT("F" &amp; $BA54)),"")</f>
        <v>49.4</v>
      </c>
      <c r="BF54" s="10">
        <f t="shared" ref="BF54:BF56" ca="1" si="72">BC54+1</f>
        <v>62.574999999999989</v>
      </c>
      <c r="BI54" s="11">
        <f t="shared" si="16"/>
        <v>45353</v>
      </c>
      <c r="BJ54" s="10">
        <f ca="1">IFERROR(AVERAGE(INDIRECT("H" &amp; $AZ54):INDIRECT("H" &amp; $BA54)),"")</f>
        <v>21.256249999999998</v>
      </c>
      <c r="BK54">
        <f ca="1">IFERROR(MAX(INDIRECT("I" &amp; $AZ54):INDIRECT("I" &amp; $BA54)),"")</f>
        <v>49.2</v>
      </c>
      <c r="BL54">
        <f ca="1">IFERROR(MIN(INDIRECT("J" &amp; $AZ54):INDIRECT("J" &amp; $BA54)),"")</f>
        <v>14.6</v>
      </c>
      <c r="BM54" s="10">
        <f t="shared" ref="BM54:BM56" ca="1" si="73">BJ54+0.3</f>
        <v>21.556249999999999</v>
      </c>
    </row>
    <row r="55" spans="1:65" x14ac:dyDescent="0.2">
      <c r="A55" s="1">
        <v>45415</v>
      </c>
      <c r="B55" s="2">
        <v>0.16666666666666666</v>
      </c>
      <c r="C55" s="6">
        <v>45415.166666666664</v>
      </c>
      <c r="D55">
        <v>62.2</v>
      </c>
      <c r="E55">
        <v>66.3</v>
      </c>
      <c r="F55">
        <v>59</v>
      </c>
      <c r="G55" t="s">
        <v>6</v>
      </c>
      <c r="H55">
        <v>20.399999999999999</v>
      </c>
      <c r="I55">
        <v>29.4</v>
      </c>
      <c r="J55">
        <v>15.6</v>
      </c>
      <c r="K55" t="s">
        <v>6</v>
      </c>
      <c r="L55">
        <v>217</v>
      </c>
      <c r="M55" t="s">
        <v>6</v>
      </c>
      <c r="O55" s="6">
        <f t="shared" si="0"/>
        <v>45415.166666666664</v>
      </c>
      <c r="P55">
        <f t="shared" si="1"/>
        <v>62.2</v>
      </c>
      <c r="Q55">
        <f t="shared" si="2"/>
        <v>66.3</v>
      </c>
      <c r="R55">
        <f t="shared" si="3"/>
        <v>59</v>
      </c>
      <c r="S55">
        <f t="shared" si="4"/>
        <v>63.2</v>
      </c>
      <c r="V55" s="6">
        <f t="shared" si="5"/>
        <v>45415.166666666664</v>
      </c>
      <c r="W55">
        <f t="shared" si="6"/>
        <v>20.399999999999999</v>
      </c>
      <c r="X55">
        <f t="shared" si="7"/>
        <v>29.4</v>
      </c>
      <c r="Y55">
        <f t="shared" si="8"/>
        <v>15.6</v>
      </c>
      <c r="Z55">
        <f t="shared" si="9"/>
        <v>21.4</v>
      </c>
      <c r="AY55" t="s">
        <v>70</v>
      </c>
      <c r="AZ55">
        <f t="shared" ca="1" si="70"/>
        <v>1057</v>
      </c>
      <c r="BA55">
        <f t="shared" ca="1" si="71"/>
        <v>1077</v>
      </c>
      <c r="BB55" s="11">
        <f t="shared" si="15"/>
        <v>45354</v>
      </c>
      <c r="BC55" s="10">
        <f ca="1">IFERROR(AVERAGE(INDIRECT("D" &amp; $AZ55):INDIRECT("D" &amp; $BA55)),"")</f>
        <v>60.590476190476195</v>
      </c>
      <c r="BD55">
        <f ca="1">IFERROR(MAX(INDIRECT("E" &amp; $AZ55):INDIRECT("E" &amp; $BA55)),"")</f>
        <v>82.3</v>
      </c>
      <c r="BE55">
        <f ca="1">IFERROR(MIN(INDIRECT("F" &amp; $AZ55):INDIRECT("F" &amp; $BA55)),"")</f>
        <v>40.1</v>
      </c>
      <c r="BF55" s="10">
        <f t="shared" ca="1" si="72"/>
        <v>61.590476190476195</v>
      </c>
      <c r="BI55" s="11">
        <f t="shared" si="16"/>
        <v>45354</v>
      </c>
      <c r="BJ55" s="10">
        <f ca="1">IFERROR(AVERAGE(INDIRECT("H" &amp; $AZ55):INDIRECT("H" &amp; $BA55)),"")</f>
        <v>21.666666666666668</v>
      </c>
      <c r="BK55">
        <f ca="1">IFERROR(MAX(INDIRECT("I" &amp; $AZ55):INDIRECT("I" &amp; $BA55)),"")</f>
        <v>38.1</v>
      </c>
      <c r="BL55">
        <f ca="1">IFERROR(MIN(INDIRECT("J" &amp; $AZ55):INDIRECT("J" &amp; $BA55)),"")</f>
        <v>11.5</v>
      </c>
      <c r="BM55" s="10">
        <f t="shared" ca="1" si="73"/>
        <v>21.966666666666669</v>
      </c>
    </row>
    <row r="56" spans="1:65" x14ac:dyDescent="0.2">
      <c r="A56" s="1">
        <v>45415</v>
      </c>
      <c r="B56" s="2">
        <v>0.20833333333333334</v>
      </c>
      <c r="C56" s="6">
        <v>45415.208333333336</v>
      </c>
      <c r="D56">
        <v>62.4</v>
      </c>
      <c r="E56">
        <v>68.5</v>
      </c>
      <c r="F56">
        <v>57.2</v>
      </c>
      <c r="G56" t="s">
        <v>6</v>
      </c>
      <c r="H56">
        <v>18.8</v>
      </c>
      <c r="I56">
        <v>27.6</v>
      </c>
      <c r="J56">
        <v>13.9</v>
      </c>
      <c r="K56" t="s">
        <v>6</v>
      </c>
      <c r="L56">
        <v>219</v>
      </c>
      <c r="M56" t="s">
        <v>6</v>
      </c>
      <c r="O56" s="6">
        <f t="shared" si="0"/>
        <v>45415.208333333336</v>
      </c>
      <c r="P56">
        <f t="shared" si="1"/>
        <v>62.4</v>
      </c>
      <c r="Q56">
        <f t="shared" si="2"/>
        <v>68.5</v>
      </c>
      <c r="R56">
        <f t="shared" si="3"/>
        <v>57.2</v>
      </c>
      <c r="S56">
        <f t="shared" si="4"/>
        <v>63.4</v>
      </c>
      <c r="V56" s="6">
        <f t="shared" si="5"/>
        <v>45415.208333333336</v>
      </c>
      <c r="W56">
        <f t="shared" si="6"/>
        <v>18.8</v>
      </c>
      <c r="X56">
        <f t="shared" si="7"/>
        <v>27.6</v>
      </c>
      <c r="Y56">
        <f t="shared" si="8"/>
        <v>13.9</v>
      </c>
      <c r="Z56">
        <f t="shared" si="9"/>
        <v>19.8</v>
      </c>
      <c r="AY56" t="s">
        <v>71</v>
      </c>
      <c r="AZ56">
        <f t="shared" ca="1" si="70"/>
        <v>1078</v>
      </c>
      <c r="BA56">
        <f t="shared" ca="1" si="71"/>
        <v>1100</v>
      </c>
      <c r="BB56" s="11">
        <f t="shared" si="15"/>
        <v>45355</v>
      </c>
      <c r="BC56" s="10">
        <f ca="1">IFERROR(AVERAGE(INDIRECT("D" &amp; $AZ56):INDIRECT("D" &amp; $BA56)),"")</f>
        <v>58.860869565217392</v>
      </c>
      <c r="BD56">
        <f ca="1">IFERROR(MAX(INDIRECT("E" &amp; $AZ56):INDIRECT("E" &amp; $BA56)),"")</f>
        <v>89.1</v>
      </c>
      <c r="BE56">
        <f ca="1">IFERROR(MIN(INDIRECT("F" &amp; $AZ56):INDIRECT("F" &amp; $BA56)),"")</f>
        <v>40.1</v>
      </c>
      <c r="BF56" s="10">
        <f t="shared" ca="1" si="72"/>
        <v>59.860869565217392</v>
      </c>
      <c r="BI56" s="11">
        <f t="shared" si="16"/>
        <v>45355</v>
      </c>
      <c r="BJ56" s="10">
        <f ca="1">IFERROR(AVERAGE(INDIRECT("H" &amp; $AZ56):INDIRECT("H" &amp; $BA56)),"")</f>
        <v>21.921739130434784</v>
      </c>
      <c r="BK56">
        <f ca="1">IFERROR(MAX(INDIRECT("I" &amp; $AZ56):INDIRECT("I" &amp; $BA56)),"")</f>
        <v>40.200000000000003</v>
      </c>
      <c r="BL56">
        <f ca="1">IFERROR(MIN(INDIRECT("J" &amp; $AZ56):INDIRECT("J" &amp; $BA56)),"")</f>
        <v>14.6</v>
      </c>
      <c r="BM56" s="10">
        <f t="shared" ca="1" si="73"/>
        <v>22.221739130434784</v>
      </c>
    </row>
    <row r="57" spans="1:65" x14ac:dyDescent="0.2">
      <c r="A57" s="1">
        <v>45415</v>
      </c>
      <c r="B57" s="2">
        <v>0.25</v>
      </c>
      <c r="C57" s="6">
        <v>45415.25</v>
      </c>
      <c r="D57">
        <v>63</v>
      </c>
      <c r="E57">
        <v>71.5</v>
      </c>
      <c r="F57">
        <v>55.7</v>
      </c>
      <c r="G57" t="s">
        <v>6</v>
      </c>
      <c r="H57">
        <v>18.899999999999999</v>
      </c>
      <c r="I57">
        <v>24</v>
      </c>
      <c r="J57">
        <v>15.8</v>
      </c>
      <c r="K57" t="s">
        <v>6</v>
      </c>
      <c r="L57">
        <v>214</v>
      </c>
      <c r="M57" t="s">
        <v>6</v>
      </c>
      <c r="O57" s="6">
        <f t="shared" si="0"/>
        <v>45415.25</v>
      </c>
      <c r="P57">
        <f t="shared" si="1"/>
        <v>63</v>
      </c>
      <c r="Q57">
        <f t="shared" si="2"/>
        <v>71.5</v>
      </c>
      <c r="R57">
        <f t="shared" si="3"/>
        <v>55.7</v>
      </c>
      <c r="S57">
        <f t="shared" si="4"/>
        <v>64</v>
      </c>
      <c r="V57" s="6">
        <f t="shared" si="5"/>
        <v>45415.25</v>
      </c>
      <c r="W57">
        <f t="shared" si="6"/>
        <v>18.899999999999999</v>
      </c>
      <c r="X57">
        <f t="shared" si="7"/>
        <v>24</v>
      </c>
      <c r="Y57">
        <f t="shared" si="8"/>
        <v>15.8</v>
      </c>
      <c r="Z57">
        <f t="shared" si="9"/>
        <v>19.899999999999999</v>
      </c>
      <c r="AY57" t="s">
        <v>72</v>
      </c>
      <c r="AZ57">
        <f t="shared" ref="AZ57" ca="1" si="74">MIN(ROW(INDIRECT(AY57)))</f>
        <v>1101</v>
      </c>
      <c r="BA57">
        <f t="shared" ref="BA57" ca="1" si="75">MIN(ROW(INDIRECT(AY57))) + ROWS(INDIRECT(AY57)) -1</f>
        <v>1123</v>
      </c>
      <c r="BB57" s="11">
        <f t="shared" si="15"/>
        <v>45356</v>
      </c>
      <c r="BC57" s="10">
        <f ca="1">IFERROR(AVERAGE(INDIRECT("D" &amp; $AZ57):INDIRECT("D" &amp; $BA57)),"")</f>
        <v>50.230434782608697</v>
      </c>
      <c r="BD57">
        <f ca="1">IFERROR(MAX(INDIRECT("E" &amp; $AZ57):INDIRECT("E" &amp; $BA57)),"")</f>
        <v>85.2</v>
      </c>
      <c r="BE57">
        <f ca="1">IFERROR(MIN(INDIRECT("F" &amp; $AZ57):INDIRECT("F" &amp; $BA57)),"")</f>
        <v>40.1</v>
      </c>
      <c r="BF57" s="10">
        <f t="shared" ref="BF57" ca="1" si="76">BC57+1</f>
        <v>51.230434782608697</v>
      </c>
      <c r="BI57" s="11">
        <f t="shared" si="16"/>
        <v>45356</v>
      </c>
      <c r="BJ57" s="10">
        <f ca="1">IFERROR(AVERAGE(INDIRECT("H" &amp; $AZ57):INDIRECT("H" &amp; $BA57)),"")</f>
        <v>18.847826086956523</v>
      </c>
      <c r="BK57">
        <f ca="1">IFERROR(MAX(INDIRECT("I" &amp; $AZ57):INDIRECT("I" &amp; $BA57)),"")</f>
        <v>39.6</v>
      </c>
      <c r="BL57">
        <f ca="1">IFERROR(MIN(INDIRECT("J" &amp; $AZ57):INDIRECT("J" &amp; $BA57)),"")</f>
        <v>9.3000000000000007</v>
      </c>
      <c r="BM57" s="10">
        <f t="shared" ref="BM57" ca="1" si="77">BJ57+0.3</f>
        <v>19.147826086956524</v>
      </c>
    </row>
    <row r="58" spans="1:65" x14ac:dyDescent="0.2">
      <c r="A58" s="1">
        <v>45415</v>
      </c>
      <c r="B58" s="2">
        <v>0.29166666666666669</v>
      </c>
      <c r="C58" s="6">
        <v>45415.291666666664</v>
      </c>
      <c r="D58">
        <v>61.9</v>
      </c>
      <c r="E58">
        <v>67.900000000000006</v>
      </c>
      <c r="F58">
        <v>56.7</v>
      </c>
      <c r="G58" t="s">
        <v>6</v>
      </c>
      <c r="H58">
        <v>19.5</v>
      </c>
      <c r="I58">
        <v>26.2</v>
      </c>
      <c r="J58">
        <v>16.7</v>
      </c>
      <c r="K58" t="s">
        <v>6</v>
      </c>
      <c r="L58">
        <v>213</v>
      </c>
      <c r="M58" t="s">
        <v>6</v>
      </c>
      <c r="O58" s="6">
        <f t="shared" si="0"/>
        <v>45415.291666666664</v>
      </c>
      <c r="P58">
        <f t="shared" si="1"/>
        <v>61.9</v>
      </c>
      <c r="Q58">
        <f t="shared" si="2"/>
        <v>67.900000000000006</v>
      </c>
      <c r="R58">
        <f t="shared" si="3"/>
        <v>56.7</v>
      </c>
      <c r="S58">
        <f t="shared" si="4"/>
        <v>62.9</v>
      </c>
      <c r="V58" s="6">
        <f t="shared" si="5"/>
        <v>45415.291666666664</v>
      </c>
      <c r="W58">
        <f t="shared" si="6"/>
        <v>19.5</v>
      </c>
      <c r="X58">
        <f t="shared" si="7"/>
        <v>26.2</v>
      </c>
      <c r="Y58">
        <f t="shared" si="8"/>
        <v>16.7</v>
      </c>
      <c r="Z58">
        <f t="shared" si="9"/>
        <v>20.5</v>
      </c>
      <c r="AY58" t="s">
        <v>73</v>
      </c>
      <c r="AZ58">
        <f t="shared" ref="AZ58" ca="1" si="78">MIN(ROW(INDIRECT(AY58)))</f>
        <v>1124</v>
      </c>
      <c r="BA58">
        <f t="shared" ref="BA58" ca="1" si="79">MIN(ROW(INDIRECT(AY58))) + ROWS(INDIRECT(AY58)) -1</f>
        <v>1146</v>
      </c>
      <c r="BB58" s="11">
        <f t="shared" si="15"/>
        <v>45357</v>
      </c>
      <c r="BC58" s="10">
        <f ca="1">IFERROR(AVERAGE(INDIRECT("D" &amp; $AZ58):INDIRECT("D" &amp; $BA58)),"")</f>
        <v>72.008695652173913</v>
      </c>
      <c r="BD58">
        <f ca="1">IFERROR(MAX(INDIRECT("E" &amp; $AZ58):INDIRECT("E" &amp; $BA58)),"")</f>
        <v>100</v>
      </c>
      <c r="BE58">
        <f ca="1">IFERROR(MIN(INDIRECT("F" &amp; $AZ58):INDIRECT("F" &amp; $BA58)),"")</f>
        <v>48.3</v>
      </c>
      <c r="BF58" s="10">
        <f t="shared" ref="BF58" ca="1" si="80">BC58+1</f>
        <v>73.008695652173913</v>
      </c>
      <c r="BI58" s="11">
        <f t="shared" si="16"/>
        <v>45357</v>
      </c>
      <c r="BJ58" s="10">
        <f ca="1">IFERROR(AVERAGE(INDIRECT("H" &amp; $AZ58):INDIRECT("H" &amp; $BA58)),"")</f>
        <v>11.226086956521739</v>
      </c>
      <c r="BK58">
        <f ca="1">IFERROR(MAX(INDIRECT("I" &amp; $AZ58):INDIRECT("I" &amp; $BA58)),"")</f>
        <v>36.200000000000003</v>
      </c>
      <c r="BL58">
        <f ca="1">IFERROR(MIN(INDIRECT("J" &amp; $AZ58):INDIRECT("J" &amp; $BA58)),"")</f>
        <v>8.6</v>
      </c>
      <c r="BM58" s="10">
        <f t="shared" ref="BM58" ca="1" si="81">BJ58+0.3</f>
        <v>11.526086956521739</v>
      </c>
    </row>
    <row r="59" spans="1:65" x14ac:dyDescent="0.2">
      <c r="A59" s="14">
        <v>45415</v>
      </c>
      <c r="B59" s="7">
        <v>0.33333333333333331</v>
      </c>
      <c r="C59" s="8">
        <v>45415.333333333336</v>
      </c>
      <c r="D59" s="9">
        <v>60.1</v>
      </c>
      <c r="E59" s="9">
        <v>66.5</v>
      </c>
      <c r="F59" s="9">
        <v>56.6</v>
      </c>
      <c r="G59" s="9" t="s">
        <v>6</v>
      </c>
      <c r="H59" s="9">
        <v>19.3</v>
      </c>
      <c r="I59" s="9">
        <v>28</v>
      </c>
      <c r="J59" s="9">
        <v>13.5</v>
      </c>
      <c r="K59" s="9" t="s">
        <v>6</v>
      </c>
      <c r="L59" s="9">
        <v>222</v>
      </c>
      <c r="M59" t="s">
        <v>6</v>
      </c>
      <c r="O59" s="6">
        <f t="shared" si="0"/>
        <v>45415.333333333336</v>
      </c>
      <c r="P59">
        <f t="shared" si="1"/>
        <v>60.1</v>
      </c>
      <c r="Q59">
        <f t="shared" si="2"/>
        <v>66.5</v>
      </c>
      <c r="R59">
        <f t="shared" si="3"/>
        <v>56.6</v>
      </c>
      <c r="S59">
        <f t="shared" si="4"/>
        <v>61.1</v>
      </c>
      <c r="V59" s="6">
        <f t="shared" si="5"/>
        <v>45415.333333333336</v>
      </c>
      <c r="W59">
        <f t="shared" si="6"/>
        <v>19.3</v>
      </c>
      <c r="X59">
        <f t="shared" si="7"/>
        <v>28</v>
      </c>
      <c r="Y59">
        <f t="shared" si="8"/>
        <v>13.5</v>
      </c>
      <c r="Z59">
        <f t="shared" si="9"/>
        <v>20.3</v>
      </c>
      <c r="AY59" t="s">
        <v>74</v>
      </c>
      <c r="AZ59">
        <f t="shared" ref="AZ59" ca="1" si="82">MIN(ROW(INDIRECT(AY59)))</f>
        <v>1147</v>
      </c>
      <c r="BA59">
        <f t="shared" ref="BA59" ca="1" si="83">MIN(ROW(INDIRECT(AY59))) + ROWS(INDIRECT(AY59)) -1</f>
        <v>1168</v>
      </c>
      <c r="BB59" s="11">
        <f t="shared" si="15"/>
        <v>45358</v>
      </c>
      <c r="BC59" s="10">
        <f ca="1">IFERROR(AVERAGE(INDIRECT("D" &amp; $AZ59):INDIRECT("D" &amp; $BA59)),"")</f>
        <v>92.231818181818184</v>
      </c>
      <c r="BD59">
        <f ca="1">IFERROR(MAX(INDIRECT("E" &amp; $AZ59):INDIRECT("E" &amp; $BA59)),"")</f>
        <v>104.4</v>
      </c>
      <c r="BE59">
        <f ca="1">IFERROR(MIN(INDIRECT("F" &amp; $AZ59):INDIRECT("F" &amp; $BA59)),"")</f>
        <v>61.3</v>
      </c>
      <c r="BF59" s="10">
        <f t="shared" ref="BF59" ca="1" si="84">BC59+1</f>
        <v>93.231818181818184</v>
      </c>
      <c r="BI59" s="11">
        <f t="shared" si="16"/>
        <v>45358</v>
      </c>
      <c r="BJ59" s="10">
        <f ca="1">IFERROR(AVERAGE(INDIRECT("H" &amp; $AZ59):INDIRECT("H" &amp; $BA59)),"")</f>
        <v>11.245454545454546</v>
      </c>
      <c r="BK59">
        <f ca="1">IFERROR(MAX(INDIRECT("I" &amp; $AZ59):INDIRECT("I" &amp; $BA59)),"")</f>
        <v>18.8</v>
      </c>
      <c r="BL59">
        <f ca="1">IFERROR(MIN(INDIRECT("J" &amp; $AZ59):INDIRECT("J" &amp; $BA59)),"")</f>
        <v>8.6999999999999993</v>
      </c>
      <c r="BM59" s="10">
        <f t="shared" ref="BM59" ca="1" si="85">BJ59+0.3</f>
        <v>11.545454545454547</v>
      </c>
    </row>
    <row r="60" spans="1:65" x14ac:dyDescent="0.2">
      <c r="A60" s="13">
        <v>45415</v>
      </c>
      <c r="B60" s="3">
        <v>0.375</v>
      </c>
      <c r="C60" s="4">
        <v>45415.375</v>
      </c>
      <c r="D60" s="5">
        <v>59.6</v>
      </c>
      <c r="E60" s="5">
        <v>66.5</v>
      </c>
      <c r="F60" s="5">
        <v>53.2</v>
      </c>
      <c r="G60" s="5" t="s">
        <v>6</v>
      </c>
      <c r="H60" s="5">
        <v>18.7</v>
      </c>
      <c r="I60" s="5">
        <v>23.6</v>
      </c>
      <c r="J60" s="5">
        <v>16.600000000000001</v>
      </c>
      <c r="K60" s="5" t="s">
        <v>6</v>
      </c>
      <c r="L60" s="5">
        <v>203</v>
      </c>
      <c r="M60" t="s">
        <v>6</v>
      </c>
      <c r="O60" s="6">
        <f t="shared" si="0"/>
        <v>45415.375</v>
      </c>
      <c r="P60">
        <f t="shared" si="1"/>
        <v>59.6</v>
      </c>
      <c r="Q60">
        <f t="shared" si="2"/>
        <v>66.5</v>
      </c>
      <c r="R60">
        <f t="shared" si="3"/>
        <v>53.2</v>
      </c>
      <c r="S60">
        <f t="shared" si="4"/>
        <v>60.6</v>
      </c>
      <c r="V60" s="6">
        <f t="shared" si="5"/>
        <v>45415.375</v>
      </c>
      <c r="W60">
        <f t="shared" si="6"/>
        <v>18.7</v>
      </c>
      <c r="X60">
        <f t="shared" si="7"/>
        <v>23.6</v>
      </c>
      <c r="Y60">
        <f t="shared" si="8"/>
        <v>16.600000000000001</v>
      </c>
      <c r="Z60">
        <f t="shared" si="9"/>
        <v>19.7</v>
      </c>
      <c r="AY60" t="s">
        <v>75</v>
      </c>
      <c r="AZ60">
        <f t="shared" ref="AZ60" ca="1" si="86">MIN(ROW(INDIRECT(AY60)))</f>
        <v>1169</v>
      </c>
      <c r="BA60">
        <f t="shared" ref="BA60" ca="1" si="87">MIN(ROW(INDIRECT(AY60))) + ROWS(INDIRECT(AY60)) -1</f>
        <v>1192</v>
      </c>
      <c r="BB60" s="11">
        <f t="shared" si="15"/>
        <v>45359</v>
      </c>
      <c r="BC60" s="10">
        <f ca="1">IFERROR(AVERAGE(INDIRECT("D" &amp; $AZ60):INDIRECT("D" &amp; $BA60)),"")</f>
        <v>91.016666666666666</v>
      </c>
      <c r="BD60">
        <f ca="1">IFERROR(MAX(INDIRECT("E" &amp; $AZ60):INDIRECT("E" &amp; $BA60)),"")</f>
        <v>108.8</v>
      </c>
      <c r="BE60">
        <f ca="1">IFERROR(MIN(INDIRECT("F" &amp; $AZ60):INDIRECT("F" &amp; $BA60)),"")</f>
        <v>51.7</v>
      </c>
      <c r="BF60" s="10">
        <f t="shared" ref="BF60" ca="1" si="88">BC60+1</f>
        <v>92.016666666666666</v>
      </c>
      <c r="BI60" s="11">
        <f t="shared" si="16"/>
        <v>45359</v>
      </c>
      <c r="BJ60" s="10">
        <f ca="1">IFERROR(AVERAGE(INDIRECT("H" &amp; $AZ60):INDIRECT("H" &amp; $BA60)),"")</f>
        <v>11.720833333333333</v>
      </c>
      <c r="BK60">
        <f ca="1">IFERROR(MAX(INDIRECT("I" &amp; $AZ60):INDIRECT("I" &amp; $BA60)),"")</f>
        <v>24.9</v>
      </c>
      <c r="BL60">
        <f ca="1">IFERROR(MIN(INDIRECT("J" &amp; $AZ60):INDIRECT("J" &amp; $BA60)),"")</f>
        <v>8.6999999999999993</v>
      </c>
      <c r="BM60" s="10">
        <f t="shared" ref="BM60" ca="1" si="89">BJ60+0.3</f>
        <v>12.020833333333334</v>
      </c>
    </row>
    <row r="61" spans="1:65" x14ac:dyDescent="0.2">
      <c r="A61" s="1">
        <v>45415</v>
      </c>
      <c r="B61" s="2">
        <v>0.41666666666666669</v>
      </c>
      <c r="C61" s="6">
        <v>45415.416666666664</v>
      </c>
      <c r="D61">
        <v>63.9</v>
      </c>
      <c r="E61">
        <v>77.099999999999994</v>
      </c>
      <c r="F61">
        <v>58.9</v>
      </c>
      <c r="G61" t="s">
        <v>6</v>
      </c>
      <c r="H61">
        <v>19.8</v>
      </c>
      <c r="I61">
        <v>25.9</v>
      </c>
      <c r="J61">
        <v>16.8</v>
      </c>
      <c r="K61" t="s">
        <v>6</v>
      </c>
      <c r="L61">
        <v>180</v>
      </c>
      <c r="M61" t="s">
        <v>6</v>
      </c>
      <c r="O61" s="6">
        <f t="shared" si="0"/>
        <v>45415.416666666664</v>
      </c>
      <c r="P61">
        <f t="shared" si="1"/>
        <v>63.9</v>
      </c>
      <c r="Q61">
        <f t="shared" si="2"/>
        <v>77.099999999999994</v>
      </c>
      <c r="R61">
        <f t="shared" si="3"/>
        <v>58.9</v>
      </c>
      <c r="S61">
        <f t="shared" si="4"/>
        <v>64.900000000000006</v>
      </c>
      <c r="V61" s="6">
        <f t="shared" si="5"/>
        <v>45415.416666666664</v>
      </c>
      <c r="W61">
        <f t="shared" si="6"/>
        <v>19.8</v>
      </c>
      <c r="X61">
        <f t="shared" si="7"/>
        <v>25.9</v>
      </c>
      <c r="Y61">
        <f t="shared" si="8"/>
        <v>16.8</v>
      </c>
      <c r="Z61">
        <f t="shared" si="9"/>
        <v>20.8</v>
      </c>
      <c r="AY61" t="s">
        <v>76</v>
      </c>
      <c r="AZ61">
        <f t="shared" ref="AZ61:AZ62" ca="1" si="90">MIN(ROW(INDIRECT(AY61)))</f>
        <v>1193</v>
      </c>
      <c r="BA61">
        <f t="shared" ref="BA61:BA62" ca="1" si="91">MIN(ROW(INDIRECT(AY61))) + ROWS(INDIRECT(AY61)) -1</f>
        <v>1212</v>
      </c>
      <c r="BB61" s="11">
        <f t="shared" si="15"/>
        <v>45360</v>
      </c>
      <c r="BC61" s="10">
        <f ca="1">IFERROR(AVERAGE(INDIRECT("D" &amp; $AZ61):INDIRECT("D" &amp; $BA61)),"")</f>
        <v>75.709999999999994</v>
      </c>
      <c r="BD61">
        <f ca="1">IFERROR(MAX(INDIRECT("E" &amp; $AZ61):INDIRECT("E" &amp; $BA61)),"")</f>
        <v>98.9</v>
      </c>
      <c r="BE61">
        <f ca="1">IFERROR(MIN(INDIRECT("F" &amp; $AZ61):INDIRECT("F" &amp; $BA61)),"")</f>
        <v>44.5</v>
      </c>
      <c r="BF61" s="10">
        <f t="shared" ref="BF61:BF62" ca="1" si="92">BC61+1</f>
        <v>76.709999999999994</v>
      </c>
      <c r="BI61" s="11">
        <f t="shared" si="16"/>
        <v>45360</v>
      </c>
      <c r="BJ61" s="10">
        <f ca="1">IFERROR(AVERAGE(INDIRECT("H" &amp; $AZ61):INDIRECT("H" &amp; $BA61)),"")</f>
        <v>12.129999999999999</v>
      </c>
      <c r="BK61">
        <f ca="1">IFERROR(MAX(INDIRECT("I" &amp; $AZ61):INDIRECT("I" &amp; $BA61)),"")</f>
        <v>21.6</v>
      </c>
      <c r="BL61">
        <f ca="1">IFERROR(MIN(INDIRECT("J" &amp; $AZ61):INDIRECT("J" &amp; $BA61)),"")</f>
        <v>9.3000000000000007</v>
      </c>
      <c r="BM61" s="10">
        <f t="shared" ref="BM61:BM62" ca="1" si="93">BJ61+0.3</f>
        <v>12.43</v>
      </c>
    </row>
    <row r="62" spans="1:65" x14ac:dyDescent="0.2">
      <c r="A62" s="1">
        <v>45415</v>
      </c>
      <c r="B62" s="2">
        <v>0.45833333333333331</v>
      </c>
      <c r="C62" s="6">
        <v>45415.458333333336</v>
      </c>
      <c r="D62">
        <v>69.8</v>
      </c>
      <c r="E62">
        <v>79.7</v>
      </c>
      <c r="F62">
        <v>57.5</v>
      </c>
      <c r="G62" t="s">
        <v>6</v>
      </c>
      <c r="H62">
        <v>19.3</v>
      </c>
      <c r="I62">
        <v>24.5</v>
      </c>
      <c r="J62">
        <v>16.600000000000001</v>
      </c>
      <c r="K62" t="s">
        <v>6</v>
      </c>
      <c r="L62">
        <v>222</v>
      </c>
      <c r="M62" t="s">
        <v>6</v>
      </c>
      <c r="O62" s="6">
        <f t="shared" si="0"/>
        <v>45415.458333333336</v>
      </c>
      <c r="P62">
        <f t="shared" si="1"/>
        <v>69.8</v>
      </c>
      <c r="Q62">
        <f t="shared" si="2"/>
        <v>79.7</v>
      </c>
      <c r="R62">
        <f t="shared" si="3"/>
        <v>57.5</v>
      </c>
      <c r="S62">
        <f t="shared" si="4"/>
        <v>70.8</v>
      </c>
      <c r="V62" s="6">
        <f t="shared" si="5"/>
        <v>45415.458333333336</v>
      </c>
      <c r="W62">
        <f t="shared" si="6"/>
        <v>19.3</v>
      </c>
      <c r="X62">
        <f t="shared" si="7"/>
        <v>24.5</v>
      </c>
      <c r="Y62">
        <f t="shared" si="8"/>
        <v>16.600000000000001</v>
      </c>
      <c r="Z62">
        <f t="shared" si="9"/>
        <v>20.3</v>
      </c>
      <c r="AY62" t="s">
        <v>77</v>
      </c>
      <c r="AZ62">
        <f t="shared" ca="1" si="90"/>
        <v>1213</v>
      </c>
      <c r="BA62">
        <f t="shared" ca="1" si="91"/>
        <v>1236</v>
      </c>
      <c r="BB62" s="11">
        <f t="shared" si="15"/>
        <v>45361</v>
      </c>
      <c r="BC62" s="10">
        <f ca="1">IFERROR(AVERAGE(INDIRECT("D" &amp; $AZ62):INDIRECT("D" &amp; $BA62)),"")</f>
        <v>59.671428571428571</v>
      </c>
      <c r="BD62">
        <f ca="1">IFERROR(MAX(INDIRECT("E" &amp; $AZ62):INDIRECT("E" &amp; $BA62)),"")</f>
        <v>70.3</v>
      </c>
      <c r="BE62">
        <f ca="1">IFERROR(MIN(INDIRECT("F" &amp; $AZ62):INDIRECT("F" &amp; $BA62)),"")</f>
        <v>50.1</v>
      </c>
      <c r="BF62" s="10">
        <f t="shared" ca="1" si="92"/>
        <v>60.671428571428571</v>
      </c>
      <c r="BI62" s="11">
        <f t="shared" si="16"/>
        <v>45361</v>
      </c>
      <c r="BJ62" s="10">
        <f ca="1">IFERROR(AVERAGE(INDIRECT("H" &amp; $AZ62):INDIRECT("H" &amp; $BA62)),"")</f>
        <v>15.114285714285714</v>
      </c>
      <c r="BK62">
        <f ca="1">IFERROR(MAX(INDIRECT("I" &amp; $AZ62):INDIRECT("I" &amp; $BA62)),"")</f>
        <v>24.3</v>
      </c>
      <c r="BL62">
        <f ca="1">IFERROR(MIN(INDIRECT("J" &amp; $AZ62):INDIRECT("J" &amp; $BA62)),"")</f>
        <v>11.2</v>
      </c>
      <c r="BM62" s="10">
        <f t="shared" ca="1" si="93"/>
        <v>15.414285714285715</v>
      </c>
    </row>
    <row r="63" spans="1:65" x14ac:dyDescent="0.2">
      <c r="A63" s="1">
        <v>45415</v>
      </c>
      <c r="B63" s="2">
        <v>0.5</v>
      </c>
      <c r="C63" s="6">
        <v>45415.5</v>
      </c>
      <c r="D63">
        <v>61.1</v>
      </c>
      <c r="E63">
        <v>72.900000000000006</v>
      </c>
      <c r="F63">
        <v>53.2</v>
      </c>
      <c r="G63" t="s">
        <v>6</v>
      </c>
      <c r="H63">
        <v>18.600000000000001</v>
      </c>
      <c r="I63">
        <v>23.6</v>
      </c>
      <c r="J63">
        <v>13.7</v>
      </c>
      <c r="K63" t="s">
        <v>6</v>
      </c>
      <c r="L63">
        <v>215</v>
      </c>
      <c r="M63" t="s">
        <v>6</v>
      </c>
      <c r="O63" s="6">
        <f t="shared" si="0"/>
        <v>45415.5</v>
      </c>
      <c r="P63">
        <f t="shared" si="1"/>
        <v>61.1</v>
      </c>
      <c r="Q63">
        <f t="shared" si="2"/>
        <v>72.900000000000006</v>
      </c>
      <c r="R63">
        <f t="shared" si="3"/>
        <v>53.2</v>
      </c>
      <c r="S63">
        <f t="shared" si="4"/>
        <v>62.1</v>
      </c>
      <c r="V63" s="6">
        <f t="shared" si="5"/>
        <v>45415.5</v>
      </c>
      <c r="W63">
        <f t="shared" si="6"/>
        <v>18.600000000000001</v>
      </c>
      <c r="X63">
        <f t="shared" si="7"/>
        <v>23.6</v>
      </c>
      <c r="Y63">
        <f t="shared" si="8"/>
        <v>13.7</v>
      </c>
      <c r="Z63">
        <f t="shared" si="9"/>
        <v>19.600000000000001</v>
      </c>
      <c r="AY63" t="s">
        <v>78</v>
      </c>
      <c r="AZ63">
        <f t="shared" ref="AZ63" ca="1" si="94">MIN(ROW(INDIRECT(AY63)))</f>
        <v>1237</v>
      </c>
      <c r="BA63">
        <f t="shared" ref="BA63" ca="1" si="95">MIN(ROW(INDIRECT(AY63))) + ROWS(INDIRECT(AY63)) -1</f>
        <v>1260</v>
      </c>
      <c r="BB63" s="11">
        <f t="shared" si="15"/>
        <v>45362</v>
      </c>
      <c r="BC63" s="10" t="str">
        <f ca="1">IFERROR(AVERAGE(INDIRECT("D" &amp; $AZ63):INDIRECT("D" &amp; $BA63)),"")</f>
        <v/>
      </c>
      <c r="BD63">
        <f ca="1">IFERROR(MAX(INDIRECT("E" &amp; $AZ63):INDIRECT("E" &amp; $BA63)),"")</f>
        <v>0</v>
      </c>
      <c r="BE63">
        <f ca="1">IFERROR(MIN(INDIRECT("F" &amp; $AZ63):INDIRECT("F" &amp; $BA63)),"")</f>
        <v>0</v>
      </c>
      <c r="BF63" s="10" t="e">
        <f t="shared" ref="BF63" ca="1" si="96">BC63+1</f>
        <v>#VALUE!</v>
      </c>
      <c r="BI63" s="11">
        <f t="shared" si="16"/>
        <v>45362</v>
      </c>
      <c r="BJ63" s="10" t="str">
        <f ca="1">IFERROR(AVERAGE(INDIRECT("H" &amp; $AZ63):INDIRECT("H" &amp; $BA63)),"")</f>
        <v/>
      </c>
      <c r="BK63">
        <f ca="1">IFERROR(MAX(INDIRECT("I" &amp; $AZ63):INDIRECT("I" &amp; $BA63)),"")</f>
        <v>0</v>
      </c>
      <c r="BL63">
        <f ca="1">IFERROR(MIN(INDIRECT("J" &amp; $AZ63):INDIRECT("J" &amp; $BA63)),"")</f>
        <v>0</v>
      </c>
      <c r="BM63" s="10" t="e">
        <f t="shared" ref="BM63" ca="1" si="97">BJ63+0.3</f>
        <v>#VALUE!</v>
      </c>
    </row>
    <row r="64" spans="1:65" x14ac:dyDescent="0.2">
      <c r="A64" s="1">
        <v>45415</v>
      </c>
      <c r="B64" s="2">
        <v>0.54166666666666663</v>
      </c>
      <c r="C64" s="6">
        <v>45415.541666666664</v>
      </c>
      <c r="D64">
        <v>56.3</v>
      </c>
      <c r="E64">
        <v>69.2</v>
      </c>
      <c r="F64">
        <v>51</v>
      </c>
      <c r="G64" t="s">
        <v>6</v>
      </c>
      <c r="H64">
        <v>20.5</v>
      </c>
      <c r="I64">
        <v>24.2</v>
      </c>
      <c r="J64">
        <v>15.5</v>
      </c>
      <c r="K64" t="s">
        <v>6</v>
      </c>
      <c r="L64">
        <v>209</v>
      </c>
      <c r="M64" t="s">
        <v>6</v>
      </c>
      <c r="O64" s="6">
        <f t="shared" ref="O64:O127" si="98">C64</f>
        <v>45415.541666666664</v>
      </c>
      <c r="P64">
        <f t="shared" ref="P64:P127" si="99">D64</f>
        <v>56.3</v>
      </c>
      <c r="Q64">
        <f t="shared" ref="Q64:Q127" si="100">E64</f>
        <v>69.2</v>
      </c>
      <c r="R64">
        <f t="shared" ref="R64:R127" si="101">F64</f>
        <v>51</v>
      </c>
      <c r="S64">
        <f t="shared" ref="S64:S127" si="102">P64+1</f>
        <v>57.3</v>
      </c>
      <c r="V64" s="6">
        <f t="shared" ref="V64:V127" si="103">O64</f>
        <v>45415.541666666664</v>
      </c>
      <c r="W64">
        <f t="shared" ref="W64:W127" si="104">H64</f>
        <v>20.5</v>
      </c>
      <c r="X64">
        <f t="shared" ref="X64:X127" si="105">I64</f>
        <v>24.2</v>
      </c>
      <c r="Y64">
        <f t="shared" ref="Y64:Y127" si="106">J64</f>
        <v>15.5</v>
      </c>
      <c r="Z64">
        <f t="shared" ref="Z64:Z127" si="107">W64+1</f>
        <v>21.5</v>
      </c>
      <c r="AY64" t="s">
        <v>79</v>
      </c>
      <c r="AZ64">
        <f t="shared" ref="AZ64" ca="1" si="108">MIN(ROW(INDIRECT(AY64)))</f>
        <v>1261</v>
      </c>
      <c r="BA64">
        <f t="shared" ref="BA64" ca="1" si="109">MIN(ROW(INDIRECT(AY64))) + ROWS(INDIRECT(AY64)) -1</f>
        <v>1280</v>
      </c>
      <c r="BB64" s="11">
        <f t="shared" si="15"/>
        <v>45363</v>
      </c>
      <c r="BC64" s="10" t="str">
        <f ca="1">IFERROR(AVERAGE(INDIRECT("D" &amp; $AZ64):INDIRECT("D" &amp; $BA64)),"")</f>
        <v/>
      </c>
      <c r="BD64">
        <f ca="1">IFERROR(MAX(INDIRECT("E" &amp; $AZ64):INDIRECT("E" &amp; $BA64)),"")</f>
        <v>0</v>
      </c>
      <c r="BE64">
        <f ca="1">IFERROR(MIN(INDIRECT("F" &amp; $AZ64):INDIRECT("F" &amp; $BA64)),"")</f>
        <v>0</v>
      </c>
      <c r="BF64" s="10" t="e">
        <f t="shared" ref="BF64" ca="1" si="110">BC64+1</f>
        <v>#VALUE!</v>
      </c>
      <c r="BI64" s="11">
        <f t="shared" si="16"/>
        <v>45363</v>
      </c>
      <c r="BJ64" s="10" t="str">
        <f ca="1">IFERROR(AVERAGE(INDIRECT("H" &amp; $AZ64):INDIRECT("H" &amp; $BA64)),"")</f>
        <v/>
      </c>
      <c r="BK64">
        <f ca="1">IFERROR(MAX(INDIRECT("I" &amp; $AZ64):INDIRECT("I" &amp; $BA64)),"")</f>
        <v>0</v>
      </c>
      <c r="BL64">
        <f ca="1">IFERROR(MIN(INDIRECT("J" &amp; $AZ64):INDIRECT("J" &amp; $BA64)),"")</f>
        <v>0</v>
      </c>
      <c r="BM64" s="10" t="e">
        <f t="shared" ref="BM64" ca="1" si="111">BJ64+0.3</f>
        <v>#VALUE!</v>
      </c>
    </row>
    <row r="65" spans="1:65" x14ac:dyDescent="0.2">
      <c r="A65" s="1">
        <v>45415</v>
      </c>
      <c r="B65" s="2">
        <v>0.58333333333333337</v>
      </c>
      <c r="C65" s="6">
        <v>45415.583333333336</v>
      </c>
      <c r="D65">
        <v>65</v>
      </c>
      <c r="E65">
        <v>72.5</v>
      </c>
      <c r="F65">
        <v>57.3</v>
      </c>
      <c r="G65" t="s">
        <v>6</v>
      </c>
      <c r="H65">
        <v>18.899999999999999</v>
      </c>
      <c r="I65">
        <v>24.4</v>
      </c>
      <c r="J65">
        <v>16.899999999999999</v>
      </c>
      <c r="K65" t="s">
        <v>6</v>
      </c>
      <c r="L65">
        <v>222</v>
      </c>
      <c r="M65" t="s">
        <v>6</v>
      </c>
      <c r="O65" s="6">
        <f t="shared" si="98"/>
        <v>45415.583333333336</v>
      </c>
      <c r="P65">
        <f t="shared" si="99"/>
        <v>65</v>
      </c>
      <c r="Q65">
        <f t="shared" si="100"/>
        <v>72.5</v>
      </c>
      <c r="R65">
        <f t="shared" si="101"/>
        <v>57.3</v>
      </c>
      <c r="S65">
        <f t="shared" si="102"/>
        <v>66</v>
      </c>
      <c r="V65" s="6">
        <f t="shared" si="103"/>
        <v>45415.583333333336</v>
      </c>
      <c r="W65">
        <f t="shared" si="104"/>
        <v>18.899999999999999</v>
      </c>
      <c r="X65">
        <f t="shared" si="105"/>
        <v>24.4</v>
      </c>
      <c r="Y65">
        <f t="shared" si="106"/>
        <v>16.899999999999999</v>
      </c>
      <c r="Z65">
        <f t="shared" si="107"/>
        <v>19.899999999999999</v>
      </c>
      <c r="AY65" t="s">
        <v>80</v>
      </c>
      <c r="AZ65">
        <f t="shared" ref="AZ65" ca="1" si="112">MIN(ROW(INDIRECT(AY65)))</f>
        <v>1281</v>
      </c>
      <c r="BA65">
        <f t="shared" ref="BA65" ca="1" si="113">MIN(ROW(INDIRECT(AY65))) + ROWS(INDIRECT(AY65)) -1</f>
        <v>1304</v>
      </c>
      <c r="BB65" s="11">
        <f t="shared" si="15"/>
        <v>45364</v>
      </c>
      <c r="BC65" s="10" t="str">
        <f ca="1">IFERROR(AVERAGE(INDIRECT("D" &amp; $AZ65):INDIRECT("D" &amp; $BA65)),"")</f>
        <v/>
      </c>
      <c r="BD65">
        <f ca="1">IFERROR(MAX(INDIRECT("E" &amp; $AZ65):INDIRECT("E" &amp; $BA65)),"")</f>
        <v>0</v>
      </c>
      <c r="BE65">
        <f ca="1">IFERROR(MIN(INDIRECT("F" &amp; $AZ65):INDIRECT("F" &amp; $BA65)),"")</f>
        <v>0</v>
      </c>
      <c r="BF65" s="10" t="e">
        <f t="shared" ref="BF65" ca="1" si="114">BC65+1</f>
        <v>#VALUE!</v>
      </c>
      <c r="BI65" s="11">
        <f t="shared" si="16"/>
        <v>45364</v>
      </c>
      <c r="BJ65" s="10" t="str">
        <f ca="1">IFERROR(AVERAGE(INDIRECT("H" &amp; $AZ65):INDIRECT("H" &amp; $BA65)),"")</f>
        <v/>
      </c>
      <c r="BK65">
        <f ca="1">IFERROR(MAX(INDIRECT("I" &amp; $AZ65):INDIRECT("I" &amp; $BA65)),"")</f>
        <v>0</v>
      </c>
      <c r="BL65">
        <f ca="1">IFERROR(MIN(INDIRECT("J" &amp; $AZ65):INDIRECT("J" &amp; $BA65)),"")</f>
        <v>0</v>
      </c>
      <c r="BM65" s="10" t="e">
        <f t="shared" ref="BM65" ca="1" si="115">BJ65+0.3</f>
        <v>#VALUE!</v>
      </c>
    </row>
    <row r="66" spans="1:65" x14ac:dyDescent="0.2">
      <c r="A66" s="1">
        <v>45415</v>
      </c>
      <c r="B66" s="2">
        <v>0.625</v>
      </c>
      <c r="C66" s="6">
        <v>45415.625</v>
      </c>
      <c r="D66">
        <v>63</v>
      </c>
      <c r="E66">
        <v>70.3</v>
      </c>
      <c r="F66">
        <v>55.4</v>
      </c>
      <c r="G66" t="s">
        <v>6</v>
      </c>
      <c r="H66">
        <v>19.3</v>
      </c>
      <c r="I66">
        <v>25</v>
      </c>
      <c r="J66">
        <v>16.5</v>
      </c>
      <c r="K66" t="s">
        <v>6</v>
      </c>
      <c r="L66">
        <v>223</v>
      </c>
      <c r="M66" t="s">
        <v>6</v>
      </c>
      <c r="O66" s="6">
        <f t="shared" si="98"/>
        <v>45415.625</v>
      </c>
      <c r="P66">
        <f t="shared" si="99"/>
        <v>63</v>
      </c>
      <c r="Q66">
        <f t="shared" si="100"/>
        <v>70.3</v>
      </c>
      <c r="R66">
        <f t="shared" si="101"/>
        <v>55.4</v>
      </c>
      <c r="S66">
        <f t="shared" si="102"/>
        <v>64</v>
      </c>
      <c r="V66" s="6">
        <f t="shared" si="103"/>
        <v>45415.625</v>
      </c>
      <c r="W66">
        <f t="shared" si="104"/>
        <v>19.3</v>
      </c>
      <c r="X66">
        <f t="shared" si="105"/>
        <v>25</v>
      </c>
      <c r="Y66">
        <f t="shared" si="106"/>
        <v>16.5</v>
      </c>
      <c r="Z66">
        <f t="shared" si="107"/>
        <v>20.3</v>
      </c>
      <c r="AY66" t="s">
        <v>81</v>
      </c>
      <c r="AZ66">
        <f t="shared" ref="AZ66" ca="1" si="116">MIN(ROW(INDIRECT(AY66)))</f>
        <v>1305</v>
      </c>
      <c r="BA66">
        <f t="shared" ref="BA66" ca="1" si="117">MIN(ROW(INDIRECT(AY66))) + ROWS(INDIRECT(AY66)) -1</f>
        <v>1326</v>
      </c>
      <c r="BB66" s="11">
        <f t="shared" si="15"/>
        <v>45365</v>
      </c>
      <c r="BC66" s="10" t="str">
        <f ca="1">IFERROR(AVERAGE(INDIRECT("D" &amp; $AZ66):INDIRECT("D" &amp; $BA66)),"")</f>
        <v/>
      </c>
      <c r="BD66">
        <f ca="1">IFERROR(MAX(INDIRECT("E" &amp; $AZ66):INDIRECT("E" &amp; $BA66)),"")</f>
        <v>0</v>
      </c>
      <c r="BE66">
        <f ca="1">IFERROR(MIN(INDIRECT("F" &amp; $AZ66):INDIRECT("F" &amp; $BA66)),"")</f>
        <v>0</v>
      </c>
      <c r="BF66" s="10" t="e">
        <f t="shared" ref="BF66" ca="1" si="118">BC66+1</f>
        <v>#VALUE!</v>
      </c>
      <c r="BI66" s="11">
        <f t="shared" si="16"/>
        <v>45365</v>
      </c>
      <c r="BJ66" s="10" t="str">
        <f ca="1">IFERROR(AVERAGE(INDIRECT("H" &amp; $AZ66):INDIRECT("H" &amp; $BA66)),"")</f>
        <v/>
      </c>
      <c r="BK66">
        <f ca="1">IFERROR(MAX(INDIRECT("I" &amp; $AZ66):INDIRECT("I" &amp; $BA66)),"")</f>
        <v>0</v>
      </c>
      <c r="BL66">
        <f ca="1">IFERROR(MIN(INDIRECT("J" &amp; $AZ66):INDIRECT("J" &amp; $BA66)),"")</f>
        <v>0</v>
      </c>
      <c r="BM66" s="10" t="e">
        <f t="shared" ref="BM66" ca="1" si="119">BJ66+0.3</f>
        <v>#VALUE!</v>
      </c>
    </row>
    <row r="67" spans="1:65" x14ac:dyDescent="0.2">
      <c r="A67" s="1">
        <v>45415</v>
      </c>
      <c r="B67" s="2">
        <v>0.66666666666666663</v>
      </c>
      <c r="C67" s="6">
        <v>45415.666666666664</v>
      </c>
      <c r="D67">
        <v>61.9</v>
      </c>
      <c r="E67">
        <v>72.5</v>
      </c>
      <c r="F67">
        <v>55.1</v>
      </c>
      <c r="G67" t="s">
        <v>6</v>
      </c>
      <c r="H67">
        <v>20.3</v>
      </c>
      <c r="I67">
        <v>26.6</v>
      </c>
      <c r="J67">
        <v>15.5</v>
      </c>
      <c r="K67" t="s">
        <v>6</v>
      </c>
      <c r="L67">
        <v>165</v>
      </c>
      <c r="M67" t="s">
        <v>6</v>
      </c>
      <c r="O67" s="6">
        <f t="shared" si="98"/>
        <v>45415.666666666664</v>
      </c>
      <c r="P67">
        <f t="shared" si="99"/>
        <v>61.9</v>
      </c>
      <c r="Q67">
        <f t="shared" si="100"/>
        <v>72.5</v>
      </c>
      <c r="R67">
        <f t="shared" si="101"/>
        <v>55.1</v>
      </c>
      <c r="S67">
        <f t="shared" si="102"/>
        <v>62.9</v>
      </c>
      <c r="V67" s="6">
        <f t="shared" si="103"/>
        <v>45415.666666666664</v>
      </c>
      <c r="W67">
        <f t="shared" si="104"/>
        <v>20.3</v>
      </c>
      <c r="X67">
        <f t="shared" si="105"/>
        <v>26.6</v>
      </c>
      <c r="Y67">
        <f t="shared" si="106"/>
        <v>15.5</v>
      </c>
      <c r="Z67">
        <f t="shared" si="107"/>
        <v>21.3</v>
      </c>
      <c r="AY67" t="s">
        <v>82</v>
      </c>
      <c r="AZ67">
        <f t="shared" ref="AZ67" ca="1" si="120">MIN(ROW(INDIRECT(AY67)))</f>
        <v>1327</v>
      </c>
      <c r="BA67">
        <f t="shared" ref="BA67" ca="1" si="121">MIN(ROW(INDIRECT(AY67))) + ROWS(INDIRECT(AY67)) -1</f>
        <v>1350</v>
      </c>
      <c r="BB67" s="11">
        <f t="shared" si="15"/>
        <v>45366</v>
      </c>
      <c r="BC67" s="10" t="str">
        <f ca="1">IFERROR(AVERAGE(INDIRECT("D" &amp; $AZ67):INDIRECT("D" &amp; $BA67)),"")</f>
        <v/>
      </c>
      <c r="BD67">
        <f ca="1">IFERROR(MAX(INDIRECT("E" &amp; $AZ67):INDIRECT("E" &amp; $BA67)),"")</f>
        <v>0</v>
      </c>
      <c r="BE67">
        <f ca="1">IFERROR(MIN(INDIRECT("F" &amp; $AZ67):INDIRECT("F" &amp; $BA67)),"")</f>
        <v>0</v>
      </c>
      <c r="BF67" s="10" t="e">
        <f t="shared" ref="BF67" ca="1" si="122">BC67+1</f>
        <v>#VALUE!</v>
      </c>
      <c r="BG67">
        <v>1</v>
      </c>
      <c r="BI67" s="11">
        <f t="shared" si="16"/>
        <v>45366</v>
      </c>
      <c r="BJ67" s="10" t="str">
        <f ca="1">IFERROR(AVERAGE(INDIRECT("H" &amp; $AZ67):INDIRECT("H" &amp; $BA67)),"")</f>
        <v/>
      </c>
      <c r="BK67">
        <f ca="1">IFERROR(MAX(INDIRECT("I" &amp; $AZ67):INDIRECT("I" &amp; $BA67)),"")</f>
        <v>0</v>
      </c>
      <c r="BL67">
        <f ca="1">IFERROR(MIN(INDIRECT("J" &amp; $AZ67):INDIRECT("J" &amp; $BA67)),"")</f>
        <v>0</v>
      </c>
      <c r="BM67" s="10" t="e">
        <f t="shared" ref="BM67" ca="1" si="123">BJ67+0.3</f>
        <v>#VALUE!</v>
      </c>
    </row>
    <row r="68" spans="1:65" x14ac:dyDescent="0.2">
      <c r="A68" s="1">
        <v>45415</v>
      </c>
      <c r="B68" s="2">
        <v>0.70833333333333337</v>
      </c>
      <c r="C68" s="6">
        <v>45415.708333333336</v>
      </c>
      <c r="D68">
        <v>61.5</v>
      </c>
      <c r="E68">
        <v>68.2</v>
      </c>
      <c r="F68">
        <v>57.1</v>
      </c>
      <c r="G68" t="s">
        <v>6</v>
      </c>
      <c r="H68">
        <v>20.5</v>
      </c>
      <c r="I68">
        <v>23.3</v>
      </c>
      <c r="J68">
        <v>17.100000000000001</v>
      </c>
      <c r="K68" t="s">
        <v>6</v>
      </c>
      <c r="L68">
        <v>223</v>
      </c>
      <c r="M68" t="s">
        <v>6</v>
      </c>
      <c r="O68" s="6">
        <f t="shared" si="98"/>
        <v>45415.708333333336</v>
      </c>
      <c r="P68">
        <f t="shared" si="99"/>
        <v>61.5</v>
      </c>
      <c r="Q68">
        <f t="shared" si="100"/>
        <v>68.2</v>
      </c>
      <c r="R68">
        <f t="shared" si="101"/>
        <v>57.1</v>
      </c>
      <c r="S68">
        <f t="shared" si="102"/>
        <v>62.5</v>
      </c>
      <c r="V68" s="6">
        <f t="shared" si="103"/>
        <v>45415.708333333336</v>
      </c>
      <c r="W68">
        <f t="shared" si="104"/>
        <v>20.5</v>
      </c>
      <c r="X68">
        <f t="shared" si="105"/>
        <v>23.3</v>
      </c>
      <c r="Y68">
        <f t="shared" si="106"/>
        <v>17.100000000000001</v>
      </c>
      <c r="Z68">
        <f t="shared" si="107"/>
        <v>21.5</v>
      </c>
      <c r="AY68" t="s">
        <v>83</v>
      </c>
      <c r="AZ68">
        <f t="shared" ref="AZ68" ca="1" si="124">MIN(ROW(INDIRECT(AY68)))</f>
        <v>1351</v>
      </c>
      <c r="BA68">
        <f t="shared" ref="BA68" ca="1" si="125">MIN(ROW(INDIRECT(AY68))) + ROWS(INDIRECT(AY68)) -1</f>
        <v>1374</v>
      </c>
      <c r="BB68" s="11">
        <f t="shared" si="15"/>
        <v>45367</v>
      </c>
      <c r="BC68" s="10" t="str">
        <f ca="1">IFERROR(AVERAGE(INDIRECT("D" &amp; $AZ68):INDIRECT("D" &amp; $BA68)),"")</f>
        <v/>
      </c>
      <c r="BD68">
        <f ca="1">IFERROR(MAX(INDIRECT("E" &amp; $AZ68):INDIRECT("E" &amp; $BA68)),"")</f>
        <v>0</v>
      </c>
      <c r="BE68">
        <f ca="1">IFERROR(MIN(INDIRECT("F" &amp; $AZ68):INDIRECT("F" &amp; $BA68)),"")</f>
        <v>0</v>
      </c>
      <c r="BF68" s="10" t="e">
        <f t="shared" ref="BF68" ca="1" si="126">BC68+1</f>
        <v>#VALUE!</v>
      </c>
      <c r="BI68" s="11">
        <f t="shared" si="16"/>
        <v>45367</v>
      </c>
      <c r="BJ68" s="10" t="str">
        <f ca="1">IFERROR(AVERAGE(INDIRECT("H" &amp; $AZ68):INDIRECT("H" &amp; $BA68)),"")</f>
        <v/>
      </c>
      <c r="BK68">
        <f ca="1">IFERROR(MAX(INDIRECT("I" &amp; $AZ68):INDIRECT("I" &amp; $BA68)),"")</f>
        <v>0</v>
      </c>
      <c r="BL68">
        <f ca="1">IFERROR(MIN(INDIRECT("J" &amp; $AZ68):INDIRECT("J" &amp; $BA68)),"")</f>
        <v>0</v>
      </c>
      <c r="BM68" s="10" t="e">
        <f t="shared" ref="BM68" ca="1" si="127">BJ68+0.3</f>
        <v>#VALUE!</v>
      </c>
    </row>
    <row r="69" spans="1:65" x14ac:dyDescent="0.2">
      <c r="A69" s="1">
        <v>45415</v>
      </c>
      <c r="B69" s="2">
        <v>0.75</v>
      </c>
      <c r="C69" s="6">
        <v>45415.75</v>
      </c>
      <c r="D69">
        <v>59.5</v>
      </c>
      <c r="E69">
        <v>65.099999999999994</v>
      </c>
      <c r="F69">
        <v>56.2</v>
      </c>
      <c r="G69" t="s">
        <v>6</v>
      </c>
      <c r="H69">
        <v>20.7</v>
      </c>
      <c r="I69">
        <v>25.7</v>
      </c>
      <c r="J69">
        <v>16.8</v>
      </c>
      <c r="K69" t="s">
        <v>6</v>
      </c>
      <c r="L69">
        <v>206</v>
      </c>
      <c r="M69" t="s">
        <v>6</v>
      </c>
      <c r="O69" s="6">
        <f t="shared" si="98"/>
        <v>45415.75</v>
      </c>
      <c r="P69">
        <f t="shared" si="99"/>
        <v>59.5</v>
      </c>
      <c r="Q69">
        <f t="shared" si="100"/>
        <v>65.099999999999994</v>
      </c>
      <c r="R69">
        <f t="shared" si="101"/>
        <v>56.2</v>
      </c>
      <c r="S69">
        <f t="shared" si="102"/>
        <v>60.5</v>
      </c>
      <c r="V69" s="6">
        <f t="shared" si="103"/>
        <v>45415.75</v>
      </c>
      <c r="W69">
        <f t="shared" si="104"/>
        <v>20.7</v>
      </c>
      <c r="X69">
        <f t="shared" si="105"/>
        <v>25.7</v>
      </c>
      <c r="Y69">
        <f t="shared" si="106"/>
        <v>16.8</v>
      </c>
      <c r="Z69">
        <f t="shared" si="107"/>
        <v>21.7</v>
      </c>
      <c r="AY69" t="s">
        <v>84</v>
      </c>
      <c r="AZ69">
        <f t="shared" ref="AZ69:AZ70" ca="1" si="128">MIN(ROW(INDIRECT(AY69)))</f>
        <v>1375</v>
      </c>
      <c r="BA69">
        <f t="shared" ref="BA69:BA70" ca="1" si="129">MIN(ROW(INDIRECT(AY69))) + ROWS(INDIRECT(AY69)) -1</f>
        <v>1393</v>
      </c>
      <c r="BB69" s="11">
        <f t="shared" si="15"/>
        <v>45368</v>
      </c>
      <c r="BC69" s="10" t="str">
        <f ca="1">IFERROR(AVERAGE(INDIRECT("D" &amp; $AZ69):INDIRECT("D" &amp; $BA69)),"")</f>
        <v/>
      </c>
      <c r="BD69">
        <f ca="1">IFERROR(MAX(INDIRECT("E" &amp; $AZ69):INDIRECT("E" &amp; $BA69)),"")</f>
        <v>0</v>
      </c>
      <c r="BE69">
        <f ca="1">IFERROR(MIN(INDIRECT("F" &amp; $AZ69):INDIRECT("F" &amp; $BA69)),"")</f>
        <v>0</v>
      </c>
      <c r="BF69" s="10" t="e">
        <f t="shared" ref="BF69:BF70" ca="1" si="130">BC69+1</f>
        <v>#VALUE!</v>
      </c>
      <c r="BI69" s="11">
        <f t="shared" si="16"/>
        <v>45368</v>
      </c>
      <c r="BJ69" s="10" t="str">
        <f ca="1">IFERROR(AVERAGE(INDIRECT("H" &amp; $AZ69):INDIRECT("H" &amp; $BA69)),"")</f>
        <v/>
      </c>
      <c r="BK69">
        <f ca="1">IFERROR(MAX(INDIRECT("I" &amp; $AZ69):INDIRECT("I" &amp; $BA69)),"")</f>
        <v>0</v>
      </c>
      <c r="BL69">
        <f ca="1">IFERROR(MIN(INDIRECT("J" &amp; $AZ69):INDIRECT("J" &amp; $BA69)),"")</f>
        <v>0</v>
      </c>
      <c r="BM69" s="10" t="e">
        <f t="shared" ref="BM69:BM70" ca="1" si="131">BJ69+0.3</f>
        <v>#VALUE!</v>
      </c>
    </row>
    <row r="70" spans="1:65" x14ac:dyDescent="0.2">
      <c r="A70" s="1">
        <v>45415</v>
      </c>
      <c r="B70" s="2">
        <v>0.79166666666666663</v>
      </c>
      <c r="C70" s="6">
        <v>45415.791666666664</v>
      </c>
      <c r="D70">
        <v>55.5</v>
      </c>
      <c r="E70">
        <v>63.4</v>
      </c>
      <c r="F70">
        <v>49</v>
      </c>
      <c r="G70" t="s">
        <v>6</v>
      </c>
      <c r="H70">
        <v>21.3</v>
      </c>
      <c r="I70">
        <v>25.9</v>
      </c>
      <c r="J70">
        <v>17</v>
      </c>
      <c r="K70" t="s">
        <v>6</v>
      </c>
      <c r="L70">
        <v>214</v>
      </c>
      <c r="M70" t="s">
        <v>6</v>
      </c>
      <c r="O70" s="6">
        <f t="shared" si="98"/>
        <v>45415.791666666664</v>
      </c>
      <c r="P70">
        <f t="shared" si="99"/>
        <v>55.5</v>
      </c>
      <c r="Q70">
        <f t="shared" si="100"/>
        <v>63.4</v>
      </c>
      <c r="R70">
        <f t="shared" si="101"/>
        <v>49</v>
      </c>
      <c r="S70">
        <f t="shared" si="102"/>
        <v>56.5</v>
      </c>
      <c r="V70" s="6">
        <f t="shared" si="103"/>
        <v>45415.791666666664</v>
      </c>
      <c r="W70">
        <f t="shared" si="104"/>
        <v>21.3</v>
      </c>
      <c r="X70">
        <f t="shared" si="105"/>
        <v>25.9</v>
      </c>
      <c r="Y70">
        <f t="shared" si="106"/>
        <v>17</v>
      </c>
      <c r="Z70">
        <f t="shared" si="107"/>
        <v>22.3</v>
      </c>
      <c r="AY70" t="s">
        <v>85</v>
      </c>
      <c r="AZ70">
        <f t="shared" ca="1" si="128"/>
        <v>1394</v>
      </c>
      <c r="BA70">
        <f t="shared" ca="1" si="129"/>
        <v>1417</v>
      </c>
      <c r="BB70" s="11">
        <f t="shared" ref="BB70:BB138" si="132">BB69+1</f>
        <v>45369</v>
      </c>
      <c r="BC70" s="10" t="str">
        <f ca="1">IFERROR(AVERAGE(INDIRECT("D" &amp; $AZ70):INDIRECT("D" &amp; $BA70)),"")</f>
        <v/>
      </c>
      <c r="BD70">
        <f ca="1">IFERROR(MAX(INDIRECT("E" &amp; $AZ70):INDIRECT("E" &amp; $BA70)),"")</f>
        <v>0</v>
      </c>
      <c r="BE70">
        <f ca="1">IFERROR(MIN(INDIRECT("F" &amp; $AZ70):INDIRECT("F" &amp; $BA70)),"")</f>
        <v>0</v>
      </c>
      <c r="BF70" s="10" t="e">
        <f t="shared" ca="1" si="130"/>
        <v>#VALUE!</v>
      </c>
      <c r="BI70" s="11">
        <f t="shared" ref="BI70:BI138" si="133">BI69+1</f>
        <v>45369</v>
      </c>
      <c r="BJ70" s="10" t="str">
        <f ca="1">IFERROR(AVERAGE(INDIRECT("H" &amp; $AZ70):INDIRECT("H" &amp; $BA70)),"")</f>
        <v/>
      </c>
      <c r="BK70">
        <f ca="1">IFERROR(MAX(INDIRECT("I" &amp; $AZ70):INDIRECT("I" &amp; $BA70)),"")</f>
        <v>0</v>
      </c>
      <c r="BL70">
        <f ca="1">IFERROR(MIN(INDIRECT("J" &amp; $AZ70):INDIRECT("J" &amp; $BA70)),"")</f>
        <v>0</v>
      </c>
      <c r="BM70" s="10" t="e">
        <f t="shared" ca="1" si="131"/>
        <v>#VALUE!</v>
      </c>
    </row>
    <row r="71" spans="1:65" x14ac:dyDescent="0.2">
      <c r="A71" s="1">
        <v>45415</v>
      </c>
      <c r="B71" s="2">
        <v>0.83333333333333337</v>
      </c>
      <c r="C71" s="6">
        <v>45415.833333333336</v>
      </c>
      <c r="D71">
        <v>60.3</v>
      </c>
      <c r="E71">
        <v>69.5</v>
      </c>
      <c r="F71">
        <v>54.3</v>
      </c>
      <c r="G71" t="s">
        <v>6</v>
      </c>
      <c r="H71">
        <v>21.5</v>
      </c>
      <c r="I71">
        <v>24</v>
      </c>
      <c r="J71">
        <v>18.5</v>
      </c>
      <c r="K71" t="s">
        <v>6</v>
      </c>
      <c r="L71">
        <v>217</v>
      </c>
      <c r="M71" t="s">
        <v>6</v>
      </c>
      <c r="O71" s="6">
        <f t="shared" si="98"/>
        <v>45415.833333333336</v>
      </c>
      <c r="P71">
        <f t="shared" si="99"/>
        <v>60.3</v>
      </c>
      <c r="Q71">
        <f t="shared" si="100"/>
        <v>69.5</v>
      </c>
      <c r="R71">
        <f t="shared" si="101"/>
        <v>54.3</v>
      </c>
      <c r="S71">
        <f t="shared" si="102"/>
        <v>61.3</v>
      </c>
      <c r="V71" s="6">
        <f t="shared" si="103"/>
        <v>45415.833333333336</v>
      </c>
      <c r="W71">
        <f t="shared" si="104"/>
        <v>21.5</v>
      </c>
      <c r="X71">
        <f t="shared" si="105"/>
        <v>24</v>
      </c>
      <c r="Y71">
        <f t="shared" si="106"/>
        <v>18.5</v>
      </c>
      <c r="Z71">
        <f t="shared" si="107"/>
        <v>22.5</v>
      </c>
      <c r="AY71" t="s">
        <v>86</v>
      </c>
      <c r="AZ71">
        <f t="shared" ref="AZ71" ca="1" si="134">MIN(ROW(INDIRECT(AY71)))</f>
        <v>1418</v>
      </c>
      <c r="BA71">
        <f t="shared" ref="BA71" ca="1" si="135">MIN(ROW(INDIRECT(AY71))) + ROWS(INDIRECT(AY71)) -1</f>
        <v>1438</v>
      </c>
      <c r="BB71" s="11">
        <f t="shared" si="132"/>
        <v>45370</v>
      </c>
      <c r="BC71" s="10" t="str">
        <f ca="1">IFERROR(AVERAGE(INDIRECT("D" &amp; $AZ71):INDIRECT("D" &amp; $BA71)),"")</f>
        <v/>
      </c>
      <c r="BD71">
        <f ca="1">IFERROR(MAX(INDIRECT("E" &amp; $AZ71):INDIRECT("E" &amp; $BA71)),"")</f>
        <v>0</v>
      </c>
      <c r="BE71">
        <f ca="1">IFERROR(MIN(INDIRECT("F" &amp; $AZ71):INDIRECT("F" &amp; $BA71)),"")</f>
        <v>0</v>
      </c>
      <c r="BF71" s="10" t="e">
        <f t="shared" ref="BF71" ca="1" si="136">BC71+1</f>
        <v>#VALUE!</v>
      </c>
      <c r="BI71" s="11">
        <f t="shared" si="133"/>
        <v>45370</v>
      </c>
      <c r="BJ71" s="10" t="str">
        <f ca="1">IFERROR(AVERAGE(INDIRECT("H" &amp; $AZ71):INDIRECT("H" &amp; $BA71)),"")</f>
        <v/>
      </c>
      <c r="BK71">
        <f ca="1">IFERROR(MAX(INDIRECT("I" &amp; $AZ71):INDIRECT("I" &amp; $BA71)),"")</f>
        <v>0</v>
      </c>
      <c r="BL71">
        <f ca="1">IFERROR(MIN(INDIRECT("J" &amp; $AZ71):INDIRECT("J" &amp; $BA71)),"")</f>
        <v>0</v>
      </c>
      <c r="BM71" s="10" t="e">
        <f t="shared" ref="BM71" ca="1" si="137">BJ71+0.3</f>
        <v>#VALUE!</v>
      </c>
    </row>
    <row r="72" spans="1:65" x14ac:dyDescent="0.2">
      <c r="A72" s="1">
        <v>45415</v>
      </c>
      <c r="B72" s="2">
        <v>0.875</v>
      </c>
      <c r="C72" s="6">
        <v>45415.875</v>
      </c>
      <c r="D72">
        <v>58.4</v>
      </c>
      <c r="E72">
        <v>63.8</v>
      </c>
      <c r="F72">
        <v>53.7</v>
      </c>
      <c r="G72" t="s">
        <v>6</v>
      </c>
      <c r="H72">
        <v>21.2</v>
      </c>
      <c r="I72">
        <v>26</v>
      </c>
      <c r="J72">
        <v>15.8</v>
      </c>
      <c r="K72" t="s">
        <v>6</v>
      </c>
      <c r="L72">
        <v>215</v>
      </c>
      <c r="M72" t="s">
        <v>6</v>
      </c>
      <c r="O72" s="6">
        <f t="shared" si="98"/>
        <v>45415.875</v>
      </c>
      <c r="P72">
        <f t="shared" si="99"/>
        <v>58.4</v>
      </c>
      <c r="Q72">
        <f t="shared" si="100"/>
        <v>63.8</v>
      </c>
      <c r="R72">
        <f t="shared" si="101"/>
        <v>53.7</v>
      </c>
      <c r="S72">
        <f t="shared" si="102"/>
        <v>59.4</v>
      </c>
      <c r="V72" s="6">
        <f t="shared" si="103"/>
        <v>45415.875</v>
      </c>
      <c r="W72">
        <f t="shared" si="104"/>
        <v>21.2</v>
      </c>
      <c r="X72">
        <f t="shared" si="105"/>
        <v>26</v>
      </c>
      <c r="Y72">
        <f t="shared" si="106"/>
        <v>15.8</v>
      </c>
      <c r="Z72">
        <f t="shared" si="107"/>
        <v>22.2</v>
      </c>
      <c r="AY72" t="s">
        <v>87</v>
      </c>
      <c r="AZ72">
        <f t="shared" ref="AZ72" ca="1" si="138">MIN(ROW(INDIRECT(AY72)))</f>
        <v>1439</v>
      </c>
      <c r="BA72">
        <f t="shared" ref="BA72" ca="1" si="139">MIN(ROW(INDIRECT(AY72))) + ROWS(INDIRECT(AY72)) -1</f>
        <v>1462</v>
      </c>
      <c r="BB72" s="11">
        <f t="shared" si="132"/>
        <v>45371</v>
      </c>
      <c r="BC72" s="10" t="str">
        <f ca="1">IFERROR(AVERAGE(INDIRECT("D" &amp; $AZ72):INDIRECT("D" &amp; $BA72)),"")</f>
        <v/>
      </c>
      <c r="BD72">
        <f ca="1">IFERROR(MAX(INDIRECT("E" &amp; $AZ72):INDIRECT("E" &amp; $BA72)),"")</f>
        <v>0</v>
      </c>
      <c r="BE72">
        <f ca="1">IFERROR(MIN(INDIRECT("F" &amp; $AZ72):INDIRECT("F" &amp; $BA72)),"")</f>
        <v>0</v>
      </c>
      <c r="BF72" s="10" t="e">
        <f t="shared" ref="BF72" ca="1" si="140">BC72+1</f>
        <v>#VALUE!</v>
      </c>
      <c r="BI72" s="11">
        <f t="shared" si="133"/>
        <v>45371</v>
      </c>
      <c r="BJ72" s="10" t="str">
        <f ca="1">IFERROR(AVERAGE(INDIRECT("H" &amp; $AZ72):INDIRECT("H" &amp; $BA72)),"")</f>
        <v/>
      </c>
      <c r="BK72">
        <f ca="1">IFERROR(MAX(INDIRECT("I" &amp; $AZ72):INDIRECT("I" &amp; $BA72)),"")</f>
        <v>0</v>
      </c>
      <c r="BL72">
        <f ca="1">IFERROR(MIN(INDIRECT("J" &amp; $AZ72):INDIRECT("J" &amp; $BA72)),"")</f>
        <v>0</v>
      </c>
      <c r="BM72" s="10" t="e">
        <f t="shared" ref="BM72" ca="1" si="141">BJ72+0.3</f>
        <v>#VALUE!</v>
      </c>
    </row>
    <row r="73" spans="1:65" x14ac:dyDescent="0.2">
      <c r="A73" s="1">
        <v>45415</v>
      </c>
      <c r="B73" s="2">
        <v>0.91666666666666663</v>
      </c>
      <c r="C73" s="6">
        <v>45415.916666666664</v>
      </c>
      <c r="D73">
        <v>53.3</v>
      </c>
      <c r="E73">
        <v>62</v>
      </c>
      <c r="F73">
        <v>49.7</v>
      </c>
      <c r="G73" t="s">
        <v>6</v>
      </c>
      <c r="H73">
        <v>17.899999999999999</v>
      </c>
      <c r="I73">
        <v>23.2</v>
      </c>
      <c r="J73">
        <v>12.8</v>
      </c>
      <c r="K73" t="s">
        <v>6</v>
      </c>
      <c r="L73">
        <v>211</v>
      </c>
      <c r="M73" t="s">
        <v>6</v>
      </c>
      <c r="O73" s="6">
        <f t="shared" si="98"/>
        <v>45415.916666666664</v>
      </c>
      <c r="P73">
        <f t="shared" si="99"/>
        <v>53.3</v>
      </c>
      <c r="Q73">
        <f t="shared" si="100"/>
        <v>62</v>
      </c>
      <c r="R73">
        <f t="shared" si="101"/>
        <v>49.7</v>
      </c>
      <c r="S73">
        <f t="shared" si="102"/>
        <v>54.3</v>
      </c>
      <c r="V73" s="6">
        <f t="shared" si="103"/>
        <v>45415.916666666664</v>
      </c>
      <c r="W73">
        <f t="shared" si="104"/>
        <v>17.899999999999999</v>
      </c>
      <c r="X73">
        <f t="shared" si="105"/>
        <v>23.2</v>
      </c>
      <c r="Y73">
        <f t="shared" si="106"/>
        <v>12.8</v>
      </c>
      <c r="Z73">
        <f t="shared" si="107"/>
        <v>18.899999999999999</v>
      </c>
      <c r="AY73" t="s">
        <v>88</v>
      </c>
      <c r="AZ73">
        <f t="shared" ref="AZ73" ca="1" si="142">MIN(ROW(INDIRECT(AY73)))</f>
        <v>1463</v>
      </c>
      <c r="BA73">
        <f t="shared" ref="BA73" ca="1" si="143">MIN(ROW(INDIRECT(AY73))) + ROWS(INDIRECT(AY73)) -1</f>
        <v>1483</v>
      </c>
      <c r="BB73" s="11">
        <f t="shared" si="132"/>
        <v>45372</v>
      </c>
      <c r="BC73" s="10" t="str">
        <f ca="1">IFERROR(AVERAGE(INDIRECT("D" &amp; $AZ73):INDIRECT("D" &amp; $BA73)),"")</f>
        <v/>
      </c>
      <c r="BD73">
        <f ca="1">IFERROR(MAX(INDIRECT("E" &amp; $AZ73):INDIRECT("E" &amp; $BA73)),"")</f>
        <v>0</v>
      </c>
      <c r="BE73">
        <f ca="1">IFERROR(MIN(INDIRECT("F" &amp; $AZ73):INDIRECT("F" &amp; $BA73)),"")</f>
        <v>0</v>
      </c>
      <c r="BF73" s="10" t="e">
        <f t="shared" ref="BF73" ca="1" si="144">BC73+1</f>
        <v>#VALUE!</v>
      </c>
      <c r="BI73" s="11">
        <f t="shared" si="133"/>
        <v>45372</v>
      </c>
      <c r="BJ73" s="10" t="str">
        <f ca="1">IFERROR(AVERAGE(INDIRECT("H" &amp; $AZ73):INDIRECT("H" &amp; $BA73)),"")</f>
        <v/>
      </c>
      <c r="BK73">
        <f ca="1">IFERROR(MAX(INDIRECT("I" &amp; $AZ73):INDIRECT("I" &amp; $BA73)),"")</f>
        <v>0</v>
      </c>
      <c r="BL73">
        <f ca="1">IFERROR(MIN(INDIRECT("J" &amp; $AZ73):INDIRECT("J" &amp; $BA73)),"")</f>
        <v>0</v>
      </c>
      <c r="BM73" s="10" t="e">
        <f t="shared" ref="BM73" ca="1" si="145">BJ73+0.3</f>
        <v>#VALUE!</v>
      </c>
    </row>
    <row r="74" spans="1:65" x14ac:dyDescent="0.2">
      <c r="A74" s="1">
        <v>45415</v>
      </c>
      <c r="B74" s="2">
        <v>0.95833333333333337</v>
      </c>
      <c r="C74" s="6">
        <v>45415.958333333336</v>
      </c>
      <c r="D74">
        <v>50.8</v>
      </c>
      <c r="E74">
        <v>64.400000000000006</v>
      </c>
      <c r="F74">
        <v>44.8</v>
      </c>
      <c r="G74" t="s">
        <v>6</v>
      </c>
      <c r="H74">
        <v>20.7</v>
      </c>
      <c r="I74">
        <v>24.6</v>
      </c>
      <c r="J74">
        <v>15.5</v>
      </c>
      <c r="K74" t="s">
        <v>6</v>
      </c>
      <c r="L74">
        <v>197</v>
      </c>
      <c r="M74" t="s">
        <v>6</v>
      </c>
      <c r="O74" s="6">
        <f t="shared" si="98"/>
        <v>45415.958333333336</v>
      </c>
      <c r="P74">
        <f t="shared" si="99"/>
        <v>50.8</v>
      </c>
      <c r="Q74">
        <f t="shared" si="100"/>
        <v>64.400000000000006</v>
      </c>
      <c r="R74">
        <f t="shared" si="101"/>
        <v>44.8</v>
      </c>
      <c r="S74">
        <f t="shared" si="102"/>
        <v>51.8</v>
      </c>
      <c r="V74" s="6">
        <f t="shared" si="103"/>
        <v>45415.958333333336</v>
      </c>
      <c r="W74">
        <f t="shared" si="104"/>
        <v>20.7</v>
      </c>
      <c r="X74">
        <f t="shared" si="105"/>
        <v>24.6</v>
      </c>
      <c r="Y74">
        <f t="shared" si="106"/>
        <v>15.5</v>
      </c>
      <c r="Z74">
        <f t="shared" si="107"/>
        <v>21.7</v>
      </c>
      <c r="AY74" t="s">
        <v>89</v>
      </c>
      <c r="AZ74">
        <f t="shared" ref="AZ74" ca="1" si="146">MIN(ROW(INDIRECT(AY74)))</f>
        <v>1484</v>
      </c>
      <c r="BA74">
        <f t="shared" ref="BA74" ca="1" si="147">MIN(ROW(INDIRECT(AY74))) + ROWS(INDIRECT(AY74)) -1</f>
        <v>1503</v>
      </c>
      <c r="BB74" s="11">
        <f t="shared" si="132"/>
        <v>45373</v>
      </c>
      <c r="BC74" s="10" t="str">
        <f ca="1">IFERROR(AVERAGE(INDIRECT("D" &amp; $AZ74):INDIRECT("D" &amp; $BA74)),"")</f>
        <v/>
      </c>
      <c r="BD74">
        <f ca="1">IFERROR(MAX(INDIRECT("E" &amp; $AZ74):INDIRECT("E" &amp; $BA74)),"")</f>
        <v>0</v>
      </c>
      <c r="BE74">
        <f ca="1">IFERROR(MIN(INDIRECT("F" &amp; $AZ74):INDIRECT("F" &amp; $BA74)),"")</f>
        <v>0</v>
      </c>
      <c r="BF74" s="10" t="e">
        <f t="shared" ref="BF74" ca="1" si="148">BC74+1</f>
        <v>#VALUE!</v>
      </c>
      <c r="BI74" s="11">
        <f t="shared" si="133"/>
        <v>45373</v>
      </c>
      <c r="BJ74" s="10" t="str">
        <f ca="1">IFERROR(AVERAGE(INDIRECT("H" &amp; $AZ74):INDIRECT("H" &amp; $BA74)),"")</f>
        <v/>
      </c>
      <c r="BK74">
        <f ca="1">IFERROR(MAX(INDIRECT("I" &amp; $AZ74):INDIRECT("I" &amp; $BA74)),"")</f>
        <v>0</v>
      </c>
      <c r="BL74">
        <f ca="1">IFERROR(MIN(INDIRECT("J" &amp; $AZ74):INDIRECT("J" &amp; $BA74)),"")</f>
        <v>0</v>
      </c>
      <c r="BM74" s="10" t="e">
        <f t="shared" ref="BM74" ca="1" si="149">BJ74+0.3</f>
        <v>#VALUE!</v>
      </c>
    </row>
    <row r="75" spans="1:65" x14ac:dyDescent="0.2">
      <c r="A75" s="1">
        <v>45416</v>
      </c>
      <c r="B75" s="2">
        <v>0</v>
      </c>
      <c r="C75" s="6">
        <v>45416</v>
      </c>
      <c r="D75">
        <v>62.5</v>
      </c>
      <c r="E75">
        <v>66.099999999999994</v>
      </c>
      <c r="F75">
        <v>58.1</v>
      </c>
      <c r="G75" t="s">
        <v>6</v>
      </c>
      <c r="H75">
        <v>22.9</v>
      </c>
      <c r="I75">
        <v>26.3</v>
      </c>
      <c r="J75">
        <v>16.8</v>
      </c>
      <c r="K75" t="s">
        <v>6</v>
      </c>
      <c r="L75">
        <v>223</v>
      </c>
      <c r="M75" t="s">
        <v>6</v>
      </c>
      <c r="O75" s="6">
        <f t="shared" si="98"/>
        <v>45416</v>
      </c>
      <c r="P75">
        <f t="shared" si="99"/>
        <v>62.5</v>
      </c>
      <c r="Q75">
        <f t="shared" si="100"/>
        <v>66.099999999999994</v>
      </c>
      <c r="R75">
        <f t="shared" si="101"/>
        <v>58.1</v>
      </c>
      <c r="S75">
        <f t="shared" si="102"/>
        <v>63.5</v>
      </c>
      <c r="V75" s="6">
        <f t="shared" si="103"/>
        <v>45416</v>
      </c>
      <c r="W75">
        <f t="shared" si="104"/>
        <v>22.9</v>
      </c>
      <c r="X75">
        <f t="shared" si="105"/>
        <v>26.3</v>
      </c>
      <c r="Y75">
        <f t="shared" si="106"/>
        <v>16.8</v>
      </c>
      <c r="Z75">
        <f t="shared" si="107"/>
        <v>23.9</v>
      </c>
      <c r="AY75" t="s">
        <v>90</v>
      </c>
      <c r="AZ75">
        <f t="shared" ref="AZ75:AZ76" ca="1" si="150">MIN(ROW(INDIRECT(AY75)))</f>
        <v>1504</v>
      </c>
      <c r="BA75">
        <f t="shared" ref="BA75:BA76" ca="1" si="151">MIN(ROW(INDIRECT(AY75))) + ROWS(INDIRECT(AY75)) -1</f>
        <v>1526</v>
      </c>
      <c r="BB75" s="11">
        <f t="shared" si="132"/>
        <v>45374</v>
      </c>
      <c r="BC75" s="10" t="str">
        <f ca="1">IFERROR(AVERAGE(INDIRECT("D" &amp; $AZ75):INDIRECT("D" &amp; $BA75)),"")</f>
        <v/>
      </c>
      <c r="BD75">
        <f ca="1">IFERROR(MAX(INDIRECT("E" &amp; $AZ75):INDIRECT("E" &amp; $BA75)),"")</f>
        <v>0</v>
      </c>
      <c r="BE75">
        <f ca="1">IFERROR(MIN(INDIRECT("F" &amp; $AZ75):INDIRECT("F" &amp; $BA75)),"")</f>
        <v>0</v>
      </c>
      <c r="BF75" s="10" t="e">
        <f t="shared" ref="BF75:BF76" ca="1" si="152">BC75+1</f>
        <v>#VALUE!</v>
      </c>
      <c r="BI75" s="11">
        <f t="shared" si="133"/>
        <v>45374</v>
      </c>
      <c r="BJ75" s="10" t="str">
        <f ca="1">IFERROR(AVERAGE(INDIRECT("H" &amp; $AZ75):INDIRECT("H" &amp; $BA75)),"")</f>
        <v/>
      </c>
      <c r="BK75">
        <f ca="1">IFERROR(MAX(INDIRECT("I" &amp; $AZ75):INDIRECT("I" &amp; $BA75)),"")</f>
        <v>0</v>
      </c>
      <c r="BL75">
        <f ca="1">IFERROR(MIN(INDIRECT("J" &amp; $AZ75):INDIRECT("J" &amp; $BA75)),"")</f>
        <v>0</v>
      </c>
      <c r="BM75" s="10" t="e">
        <f t="shared" ref="BM75:BM76" ca="1" si="153">BJ75+0.3</f>
        <v>#VALUE!</v>
      </c>
    </row>
    <row r="76" spans="1:65" x14ac:dyDescent="0.2">
      <c r="A76" s="1">
        <v>45416</v>
      </c>
      <c r="B76" s="2">
        <v>4.1666666666666664E-2</v>
      </c>
      <c r="C76" s="6">
        <v>45416.041666666664</v>
      </c>
      <c r="D76">
        <v>59</v>
      </c>
      <c r="E76">
        <v>63.6</v>
      </c>
      <c r="F76">
        <v>53.7</v>
      </c>
      <c r="G76" t="s">
        <v>6</v>
      </c>
      <c r="H76">
        <v>21.3</v>
      </c>
      <c r="I76">
        <v>29.5</v>
      </c>
      <c r="J76">
        <v>13.4</v>
      </c>
      <c r="K76" t="s">
        <v>6</v>
      </c>
      <c r="L76">
        <v>195</v>
      </c>
      <c r="M76" t="s">
        <v>6</v>
      </c>
      <c r="O76" s="6">
        <f t="shared" si="98"/>
        <v>45416.041666666664</v>
      </c>
      <c r="P76">
        <f t="shared" si="99"/>
        <v>59</v>
      </c>
      <c r="Q76">
        <f t="shared" si="100"/>
        <v>63.6</v>
      </c>
      <c r="R76">
        <f t="shared" si="101"/>
        <v>53.7</v>
      </c>
      <c r="S76">
        <f t="shared" si="102"/>
        <v>60</v>
      </c>
      <c r="V76" s="6">
        <f t="shared" si="103"/>
        <v>45416.041666666664</v>
      </c>
      <c r="W76">
        <f t="shared" si="104"/>
        <v>21.3</v>
      </c>
      <c r="X76">
        <f t="shared" si="105"/>
        <v>29.5</v>
      </c>
      <c r="Y76">
        <f t="shared" si="106"/>
        <v>13.4</v>
      </c>
      <c r="Z76">
        <f t="shared" si="107"/>
        <v>22.3</v>
      </c>
      <c r="AY76" t="s">
        <v>91</v>
      </c>
      <c r="AZ76">
        <f t="shared" ca="1" si="150"/>
        <v>1527</v>
      </c>
      <c r="BA76">
        <f t="shared" ca="1" si="151"/>
        <v>1550</v>
      </c>
      <c r="BB76" s="11">
        <f t="shared" si="132"/>
        <v>45375</v>
      </c>
      <c r="BC76" s="10" t="str">
        <f ca="1">IFERROR(AVERAGE(INDIRECT("D" &amp; $AZ76):INDIRECT("D" &amp; $BA76)),"")</f>
        <v/>
      </c>
      <c r="BD76">
        <f ca="1">IFERROR(MAX(INDIRECT("E" &amp; $AZ76):INDIRECT("E" &amp; $BA76)),"")</f>
        <v>0</v>
      </c>
      <c r="BE76">
        <f ca="1">IFERROR(MIN(INDIRECT("F" &amp; $AZ76):INDIRECT("F" &amp; $BA76)),"")</f>
        <v>0</v>
      </c>
      <c r="BF76" s="10" t="e">
        <f t="shared" ca="1" si="152"/>
        <v>#VALUE!</v>
      </c>
      <c r="BI76" s="11">
        <f t="shared" si="133"/>
        <v>45375</v>
      </c>
      <c r="BJ76" s="10" t="str">
        <f ca="1">IFERROR(AVERAGE(INDIRECT("H" &amp; $AZ76):INDIRECT("H" &amp; $BA76)),"")</f>
        <v/>
      </c>
      <c r="BK76">
        <f ca="1">IFERROR(MAX(INDIRECT("I" &amp; $AZ76):INDIRECT("I" &amp; $BA76)),"")</f>
        <v>0</v>
      </c>
      <c r="BL76">
        <f ca="1">IFERROR(MIN(INDIRECT("J" &amp; $AZ76):INDIRECT("J" &amp; $BA76)),"")</f>
        <v>0</v>
      </c>
      <c r="BM76" s="10" t="e">
        <f t="shared" ca="1" si="153"/>
        <v>#VALUE!</v>
      </c>
    </row>
    <row r="77" spans="1:65" x14ac:dyDescent="0.2">
      <c r="A77" s="1">
        <v>45416</v>
      </c>
      <c r="B77" s="2">
        <v>8.3333333333333329E-2</v>
      </c>
      <c r="C77" s="6">
        <v>45416.083333333336</v>
      </c>
      <c r="D77">
        <v>60.2</v>
      </c>
      <c r="E77">
        <v>65.3</v>
      </c>
      <c r="F77">
        <v>56.1</v>
      </c>
      <c r="G77" t="s">
        <v>6</v>
      </c>
      <c r="H77">
        <v>20.3</v>
      </c>
      <c r="I77">
        <v>24.1</v>
      </c>
      <c r="J77">
        <v>17.8</v>
      </c>
      <c r="K77" t="s">
        <v>6</v>
      </c>
      <c r="L77">
        <v>204</v>
      </c>
      <c r="M77" t="s">
        <v>6</v>
      </c>
      <c r="O77" s="6">
        <f t="shared" si="98"/>
        <v>45416.083333333336</v>
      </c>
      <c r="P77">
        <f t="shared" si="99"/>
        <v>60.2</v>
      </c>
      <c r="Q77">
        <f t="shared" si="100"/>
        <v>65.3</v>
      </c>
      <c r="R77">
        <f t="shared" si="101"/>
        <v>56.1</v>
      </c>
      <c r="S77">
        <f t="shared" si="102"/>
        <v>61.2</v>
      </c>
      <c r="V77" s="6">
        <f t="shared" si="103"/>
        <v>45416.083333333336</v>
      </c>
      <c r="W77">
        <f t="shared" si="104"/>
        <v>20.3</v>
      </c>
      <c r="X77">
        <f t="shared" si="105"/>
        <v>24.1</v>
      </c>
      <c r="Y77">
        <f t="shared" si="106"/>
        <v>17.8</v>
      </c>
      <c r="Z77">
        <f t="shared" si="107"/>
        <v>21.3</v>
      </c>
      <c r="AY77" t="s">
        <v>92</v>
      </c>
      <c r="AZ77">
        <f t="shared" ref="AZ77" ca="1" si="154">MIN(ROW(INDIRECT(AY77)))</f>
        <v>1551</v>
      </c>
      <c r="BA77">
        <f t="shared" ref="BA77" ca="1" si="155">MIN(ROW(INDIRECT(AY77))) + ROWS(INDIRECT(AY77)) -1</f>
        <v>1573</v>
      </c>
      <c r="BB77" s="11">
        <f t="shared" si="132"/>
        <v>45376</v>
      </c>
      <c r="BC77" s="10" t="str">
        <f ca="1">IFERROR(AVERAGE(INDIRECT("D" &amp; $AZ77):INDIRECT("D" &amp; $BA77)),"")</f>
        <v/>
      </c>
      <c r="BD77">
        <f ca="1">IFERROR(MAX(INDIRECT("E" &amp; $AZ77):INDIRECT("E" &amp; $BA77)),"")</f>
        <v>0</v>
      </c>
      <c r="BE77">
        <f ca="1">IFERROR(MIN(INDIRECT("F" &amp; $AZ77):INDIRECT("F" &amp; $BA77)),"")</f>
        <v>0</v>
      </c>
      <c r="BF77" s="10" t="e">
        <f t="shared" ref="BF77" ca="1" si="156">BC77+1</f>
        <v>#VALUE!</v>
      </c>
      <c r="BI77" s="11">
        <f t="shared" si="133"/>
        <v>45376</v>
      </c>
      <c r="BJ77" s="10" t="str">
        <f ca="1">IFERROR(AVERAGE(INDIRECT("H" &amp; $AZ77):INDIRECT("H" &amp; $BA77)),"")</f>
        <v/>
      </c>
      <c r="BK77">
        <f ca="1">IFERROR(MAX(INDIRECT("I" &amp; $AZ77):INDIRECT("I" &amp; $BA77)),"")</f>
        <v>0</v>
      </c>
      <c r="BL77">
        <f ca="1">IFERROR(MIN(INDIRECT("J" &amp; $AZ77):INDIRECT("J" &amp; $BA77)),"")</f>
        <v>0</v>
      </c>
      <c r="BM77" s="10" t="e">
        <f t="shared" ref="BM77" ca="1" si="157">BJ77+0.3</f>
        <v>#VALUE!</v>
      </c>
    </row>
    <row r="78" spans="1:65" x14ac:dyDescent="0.2">
      <c r="A78" s="1">
        <v>45416</v>
      </c>
      <c r="B78" s="2">
        <v>0.125</v>
      </c>
      <c r="C78" s="6">
        <v>45416.125</v>
      </c>
      <c r="D78">
        <v>60</v>
      </c>
      <c r="E78">
        <v>65.3</v>
      </c>
      <c r="F78">
        <v>53.5</v>
      </c>
      <c r="G78" t="s">
        <v>6</v>
      </c>
      <c r="H78">
        <v>20.100000000000001</v>
      </c>
      <c r="I78">
        <v>30.1</v>
      </c>
      <c r="J78">
        <v>17</v>
      </c>
      <c r="K78" t="s">
        <v>6</v>
      </c>
      <c r="L78">
        <v>222</v>
      </c>
      <c r="M78" t="s">
        <v>6</v>
      </c>
      <c r="O78" s="6">
        <f t="shared" si="98"/>
        <v>45416.125</v>
      </c>
      <c r="P78">
        <f t="shared" si="99"/>
        <v>60</v>
      </c>
      <c r="Q78">
        <f t="shared" si="100"/>
        <v>65.3</v>
      </c>
      <c r="R78">
        <f t="shared" si="101"/>
        <v>53.5</v>
      </c>
      <c r="S78">
        <f t="shared" si="102"/>
        <v>61</v>
      </c>
      <c r="V78" s="6">
        <f t="shared" si="103"/>
        <v>45416.125</v>
      </c>
      <c r="W78">
        <f t="shared" si="104"/>
        <v>20.100000000000001</v>
      </c>
      <c r="X78">
        <f t="shared" si="105"/>
        <v>30.1</v>
      </c>
      <c r="Y78">
        <f t="shared" si="106"/>
        <v>17</v>
      </c>
      <c r="Z78">
        <f t="shared" si="107"/>
        <v>21.1</v>
      </c>
      <c r="AY78" t="s">
        <v>93</v>
      </c>
      <c r="AZ78">
        <f t="shared" ref="AZ78" ca="1" si="158">MIN(ROW(INDIRECT(AY78)))</f>
        <v>1574</v>
      </c>
      <c r="BA78">
        <f t="shared" ref="BA78" ca="1" si="159">MIN(ROW(INDIRECT(AY78))) + ROWS(INDIRECT(AY78)) -1</f>
        <v>1597</v>
      </c>
      <c r="BB78" s="11">
        <f t="shared" si="132"/>
        <v>45377</v>
      </c>
      <c r="BC78" s="10" t="str">
        <f ca="1">IFERROR(AVERAGE(INDIRECT("D" &amp; $AZ78):INDIRECT("D" &amp; $BA78)),"")</f>
        <v/>
      </c>
      <c r="BD78">
        <f ca="1">IFERROR(MAX(INDIRECT("E" &amp; $AZ78):INDIRECT("E" &amp; $BA78)),"")</f>
        <v>0</v>
      </c>
      <c r="BE78">
        <f ca="1">IFERROR(MIN(INDIRECT("F" &amp; $AZ78):INDIRECT("F" &amp; $BA78)),"")</f>
        <v>0</v>
      </c>
      <c r="BF78" s="10" t="e">
        <f t="shared" ref="BF78" ca="1" si="160">BC78+1</f>
        <v>#VALUE!</v>
      </c>
      <c r="BI78" s="11">
        <f t="shared" si="133"/>
        <v>45377</v>
      </c>
      <c r="BJ78" s="10" t="str">
        <f ca="1">IFERROR(AVERAGE(INDIRECT("H" &amp; $AZ78):INDIRECT("H" &amp; $BA78)),"")</f>
        <v/>
      </c>
      <c r="BK78">
        <f ca="1">IFERROR(MAX(INDIRECT("I" &amp; $AZ78):INDIRECT("I" &amp; $BA78)),"")</f>
        <v>0</v>
      </c>
      <c r="BL78">
        <f ca="1">IFERROR(MIN(INDIRECT("J" &amp; $AZ78):INDIRECT("J" &amp; $BA78)),"")</f>
        <v>0</v>
      </c>
      <c r="BM78" s="10" t="e">
        <f t="shared" ref="BM78" ca="1" si="161">BJ78+0.3</f>
        <v>#VALUE!</v>
      </c>
    </row>
    <row r="79" spans="1:65" x14ac:dyDescent="0.2">
      <c r="A79" s="1">
        <v>45416</v>
      </c>
      <c r="B79" s="2">
        <v>0.16666666666666666</v>
      </c>
      <c r="C79" s="6">
        <v>45416.166666666664</v>
      </c>
      <c r="D79">
        <v>56</v>
      </c>
      <c r="E79">
        <v>63.8</v>
      </c>
      <c r="F79">
        <v>51.6</v>
      </c>
      <c r="G79" t="s">
        <v>6</v>
      </c>
      <c r="H79">
        <v>19.100000000000001</v>
      </c>
      <c r="I79">
        <v>22.4</v>
      </c>
      <c r="J79">
        <v>15.5</v>
      </c>
      <c r="K79" t="s">
        <v>6</v>
      </c>
      <c r="L79">
        <v>218</v>
      </c>
      <c r="M79" t="s">
        <v>6</v>
      </c>
      <c r="O79" s="6">
        <f t="shared" si="98"/>
        <v>45416.166666666664</v>
      </c>
      <c r="P79">
        <f t="shared" si="99"/>
        <v>56</v>
      </c>
      <c r="Q79">
        <f t="shared" si="100"/>
        <v>63.8</v>
      </c>
      <c r="R79">
        <f t="shared" si="101"/>
        <v>51.6</v>
      </c>
      <c r="S79">
        <f t="shared" si="102"/>
        <v>57</v>
      </c>
      <c r="V79" s="6">
        <f t="shared" si="103"/>
        <v>45416.166666666664</v>
      </c>
      <c r="W79">
        <f t="shared" si="104"/>
        <v>19.100000000000001</v>
      </c>
      <c r="X79">
        <f t="shared" si="105"/>
        <v>22.4</v>
      </c>
      <c r="Y79">
        <f t="shared" si="106"/>
        <v>15.5</v>
      </c>
      <c r="Z79">
        <f t="shared" si="107"/>
        <v>20.100000000000001</v>
      </c>
      <c r="AY79" t="s">
        <v>94</v>
      </c>
      <c r="AZ79">
        <f t="shared" ref="AZ79" ca="1" si="162">MIN(ROW(INDIRECT(AY79)))</f>
        <v>1598</v>
      </c>
      <c r="BA79">
        <f t="shared" ref="BA79" ca="1" si="163">MIN(ROW(INDIRECT(AY79))) + ROWS(INDIRECT(AY79)) -1</f>
        <v>1621</v>
      </c>
      <c r="BB79" s="11">
        <f t="shared" si="132"/>
        <v>45378</v>
      </c>
      <c r="BC79" s="10" t="str">
        <f ca="1">IFERROR(AVERAGE(INDIRECT("D" &amp; $AZ79):INDIRECT("D" &amp; $BA79)),"")</f>
        <v/>
      </c>
      <c r="BD79">
        <f ca="1">IFERROR(MAX(INDIRECT("E" &amp; $AZ79):INDIRECT("E" &amp; $BA79)),"")</f>
        <v>0</v>
      </c>
      <c r="BE79">
        <f ca="1">IFERROR(MIN(INDIRECT("F" &amp; $AZ79):INDIRECT("F" &amp; $BA79)),"")</f>
        <v>0</v>
      </c>
      <c r="BF79" s="10" t="e">
        <f t="shared" ref="BF79" ca="1" si="164">BC79+1</f>
        <v>#VALUE!</v>
      </c>
      <c r="BI79" s="11">
        <f t="shared" si="133"/>
        <v>45378</v>
      </c>
      <c r="BJ79" s="10" t="str">
        <f ca="1">IFERROR(AVERAGE(INDIRECT("H" &amp; $AZ79):INDIRECT("H" &amp; $BA79)),"")</f>
        <v/>
      </c>
      <c r="BK79">
        <f ca="1">IFERROR(MAX(INDIRECT("I" &amp; $AZ79):INDIRECT("I" &amp; $BA79)),"")</f>
        <v>0</v>
      </c>
      <c r="BL79">
        <f ca="1">IFERROR(MIN(INDIRECT("J" &amp; $AZ79):INDIRECT("J" &amp; $BA79)),"")</f>
        <v>0</v>
      </c>
      <c r="BM79" s="10" t="e">
        <f t="shared" ref="BM79" ca="1" si="165">BJ79+0.3</f>
        <v>#VALUE!</v>
      </c>
    </row>
    <row r="80" spans="1:65" x14ac:dyDescent="0.2">
      <c r="A80" s="1">
        <v>45416</v>
      </c>
      <c r="B80" s="2">
        <v>0.20833333333333334</v>
      </c>
      <c r="C80" s="6">
        <v>45416.208333333336</v>
      </c>
      <c r="D80">
        <v>59.3</v>
      </c>
      <c r="E80">
        <v>66.900000000000006</v>
      </c>
      <c r="F80">
        <v>55.1</v>
      </c>
      <c r="G80" t="s">
        <v>6</v>
      </c>
      <c r="H80">
        <v>18.600000000000001</v>
      </c>
      <c r="I80">
        <v>23</v>
      </c>
      <c r="J80">
        <v>16</v>
      </c>
      <c r="K80" t="s">
        <v>6</v>
      </c>
      <c r="L80">
        <v>226</v>
      </c>
      <c r="M80" t="s">
        <v>6</v>
      </c>
      <c r="O80" s="6">
        <f t="shared" si="98"/>
        <v>45416.208333333336</v>
      </c>
      <c r="P80">
        <f t="shared" si="99"/>
        <v>59.3</v>
      </c>
      <c r="Q80">
        <f t="shared" si="100"/>
        <v>66.900000000000006</v>
      </c>
      <c r="R80">
        <f t="shared" si="101"/>
        <v>55.1</v>
      </c>
      <c r="S80">
        <f t="shared" si="102"/>
        <v>60.3</v>
      </c>
      <c r="V80" s="6">
        <f t="shared" si="103"/>
        <v>45416.208333333336</v>
      </c>
      <c r="W80">
        <f t="shared" si="104"/>
        <v>18.600000000000001</v>
      </c>
      <c r="X80">
        <f t="shared" si="105"/>
        <v>23</v>
      </c>
      <c r="Y80">
        <f t="shared" si="106"/>
        <v>16</v>
      </c>
      <c r="Z80">
        <f t="shared" si="107"/>
        <v>19.600000000000001</v>
      </c>
      <c r="AY80" t="s">
        <v>95</v>
      </c>
      <c r="AZ80">
        <f t="shared" ref="AZ80" ca="1" si="166">MIN(ROW(INDIRECT(AY80)))</f>
        <v>1622</v>
      </c>
      <c r="BA80">
        <f t="shared" ref="BA80" ca="1" si="167">MIN(ROW(INDIRECT(AY80))) + ROWS(INDIRECT(AY80)) -1</f>
        <v>1638</v>
      </c>
      <c r="BB80" s="11">
        <f t="shared" si="132"/>
        <v>45379</v>
      </c>
      <c r="BC80" s="10" t="str">
        <f ca="1">IFERROR(AVERAGE(INDIRECT("D" &amp; $AZ80):INDIRECT("D" &amp; $BA80)),"")</f>
        <v/>
      </c>
      <c r="BD80">
        <f ca="1">IFERROR(MAX(INDIRECT("E" &amp; $AZ80):INDIRECT("E" &amp; $BA80)),"")</f>
        <v>0</v>
      </c>
      <c r="BE80">
        <f ca="1">IFERROR(MIN(INDIRECT("F" &amp; $AZ80):INDIRECT("F" &amp; $BA80)),"")</f>
        <v>0</v>
      </c>
      <c r="BF80" s="10" t="e">
        <f t="shared" ref="BF80" ca="1" si="168">BC80+1</f>
        <v>#VALUE!</v>
      </c>
      <c r="BI80" s="11">
        <f t="shared" si="133"/>
        <v>45379</v>
      </c>
      <c r="BJ80" s="10" t="str">
        <f ca="1">IFERROR(AVERAGE(INDIRECT("H" &amp; $AZ80):INDIRECT("H" &amp; $BA80)),"")</f>
        <v/>
      </c>
      <c r="BK80">
        <f ca="1">IFERROR(MAX(INDIRECT("I" &amp; $AZ80):INDIRECT("I" &amp; $BA80)),"")</f>
        <v>0</v>
      </c>
      <c r="BL80">
        <f ca="1">IFERROR(MIN(INDIRECT("J" &amp; $AZ80):INDIRECT("J" &amp; $BA80)),"")</f>
        <v>0</v>
      </c>
      <c r="BM80" s="10" t="e">
        <f t="shared" ref="BM80" ca="1" si="169">BJ80+0.3</f>
        <v>#VALUE!</v>
      </c>
    </row>
    <row r="81" spans="1:65" x14ac:dyDescent="0.2">
      <c r="A81" s="1">
        <v>45416</v>
      </c>
      <c r="B81" s="2">
        <v>0.25</v>
      </c>
      <c r="C81" s="6">
        <v>45416.25</v>
      </c>
      <c r="D81">
        <v>59.6</v>
      </c>
      <c r="E81">
        <v>63.6</v>
      </c>
      <c r="F81">
        <v>55.2</v>
      </c>
      <c r="G81" t="s">
        <v>6</v>
      </c>
      <c r="H81">
        <v>21</v>
      </c>
      <c r="I81">
        <v>26.4</v>
      </c>
      <c r="J81">
        <v>16.100000000000001</v>
      </c>
      <c r="K81" t="s">
        <v>6</v>
      </c>
      <c r="L81">
        <v>214</v>
      </c>
      <c r="M81" t="s">
        <v>6</v>
      </c>
      <c r="O81" s="6">
        <f t="shared" si="98"/>
        <v>45416.25</v>
      </c>
      <c r="P81">
        <f t="shared" si="99"/>
        <v>59.6</v>
      </c>
      <c r="Q81">
        <f t="shared" si="100"/>
        <v>63.6</v>
      </c>
      <c r="R81">
        <f t="shared" si="101"/>
        <v>55.2</v>
      </c>
      <c r="S81">
        <f t="shared" si="102"/>
        <v>60.6</v>
      </c>
      <c r="V81" s="6">
        <f t="shared" si="103"/>
        <v>45416.25</v>
      </c>
      <c r="W81">
        <f t="shared" si="104"/>
        <v>21</v>
      </c>
      <c r="X81">
        <f t="shared" si="105"/>
        <v>26.4</v>
      </c>
      <c r="Y81">
        <f t="shared" si="106"/>
        <v>16.100000000000001</v>
      </c>
      <c r="Z81">
        <f t="shared" si="107"/>
        <v>22</v>
      </c>
      <c r="AY81" t="s">
        <v>96</v>
      </c>
      <c r="AZ81">
        <f t="shared" ref="AZ81" ca="1" si="170">MIN(ROW(INDIRECT(AY81)))</f>
        <v>1639</v>
      </c>
      <c r="BA81">
        <f t="shared" ref="BA81" ca="1" si="171">MIN(ROW(INDIRECT(AY81))) + ROWS(INDIRECT(AY81)) -1</f>
        <v>1662</v>
      </c>
      <c r="BB81" s="11">
        <f t="shared" si="132"/>
        <v>45380</v>
      </c>
      <c r="BC81" s="10" t="str">
        <f ca="1">IFERROR(AVERAGE(INDIRECT("D" &amp; $AZ81):INDIRECT("D" &amp; $BA81)),"")</f>
        <v/>
      </c>
      <c r="BD81">
        <f ca="1">IFERROR(MAX(INDIRECT("E" &amp; $AZ81):INDIRECT("E" &amp; $BA81)),"")</f>
        <v>0</v>
      </c>
      <c r="BE81">
        <f ca="1">IFERROR(MIN(INDIRECT("F" &amp; $AZ81):INDIRECT("F" &amp; $BA81)),"")</f>
        <v>0</v>
      </c>
      <c r="BF81" s="10" t="e">
        <f t="shared" ref="BF81" ca="1" si="172">BC81+1</f>
        <v>#VALUE!</v>
      </c>
      <c r="BI81" s="11">
        <f t="shared" si="133"/>
        <v>45380</v>
      </c>
      <c r="BJ81" s="10" t="str">
        <f ca="1">IFERROR(AVERAGE(INDIRECT("H" &amp; $AZ81):INDIRECT("H" &amp; $BA81)),"")</f>
        <v/>
      </c>
      <c r="BK81">
        <f ca="1">IFERROR(MAX(INDIRECT("I" &amp; $AZ81):INDIRECT("I" &amp; $BA81)),"")</f>
        <v>0</v>
      </c>
      <c r="BL81">
        <f ca="1">IFERROR(MIN(INDIRECT("J" &amp; $AZ81):INDIRECT("J" &amp; $BA81)),"")</f>
        <v>0</v>
      </c>
      <c r="BM81" s="10" t="e">
        <f t="shared" ref="BM81" ca="1" si="173">BJ81+0.3</f>
        <v>#VALUE!</v>
      </c>
    </row>
    <row r="82" spans="1:65" x14ac:dyDescent="0.2">
      <c r="A82" s="1">
        <v>45416</v>
      </c>
      <c r="B82" s="2">
        <v>0.29166666666666669</v>
      </c>
      <c r="C82" s="6">
        <v>45416.291666666664</v>
      </c>
      <c r="D82">
        <v>61.1</v>
      </c>
      <c r="E82">
        <v>67.5</v>
      </c>
      <c r="F82">
        <v>55.5</v>
      </c>
      <c r="G82" t="s">
        <v>6</v>
      </c>
      <c r="H82">
        <v>19.899999999999999</v>
      </c>
      <c r="I82">
        <v>25.4</v>
      </c>
      <c r="J82">
        <v>16.399999999999999</v>
      </c>
      <c r="K82" t="s">
        <v>6</v>
      </c>
      <c r="L82">
        <v>218</v>
      </c>
      <c r="M82" t="s">
        <v>6</v>
      </c>
      <c r="O82" s="6">
        <f t="shared" si="98"/>
        <v>45416.291666666664</v>
      </c>
      <c r="P82">
        <f t="shared" si="99"/>
        <v>61.1</v>
      </c>
      <c r="Q82">
        <f t="shared" si="100"/>
        <v>67.5</v>
      </c>
      <c r="R82">
        <f t="shared" si="101"/>
        <v>55.5</v>
      </c>
      <c r="S82">
        <f t="shared" si="102"/>
        <v>62.1</v>
      </c>
      <c r="V82" s="6">
        <f t="shared" si="103"/>
        <v>45416.291666666664</v>
      </c>
      <c r="W82">
        <f t="shared" si="104"/>
        <v>19.899999999999999</v>
      </c>
      <c r="X82">
        <f t="shared" si="105"/>
        <v>25.4</v>
      </c>
      <c r="Y82">
        <f t="shared" si="106"/>
        <v>16.399999999999999</v>
      </c>
      <c r="Z82">
        <f t="shared" si="107"/>
        <v>20.9</v>
      </c>
      <c r="AY82" t="s">
        <v>97</v>
      </c>
      <c r="AZ82">
        <f t="shared" ref="AZ82:AZ83" ca="1" si="174">MIN(ROW(INDIRECT(AY82)))</f>
        <v>1663</v>
      </c>
      <c r="BA82">
        <f t="shared" ref="BA82:BA83" ca="1" si="175">MIN(ROW(INDIRECT(AY82))) + ROWS(INDIRECT(AY82)) -1</f>
        <v>1685</v>
      </c>
      <c r="BB82" s="11">
        <f t="shared" si="132"/>
        <v>45381</v>
      </c>
      <c r="BC82" s="10" t="str">
        <f ca="1">IFERROR(AVERAGE(INDIRECT("D" &amp; $AZ82):INDIRECT("D" &amp; $BA82)),"")</f>
        <v/>
      </c>
      <c r="BD82">
        <f ca="1">IFERROR(MAX(INDIRECT("E" &amp; $AZ82):INDIRECT("E" &amp; $BA82)),"")</f>
        <v>0</v>
      </c>
      <c r="BE82">
        <f ca="1">IFERROR(MIN(INDIRECT("F" &amp; $AZ82):INDIRECT("F" &amp; $BA82)),"")</f>
        <v>0</v>
      </c>
      <c r="BF82" s="10" t="e">
        <f t="shared" ref="BF82:BF83" ca="1" si="176">BC82+1</f>
        <v>#VALUE!</v>
      </c>
      <c r="BI82" s="11">
        <f t="shared" si="133"/>
        <v>45381</v>
      </c>
      <c r="BJ82" s="10" t="str">
        <f ca="1">IFERROR(AVERAGE(INDIRECT("H" &amp; $AZ82):INDIRECT("H" &amp; $BA82)),"")</f>
        <v/>
      </c>
      <c r="BK82">
        <f ca="1">IFERROR(MAX(INDIRECT("I" &amp; $AZ82):INDIRECT("I" &amp; $BA82)),"")</f>
        <v>0</v>
      </c>
      <c r="BL82">
        <f ca="1">IFERROR(MIN(INDIRECT("J" &amp; $AZ82):INDIRECT("J" &amp; $BA82)),"")</f>
        <v>0</v>
      </c>
      <c r="BM82" s="10" t="e">
        <f t="shared" ref="BM82:BM83" ca="1" si="177">BJ82+0.3</f>
        <v>#VALUE!</v>
      </c>
    </row>
    <row r="83" spans="1:65" x14ac:dyDescent="0.2">
      <c r="A83" s="14">
        <v>45416</v>
      </c>
      <c r="B83" s="7">
        <v>0.33333333333333331</v>
      </c>
      <c r="C83" s="8">
        <v>45416.333333333336</v>
      </c>
      <c r="D83" s="9">
        <v>51.5</v>
      </c>
      <c r="E83" s="9">
        <v>59.4</v>
      </c>
      <c r="F83" s="9">
        <v>46.8</v>
      </c>
      <c r="G83" s="9" t="s">
        <v>6</v>
      </c>
      <c r="H83" s="9">
        <v>20.2</v>
      </c>
      <c r="I83" s="9">
        <v>25.1</v>
      </c>
      <c r="J83" s="9">
        <v>15.5</v>
      </c>
      <c r="K83" s="9" t="s">
        <v>6</v>
      </c>
      <c r="L83" s="9">
        <v>194</v>
      </c>
      <c r="M83" t="s">
        <v>6</v>
      </c>
      <c r="O83" s="6">
        <f t="shared" si="98"/>
        <v>45416.333333333336</v>
      </c>
      <c r="P83">
        <f t="shared" si="99"/>
        <v>51.5</v>
      </c>
      <c r="Q83">
        <f t="shared" si="100"/>
        <v>59.4</v>
      </c>
      <c r="R83">
        <f t="shared" si="101"/>
        <v>46.8</v>
      </c>
      <c r="S83">
        <f t="shared" si="102"/>
        <v>52.5</v>
      </c>
      <c r="V83" s="6">
        <f t="shared" si="103"/>
        <v>45416.333333333336</v>
      </c>
      <c r="W83">
        <f t="shared" si="104"/>
        <v>20.2</v>
      </c>
      <c r="X83">
        <f t="shared" si="105"/>
        <v>25.1</v>
      </c>
      <c r="Y83">
        <f t="shared" si="106"/>
        <v>15.5</v>
      </c>
      <c r="Z83">
        <f t="shared" si="107"/>
        <v>21.2</v>
      </c>
      <c r="AY83" t="s">
        <v>98</v>
      </c>
      <c r="AZ83">
        <f t="shared" ca="1" si="174"/>
        <v>1686</v>
      </c>
      <c r="BA83">
        <f t="shared" ca="1" si="175"/>
        <v>1708</v>
      </c>
      <c r="BB83" s="11">
        <f t="shared" si="132"/>
        <v>45382</v>
      </c>
      <c r="BC83" s="10" t="str">
        <f ca="1">IFERROR(AVERAGE(INDIRECT("D" &amp; $AZ83):INDIRECT("D" &amp; $BA83)),"")</f>
        <v/>
      </c>
      <c r="BD83">
        <f ca="1">IFERROR(MAX(INDIRECT("E" &amp; $AZ83):INDIRECT("E" &amp; $BA83)),"")</f>
        <v>0</v>
      </c>
      <c r="BE83">
        <f ca="1">IFERROR(MIN(INDIRECT("F" &amp; $AZ83):INDIRECT("F" &amp; $BA83)),"")</f>
        <v>0</v>
      </c>
      <c r="BF83" s="10" t="e">
        <f t="shared" ca="1" si="176"/>
        <v>#VALUE!</v>
      </c>
      <c r="BI83" s="11">
        <f t="shared" si="133"/>
        <v>45382</v>
      </c>
      <c r="BJ83" s="10" t="str">
        <f ca="1">IFERROR(AVERAGE(INDIRECT("H" &amp; $AZ83):INDIRECT("H" &amp; $BA83)),"")</f>
        <v/>
      </c>
      <c r="BK83">
        <f ca="1">IFERROR(MAX(INDIRECT("I" &amp; $AZ83):INDIRECT("I" &amp; $BA83)),"")</f>
        <v>0</v>
      </c>
      <c r="BL83">
        <f ca="1">IFERROR(MIN(INDIRECT("J" &amp; $AZ83):INDIRECT("J" &amp; $BA83)),"")</f>
        <v>0</v>
      </c>
      <c r="BM83" s="10" t="e">
        <f t="shared" ca="1" si="177"/>
        <v>#VALUE!</v>
      </c>
    </row>
    <row r="84" spans="1:65" x14ac:dyDescent="0.2">
      <c r="A84" s="13">
        <v>45416</v>
      </c>
      <c r="B84" s="3">
        <v>0.375</v>
      </c>
      <c r="C84" s="4">
        <v>45416.375</v>
      </c>
      <c r="D84" s="5">
        <v>63.2</v>
      </c>
      <c r="E84" s="5">
        <v>74</v>
      </c>
      <c r="F84" s="5">
        <v>49.7</v>
      </c>
      <c r="G84" s="5" t="s">
        <v>6</v>
      </c>
      <c r="H84" s="5">
        <v>19.100000000000001</v>
      </c>
      <c r="I84" s="5">
        <v>22.8</v>
      </c>
      <c r="J84" s="5">
        <v>14.2</v>
      </c>
      <c r="K84" s="5" t="s">
        <v>6</v>
      </c>
      <c r="L84" s="5">
        <v>221</v>
      </c>
      <c r="M84" t="s">
        <v>6</v>
      </c>
      <c r="O84" s="6">
        <f t="shared" si="98"/>
        <v>45416.375</v>
      </c>
      <c r="P84">
        <f t="shared" si="99"/>
        <v>63.2</v>
      </c>
      <c r="Q84">
        <f t="shared" si="100"/>
        <v>74</v>
      </c>
      <c r="R84">
        <f t="shared" si="101"/>
        <v>49.7</v>
      </c>
      <c r="S84">
        <f t="shared" si="102"/>
        <v>64.2</v>
      </c>
      <c r="V84" s="6">
        <f t="shared" si="103"/>
        <v>45416.375</v>
      </c>
      <c r="W84">
        <f t="shared" si="104"/>
        <v>19.100000000000001</v>
      </c>
      <c r="X84">
        <f t="shared" si="105"/>
        <v>22.8</v>
      </c>
      <c r="Y84">
        <f t="shared" si="106"/>
        <v>14.2</v>
      </c>
      <c r="Z84">
        <f t="shared" si="107"/>
        <v>20.100000000000001</v>
      </c>
      <c r="AY84" t="s">
        <v>99</v>
      </c>
      <c r="AZ84">
        <f t="shared" ref="AZ84" ca="1" si="178">MIN(ROW(INDIRECT(AY84)))</f>
        <v>1709</v>
      </c>
      <c r="BA84">
        <f t="shared" ref="BA84" ca="1" si="179">MIN(ROW(INDIRECT(AY84))) + ROWS(INDIRECT(AY84)) -1</f>
        <v>1732</v>
      </c>
      <c r="BB84" s="11">
        <f t="shared" si="132"/>
        <v>45383</v>
      </c>
      <c r="BC84" s="10" t="str">
        <f ca="1">IFERROR(AVERAGE(INDIRECT("D" &amp; $AZ84):INDIRECT("D" &amp; $BA84)),"")</f>
        <v/>
      </c>
      <c r="BD84">
        <f ca="1">IFERROR(MAX(INDIRECT("E" &amp; $AZ84):INDIRECT("E" &amp; $BA84)),"")</f>
        <v>0</v>
      </c>
      <c r="BE84">
        <f ca="1">IFERROR(MIN(INDIRECT("F" &amp; $AZ84):INDIRECT("F" &amp; $BA84)),"")</f>
        <v>0</v>
      </c>
      <c r="BF84" s="10" t="e">
        <f t="shared" ref="BF84" ca="1" si="180">BC84+1</f>
        <v>#VALUE!</v>
      </c>
      <c r="BI84" s="11">
        <f t="shared" si="133"/>
        <v>45383</v>
      </c>
      <c r="BJ84" s="10" t="str">
        <f ca="1">IFERROR(AVERAGE(INDIRECT("H" &amp; $AZ84):INDIRECT("H" &amp; $BA84)),"")</f>
        <v/>
      </c>
      <c r="BK84">
        <f ca="1">IFERROR(MAX(INDIRECT("I" &amp; $AZ84):INDIRECT("I" &amp; $BA84)),"")</f>
        <v>0</v>
      </c>
      <c r="BL84">
        <f ca="1">IFERROR(MIN(INDIRECT("J" &amp; $AZ84):INDIRECT("J" &amp; $BA84)),"")</f>
        <v>0</v>
      </c>
      <c r="BM84" s="10" t="e">
        <f t="shared" ref="BM84" ca="1" si="181">BJ84+0.3</f>
        <v>#VALUE!</v>
      </c>
    </row>
    <row r="85" spans="1:65" x14ac:dyDescent="0.2">
      <c r="A85" s="1">
        <v>45416</v>
      </c>
      <c r="B85" s="2">
        <v>0.41666666666666669</v>
      </c>
      <c r="C85" s="6">
        <v>45416.416666666664</v>
      </c>
      <c r="D85">
        <v>60.6</v>
      </c>
      <c r="E85">
        <v>68.400000000000006</v>
      </c>
      <c r="F85">
        <v>53.5</v>
      </c>
      <c r="G85" t="s">
        <v>6</v>
      </c>
      <c r="H85">
        <v>17.8</v>
      </c>
      <c r="I85">
        <v>21.1</v>
      </c>
      <c r="J85">
        <v>15.4</v>
      </c>
      <c r="K85" t="s">
        <v>6</v>
      </c>
      <c r="L85">
        <v>208</v>
      </c>
      <c r="M85" t="s">
        <v>6</v>
      </c>
      <c r="O85" s="6">
        <f t="shared" si="98"/>
        <v>45416.416666666664</v>
      </c>
      <c r="P85">
        <f t="shared" si="99"/>
        <v>60.6</v>
      </c>
      <c r="Q85">
        <f t="shared" si="100"/>
        <v>68.400000000000006</v>
      </c>
      <c r="R85">
        <f t="shared" si="101"/>
        <v>53.5</v>
      </c>
      <c r="S85">
        <f t="shared" si="102"/>
        <v>61.6</v>
      </c>
      <c r="V85" s="6">
        <f t="shared" si="103"/>
        <v>45416.416666666664</v>
      </c>
      <c r="W85">
        <f t="shared" si="104"/>
        <v>17.8</v>
      </c>
      <c r="X85">
        <f t="shared" si="105"/>
        <v>21.1</v>
      </c>
      <c r="Y85">
        <f t="shared" si="106"/>
        <v>15.4</v>
      </c>
      <c r="Z85">
        <f t="shared" si="107"/>
        <v>18.8</v>
      </c>
      <c r="AY85" t="s">
        <v>100</v>
      </c>
      <c r="AZ85">
        <f t="shared" ref="AZ85" ca="1" si="182">MIN(ROW(INDIRECT(AY85)))</f>
        <v>1733</v>
      </c>
      <c r="BA85">
        <f t="shared" ref="BA85" ca="1" si="183">MIN(ROW(INDIRECT(AY85))) + ROWS(INDIRECT(AY85)) -1</f>
        <v>1749</v>
      </c>
      <c r="BB85" s="11">
        <f t="shared" si="132"/>
        <v>45384</v>
      </c>
      <c r="BC85" s="10" t="str">
        <f ca="1">IFERROR(AVERAGE(INDIRECT("D" &amp; $AZ85):INDIRECT("D" &amp; $BA85)),"")</f>
        <v/>
      </c>
      <c r="BD85">
        <f ca="1">IFERROR(MAX(INDIRECT("E" &amp; $AZ85):INDIRECT("E" &amp; $BA85)),"")</f>
        <v>0</v>
      </c>
      <c r="BE85">
        <f ca="1">IFERROR(MIN(INDIRECT("F" &amp; $AZ85):INDIRECT("F" &amp; $BA85)),"")</f>
        <v>0</v>
      </c>
      <c r="BF85" s="10" t="e">
        <f t="shared" ref="BF85" ca="1" si="184">BC85+1</f>
        <v>#VALUE!</v>
      </c>
      <c r="BI85" s="11">
        <f t="shared" si="133"/>
        <v>45384</v>
      </c>
      <c r="BJ85" s="10" t="str">
        <f ca="1">IFERROR(AVERAGE(INDIRECT("H" &amp; $AZ85):INDIRECT("H" &amp; $BA85)),"")</f>
        <v/>
      </c>
      <c r="BK85">
        <f ca="1">IFERROR(MAX(INDIRECT("I" &amp; $AZ85):INDIRECT("I" &amp; $BA85)),"")</f>
        <v>0</v>
      </c>
      <c r="BL85">
        <f ca="1">IFERROR(MIN(INDIRECT("J" &amp; $AZ85):INDIRECT("J" &amp; $BA85)),"")</f>
        <v>0</v>
      </c>
      <c r="BM85" s="10" t="e">
        <f t="shared" ref="BM85" ca="1" si="185">BJ85+0.3</f>
        <v>#VALUE!</v>
      </c>
    </row>
    <row r="86" spans="1:65" x14ac:dyDescent="0.2">
      <c r="A86" s="1">
        <v>45416</v>
      </c>
      <c r="B86" s="2">
        <v>0.45833333333333331</v>
      </c>
      <c r="C86" s="6">
        <v>45416.458333333336</v>
      </c>
      <c r="D86">
        <v>71.2</v>
      </c>
      <c r="E86">
        <v>82.1</v>
      </c>
      <c r="F86">
        <v>54.8</v>
      </c>
      <c r="G86" t="s">
        <v>6</v>
      </c>
      <c r="H86">
        <v>19.3</v>
      </c>
      <c r="I86">
        <v>23.2</v>
      </c>
      <c r="J86">
        <v>14.2</v>
      </c>
      <c r="K86" t="s">
        <v>6</v>
      </c>
      <c r="L86">
        <v>179</v>
      </c>
      <c r="M86" t="s">
        <v>6</v>
      </c>
      <c r="O86" s="6">
        <f t="shared" si="98"/>
        <v>45416.458333333336</v>
      </c>
      <c r="P86">
        <f t="shared" si="99"/>
        <v>71.2</v>
      </c>
      <c r="Q86">
        <f t="shared" si="100"/>
        <v>82.1</v>
      </c>
      <c r="R86">
        <f t="shared" si="101"/>
        <v>54.8</v>
      </c>
      <c r="S86">
        <f t="shared" si="102"/>
        <v>72.2</v>
      </c>
      <c r="V86" s="6">
        <f t="shared" si="103"/>
        <v>45416.458333333336</v>
      </c>
      <c r="W86">
        <f t="shared" si="104"/>
        <v>19.3</v>
      </c>
      <c r="X86">
        <f t="shared" si="105"/>
        <v>23.2</v>
      </c>
      <c r="Y86">
        <f t="shared" si="106"/>
        <v>14.2</v>
      </c>
      <c r="Z86">
        <f t="shared" si="107"/>
        <v>20.3</v>
      </c>
      <c r="AY86" t="s">
        <v>101</v>
      </c>
      <c r="AZ86">
        <f t="shared" ref="AZ86" ca="1" si="186">MIN(ROW(INDIRECT(AY86)))</f>
        <v>1750</v>
      </c>
      <c r="BA86">
        <f t="shared" ref="BA86" ca="1" si="187">MIN(ROW(INDIRECT(AY86))) + ROWS(INDIRECT(AY86)) -1</f>
        <v>1768</v>
      </c>
      <c r="BB86" s="11">
        <f t="shared" si="132"/>
        <v>45385</v>
      </c>
      <c r="BC86" s="10" t="str">
        <f ca="1">IFERROR(AVERAGE(INDIRECT("D" &amp; $AZ86):INDIRECT("D" &amp; $BA86)),"")</f>
        <v/>
      </c>
      <c r="BD86">
        <f ca="1">IFERROR(MAX(INDIRECT("E" &amp; $AZ86):INDIRECT("E" &amp; $BA86)),"")</f>
        <v>0</v>
      </c>
      <c r="BE86">
        <f ca="1">IFERROR(MIN(INDIRECT("F" &amp; $AZ86):INDIRECT("F" &amp; $BA86)),"")</f>
        <v>0</v>
      </c>
      <c r="BF86" s="10" t="e">
        <f t="shared" ref="BF86" ca="1" si="188">BC86+1</f>
        <v>#VALUE!</v>
      </c>
      <c r="BI86" s="11">
        <f t="shared" si="133"/>
        <v>45385</v>
      </c>
      <c r="BJ86" s="10" t="str">
        <f ca="1">IFERROR(AVERAGE(INDIRECT("H" &amp; $AZ86):INDIRECT("H" &amp; $BA86)),"")</f>
        <v/>
      </c>
      <c r="BK86">
        <f ca="1">IFERROR(MAX(INDIRECT("I" &amp; $AZ86):INDIRECT("I" &amp; $BA86)),"")</f>
        <v>0</v>
      </c>
      <c r="BL86">
        <f ca="1">IFERROR(MIN(INDIRECT("J" &amp; $AZ86):INDIRECT("J" &amp; $BA86)),"")</f>
        <v>0</v>
      </c>
      <c r="BM86" s="10" t="e">
        <f t="shared" ref="BM86" ca="1" si="189">BJ86+0.3</f>
        <v>#VALUE!</v>
      </c>
    </row>
    <row r="87" spans="1:65" x14ac:dyDescent="0.2">
      <c r="A87" s="1">
        <v>45416</v>
      </c>
      <c r="B87" s="2">
        <v>0.5</v>
      </c>
      <c r="C87" s="6">
        <v>45416.5</v>
      </c>
      <c r="D87">
        <v>63</v>
      </c>
      <c r="E87">
        <v>70.3</v>
      </c>
      <c r="F87">
        <v>55.8</v>
      </c>
      <c r="G87" t="s">
        <v>6</v>
      </c>
      <c r="H87">
        <v>20.5</v>
      </c>
      <c r="I87">
        <v>24.2</v>
      </c>
      <c r="J87">
        <v>15.3</v>
      </c>
      <c r="K87" t="s">
        <v>6</v>
      </c>
      <c r="L87">
        <v>215</v>
      </c>
      <c r="M87" t="s">
        <v>6</v>
      </c>
      <c r="O87" s="6">
        <f t="shared" si="98"/>
        <v>45416.5</v>
      </c>
      <c r="P87">
        <f t="shared" si="99"/>
        <v>63</v>
      </c>
      <c r="Q87">
        <f t="shared" si="100"/>
        <v>70.3</v>
      </c>
      <c r="R87">
        <f t="shared" si="101"/>
        <v>55.8</v>
      </c>
      <c r="S87">
        <f t="shared" si="102"/>
        <v>64</v>
      </c>
      <c r="V87" s="6">
        <f t="shared" si="103"/>
        <v>45416.5</v>
      </c>
      <c r="W87">
        <f t="shared" si="104"/>
        <v>20.5</v>
      </c>
      <c r="X87">
        <f t="shared" si="105"/>
        <v>24.2</v>
      </c>
      <c r="Y87">
        <f t="shared" si="106"/>
        <v>15.3</v>
      </c>
      <c r="Z87">
        <f t="shared" si="107"/>
        <v>21.5</v>
      </c>
      <c r="AY87" t="s">
        <v>102</v>
      </c>
      <c r="AZ87">
        <f t="shared" ref="AZ87" ca="1" si="190">MIN(ROW(INDIRECT(AY87)))</f>
        <v>1769</v>
      </c>
      <c r="BA87">
        <f t="shared" ref="BA87" ca="1" si="191">MIN(ROW(INDIRECT(AY87))) + ROWS(INDIRECT(AY87)) -1</f>
        <v>1789</v>
      </c>
      <c r="BB87" s="11">
        <f t="shared" si="132"/>
        <v>45386</v>
      </c>
      <c r="BC87" s="10" t="str">
        <f ca="1">IFERROR(AVERAGE(INDIRECT("D" &amp; $AZ87):INDIRECT("D" &amp; $BA87)),"")</f>
        <v/>
      </c>
      <c r="BD87">
        <f ca="1">IFERROR(MAX(INDIRECT("E" &amp; $AZ87):INDIRECT("E" &amp; $BA87)),"")</f>
        <v>0</v>
      </c>
      <c r="BE87">
        <f ca="1">IFERROR(MIN(INDIRECT("F" &amp; $AZ87):INDIRECT("F" &amp; $BA87)),"")</f>
        <v>0</v>
      </c>
      <c r="BF87" s="10" t="e">
        <f t="shared" ref="BF87" ca="1" si="192">BC87+1</f>
        <v>#VALUE!</v>
      </c>
      <c r="BI87" s="11">
        <f t="shared" si="133"/>
        <v>45386</v>
      </c>
      <c r="BJ87" s="10" t="str">
        <f ca="1">IFERROR(AVERAGE(INDIRECT("H" &amp; $AZ87):INDIRECT("H" &amp; $BA87)),"")</f>
        <v/>
      </c>
      <c r="BK87">
        <f ca="1">IFERROR(MAX(INDIRECT("I" &amp; $AZ87):INDIRECT("I" &amp; $BA87)),"")</f>
        <v>0</v>
      </c>
      <c r="BL87">
        <f ca="1">IFERROR(MIN(INDIRECT("J" &amp; $AZ87):INDIRECT("J" &amp; $BA87)),"")</f>
        <v>0</v>
      </c>
      <c r="BM87" s="10" t="e">
        <f t="shared" ref="BM87" ca="1" si="193">BJ87+0.3</f>
        <v>#VALUE!</v>
      </c>
    </row>
    <row r="88" spans="1:65" x14ac:dyDescent="0.2">
      <c r="A88" s="1">
        <v>45416</v>
      </c>
      <c r="B88" s="2">
        <v>0.54166666666666663</v>
      </c>
      <c r="C88" s="6">
        <v>45416.541666666664</v>
      </c>
      <c r="D88">
        <v>63.2</v>
      </c>
      <c r="E88">
        <v>67.7</v>
      </c>
      <c r="F88">
        <v>54.8</v>
      </c>
      <c r="G88" t="s">
        <v>6</v>
      </c>
      <c r="H88">
        <v>20.100000000000001</v>
      </c>
      <c r="I88">
        <v>23.5</v>
      </c>
      <c r="J88">
        <v>16.8</v>
      </c>
      <c r="K88" t="s">
        <v>6</v>
      </c>
      <c r="L88">
        <v>134</v>
      </c>
      <c r="M88" t="s">
        <v>6</v>
      </c>
      <c r="O88" s="6">
        <f t="shared" si="98"/>
        <v>45416.541666666664</v>
      </c>
      <c r="P88">
        <f t="shared" si="99"/>
        <v>63.2</v>
      </c>
      <c r="Q88">
        <f t="shared" si="100"/>
        <v>67.7</v>
      </c>
      <c r="R88">
        <f t="shared" si="101"/>
        <v>54.8</v>
      </c>
      <c r="S88">
        <f t="shared" si="102"/>
        <v>64.2</v>
      </c>
      <c r="V88" s="6">
        <f t="shared" si="103"/>
        <v>45416.541666666664</v>
      </c>
      <c r="W88">
        <f t="shared" si="104"/>
        <v>20.100000000000001</v>
      </c>
      <c r="X88">
        <f t="shared" si="105"/>
        <v>23.5</v>
      </c>
      <c r="Y88">
        <f t="shared" si="106"/>
        <v>16.8</v>
      </c>
      <c r="Z88">
        <f t="shared" si="107"/>
        <v>21.1</v>
      </c>
      <c r="AY88" t="s">
        <v>103</v>
      </c>
      <c r="AZ88">
        <f t="shared" ref="AZ88" ca="1" si="194">MIN(ROW(INDIRECT(AY88)))</f>
        <v>1790</v>
      </c>
      <c r="BA88">
        <f t="shared" ref="BA88" ca="1" si="195">MIN(ROW(INDIRECT(AY88))) + ROWS(INDIRECT(AY88)) -1</f>
        <v>1810</v>
      </c>
      <c r="BB88" s="11">
        <f t="shared" si="132"/>
        <v>45387</v>
      </c>
      <c r="BC88" s="10" t="str">
        <f ca="1">IFERROR(AVERAGE(INDIRECT("D" &amp; $AZ88):INDIRECT("D" &amp; $BA88)),"")</f>
        <v/>
      </c>
      <c r="BD88">
        <f ca="1">IFERROR(MAX(INDIRECT("E" &amp; $AZ88):INDIRECT("E" &amp; $BA88)),"")</f>
        <v>0</v>
      </c>
      <c r="BE88">
        <f ca="1">IFERROR(MIN(INDIRECT("F" &amp; $AZ88):INDIRECT("F" &amp; $BA88)),"")</f>
        <v>0</v>
      </c>
      <c r="BF88" s="10" t="e">
        <f t="shared" ref="BF88" ca="1" si="196">BC88+1</f>
        <v>#VALUE!</v>
      </c>
      <c r="BI88" s="11">
        <f t="shared" si="133"/>
        <v>45387</v>
      </c>
      <c r="BJ88" s="10" t="str">
        <f ca="1">IFERROR(AVERAGE(INDIRECT("H" &amp; $AZ88):INDIRECT("H" &amp; $BA88)),"")</f>
        <v/>
      </c>
      <c r="BK88">
        <f ca="1">IFERROR(MAX(INDIRECT("I" &amp; $AZ88):INDIRECT("I" &amp; $BA88)),"")</f>
        <v>0</v>
      </c>
      <c r="BL88">
        <f ca="1">IFERROR(MIN(INDIRECT("J" &amp; $AZ88):INDIRECT("J" &amp; $BA88)),"")</f>
        <v>0</v>
      </c>
      <c r="BM88" s="10" t="e">
        <f t="shared" ref="BM88" ca="1" si="197">BJ88+0.3</f>
        <v>#VALUE!</v>
      </c>
    </row>
    <row r="89" spans="1:65" x14ac:dyDescent="0.2">
      <c r="A89" s="1">
        <v>45416</v>
      </c>
      <c r="B89" s="2">
        <v>0.58333333333333337</v>
      </c>
      <c r="C89" s="6">
        <v>45416.583333333336</v>
      </c>
      <c r="D89">
        <v>64</v>
      </c>
      <c r="E89">
        <v>73.400000000000006</v>
      </c>
      <c r="F89">
        <v>55.5</v>
      </c>
      <c r="G89" t="s">
        <v>6</v>
      </c>
      <c r="H89">
        <v>19.2</v>
      </c>
      <c r="I89">
        <v>21.7</v>
      </c>
      <c r="J89">
        <v>15.1</v>
      </c>
      <c r="K89" t="s">
        <v>6</v>
      </c>
      <c r="L89">
        <v>140</v>
      </c>
      <c r="M89" t="s">
        <v>6</v>
      </c>
      <c r="O89" s="6">
        <f t="shared" si="98"/>
        <v>45416.583333333336</v>
      </c>
      <c r="P89">
        <f t="shared" si="99"/>
        <v>64</v>
      </c>
      <c r="Q89">
        <f t="shared" si="100"/>
        <v>73.400000000000006</v>
      </c>
      <c r="R89">
        <f t="shared" si="101"/>
        <v>55.5</v>
      </c>
      <c r="S89">
        <f t="shared" si="102"/>
        <v>65</v>
      </c>
      <c r="V89" s="6">
        <f t="shared" si="103"/>
        <v>45416.583333333336</v>
      </c>
      <c r="W89">
        <f t="shared" si="104"/>
        <v>19.2</v>
      </c>
      <c r="X89">
        <f t="shared" si="105"/>
        <v>21.7</v>
      </c>
      <c r="Y89">
        <f t="shared" si="106"/>
        <v>15.1</v>
      </c>
      <c r="Z89">
        <f t="shared" si="107"/>
        <v>20.2</v>
      </c>
      <c r="AY89" t="s">
        <v>104</v>
      </c>
      <c r="AZ89">
        <f t="shared" ref="AZ89:AZ90" ca="1" si="198">MIN(ROW(INDIRECT(AY89)))</f>
        <v>1811</v>
      </c>
      <c r="BA89">
        <f t="shared" ref="BA89:BA90" ca="1" si="199">MIN(ROW(INDIRECT(AY89))) + ROWS(INDIRECT(AY89)) -1</f>
        <v>1834</v>
      </c>
      <c r="BB89" s="11">
        <f t="shared" si="132"/>
        <v>45388</v>
      </c>
      <c r="BC89" s="10" t="str">
        <f ca="1">IFERROR(AVERAGE(INDIRECT("D" &amp; $AZ89):INDIRECT("D" &amp; $BA89)),"")</f>
        <v/>
      </c>
      <c r="BD89">
        <f ca="1">IFERROR(MAX(INDIRECT("E" &amp; $AZ89):INDIRECT("E" &amp; $BA89)),"")</f>
        <v>0</v>
      </c>
      <c r="BE89">
        <f ca="1">IFERROR(MIN(INDIRECT("F" &amp; $AZ89):INDIRECT("F" &amp; $BA89)),"")</f>
        <v>0</v>
      </c>
      <c r="BF89" s="10" t="e">
        <f t="shared" ref="BF89:BF90" ca="1" si="200">BC89+1</f>
        <v>#VALUE!</v>
      </c>
      <c r="BI89" s="11">
        <f t="shared" si="133"/>
        <v>45388</v>
      </c>
      <c r="BJ89" s="10" t="str">
        <f ca="1">IFERROR(AVERAGE(INDIRECT("H" &amp; $AZ89):INDIRECT("H" &amp; $BA89)),"")</f>
        <v/>
      </c>
      <c r="BK89">
        <f ca="1">IFERROR(MAX(INDIRECT("I" &amp; $AZ89):INDIRECT("I" &amp; $BA89)),"")</f>
        <v>0</v>
      </c>
      <c r="BL89">
        <f ca="1">IFERROR(MIN(INDIRECT("J" &amp; $AZ89):INDIRECT("J" &amp; $BA89)),"")</f>
        <v>0</v>
      </c>
      <c r="BM89" s="10" t="e">
        <f t="shared" ref="BM89:BM90" ca="1" si="201">BJ89+0.3</f>
        <v>#VALUE!</v>
      </c>
    </row>
    <row r="90" spans="1:65" x14ac:dyDescent="0.2">
      <c r="A90" s="1">
        <v>45416</v>
      </c>
      <c r="B90" s="2">
        <v>0.625</v>
      </c>
      <c r="C90" s="6">
        <v>45416.625</v>
      </c>
      <c r="D90">
        <v>59</v>
      </c>
      <c r="E90">
        <v>66.400000000000006</v>
      </c>
      <c r="F90">
        <v>52.7</v>
      </c>
      <c r="G90" t="s">
        <v>6</v>
      </c>
      <c r="H90">
        <v>19</v>
      </c>
      <c r="I90">
        <v>22</v>
      </c>
      <c r="J90">
        <v>15.6</v>
      </c>
      <c r="K90" t="s">
        <v>6</v>
      </c>
      <c r="L90">
        <v>225</v>
      </c>
      <c r="M90" t="s">
        <v>6</v>
      </c>
      <c r="O90" s="6">
        <f t="shared" si="98"/>
        <v>45416.625</v>
      </c>
      <c r="P90">
        <f t="shared" si="99"/>
        <v>59</v>
      </c>
      <c r="Q90">
        <f t="shared" si="100"/>
        <v>66.400000000000006</v>
      </c>
      <c r="R90">
        <f t="shared" si="101"/>
        <v>52.7</v>
      </c>
      <c r="S90">
        <f t="shared" si="102"/>
        <v>60</v>
      </c>
      <c r="V90" s="6">
        <f t="shared" si="103"/>
        <v>45416.625</v>
      </c>
      <c r="W90">
        <f t="shared" si="104"/>
        <v>19</v>
      </c>
      <c r="X90">
        <f t="shared" si="105"/>
        <v>22</v>
      </c>
      <c r="Y90">
        <f t="shared" si="106"/>
        <v>15.6</v>
      </c>
      <c r="Z90">
        <f t="shared" si="107"/>
        <v>20</v>
      </c>
      <c r="AY90" t="s">
        <v>105</v>
      </c>
      <c r="AZ90">
        <f t="shared" ca="1" si="198"/>
        <v>1835</v>
      </c>
      <c r="BA90">
        <f t="shared" ca="1" si="199"/>
        <v>1858</v>
      </c>
      <c r="BB90" s="11">
        <f t="shared" si="132"/>
        <v>45389</v>
      </c>
      <c r="BC90" s="10" t="str">
        <f ca="1">IFERROR(AVERAGE(INDIRECT("D" &amp; $AZ90):INDIRECT("D" &amp; $BA90)),"")</f>
        <v/>
      </c>
      <c r="BD90">
        <f ca="1">IFERROR(MAX(INDIRECT("E" &amp; $AZ90):INDIRECT("E" &amp; $BA90)),"")</f>
        <v>0</v>
      </c>
      <c r="BE90">
        <f ca="1">IFERROR(MIN(INDIRECT("F" &amp; $AZ90):INDIRECT("F" &amp; $BA90)),"")</f>
        <v>0</v>
      </c>
      <c r="BF90" s="10" t="e">
        <f t="shared" ca="1" si="200"/>
        <v>#VALUE!</v>
      </c>
      <c r="BI90" s="11">
        <f t="shared" si="133"/>
        <v>45389</v>
      </c>
      <c r="BJ90" s="10" t="str">
        <f ca="1">IFERROR(AVERAGE(INDIRECT("H" &amp; $AZ90):INDIRECT("H" &amp; $BA90)),"")</f>
        <v/>
      </c>
      <c r="BK90">
        <f ca="1">IFERROR(MAX(INDIRECT("I" &amp; $AZ90):INDIRECT("I" &amp; $BA90)),"")</f>
        <v>0</v>
      </c>
      <c r="BL90">
        <f ca="1">IFERROR(MIN(INDIRECT("J" &amp; $AZ90):INDIRECT("J" &amp; $BA90)),"")</f>
        <v>0</v>
      </c>
      <c r="BM90" s="10" t="e">
        <f t="shared" ca="1" si="201"/>
        <v>#VALUE!</v>
      </c>
    </row>
    <row r="91" spans="1:65" x14ac:dyDescent="0.2">
      <c r="A91" s="1">
        <v>45416</v>
      </c>
      <c r="B91" s="2">
        <v>0.66666666666666663</v>
      </c>
      <c r="C91" s="6">
        <v>45416.666666666664</v>
      </c>
      <c r="D91">
        <v>52.6</v>
      </c>
      <c r="E91">
        <v>60</v>
      </c>
      <c r="F91">
        <v>44.8</v>
      </c>
      <c r="G91" t="s">
        <v>6</v>
      </c>
      <c r="H91">
        <v>20</v>
      </c>
      <c r="I91">
        <v>24.4</v>
      </c>
      <c r="J91">
        <v>15.8</v>
      </c>
      <c r="K91" t="s">
        <v>6</v>
      </c>
      <c r="L91">
        <v>225</v>
      </c>
      <c r="M91" t="s">
        <v>6</v>
      </c>
      <c r="O91" s="6">
        <f t="shared" si="98"/>
        <v>45416.666666666664</v>
      </c>
      <c r="P91">
        <f t="shared" si="99"/>
        <v>52.6</v>
      </c>
      <c r="Q91">
        <f t="shared" si="100"/>
        <v>60</v>
      </c>
      <c r="R91">
        <f t="shared" si="101"/>
        <v>44.8</v>
      </c>
      <c r="S91">
        <f t="shared" si="102"/>
        <v>53.6</v>
      </c>
      <c r="V91" s="6">
        <f t="shared" si="103"/>
        <v>45416.666666666664</v>
      </c>
      <c r="W91">
        <f t="shared" si="104"/>
        <v>20</v>
      </c>
      <c r="X91">
        <f t="shared" si="105"/>
        <v>24.4</v>
      </c>
      <c r="Y91">
        <f t="shared" si="106"/>
        <v>15.8</v>
      </c>
      <c r="Z91">
        <f t="shared" si="107"/>
        <v>21</v>
      </c>
      <c r="AY91" t="s">
        <v>106</v>
      </c>
      <c r="AZ91">
        <f t="shared" ref="AZ91" ca="1" si="202">MIN(ROW(INDIRECT(AY91)))</f>
        <v>1859</v>
      </c>
      <c r="BA91">
        <f t="shared" ref="BA91" ca="1" si="203">MIN(ROW(INDIRECT(AY91))) + ROWS(INDIRECT(AY91)) -1</f>
        <v>1882</v>
      </c>
      <c r="BB91" s="11">
        <f t="shared" si="132"/>
        <v>45390</v>
      </c>
      <c r="BC91" s="10" t="str">
        <f ca="1">IFERROR(AVERAGE(INDIRECT("D" &amp; $AZ91):INDIRECT("D" &amp; $BA91)),"")</f>
        <v/>
      </c>
      <c r="BD91">
        <f ca="1">IFERROR(MAX(INDIRECT("E" &amp; $AZ91):INDIRECT("E" &amp; $BA91)),"")</f>
        <v>0</v>
      </c>
      <c r="BE91">
        <f ca="1">IFERROR(MIN(INDIRECT("F" &amp; $AZ91):INDIRECT("F" &amp; $BA91)),"")</f>
        <v>0</v>
      </c>
      <c r="BF91" s="10" t="e">
        <f t="shared" ref="BF91" ca="1" si="204">BC91+1</f>
        <v>#VALUE!</v>
      </c>
      <c r="BI91" s="11">
        <f t="shared" si="133"/>
        <v>45390</v>
      </c>
      <c r="BJ91" s="10" t="str">
        <f ca="1">IFERROR(AVERAGE(INDIRECT("H" &amp; $AZ91):INDIRECT("H" &amp; $BA91)),"")</f>
        <v/>
      </c>
      <c r="BK91">
        <f ca="1">IFERROR(MAX(INDIRECT("I" &amp; $AZ91):INDIRECT("I" &amp; $BA91)),"")</f>
        <v>0</v>
      </c>
      <c r="BL91">
        <f ca="1">IFERROR(MIN(INDIRECT("J" &amp; $AZ91):INDIRECT("J" &amp; $BA91)),"")</f>
        <v>0</v>
      </c>
      <c r="BM91" s="10" t="e">
        <f t="shared" ref="BM91" ca="1" si="205">BJ91+0.3</f>
        <v>#VALUE!</v>
      </c>
    </row>
    <row r="92" spans="1:65" x14ac:dyDescent="0.2">
      <c r="A92" s="1">
        <v>45416</v>
      </c>
      <c r="B92" s="2">
        <v>0.70833333333333337</v>
      </c>
      <c r="C92" s="6">
        <v>45416.708333333336</v>
      </c>
      <c r="D92">
        <v>57.6</v>
      </c>
      <c r="E92">
        <v>68.8</v>
      </c>
      <c r="F92">
        <v>44.2</v>
      </c>
      <c r="G92" t="s">
        <v>6</v>
      </c>
      <c r="H92">
        <v>20</v>
      </c>
      <c r="I92">
        <v>24.1</v>
      </c>
      <c r="J92">
        <v>14.3</v>
      </c>
      <c r="K92" t="s">
        <v>6</v>
      </c>
      <c r="L92">
        <v>229</v>
      </c>
      <c r="M92" t="s">
        <v>6</v>
      </c>
      <c r="O92" s="6">
        <f t="shared" si="98"/>
        <v>45416.708333333336</v>
      </c>
      <c r="P92">
        <f t="shared" si="99"/>
        <v>57.6</v>
      </c>
      <c r="Q92">
        <f t="shared" si="100"/>
        <v>68.8</v>
      </c>
      <c r="R92">
        <f t="shared" si="101"/>
        <v>44.2</v>
      </c>
      <c r="S92">
        <f t="shared" si="102"/>
        <v>58.6</v>
      </c>
      <c r="V92" s="6">
        <f t="shared" si="103"/>
        <v>45416.708333333336</v>
      </c>
      <c r="W92">
        <f t="shared" si="104"/>
        <v>20</v>
      </c>
      <c r="X92">
        <f t="shared" si="105"/>
        <v>24.1</v>
      </c>
      <c r="Y92">
        <f t="shared" si="106"/>
        <v>14.3</v>
      </c>
      <c r="Z92">
        <f t="shared" si="107"/>
        <v>21</v>
      </c>
      <c r="AY92" t="s">
        <v>107</v>
      </c>
      <c r="AZ92">
        <f t="shared" ref="AZ92" ca="1" si="206">MIN(ROW(INDIRECT(AY92)))</f>
        <v>1883</v>
      </c>
      <c r="BA92">
        <f t="shared" ref="BA92" ca="1" si="207">MIN(ROW(INDIRECT(AY92))) + ROWS(INDIRECT(AY92)) -1</f>
        <v>1905</v>
      </c>
      <c r="BB92" s="11">
        <f t="shared" si="132"/>
        <v>45391</v>
      </c>
      <c r="BC92" s="10" t="str">
        <f ca="1">IFERROR(AVERAGE(INDIRECT("D" &amp; $AZ92):INDIRECT("D" &amp; $BA92)),"")</f>
        <v/>
      </c>
      <c r="BD92">
        <f ca="1">IFERROR(MAX(INDIRECT("E" &amp; $AZ92):INDIRECT("E" &amp; $BA92)),"")</f>
        <v>0</v>
      </c>
      <c r="BE92">
        <f ca="1">IFERROR(MIN(INDIRECT("F" &amp; $AZ92):INDIRECT("F" &amp; $BA92)),"")</f>
        <v>0</v>
      </c>
      <c r="BF92" s="10" t="e">
        <f t="shared" ref="BF92" ca="1" si="208">BC92+1</f>
        <v>#VALUE!</v>
      </c>
      <c r="BI92" s="11">
        <f t="shared" si="133"/>
        <v>45391</v>
      </c>
      <c r="BJ92" s="10" t="str">
        <f ca="1">IFERROR(AVERAGE(INDIRECT("H" &amp; $AZ92):INDIRECT("H" &amp; $BA92)),"")</f>
        <v/>
      </c>
      <c r="BK92">
        <f ca="1">IFERROR(MAX(INDIRECT("I" &amp; $AZ92):INDIRECT("I" &amp; $BA92)),"")</f>
        <v>0</v>
      </c>
      <c r="BL92">
        <f ca="1">IFERROR(MIN(INDIRECT("J" &amp; $AZ92):INDIRECT("J" &amp; $BA92)),"")</f>
        <v>0</v>
      </c>
      <c r="BM92" s="10" t="e">
        <f t="shared" ref="BM92" ca="1" si="209">BJ92+0.3</f>
        <v>#VALUE!</v>
      </c>
    </row>
    <row r="93" spans="1:65" x14ac:dyDescent="0.2">
      <c r="A93" s="1">
        <v>45416</v>
      </c>
      <c r="B93" s="2">
        <v>0.75</v>
      </c>
      <c r="C93" s="6">
        <v>45416.75</v>
      </c>
      <c r="D93">
        <v>51.8</v>
      </c>
      <c r="E93">
        <v>58</v>
      </c>
      <c r="F93">
        <v>48.2</v>
      </c>
      <c r="G93" t="s">
        <v>6</v>
      </c>
      <c r="H93">
        <v>19.7</v>
      </c>
      <c r="I93">
        <v>22.8</v>
      </c>
      <c r="J93">
        <v>15.3</v>
      </c>
      <c r="K93" t="s">
        <v>6</v>
      </c>
      <c r="L93">
        <v>150</v>
      </c>
      <c r="M93" t="s">
        <v>6</v>
      </c>
      <c r="O93" s="6">
        <f t="shared" si="98"/>
        <v>45416.75</v>
      </c>
      <c r="P93">
        <f t="shared" si="99"/>
        <v>51.8</v>
      </c>
      <c r="Q93">
        <f t="shared" si="100"/>
        <v>58</v>
      </c>
      <c r="R93">
        <f t="shared" si="101"/>
        <v>48.2</v>
      </c>
      <c r="S93">
        <f t="shared" si="102"/>
        <v>52.8</v>
      </c>
      <c r="V93" s="6">
        <f t="shared" si="103"/>
        <v>45416.75</v>
      </c>
      <c r="W93">
        <f t="shared" si="104"/>
        <v>19.7</v>
      </c>
      <c r="X93">
        <f t="shared" si="105"/>
        <v>22.8</v>
      </c>
      <c r="Y93">
        <f t="shared" si="106"/>
        <v>15.3</v>
      </c>
      <c r="Z93">
        <f t="shared" si="107"/>
        <v>20.7</v>
      </c>
      <c r="AY93" t="s">
        <v>108</v>
      </c>
      <c r="AZ93">
        <f t="shared" ref="AZ93:AZ94" ca="1" si="210">MIN(ROW(INDIRECT(AY93)))</f>
        <v>1906</v>
      </c>
      <c r="BA93">
        <f t="shared" ref="BA93:BA94" ca="1" si="211">MIN(ROW(INDIRECT(AY93))) + ROWS(INDIRECT(AY93)) -1</f>
        <v>1926</v>
      </c>
      <c r="BB93" s="11">
        <f t="shared" si="132"/>
        <v>45392</v>
      </c>
      <c r="BC93" s="10" t="str">
        <f ca="1">IFERROR(AVERAGE(INDIRECT("D" &amp; $AZ93):INDIRECT("D" &amp; $BA93)),"")</f>
        <v/>
      </c>
      <c r="BD93">
        <f ca="1">IFERROR(MAX(INDIRECT("E" &amp; $AZ93):INDIRECT("E" &amp; $BA93)),"")</f>
        <v>0</v>
      </c>
      <c r="BE93">
        <f ca="1">IFERROR(MIN(INDIRECT("F" &amp; $AZ93):INDIRECT("F" &amp; $BA93)),"")</f>
        <v>0</v>
      </c>
      <c r="BF93" s="10" t="e">
        <f t="shared" ref="BF93:BF94" ca="1" si="212">BC93+1</f>
        <v>#VALUE!</v>
      </c>
      <c r="BI93" s="11">
        <f t="shared" si="133"/>
        <v>45392</v>
      </c>
      <c r="BJ93" s="10" t="str">
        <f ca="1">IFERROR(AVERAGE(INDIRECT("H" &amp; $AZ93):INDIRECT("H" &amp; $BA93)),"")</f>
        <v/>
      </c>
      <c r="BK93">
        <f ca="1">IFERROR(MAX(INDIRECT("I" &amp; $AZ93):INDIRECT("I" &amp; $BA93)),"")</f>
        <v>0</v>
      </c>
      <c r="BL93">
        <f ca="1">IFERROR(MIN(INDIRECT("J" &amp; $AZ93):INDIRECT("J" &amp; $BA93)),"")</f>
        <v>0</v>
      </c>
      <c r="BM93" s="10" t="e">
        <f t="shared" ref="BM93:BM94" ca="1" si="213">BJ93+0.3</f>
        <v>#VALUE!</v>
      </c>
    </row>
    <row r="94" spans="1:65" x14ac:dyDescent="0.2">
      <c r="A94" s="1">
        <v>45416</v>
      </c>
      <c r="B94" s="2">
        <v>0.79166666666666663</v>
      </c>
      <c r="C94" s="6">
        <v>45416.791666666664</v>
      </c>
      <c r="D94">
        <v>54.2</v>
      </c>
      <c r="E94">
        <v>60.5</v>
      </c>
      <c r="F94">
        <v>50</v>
      </c>
      <c r="G94" t="s">
        <v>6</v>
      </c>
      <c r="H94">
        <v>19.7</v>
      </c>
      <c r="I94">
        <v>22.9</v>
      </c>
      <c r="J94">
        <v>16.5</v>
      </c>
      <c r="K94" t="s">
        <v>6</v>
      </c>
      <c r="L94">
        <v>153</v>
      </c>
      <c r="M94" t="s">
        <v>6</v>
      </c>
      <c r="O94" s="6">
        <f t="shared" si="98"/>
        <v>45416.791666666664</v>
      </c>
      <c r="P94">
        <f t="shared" si="99"/>
        <v>54.2</v>
      </c>
      <c r="Q94">
        <f t="shared" si="100"/>
        <v>60.5</v>
      </c>
      <c r="R94">
        <f t="shared" si="101"/>
        <v>50</v>
      </c>
      <c r="S94">
        <f t="shared" si="102"/>
        <v>55.2</v>
      </c>
      <c r="V94" s="6">
        <f t="shared" si="103"/>
        <v>45416.791666666664</v>
      </c>
      <c r="W94">
        <f t="shared" si="104"/>
        <v>19.7</v>
      </c>
      <c r="X94">
        <f t="shared" si="105"/>
        <v>22.9</v>
      </c>
      <c r="Y94">
        <f t="shared" si="106"/>
        <v>16.5</v>
      </c>
      <c r="Z94">
        <f t="shared" si="107"/>
        <v>20.7</v>
      </c>
      <c r="AY94" t="s">
        <v>109</v>
      </c>
      <c r="AZ94">
        <f t="shared" ca="1" si="210"/>
        <v>1927</v>
      </c>
      <c r="BA94">
        <f t="shared" ca="1" si="211"/>
        <v>1950</v>
      </c>
      <c r="BB94" s="11">
        <f t="shared" si="132"/>
        <v>45393</v>
      </c>
      <c r="BC94" s="10" t="str">
        <f ca="1">IFERROR(AVERAGE(INDIRECT("D" &amp; $AZ94):INDIRECT("D" &amp; $BA94)),"")</f>
        <v/>
      </c>
      <c r="BD94">
        <f ca="1">IFERROR(MAX(INDIRECT("E" &amp; $AZ94):INDIRECT("E" &amp; $BA94)),"")</f>
        <v>0</v>
      </c>
      <c r="BE94">
        <f ca="1">IFERROR(MIN(INDIRECT("F" &amp; $AZ94):INDIRECT("F" &amp; $BA94)),"")</f>
        <v>0</v>
      </c>
      <c r="BF94" s="10" t="e">
        <f t="shared" ca="1" si="212"/>
        <v>#VALUE!</v>
      </c>
      <c r="BI94" s="11">
        <f t="shared" si="133"/>
        <v>45393</v>
      </c>
      <c r="BJ94" s="10" t="str">
        <f ca="1">IFERROR(AVERAGE(INDIRECT("H" &amp; $AZ94):INDIRECT("H" &amp; $BA94)),"")</f>
        <v/>
      </c>
      <c r="BK94">
        <f ca="1">IFERROR(MAX(INDIRECT("I" &amp; $AZ94):INDIRECT("I" &amp; $BA94)),"")</f>
        <v>0</v>
      </c>
      <c r="BL94">
        <f ca="1">IFERROR(MIN(INDIRECT("J" &amp; $AZ94):INDIRECT("J" &amp; $BA94)),"")</f>
        <v>0</v>
      </c>
      <c r="BM94" s="10" t="e">
        <f t="shared" ca="1" si="213"/>
        <v>#VALUE!</v>
      </c>
    </row>
    <row r="95" spans="1:65" x14ac:dyDescent="0.2">
      <c r="A95" s="1">
        <v>45416</v>
      </c>
      <c r="B95" s="2">
        <v>0.83333333333333337</v>
      </c>
      <c r="C95" s="6">
        <v>45416.833333333336</v>
      </c>
      <c r="D95">
        <v>59</v>
      </c>
      <c r="E95">
        <v>67.900000000000006</v>
      </c>
      <c r="F95">
        <v>52.9</v>
      </c>
      <c r="G95" t="s">
        <v>6</v>
      </c>
      <c r="H95">
        <v>20.100000000000001</v>
      </c>
      <c r="I95">
        <v>23.2</v>
      </c>
      <c r="J95">
        <v>16.3</v>
      </c>
      <c r="K95" t="s">
        <v>6</v>
      </c>
      <c r="L95">
        <v>224</v>
      </c>
      <c r="M95" t="s">
        <v>6</v>
      </c>
      <c r="O95" s="6">
        <f t="shared" si="98"/>
        <v>45416.833333333336</v>
      </c>
      <c r="P95">
        <f t="shared" si="99"/>
        <v>59</v>
      </c>
      <c r="Q95">
        <f t="shared" si="100"/>
        <v>67.900000000000006</v>
      </c>
      <c r="R95">
        <f t="shared" si="101"/>
        <v>52.9</v>
      </c>
      <c r="S95">
        <f t="shared" si="102"/>
        <v>60</v>
      </c>
      <c r="V95" s="6">
        <f t="shared" si="103"/>
        <v>45416.833333333336</v>
      </c>
      <c r="W95">
        <f t="shared" si="104"/>
        <v>20.100000000000001</v>
      </c>
      <c r="X95">
        <f t="shared" si="105"/>
        <v>23.2</v>
      </c>
      <c r="Y95">
        <f t="shared" si="106"/>
        <v>16.3</v>
      </c>
      <c r="Z95">
        <f t="shared" si="107"/>
        <v>21.1</v>
      </c>
      <c r="AY95" t="s">
        <v>110</v>
      </c>
      <c r="AZ95">
        <f t="shared" ref="AZ95" ca="1" si="214">MIN(ROW(INDIRECT(AY95)))</f>
        <v>1951</v>
      </c>
      <c r="BA95">
        <f t="shared" ref="BA95" ca="1" si="215">MIN(ROW(INDIRECT(AY95))) + ROWS(INDIRECT(AY95)) -1</f>
        <v>1959</v>
      </c>
      <c r="BB95" s="11">
        <f t="shared" si="132"/>
        <v>45394</v>
      </c>
      <c r="BC95" s="10" t="str">
        <f ca="1">IFERROR(AVERAGE(INDIRECT("D" &amp; $AZ95):INDIRECT("D" &amp; $BA95)),"")</f>
        <v/>
      </c>
      <c r="BD95">
        <f ca="1">IFERROR(MAX(INDIRECT("E" &amp; $AZ95):INDIRECT("E" &amp; $BA95)),"")</f>
        <v>0</v>
      </c>
      <c r="BE95">
        <f ca="1">IFERROR(MIN(INDIRECT("F" &amp; $AZ95):INDIRECT("F" &amp; $BA95)),"")</f>
        <v>0</v>
      </c>
      <c r="BF95" s="10" t="e">
        <f t="shared" ref="BF95" ca="1" si="216">BC95+1</f>
        <v>#VALUE!</v>
      </c>
      <c r="BI95" s="11">
        <f t="shared" si="133"/>
        <v>45394</v>
      </c>
      <c r="BJ95" s="10" t="str">
        <f ca="1">IFERROR(AVERAGE(INDIRECT("H" &amp; $AZ95):INDIRECT("H" &amp; $BA95)),"")</f>
        <v/>
      </c>
      <c r="BK95">
        <f ca="1">IFERROR(MAX(INDIRECT("I" &amp; $AZ95):INDIRECT("I" &amp; $BA95)),"")</f>
        <v>0</v>
      </c>
      <c r="BL95">
        <f ca="1">IFERROR(MIN(INDIRECT("J" &amp; $AZ95):INDIRECT("J" &amp; $BA95)),"")</f>
        <v>0</v>
      </c>
      <c r="BM95" s="10" t="e">
        <f t="shared" ref="BM95" ca="1" si="217">BJ95+0.3</f>
        <v>#VALUE!</v>
      </c>
    </row>
    <row r="96" spans="1:65" x14ac:dyDescent="0.2">
      <c r="A96" s="1">
        <v>45416</v>
      </c>
      <c r="B96" s="2">
        <v>0.875</v>
      </c>
      <c r="C96" s="6">
        <v>45416.875</v>
      </c>
      <c r="D96">
        <v>58.5</v>
      </c>
      <c r="E96">
        <v>61.8</v>
      </c>
      <c r="F96">
        <v>54.5</v>
      </c>
      <c r="G96" t="s">
        <v>6</v>
      </c>
      <c r="H96">
        <v>20.100000000000001</v>
      </c>
      <c r="I96">
        <v>23</v>
      </c>
      <c r="J96">
        <v>16.100000000000001</v>
      </c>
      <c r="K96" t="s">
        <v>6</v>
      </c>
      <c r="L96">
        <v>196</v>
      </c>
      <c r="M96" t="s">
        <v>6</v>
      </c>
      <c r="O96" s="6">
        <f t="shared" si="98"/>
        <v>45416.875</v>
      </c>
      <c r="P96">
        <f t="shared" si="99"/>
        <v>58.5</v>
      </c>
      <c r="Q96">
        <f t="shared" si="100"/>
        <v>61.8</v>
      </c>
      <c r="R96">
        <f t="shared" si="101"/>
        <v>54.5</v>
      </c>
      <c r="S96">
        <f t="shared" si="102"/>
        <v>59.5</v>
      </c>
      <c r="V96" s="6">
        <f t="shared" si="103"/>
        <v>45416.875</v>
      </c>
      <c r="W96">
        <f t="shared" si="104"/>
        <v>20.100000000000001</v>
      </c>
      <c r="X96">
        <f t="shared" si="105"/>
        <v>23</v>
      </c>
      <c r="Y96">
        <f t="shared" si="106"/>
        <v>16.100000000000001</v>
      </c>
      <c r="Z96">
        <f t="shared" si="107"/>
        <v>21.1</v>
      </c>
      <c r="AY96" t="s">
        <v>111</v>
      </c>
      <c r="AZ96">
        <f t="shared" ref="AZ96:AZ97" ca="1" si="218">MIN(ROW(INDIRECT(AY96)))</f>
        <v>1960</v>
      </c>
      <c r="BA96">
        <f t="shared" ref="BA96:BA97" ca="1" si="219">MIN(ROW(INDIRECT(AY96))) + ROWS(INDIRECT(AY96)) -1</f>
        <v>1977</v>
      </c>
      <c r="BB96" s="11">
        <f t="shared" si="132"/>
        <v>45395</v>
      </c>
      <c r="BC96" s="10" t="str">
        <f ca="1">IFERROR(AVERAGE(INDIRECT("D" &amp; $AZ96):INDIRECT("D" &amp; $BA96)),"")</f>
        <v/>
      </c>
      <c r="BD96">
        <f ca="1">IFERROR(MAX(INDIRECT("E" &amp; $AZ96):INDIRECT("E" &amp; $BA96)),"")</f>
        <v>0</v>
      </c>
      <c r="BE96">
        <f ca="1">IFERROR(MIN(INDIRECT("F" &amp; $AZ96):INDIRECT("F" &amp; $BA96)),"")</f>
        <v>0</v>
      </c>
      <c r="BF96" s="10" t="e">
        <f t="shared" ref="BF96:BF97" ca="1" si="220">BC96+1</f>
        <v>#VALUE!</v>
      </c>
      <c r="BI96" s="11">
        <f t="shared" si="133"/>
        <v>45395</v>
      </c>
      <c r="BJ96" s="10" t="str">
        <f ca="1">IFERROR(AVERAGE(INDIRECT("H" &amp; $AZ96):INDIRECT("H" &amp; $BA96)),"")</f>
        <v/>
      </c>
      <c r="BK96">
        <f ca="1">IFERROR(MAX(INDIRECT("I" &amp; $AZ96):INDIRECT("I" &amp; $BA96)),"")</f>
        <v>0</v>
      </c>
      <c r="BL96">
        <f ca="1">IFERROR(MIN(INDIRECT("J" &amp; $AZ96):INDIRECT("J" &amp; $BA96)),"")</f>
        <v>0</v>
      </c>
      <c r="BM96" s="10" t="e">
        <f t="shared" ref="BM96:BM97" ca="1" si="221">BJ96+0.3</f>
        <v>#VALUE!</v>
      </c>
    </row>
    <row r="97" spans="1:65" x14ac:dyDescent="0.2">
      <c r="A97" s="1">
        <v>45416</v>
      </c>
      <c r="B97" s="2">
        <v>0.91666666666666663</v>
      </c>
      <c r="C97" s="6">
        <v>45416.916666666664</v>
      </c>
      <c r="D97">
        <v>55.9</v>
      </c>
      <c r="E97">
        <v>61.3</v>
      </c>
      <c r="F97">
        <v>51.4</v>
      </c>
      <c r="G97" t="s">
        <v>6</v>
      </c>
      <c r="H97">
        <v>20</v>
      </c>
      <c r="I97">
        <v>24.4</v>
      </c>
      <c r="J97">
        <v>15.8</v>
      </c>
      <c r="K97" t="s">
        <v>6</v>
      </c>
      <c r="L97">
        <v>205</v>
      </c>
      <c r="M97" t="s">
        <v>6</v>
      </c>
      <c r="O97" s="6">
        <f t="shared" si="98"/>
        <v>45416.916666666664</v>
      </c>
      <c r="P97">
        <f t="shared" si="99"/>
        <v>55.9</v>
      </c>
      <c r="Q97">
        <f t="shared" si="100"/>
        <v>61.3</v>
      </c>
      <c r="R97">
        <f t="shared" si="101"/>
        <v>51.4</v>
      </c>
      <c r="S97">
        <f t="shared" si="102"/>
        <v>56.9</v>
      </c>
      <c r="V97" s="6">
        <f t="shared" si="103"/>
        <v>45416.916666666664</v>
      </c>
      <c r="W97">
        <f t="shared" si="104"/>
        <v>20</v>
      </c>
      <c r="X97">
        <f t="shared" si="105"/>
        <v>24.4</v>
      </c>
      <c r="Y97">
        <f t="shared" si="106"/>
        <v>15.8</v>
      </c>
      <c r="Z97">
        <f t="shared" si="107"/>
        <v>21</v>
      </c>
      <c r="AY97" t="s">
        <v>112</v>
      </c>
      <c r="AZ97">
        <f t="shared" ca="1" si="218"/>
        <v>1978</v>
      </c>
      <c r="BA97">
        <f t="shared" ca="1" si="219"/>
        <v>1992</v>
      </c>
      <c r="BB97" s="11">
        <f t="shared" si="132"/>
        <v>45396</v>
      </c>
      <c r="BC97" s="10" t="str">
        <f ca="1">IFERROR(AVERAGE(INDIRECT("D" &amp; $AZ97):INDIRECT("D" &amp; $BA97)),"")</f>
        <v/>
      </c>
      <c r="BD97">
        <f ca="1">IFERROR(MAX(INDIRECT("E" &amp; $AZ97):INDIRECT("E" &amp; $BA97)),"")</f>
        <v>0</v>
      </c>
      <c r="BE97">
        <f ca="1">IFERROR(MIN(INDIRECT("F" &amp; $AZ97):INDIRECT("F" &amp; $BA97)),"")</f>
        <v>0</v>
      </c>
      <c r="BF97" s="10" t="e">
        <f t="shared" ca="1" si="220"/>
        <v>#VALUE!</v>
      </c>
      <c r="BI97" s="11">
        <f t="shared" si="133"/>
        <v>45396</v>
      </c>
      <c r="BJ97" s="10" t="str">
        <f ca="1">IFERROR(AVERAGE(INDIRECT("H" &amp; $AZ97):INDIRECT("H" &amp; $BA97)),"")</f>
        <v/>
      </c>
      <c r="BK97">
        <f ca="1">IFERROR(MAX(INDIRECT("I" &amp; $AZ97):INDIRECT("I" &amp; $BA97)),"")</f>
        <v>0</v>
      </c>
      <c r="BL97">
        <f ca="1">IFERROR(MIN(INDIRECT("J" &amp; $AZ97):INDIRECT("J" &amp; $BA97)),"")</f>
        <v>0</v>
      </c>
      <c r="BM97" s="10" t="e">
        <f t="shared" ca="1" si="221"/>
        <v>#VALUE!</v>
      </c>
    </row>
    <row r="98" spans="1:65" x14ac:dyDescent="0.2">
      <c r="A98" s="1">
        <v>45416</v>
      </c>
      <c r="B98" s="2">
        <v>0.95833333333333337</v>
      </c>
      <c r="C98" s="6">
        <v>45416.958333333336</v>
      </c>
      <c r="D98">
        <v>56.2</v>
      </c>
      <c r="E98">
        <v>61.5</v>
      </c>
      <c r="F98">
        <v>49</v>
      </c>
      <c r="G98" t="s">
        <v>6</v>
      </c>
      <c r="H98">
        <v>20.6</v>
      </c>
      <c r="I98">
        <v>27.7</v>
      </c>
      <c r="J98">
        <v>17.100000000000001</v>
      </c>
      <c r="K98" t="s">
        <v>6</v>
      </c>
      <c r="L98">
        <v>221</v>
      </c>
      <c r="M98" t="s">
        <v>6</v>
      </c>
      <c r="O98" s="6">
        <f t="shared" si="98"/>
        <v>45416.958333333336</v>
      </c>
      <c r="P98">
        <f t="shared" si="99"/>
        <v>56.2</v>
      </c>
      <c r="Q98">
        <f t="shared" si="100"/>
        <v>61.5</v>
      </c>
      <c r="R98">
        <f t="shared" si="101"/>
        <v>49</v>
      </c>
      <c r="S98">
        <f t="shared" si="102"/>
        <v>57.2</v>
      </c>
      <c r="V98" s="6">
        <f t="shared" si="103"/>
        <v>45416.958333333336</v>
      </c>
      <c r="W98">
        <f t="shared" si="104"/>
        <v>20.6</v>
      </c>
      <c r="X98">
        <f t="shared" si="105"/>
        <v>27.7</v>
      </c>
      <c r="Y98">
        <f t="shared" si="106"/>
        <v>17.100000000000001</v>
      </c>
      <c r="Z98">
        <f t="shared" si="107"/>
        <v>21.6</v>
      </c>
      <c r="AY98" t="s">
        <v>113</v>
      </c>
      <c r="AZ98">
        <f t="shared" ref="AZ98" ca="1" si="222">MIN(ROW(INDIRECT(AY98)))</f>
        <v>1993</v>
      </c>
      <c r="BA98">
        <f t="shared" ref="BA98" ca="1" si="223">MIN(ROW(INDIRECT(AY98))) + ROWS(INDIRECT(AY98)) -1</f>
        <v>2009</v>
      </c>
      <c r="BB98" s="11">
        <f t="shared" si="132"/>
        <v>45397</v>
      </c>
      <c r="BC98" s="10" t="str">
        <f ca="1">IFERROR(AVERAGE(INDIRECT("D" &amp; $AZ98):INDIRECT("D" &amp; $BA98)),"")</f>
        <v/>
      </c>
      <c r="BD98">
        <f ca="1">IFERROR(MAX(INDIRECT("E" &amp; $AZ98):INDIRECT("E" &amp; $BA98)),"")</f>
        <v>0</v>
      </c>
      <c r="BE98">
        <f ca="1">IFERROR(MIN(INDIRECT("F" &amp; $AZ98):INDIRECT("F" &amp; $BA98)),"")</f>
        <v>0</v>
      </c>
      <c r="BF98" s="10" t="e">
        <f t="shared" ref="BF98" ca="1" si="224">BC98+1</f>
        <v>#VALUE!</v>
      </c>
      <c r="BG98">
        <v>1</v>
      </c>
      <c r="BI98" s="11">
        <f t="shared" si="133"/>
        <v>45397</v>
      </c>
      <c r="BJ98" s="10" t="str">
        <f ca="1">IFERROR(AVERAGE(INDIRECT("H" &amp; $AZ98):INDIRECT("H" &amp; $BA98)),"")</f>
        <v/>
      </c>
      <c r="BK98">
        <f ca="1">IFERROR(MAX(INDIRECT("I" &amp; $AZ98):INDIRECT("I" &amp; $BA98)),"")</f>
        <v>0</v>
      </c>
      <c r="BL98">
        <f ca="1">IFERROR(MIN(INDIRECT("J" &amp; $AZ98):INDIRECT("J" &amp; $BA98)),"")</f>
        <v>0</v>
      </c>
      <c r="BM98" s="10" t="e">
        <f t="shared" ref="BM98" ca="1" si="225">BJ98+0.3</f>
        <v>#VALUE!</v>
      </c>
    </row>
    <row r="99" spans="1:65" x14ac:dyDescent="0.2">
      <c r="A99" s="1">
        <v>45417</v>
      </c>
      <c r="B99" s="2">
        <v>0</v>
      </c>
      <c r="C99" s="6">
        <v>45417</v>
      </c>
      <c r="D99">
        <v>62.1</v>
      </c>
      <c r="E99">
        <v>64.2</v>
      </c>
      <c r="F99">
        <v>59.4</v>
      </c>
      <c r="G99" t="s">
        <v>6</v>
      </c>
      <c r="H99">
        <v>21.5</v>
      </c>
      <c r="I99">
        <v>30.5</v>
      </c>
      <c r="J99">
        <v>17.600000000000001</v>
      </c>
      <c r="K99" t="s">
        <v>6</v>
      </c>
      <c r="L99">
        <v>32</v>
      </c>
      <c r="M99" t="s">
        <v>6</v>
      </c>
      <c r="O99" s="6">
        <f t="shared" si="98"/>
        <v>45417</v>
      </c>
      <c r="P99">
        <f t="shared" si="99"/>
        <v>62.1</v>
      </c>
      <c r="Q99">
        <f t="shared" si="100"/>
        <v>64.2</v>
      </c>
      <c r="R99">
        <f t="shared" si="101"/>
        <v>59.4</v>
      </c>
      <c r="S99">
        <f t="shared" si="102"/>
        <v>63.1</v>
      </c>
      <c r="V99" s="6">
        <f t="shared" si="103"/>
        <v>45417</v>
      </c>
      <c r="W99">
        <f t="shared" si="104"/>
        <v>21.5</v>
      </c>
      <c r="X99">
        <f t="shared" si="105"/>
        <v>30.5</v>
      </c>
      <c r="Y99">
        <f t="shared" si="106"/>
        <v>17.600000000000001</v>
      </c>
      <c r="Z99">
        <f t="shared" si="107"/>
        <v>22.5</v>
      </c>
      <c r="AY99" t="s">
        <v>114</v>
      </c>
      <c r="AZ99">
        <f t="shared" ref="AZ99" ca="1" si="226">MIN(ROW(INDIRECT(AY99)))</f>
        <v>2010</v>
      </c>
      <c r="BA99">
        <f t="shared" ref="BA99" ca="1" si="227">MIN(ROW(INDIRECT(AY99))) + ROWS(INDIRECT(AY99)) -1</f>
        <v>2023</v>
      </c>
      <c r="BB99" s="11">
        <f t="shared" si="132"/>
        <v>45398</v>
      </c>
      <c r="BC99" s="10" t="str">
        <f ca="1">IFERROR(AVERAGE(INDIRECT("D" &amp; $AZ99):INDIRECT("D" &amp; $BA99)),"")</f>
        <v/>
      </c>
      <c r="BD99">
        <f ca="1">IFERROR(MAX(INDIRECT("E" &amp; $AZ99):INDIRECT("E" &amp; $BA99)),"")</f>
        <v>0</v>
      </c>
      <c r="BE99">
        <f ca="1">IFERROR(MIN(INDIRECT("F" &amp; $AZ99):INDIRECT("F" &amp; $BA99)),"")</f>
        <v>0</v>
      </c>
      <c r="BF99" s="10" t="e">
        <f t="shared" ref="BF99" ca="1" si="228">BC99+1</f>
        <v>#VALUE!</v>
      </c>
      <c r="BI99" s="11">
        <f t="shared" si="133"/>
        <v>45398</v>
      </c>
      <c r="BJ99" s="10" t="str">
        <f ca="1">IFERROR(AVERAGE(INDIRECT("H" &amp; $AZ99):INDIRECT("H" &amp; $BA99)),"")</f>
        <v/>
      </c>
      <c r="BK99">
        <f ca="1">IFERROR(MAX(INDIRECT("I" &amp; $AZ99):INDIRECT("I" &amp; $BA99)),"")</f>
        <v>0</v>
      </c>
      <c r="BL99">
        <f ca="1">IFERROR(MIN(INDIRECT("J" &amp; $AZ99):INDIRECT("J" &amp; $BA99)),"")</f>
        <v>0</v>
      </c>
      <c r="BM99" s="10" t="e">
        <f t="shared" ref="BM99" ca="1" si="229">BJ99+0.3</f>
        <v>#VALUE!</v>
      </c>
    </row>
    <row r="100" spans="1:65" x14ac:dyDescent="0.2">
      <c r="A100" s="1">
        <v>45417</v>
      </c>
      <c r="B100" s="2">
        <v>0.25</v>
      </c>
      <c r="C100" s="6">
        <v>45417.25</v>
      </c>
      <c r="D100">
        <v>59.8</v>
      </c>
      <c r="E100">
        <v>64.900000000000006</v>
      </c>
      <c r="F100">
        <v>56.4</v>
      </c>
      <c r="G100" t="s">
        <v>6</v>
      </c>
      <c r="H100">
        <v>20.7</v>
      </c>
      <c r="I100">
        <v>24.5</v>
      </c>
      <c r="J100">
        <v>14.3</v>
      </c>
      <c r="K100" t="s">
        <v>6</v>
      </c>
      <c r="L100">
        <v>117</v>
      </c>
      <c r="M100" t="s">
        <v>6</v>
      </c>
      <c r="O100" s="6">
        <f t="shared" si="98"/>
        <v>45417.25</v>
      </c>
      <c r="P100">
        <f t="shared" si="99"/>
        <v>59.8</v>
      </c>
      <c r="Q100">
        <f t="shared" si="100"/>
        <v>64.900000000000006</v>
      </c>
      <c r="R100">
        <f t="shared" si="101"/>
        <v>56.4</v>
      </c>
      <c r="S100">
        <f t="shared" si="102"/>
        <v>60.8</v>
      </c>
      <c r="V100" s="6">
        <f t="shared" si="103"/>
        <v>45417.25</v>
      </c>
      <c r="W100">
        <f t="shared" si="104"/>
        <v>20.7</v>
      </c>
      <c r="X100">
        <f t="shared" si="105"/>
        <v>24.5</v>
      </c>
      <c r="Y100">
        <f t="shared" si="106"/>
        <v>14.3</v>
      </c>
      <c r="Z100">
        <f t="shared" si="107"/>
        <v>21.7</v>
      </c>
      <c r="AY100" t="s">
        <v>115</v>
      </c>
      <c r="AZ100">
        <f t="shared" ref="AZ100" ca="1" si="230">MIN(ROW(INDIRECT(AY100)))</f>
        <v>2024</v>
      </c>
      <c r="BA100">
        <f t="shared" ref="BA100" ca="1" si="231">MIN(ROW(INDIRECT(AY100))) + ROWS(INDIRECT(AY100)) -1</f>
        <v>2038</v>
      </c>
      <c r="BB100" s="11">
        <f t="shared" si="132"/>
        <v>45399</v>
      </c>
      <c r="BC100" s="10" t="str">
        <f ca="1">IFERROR(AVERAGE(INDIRECT("D" &amp; $AZ100):INDIRECT("D" &amp; $BA100)),"")</f>
        <v/>
      </c>
      <c r="BD100">
        <f ca="1">IFERROR(MAX(INDIRECT("E" &amp; $AZ100):INDIRECT("E" &amp; $BA100)),"")</f>
        <v>0</v>
      </c>
      <c r="BE100">
        <f ca="1">IFERROR(MIN(INDIRECT("F" &amp; $AZ100):INDIRECT("F" &amp; $BA100)),"")</f>
        <v>0</v>
      </c>
      <c r="BF100" s="10" t="e">
        <f t="shared" ref="BF100" ca="1" si="232">BC100+1</f>
        <v>#VALUE!</v>
      </c>
      <c r="BI100" s="11">
        <f t="shared" si="133"/>
        <v>45399</v>
      </c>
      <c r="BJ100" s="10" t="str">
        <f ca="1">IFERROR(AVERAGE(INDIRECT("H" &amp; $AZ100):INDIRECT("H" &amp; $BA100)),"")</f>
        <v/>
      </c>
      <c r="BK100">
        <f ca="1">IFERROR(MAX(INDIRECT("I" &amp; $AZ100):INDIRECT("I" &amp; $BA100)),"")</f>
        <v>0</v>
      </c>
      <c r="BL100">
        <f ca="1">IFERROR(MIN(INDIRECT("J" &amp; $AZ100):INDIRECT("J" &amp; $BA100)),"")</f>
        <v>0</v>
      </c>
      <c r="BM100" s="10" t="e">
        <f t="shared" ref="BM100" ca="1" si="233">BJ100+0.3</f>
        <v>#VALUE!</v>
      </c>
    </row>
    <row r="101" spans="1:65" x14ac:dyDescent="0.2">
      <c r="A101" s="1">
        <v>45417</v>
      </c>
      <c r="B101" s="2">
        <v>0.29166666666666669</v>
      </c>
      <c r="C101" s="6">
        <v>45417.291666666664</v>
      </c>
      <c r="D101">
        <v>62.7</v>
      </c>
      <c r="E101">
        <v>70.2</v>
      </c>
      <c r="F101">
        <v>58.4</v>
      </c>
      <c r="G101" t="s">
        <v>6</v>
      </c>
      <c r="H101">
        <v>19.8</v>
      </c>
      <c r="I101">
        <v>26.4</v>
      </c>
      <c r="J101">
        <v>13.3</v>
      </c>
      <c r="K101" t="s">
        <v>6</v>
      </c>
      <c r="L101">
        <v>203</v>
      </c>
      <c r="M101" t="s">
        <v>6</v>
      </c>
      <c r="O101" s="6">
        <f t="shared" si="98"/>
        <v>45417.291666666664</v>
      </c>
      <c r="P101">
        <f t="shared" si="99"/>
        <v>62.7</v>
      </c>
      <c r="Q101">
        <f t="shared" si="100"/>
        <v>70.2</v>
      </c>
      <c r="R101">
        <f t="shared" si="101"/>
        <v>58.4</v>
      </c>
      <c r="S101">
        <f t="shared" si="102"/>
        <v>63.7</v>
      </c>
      <c r="V101" s="6">
        <f t="shared" si="103"/>
        <v>45417.291666666664</v>
      </c>
      <c r="W101">
        <f t="shared" si="104"/>
        <v>19.8</v>
      </c>
      <c r="X101">
        <f t="shared" si="105"/>
        <v>26.4</v>
      </c>
      <c r="Y101">
        <f t="shared" si="106"/>
        <v>13.3</v>
      </c>
      <c r="Z101">
        <f t="shared" si="107"/>
        <v>20.8</v>
      </c>
      <c r="AY101" t="s">
        <v>116</v>
      </c>
      <c r="AZ101">
        <f t="shared" ref="AZ101" ca="1" si="234">MIN(ROW(INDIRECT(AY101)))</f>
        <v>2039</v>
      </c>
      <c r="BA101">
        <f t="shared" ref="BA101" ca="1" si="235">MIN(ROW(INDIRECT(AY101))) + ROWS(INDIRECT(AY101)) -1</f>
        <v>2054</v>
      </c>
      <c r="BB101" s="11">
        <f t="shared" si="132"/>
        <v>45400</v>
      </c>
      <c r="BC101" s="10" t="str">
        <f ca="1">IFERROR(AVERAGE(INDIRECT("D" &amp; $AZ101):INDIRECT("D" &amp; $BA101)),"")</f>
        <v/>
      </c>
      <c r="BD101">
        <f ca="1">IFERROR(MAX(INDIRECT("E" &amp; $AZ101):INDIRECT("E" &amp; $BA101)),"")</f>
        <v>0</v>
      </c>
      <c r="BE101">
        <f ca="1">IFERROR(MIN(INDIRECT("F" &amp; $AZ101):INDIRECT("F" &amp; $BA101)),"")</f>
        <v>0</v>
      </c>
      <c r="BF101" s="10" t="e">
        <f t="shared" ref="BF101" ca="1" si="236">BC101+1</f>
        <v>#VALUE!</v>
      </c>
      <c r="BI101" s="11">
        <f t="shared" si="133"/>
        <v>45400</v>
      </c>
      <c r="BJ101" s="10" t="str">
        <f ca="1">IFERROR(AVERAGE(INDIRECT("H" &amp; $AZ101):INDIRECT("H" &amp; $BA101)),"")</f>
        <v/>
      </c>
      <c r="BK101">
        <f ca="1">IFERROR(MAX(INDIRECT("I" &amp; $AZ101):INDIRECT("I" &amp; $BA101)),"")</f>
        <v>0</v>
      </c>
      <c r="BL101">
        <f ca="1">IFERROR(MIN(INDIRECT("J" &amp; $AZ101):INDIRECT("J" &amp; $BA101)),"")</f>
        <v>0</v>
      </c>
      <c r="BM101" s="10" t="e">
        <f t="shared" ref="BM101" ca="1" si="237">BJ101+0.3</f>
        <v>#VALUE!</v>
      </c>
    </row>
    <row r="102" spans="1:65" x14ac:dyDescent="0.2">
      <c r="A102" s="14">
        <v>45417</v>
      </c>
      <c r="B102" s="7">
        <v>0.33333333333333331</v>
      </c>
      <c r="C102" s="8">
        <v>45417.333333333336</v>
      </c>
      <c r="D102" s="9">
        <v>60.1</v>
      </c>
      <c r="E102" s="9">
        <v>74.099999999999994</v>
      </c>
      <c r="F102" s="9">
        <v>50.2</v>
      </c>
      <c r="G102" s="9" t="s">
        <v>6</v>
      </c>
      <c r="H102" s="9">
        <v>18.600000000000001</v>
      </c>
      <c r="I102" s="9">
        <v>22.4</v>
      </c>
      <c r="J102" s="9">
        <v>13.5</v>
      </c>
      <c r="K102" s="9" t="s">
        <v>6</v>
      </c>
      <c r="L102" s="9">
        <v>218</v>
      </c>
      <c r="M102" t="s">
        <v>6</v>
      </c>
      <c r="O102" s="6">
        <f t="shared" si="98"/>
        <v>45417.333333333336</v>
      </c>
      <c r="P102">
        <f t="shared" si="99"/>
        <v>60.1</v>
      </c>
      <c r="Q102">
        <f t="shared" si="100"/>
        <v>74.099999999999994</v>
      </c>
      <c r="R102">
        <f t="shared" si="101"/>
        <v>50.2</v>
      </c>
      <c r="S102">
        <f t="shared" si="102"/>
        <v>61.1</v>
      </c>
      <c r="V102" s="6">
        <f t="shared" si="103"/>
        <v>45417.333333333336</v>
      </c>
      <c r="W102">
        <f t="shared" si="104"/>
        <v>18.600000000000001</v>
      </c>
      <c r="X102">
        <f t="shared" si="105"/>
        <v>22.4</v>
      </c>
      <c r="Y102">
        <f t="shared" si="106"/>
        <v>13.5</v>
      </c>
      <c r="Z102">
        <f t="shared" si="107"/>
        <v>19.600000000000001</v>
      </c>
      <c r="AY102" t="s">
        <v>117</v>
      </c>
      <c r="AZ102">
        <f t="shared" ref="AZ102" ca="1" si="238">MIN(ROW(INDIRECT(AY102)))</f>
        <v>2055</v>
      </c>
      <c r="BA102">
        <f t="shared" ref="BA102" ca="1" si="239">MIN(ROW(INDIRECT(AY102))) + ROWS(INDIRECT(AY102)) -1</f>
        <v>2071</v>
      </c>
      <c r="BB102" s="11">
        <f t="shared" si="132"/>
        <v>45401</v>
      </c>
      <c r="BC102" s="10" t="str">
        <f ca="1">IFERROR(AVERAGE(INDIRECT("D" &amp; $AZ102):INDIRECT("D" &amp; $BA102)),"")</f>
        <v/>
      </c>
      <c r="BD102">
        <f ca="1">IFERROR(MAX(INDIRECT("E" &amp; $AZ102):INDIRECT("E" &amp; $BA102)),"")</f>
        <v>0</v>
      </c>
      <c r="BE102">
        <f ca="1">IFERROR(MIN(INDIRECT("F" &amp; $AZ102):INDIRECT("F" &amp; $BA102)),"")</f>
        <v>0</v>
      </c>
      <c r="BF102" s="10" t="e">
        <f t="shared" ref="BF102" ca="1" si="240">BC102+1</f>
        <v>#VALUE!</v>
      </c>
      <c r="BI102" s="11">
        <f t="shared" si="133"/>
        <v>45401</v>
      </c>
      <c r="BJ102" s="10" t="str">
        <f ca="1">IFERROR(AVERAGE(INDIRECT("H" &amp; $AZ102):INDIRECT("H" &amp; $BA102)),"")</f>
        <v/>
      </c>
      <c r="BK102">
        <f ca="1">IFERROR(MAX(INDIRECT("I" &amp; $AZ102):INDIRECT("I" &amp; $BA102)),"")</f>
        <v>0</v>
      </c>
      <c r="BL102">
        <f ca="1">IFERROR(MIN(INDIRECT("J" &amp; $AZ102):INDIRECT("J" &amp; $BA102)),"")</f>
        <v>0</v>
      </c>
      <c r="BM102" s="10" t="e">
        <f t="shared" ref="BM102" ca="1" si="241">BJ102+0.3</f>
        <v>#VALUE!</v>
      </c>
    </row>
    <row r="103" spans="1:65" x14ac:dyDescent="0.2">
      <c r="A103" s="13">
        <v>45417</v>
      </c>
      <c r="B103" s="3">
        <v>0.375</v>
      </c>
      <c r="C103" s="4">
        <v>45417.375</v>
      </c>
      <c r="D103" s="5">
        <v>60.9</v>
      </c>
      <c r="E103" s="5">
        <v>72.099999999999994</v>
      </c>
      <c r="F103" s="5">
        <v>54.1</v>
      </c>
      <c r="G103" s="5" t="s">
        <v>6</v>
      </c>
      <c r="H103" s="5">
        <v>19.899999999999999</v>
      </c>
      <c r="I103" s="5">
        <v>23.8</v>
      </c>
      <c r="J103" s="5">
        <v>16</v>
      </c>
      <c r="K103" s="5" t="s">
        <v>6</v>
      </c>
      <c r="L103" s="5">
        <v>209</v>
      </c>
      <c r="M103" t="s">
        <v>6</v>
      </c>
      <c r="O103" s="6">
        <f t="shared" si="98"/>
        <v>45417.375</v>
      </c>
      <c r="P103">
        <f t="shared" si="99"/>
        <v>60.9</v>
      </c>
      <c r="Q103">
        <f t="shared" si="100"/>
        <v>72.099999999999994</v>
      </c>
      <c r="R103">
        <f t="shared" si="101"/>
        <v>54.1</v>
      </c>
      <c r="S103">
        <f t="shared" si="102"/>
        <v>61.9</v>
      </c>
      <c r="V103" s="6">
        <f t="shared" si="103"/>
        <v>45417.375</v>
      </c>
      <c r="W103">
        <f t="shared" si="104"/>
        <v>19.899999999999999</v>
      </c>
      <c r="X103">
        <f t="shared" si="105"/>
        <v>23.8</v>
      </c>
      <c r="Y103">
        <f t="shared" si="106"/>
        <v>16</v>
      </c>
      <c r="Z103">
        <f t="shared" si="107"/>
        <v>20.9</v>
      </c>
      <c r="AY103" t="s">
        <v>118</v>
      </c>
      <c r="AZ103">
        <f t="shared" ref="AZ103:AZ104" ca="1" si="242">MIN(ROW(INDIRECT(AY103)))</f>
        <v>2072</v>
      </c>
      <c r="BA103">
        <f t="shared" ref="BA103:BA104" ca="1" si="243">MIN(ROW(INDIRECT(AY103))) + ROWS(INDIRECT(AY103)) -1</f>
        <v>2089</v>
      </c>
      <c r="BB103" s="11">
        <f t="shared" si="132"/>
        <v>45402</v>
      </c>
      <c r="BC103" s="10" t="str">
        <f ca="1">IFERROR(AVERAGE(INDIRECT("D" &amp; $AZ103):INDIRECT("D" &amp; $BA103)),"")</f>
        <v/>
      </c>
      <c r="BD103">
        <f ca="1">IFERROR(MAX(INDIRECT("E" &amp; $AZ103):INDIRECT("E" &amp; $BA103)),"")</f>
        <v>0</v>
      </c>
      <c r="BE103">
        <f ca="1">IFERROR(MIN(INDIRECT("F" &amp; $AZ103):INDIRECT("F" &amp; $BA103)),"")</f>
        <v>0</v>
      </c>
      <c r="BF103" s="10" t="e">
        <f t="shared" ref="BF103:BF104" ca="1" si="244">BC103+1</f>
        <v>#VALUE!</v>
      </c>
      <c r="BI103" s="11">
        <f t="shared" si="133"/>
        <v>45402</v>
      </c>
      <c r="BJ103" s="10" t="str">
        <f ca="1">IFERROR(AVERAGE(INDIRECT("H" &amp; $AZ103):INDIRECT("H" &amp; $BA103)),"")</f>
        <v/>
      </c>
      <c r="BK103">
        <f ca="1">IFERROR(MAX(INDIRECT("I" &amp; $AZ103):INDIRECT("I" &amp; $BA103)),"")</f>
        <v>0</v>
      </c>
      <c r="BL103">
        <f ca="1">IFERROR(MIN(INDIRECT("J" &amp; $AZ103):INDIRECT("J" &amp; $BA103)),"")</f>
        <v>0</v>
      </c>
      <c r="BM103" s="10" t="e">
        <f t="shared" ref="BM103:BM104" ca="1" si="245">BJ103+0.3</f>
        <v>#VALUE!</v>
      </c>
    </row>
    <row r="104" spans="1:65" x14ac:dyDescent="0.2">
      <c r="A104" s="1">
        <v>45417</v>
      </c>
      <c r="B104" s="2">
        <v>0.41666666666666669</v>
      </c>
      <c r="C104" s="6">
        <v>45417.416666666664</v>
      </c>
      <c r="D104">
        <v>61.8</v>
      </c>
      <c r="E104">
        <v>67.900000000000006</v>
      </c>
      <c r="F104">
        <v>56.6</v>
      </c>
      <c r="G104" t="s">
        <v>6</v>
      </c>
      <c r="H104">
        <v>18.7</v>
      </c>
      <c r="I104">
        <v>23.1</v>
      </c>
      <c r="J104">
        <v>16</v>
      </c>
      <c r="K104" t="s">
        <v>6</v>
      </c>
      <c r="L104">
        <v>212</v>
      </c>
      <c r="M104" t="s">
        <v>6</v>
      </c>
      <c r="O104" s="6">
        <f t="shared" si="98"/>
        <v>45417.416666666664</v>
      </c>
      <c r="P104">
        <f t="shared" si="99"/>
        <v>61.8</v>
      </c>
      <c r="Q104">
        <f t="shared" si="100"/>
        <v>67.900000000000006</v>
      </c>
      <c r="R104">
        <f t="shared" si="101"/>
        <v>56.6</v>
      </c>
      <c r="S104">
        <f t="shared" si="102"/>
        <v>62.8</v>
      </c>
      <c r="V104" s="6">
        <f t="shared" si="103"/>
        <v>45417.416666666664</v>
      </c>
      <c r="W104">
        <f t="shared" si="104"/>
        <v>18.7</v>
      </c>
      <c r="X104">
        <f t="shared" si="105"/>
        <v>23.1</v>
      </c>
      <c r="Y104">
        <f t="shared" si="106"/>
        <v>16</v>
      </c>
      <c r="Z104">
        <f t="shared" si="107"/>
        <v>19.7</v>
      </c>
      <c r="AY104" t="s">
        <v>119</v>
      </c>
      <c r="AZ104">
        <f t="shared" ca="1" si="242"/>
        <v>2090</v>
      </c>
      <c r="BA104">
        <f t="shared" ca="1" si="243"/>
        <v>2111</v>
      </c>
      <c r="BB104" s="11">
        <f t="shared" si="132"/>
        <v>45403</v>
      </c>
      <c r="BC104" s="10" t="str">
        <f ca="1">IFERROR(AVERAGE(INDIRECT("D" &amp; $AZ104):INDIRECT("D" &amp; $BA104)),"")</f>
        <v/>
      </c>
      <c r="BD104">
        <f ca="1">IFERROR(MAX(INDIRECT("E" &amp; $AZ104):INDIRECT("E" &amp; $BA104)),"")</f>
        <v>0</v>
      </c>
      <c r="BE104">
        <f ca="1">IFERROR(MIN(INDIRECT("F" &amp; $AZ104):INDIRECT("F" &amp; $BA104)),"")</f>
        <v>0</v>
      </c>
      <c r="BF104" s="10" t="e">
        <f t="shared" ca="1" si="244"/>
        <v>#VALUE!</v>
      </c>
      <c r="BI104" s="11">
        <f t="shared" si="133"/>
        <v>45403</v>
      </c>
      <c r="BJ104" s="10" t="str">
        <f ca="1">IFERROR(AVERAGE(INDIRECT("H" &amp; $AZ104):INDIRECT("H" &amp; $BA104)),"")</f>
        <v/>
      </c>
      <c r="BK104">
        <f ca="1">IFERROR(MAX(INDIRECT("I" &amp; $AZ104):INDIRECT("I" &amp; $BA104)),"")</f>
        <v>0</v>
      </c>
      <c r="BL104">
        <f ca="1">IFERROR(MIN(INDIRECT("J" &amp; $AZ104):INDIRECT("J" &amp; $BA104)),"")</f>
        <v>0</v>
      </c>
      <c r="BM104" s="10" t="e">
        <f t="shared" ca="1" si="245"/>
        <v>#VALUE!</v>
      </c>
    </row>
    <row r="105" spans="1:65" x14ac:dyDescent="0.2">
      <c r="A105" s="1">
        <v>45417</v>
      </c>
      <c r="B105" s="2">
        <v>0.45833333333333331</v>
      </c>
      <c r="C105" s="6">
        <v>45417.458333333336</v>
      </c>
      <c r="D105">
        <v>63.5</v>
      </c>
      <c r="E105">
        <v>75.2</v>
      </c>
      <c r="F105">
        <v>54.5</v>
      </c>
      <c r="G105" t="s">
        <v>6</v>
      </c>
      <c r="H105">
        <v>19.899999999999999</v>
      </c>
      <c r="I105">
        <v>27.2</v>
      </c>
      <c r="J105">
        <v>16.7</v>
      </c>
      <c r="K105" t="s">
        <v>6</v>
      </c>
      <c r="L105">
        <v>206</v>
      </c>
      <c r="M105" t="s">
        <v>6</v>
      </c>
      <c r="O105" s="6">
        <f t="shared" si="98"/>
        <v>45417.458333333336</v>
      </c>
      <c r="P105">
        <f t="shared" si="99"/>
        <v>63.5</v>
      </c>
      <c r="Q105">
        <f t="shared" si="100"/>
        <v>75.2</v>
      </c>
      <c r="R105">
        <f t="shared" si="101"/>
        <v>54.5</v>
      </c>
      <c r="S105">
        <f t="shared" si="102"/>
        <v>64.5</v>
      </c>
      <c r="V105" s="6">
        <f t="shared" si="103"/>
        <v>45417.458333333336</v>
      </c>
      <c r="W105">
        <f t="shared" si="104"/>
        <v>19.899999999999999</v>
      </c>
      <c r="X105">
        <f t="shared" si="105"/>
        <v>27.2</v>
      </c>
      <c r="Y105">
        <f t="shared" si="106"/>
        <v>16.7</v>
      </c>
      <c r="Z105">
        <f t="shared" si="107"/>
        <v>20.9</v>
      </c>
      <c r="AY105" t="s">
        <v>120</v>
      </c>
      <c r="AZ105">
        <f t="shared" ref="AZ105" ca="1" si="246">MIN(ROW(INDIRECT(AY105)))</f>
        <v>2112</v>
      </c>
      <c r="BA105">
        <f t="shared" ref="BA105" ca="1" si="247">MIN(ROW(INDIRECT(AY105))) + ROWS(INDIRECT(AY105)) -1</f>
        <v>2133</v>
      </c>
      <c r="BB105" s="11">
        <f t="shared" si="132"/>
        <v>45404</v>
      </c>
      <c r="BC105" s="10" t="str">
        <f ca="1">IFERROR(AVERAGE(INDIRECT("D" &amp; $AZ105):INDIRECT("D" &amp; $BA105)),"")</f>
        <v/>
      </c>
      <c r="BD105">
        <f ca="1">IFERROR(MAX(INDIRECT("E" &amp; $AZ105):INDIRECT("E" &amp; $BA105)),"")</f>
        <v>0</v>
      </c>
      <c r="BE105">
        <f ca="1">IFERROR(MIN(INDIRECT("F" &amp; $AZ105):INDIRECT("F" &amp; $BA105)),"")</f>
        <v>0</v>
      </c>
      <c r="BF105" s="10" t="e">
        <f t="shared" ref="BF105" ca="1" si="248">BC105+1</f>
        <v>#VALUE!</v>
      </c>
      <c r="BI105" s="11">
        <f t="shared" si="133"/>
        <v>45404</v>
      </c>
      <c r="BJ105" s="10" t="str">
        <f ca="1">IFERROR(AVERAGE(INDIRECT("H" &amp; $AZ105):INDIRECT("H" &amp; $BA105)),"")</f>
        <v/>
      </c>
      <c r="BK105">
        <f ca="1">IFERROR(MAX(INDIRECT("I" &amp; $AZ105):INDIRECT("I" &amp; $BA105)),"")</f>
        <v>0</v>
      </c>
      <c r="BL105">
        <f ca="1">IFERROR(MIN(INDIRECT("J" &amp; $AZ105):INDIRECT("J" &amp; $BA105)),"")</f>
        <v>0</v>
      </c>
      <c r="BM105" s="10" t="e">
        <f t="shared" ref="BM105" ca="1" si="249">BJ105+0.3</f>
        <v>#VALUE!</v>
      </c>
    </row>
    <row r="106" spans="1:65" x14ac:dyDescent="0.2">
      <c r="A106" s="1">
        <v>45417</v>
      </c>
      <c r="B106" s="2">
        <v>0.5</v>
      </c>
      <c r="C106" s="6">
        <v>45417.5</v>
      </c>
      <c r="D106">
        <v>63.2</v>
      </c>
      <c r="E106">
        <v>71.8</v>
      </c>
      <c r="F106">
        <v>56.1</v>
      </c>
      <c r="G106" t="s">
        <v>6</v>
      </c>
      <c r="H106">
        <v>19.899999999999999</v>
      </c>
      <c r="I106">
        <v>22.9</v>
      </c>
      <c r="J106">
        <v>16.7</v>
      </c>
      <c r="K106" t="s">
        <v>6</v>
      </c>
      <c r="L106">
        <v>216</v>
      </c>
      <c r="M106" t="s">
        <v>6</v>
      </c>
      <c r="O106" s="6">
        <f t="shared" si="98"/>
        <v>45417.5</v>
      </c>
      <c r="P106">
        <f t="shared" si="99"/>
        <v>63.2</v>
      </c>
      <c r="Q106">
        <f t="shared" si="100"/>
        <v>71.8</v>
      </c>
      <c r="R106">
        <f t="shared" si="101"/>
        <v>56.1</v>
      </c>
      <c r="S106">
        <f t="shared" si="102"/>
        <v>64.2</v>
      </c>
      <c r="V106" s="6">
        <f t="shared" si="103"/>
        <v>45417.5</v>
      </c>
      <c r="W106">
        <f t="shared" si="104"/>
        <v>19.899999999999999</v>
      </c>
      <c r="X106">
        <f t="shared" si="105"/>
        <v>22.9</v>
      </c>
      <c r="Y106">
        <f t="shared" si="106"/>
        <v>16.7</v>
      </c>
      <c r="Z106">
        <f t="shared" si="107"/>
        <v>20.9</v>
      </c>
      <c r="AY106" t="s">
        <v>121</v>
      </c>
      <c r="AZ106">
        <f t="shared" ref="AZ106" ca="1" si="250">MIN(ROW(INDIRECT(AY106)))</f>
        <v>2134</v>
      </c>
      <c r="BA106">
        <f t="shared" ref="BA106" ca="1" si="251">MIN(ROW(INDIRECT(AY106))) + ROWS(INDIRECT(AY106)) -1</f>
        <v>2157</v>
      </c>
      <c r="BB106" s="11">
        <f t="shared" si="132"/>
        <v>45405</v>
      </c>
      <c r="BC106" s="10" t="str">
        <f ca="1">IFERROR(AVERAGE(INDIRECT("D" &amp; $AZ106):INDIRECT("D" &amp; $BA106)),"")</f>
        <v/>
      </c>
      <c r="BD106">
        <f ca="1">IFERROR(MAX(INDIRECT("E" &amp; $AZ106):INDIRECT("E" &amp; $BA106)),"")</f>
        <v>0</v>
      </c>
      <c r="BE106">
        <f ca="1">IFERROR(MIN(INDIRECT("F" &amp; $AZ106):INDIRECT("F" &amp; $BA106)),"")</f>
        <v>0</v>
      </c>
      <c r="BF106" s="10" t="e">
        <f t="shared" ref="BF106" ca="1" si="252">BC106+1</f>
        <v>#VALUE!</v>
      </c>
      <c r="BI106" s="11">
        <f t="shared" si="133"/>
        <v>45405</v>
      </c>
      <c r="BJ106" s="10" t="str">
        <f ca="1">IFERROR(AVERAGE(INDIRECT("H" &amp; $AZ106):INDIRECT("H" &amp; $BA106)),"")</f>
        <v/>
      </c>
      <c r="BK106">
        <f ca="1">IFERROR(MAX(INDIRECT("I" &amp; $AZ106):INDIRECT("I" &amp; $BA106)),"")</f>
        <v>0</v>
      </c>
      <c r="BL106">
        <f ca="1">IFERROR(MIN(INDIRECT("J" &amp; $AZ106):INDIRECT("J" &amp; $BA106)),"")</f>
        <v>0</v>
      </c>
      <c r="BM106" s="10" t="e">
        <f t="shared" ref="BM106" ca="1" si="253">BJ106+0.3</f>
        <v>#VALUE!</v>
      </c>
    </row>
    <row r="107" spans="1:65" x14ac:dyDescent="0.2">
      <c r="A107" s="1">
        <v>45417</v>
      </c>
      <c r="B107" s="2">
        <v>0.54166666666666663</v>
      </c>
      <c r="C107" s="6">
        <v>45417.541666666664</v>
      </c>
      <c r="D107">
        <v>64.900000000000006</v>
      </c>
      <c r="E107">
        <v>70.099999999999994</v>
      </c>
      <c r="F107">
        <v>57.8</v>
      </c>
      <c r="G107" t="s">
        <v>6</v>
      </c>
      <c r="H107">
        <v>18.600000000000001</v>
      </c>
      <c r="I107">
        <v>22.8</v>
      </c>
      <c r="J107">
        <v>16</v>
      </c>
      <c r="K107" t="s">
        <v>6</v>
      </c>
      <c r="L107">
        <v>226</v>
      </c>
      <c r="M107" t="s">
        <v>6</v>
      </c>
      <c r="O107" s="6">
        <f t="shared" si="98"/>
        <v>45417.541666666664</v>
      </c>
      <c r="P107">
        <f t="shared" si="99"/>
        <v>64.900000000000006</v>
      </c>
      <c r="Q107">
        <f t="shared" si="100"/>
        <v>70.099999999999994</v>
      </c>
      <c r="R107">
        <f t="shared" si="101"/>
        <v>57.8</v>
      </c>
      <c r="S107">
        <f t="shared" si="102"/>
        <v>65.900000000000006</v>
      </c>
      <c r="V107" s="6">
        <f t="shared" si="103"/>
        <v>45417.541666666664</v>
      </c>
      <c r="W107">
        <f t="shared" si="104"/>
        <v>18.600000000000001</v>
      </c>
      <c r="X107">
        <f t="shared" si="105"/>
        <v>22.8</v>
      </c>
      <c r="Y107">
        <f t="shared" si="106"/>
        <v>16</v>
      </c>
      <c r="Z107">
        <f t="shared" si="107"/>
        <v>19.600000000000001</v>
      </c>
      <c r="AY107" t="s">
        <v>122</v>
      </c>
      <c r="AZ107">
        <f t="shared" ref="AZ107" ca="1" si="254">MIN(ROW(INDIRECT(AY107)))</f>
        <v>2158</v>
      </c>
      <c r="BA107">
        <f t="shared" ref="BA107" ca="1" si="255">MIN(ROW(INDIRECT(AY107))) + ROWS(INDIRECT(AY107)) -1</f>
        <v>2175</v>
      </c>
      <c r="BB107" s="11">
        <f t="shared" si="132"/>
        <v>45406</v>
      </c>
      <c r="BC107" s="10" t="str">
        <f ca="1">IFERROR(AVERAGE(INDIRECT("D" &amp; $AZ107):INDIRECT("D" &amp; $BA107)),"")</f>
        <v/>
      </c>
      <c r="BD107">
        <f ca="1">IFERROR(MAX(INDIRECT("E" &amp; $AZ107):INDIRECT("E" &amp; $BA107)),"")</f>
        <v>0</v>
      </c>
      <c r="BE107">
        <f ca="1">IFERROR(MIN(INDIRECT("F" &amp; $AZ107):INDIRECT("F" &amp; $BA107)),"")</f>
        <v>0</v>
      </c>
      <c r="BF107" s="10" t="e">
        <f t="shared" ref="BF107" ca="1" si="256">BC107+1</f>
        <v>#VALUE!</v>
      </c>
      <c r="BI107" s="11">
        <f t="shared" si="133"/>
        <v>45406</v>
      </c>
      <c r="BJ107" s="10" t="str">
        <f ca="1">IFERROR(AVERAGE(INDIRECT("H" &amp; $AZ107):INDIRECT("H" &amp; $BA107)),"")</f>
        <v/>
      </c>
      <c r="BK107">
        <f ca="1">IFERROR(MAX(INDIRECT("I" &amp; $AZ107):INDIRECT("I" &amp; $BA107)),"")</f>
        <v>0</v>
      </c>
      <c r="BL107">
        <f ca="1">IFERROR(MIN(INDIRECT("J" &amp; $AZ107):INDIRECT("J" &amp; $BA107)),"")</f>
        <v>0</v>
      </c>
      <c r="BM107" s="10" t="e">
        <f t="shared" ref="BM107" ca="1" si="257">BJ107+0.3</f>
        <v>#VALUE!</v>
      </c>
    </row>
    <row r="108" spans="1:65" x14ac:dyDescent="0.2">
      <c r="A108" s="1">
        <v>45417</v>
      </c>
      <c r="B108" s="2">
        <v>0.58333333333333337</v>
      </c>
      <c r="C108" s="6">
        <v>45417.583333333336</v>
      </c>
      <c r="D108">
        <v>61.6</v>
      </c>
      <c r="E108">
        <v>69.3</v>
      </c>
      <c r="F108">
        <v>55.6</v>
      </c>
      <c r="G108" t="s">
        <v>6</v>
      </c>
      <c r="H108">
        <v>19.399999999999999</v>
      </c>
      <c r="I108">
        <v>24.9</v>
      </c>
      <c r="J108">
        <v>16.2</v>
      </c>
      <c r="K108" t="s">
        <v>6</v>
      </c>
      <c r="L108">
        <v>193</v>
      </c>
      <c r="M108" t="s">
        <v>6</v>
      </c>
      <c r="O108" s="6">
        <f t="shared" si="98"/>
        <v>45417.583333333336</v>
      </c>
      <c r="P108">
        <f t="shared" si="99"/>
        <v>61.6</v>
      </c>
      <c r="Q108">
        <f t="shared" si="100"/>
        <v>69.3</v>
      </c>
      <c r="R108">
        <f t="shared" si="101"/>
        <v>55.6</v>
      </c>
      <c r="S108">
        <f t="shared" si="102"/>
        <v>62.6</v>
      </c>
      <c r="V108" s="6">
        <f t="shared" si="103"/>
        <v>45417.583333333336</v>
      </c>
      <c r="W108">
        <f t="shared" si="104"/>
        <v>19.399999999999999</v>
      </c>
      <c r="X108">
        <f t="shared" si="105"/>
        <v>24.9</v>
      </c>
      <c r="Y108">
        <f t="shared" si="106"/>
        <v>16.2</v>
      </c>
      <c r="Z108">
        <f t="shared" si="107"/>
        <v>20.399999999999999</v>
      </c>
      <c r="AY108" t="s">
        <v>123</v>
      </c>
      <c r="AZ108">
        <f t="shared" ref="AZ108" ca="1" si="258">MIN(ROW(INDIRECT(AY108)))</f>
        <v>2176</v>
      </c>
      <c r="BA108">
        <f t="shared" ref="BA108" ca="1" si="259">MIN(ROW(INDIRECT(AY108))) + ROWS(INDIRECT(AY108)) -1</f>
        <v>2199</v>
      </c>
      <c r="BB108" s="11">
        <f t="shared" si="132"/>
        <v>45407</v>
      </c>
      <c r="BC108" s="10" t="str">
        <f ca="1">IFERROR(AVERAGE(INDIRECT("D" &amp; $AZ108):INDIRECT("D" &amp; $BA108)),"")</f>
        <v/>
      </c>
      <c r="BD108">
        <f ca="1">IFERROR(MAX(INDIRECT("E" &amp; $AZ108):INDIRECT("E" &amp; $BA108)),"")</f>
        <v>0</v>
      </c>
      <c r="BE108">
        <f ca="1">IFERROR(MIN(INDIRECT("F" &amp; $AZ108):INDIRECT("F" &amp; $BA108)),"")</f>
        <v>0</v>
      </c>
      <c r="BF108" s="10" t="e">
        <f t="shared" ref="BF108" ca="1" si="260">BC108+1</f>
        <v>#VALUE!</v>
      </c>
      <c r="BI108" s="11">
        <f t="shared" si="133"/>
        <v>45407</v>
      </c>
      <c r="BJ108" s="10" t="str">
        <f ca="1">IFERROR(AVERAGE(INDIRECT("H" &amp; $AZ108):INDIRECT("H" &amp; $BA108)),"")</f>
        <v/>
      </c>
      <c r="BK108">
        <f ca="1">IFERROR(MAX(INDIRECT("I" &amp; $AZ108):INDIRECT("I" &amp; $BA108)),"")</f>
        <v>0</v>
      </c>
      <c r="BL108">
        <f ca="1">IFERROR(MIN(INDIRECT("J" &amp; $AZ108):INDIRECT("J" &amp; $BA108)),"")</f>
        <v>0</v>
      </c>
      <c r="BM108" s="10" t="e">
        <f t="shared" ref="BM108" ca="1" si="261">BJ108+0.3</f>
        <v>#VALUE!</v>
      </c>
    </row>
    <row r="109" spans="1:65" x14ac:dyDescent="0.2">
      <c r="A109" s="1">
        <v>45417</v>
      </c>
      <c r="B109" s="2">
        <v>0.625</v>
      </c>
      <c r="C109" s="6">
        <v>45417.625</v>
      </c>
      <c r="D109">
        <v>60.9</v>
      </c>
      <c r="E109">
        <v>66.8</v>
      </c>
      <c r="F109">
        <v>54.8</v>
      </c>
      <c r="G109" t="s">
        <v>6</v>
      </c>
      <c r="H109">
        <v>19.7</v>
      </c>
      <c r="I109">
        <v>23.2</v>
      </c>
      <c r="J109">
        <v>15.6</v>
      </c>
      <c r="K109" t="s">
        <v>6</v>
      </c>
      <c r="L109">
        <v>221</v>
      </c>
      <c r="M109" t="s">
        <v>6</v>
      </c>
      <c r="O109" s="6">
        <f t="shared" si="98"/>
        <v>45417.625</v>
      </c>
      <c r="P109">
        <f t="shared" si="99"/>
        <v>60.9</v>
      </c>
      <c r="Q109">
        <f t="shared" si="100"/>
        <v>66.8</v>
      </c>
      <c r="R109">
        <f t="shared" si="101"/>
        <v>54.8</v>
      </c>
      <c r="S109">
        <f t="shared" si="102"/>
        <v>61.9</v>
      </c>
      <c r="V109" s="6">
        <f t="shared" si="103"/>
        <v>45417.625</v>
      </c>
      <c r="W109">
        <f t="shared" si="104"/>
        <v>19.7</v>
      </c>
      <c r="X109">
        <f t="shared" si="105"/>
        <v>23.2</v>
      </c>
      <c r="Y109">
        <f t="shared" si="106"/>
        <v>15.6</v>
      </c>
      <c r="Z109">
        <f t="shared" si="107"/>
        <v>20.7</v>
      </c>
      <c r="AY109" t="s">
        <v>124</v>
      </c>
      <c r="AZ109">
        <f t="shared" ref="AZ109" ca="1" si="262">MIN(ROW(INDIRECT(AY109)))</f>
        <v>2200</v>
      </c>
      <c r="BA109">
        <f t="shared" ref="BA109" ca="1" si="263">MIN(ROW(INDIRECT(AY109))) + ROWS(INDIRECT(AY109)) -1</f>
        <v>2223</v>
      </c>
      <c r="BB109" s="11">
        <f t="shared" si="132"/>
        <v>45408</v>
      </c>
      <c r="BC109" s="10" t="str">
        <f ca="1">IFERROR(AVERAGE(INDIRECT("D" &amp; $AZ109):INDIRECT("D" &amp; $BA109)),"")</f>
        <v/>
      </c>
      <c r="BD109">
        <f ca="1">IFERROR(MAX(INDIRECT("E" &amp; $AZ109):INDIRECT("E" &amp; $BA109)),"")</f>
        <v>0</v>
      </c>
      <c r="BE109">
        <f ca="1">IFERROR(MIN(INDIRECT("F" &amp; $AZ109):INDIRECT("F" &amp; $BA109)),"")</f>
        <v>0</v>
      </c>
      <c r="BF109" s="10" t="e">
        <f t="shared" ref="BF109" ca="1" si="264">BC109+1</f>
        <v>#VALUE!</v>
      </c>
      <c r="BI109" s="11">
        <f t="shared" si="133"/>
        <v>45408</v>
      </c>
      <c r="BJ109" s="10" t="str">
        <f ca="1">IFERROR(AVERAGE(INDIRECT("H" &amp; $AZ109):INDIRECT("H" &amp; $BA109)),"")</f>
        <v/>
      </c>
      <c r="BK109">
        <f ca="1">IFERROR(MAX(INDIRECT("I" &amp; $AZ109):INDIRECT("I" &amp; $BA109)),"")</f>
        <v>0</v>
      </c>
      <c r="BL109">
        <f ca="1">IFERROR(MIN(INDIRECT("J" &amp; $AZ109):INDIRECT("J" &amp; $BA109)),"")</f>
        <v>0</v>
      </c>
      <c r="BM109" s="10" t="e">
        <f t="shared" ref="BM109" ca="1" si="265">BJ109+0.3</f>
        <v>#VALUE!</v>
      </c>
    </row>
    <row r="110" spans="1:65" x14ac:dyDescent="0.2">
      <c r="A110" s="1">
        <v>45417</v>
      </c>
      <c r="B110" s="2">
        <v>0.66666666666666663</v>
      </c>
      <c r="C110" s="6">
        <v>45417.666666666664</v>
      </c>
      <c r="D110">
        <v>58.1</v>
      </c>
      <c r="E110">
        <v>62.2</v>
      </c>
      <c r="F110">
        <v>53.6</v>
      </c>
      <c r="G110" t="s">
        <v>6</v>
      </c>
      <c r="H110">
        <v>19.8</v>
      </c>
      <c r="I110">
        <v>25.6</v>
      </c>
      <c r="J110">
        <v>16.7</v>
      </c>
      <c r="K110" t="s">
        <v>6</v>
      </c>
      <c r="L110">
        <v>224</v>
      </c>
      <c r="M110" t="s">
        <v>6</v>
      </c>
      <c r="O110" s="6">
        <f t="shared" si="98"/>
        <v>45417.666666666664</v>
      </c>
      <c r="P110">
        <f t="shared" si="99"/>
        <v>58.1</v>
      </c>
      <c r="Q110">
        <f t="shared" si="100"/>
        <v>62.2</v>
      </c>
      <c r="R110">
        <f t="shared" si="101"/>
        <v>53.6</v>
      </c>
      <c r="S110">
        <f t="shared" si="102"/>
        <v>59.1</v>
      </c>
      <c r="V110" s="6">
        <f t="shared" si="103"/>
        <v>45417.666666666664</v>
      </c>
      <c r="W110">
        <f t="shared" si="104"/>
        <v>19.8</v>
      </c>
      <c r="X110">
        <f t="shared" si="105"/>
        <v>25.6</v>
      </c>
      <c r="Y110">
        <f t="shared" si="106"/>
        <v>16.7</v>
      </c>
      <c r="Z110">
        <f t="shared" si="107"/>
        <v>20.8</v>
      </c>
      <c r="AY110" t="s">
        <v>125</v>
      </c>
      <c r="AZ110">
        <f t="shared" ref="AZ110:AZ112" ca="1" si="266">MIN(ROW(INDIRECT(AY110)))</f>
        <v>2224</v>
      </c>
      <c r="BA110">
        <f t="shared" ref="BA110:BA112" ca="1" si="267">MIN(ROW(INDIRECT(AY110))) + ROWS(INDIRECT(AY110)) -1</f>
        <v>2247</v>
      </c>
      <c r="BB110" s="11">
        <f t="shared" si="132"/>
        <v>45409</v>
      </c>
      <c r="BC110" s="10" t="str">
        <f ca="1">IFERROR(AVERAGE(INDIRECT("D" &amp; $AZ110):INDIRECT("D" &amp; $BA110)),"")</f>
        <v/>
      </c>
      <c r="BD110">
        <f ca="1">IFERROR(MAX(INDIRECT("E" &amp; $AZ110):INDIRECT("E" &amp; $BA110)),"")</f>
        <v>0</v>
      </c>
      <c r="BE110">
        <f ca="1">IFERROR(MIN(INDIRECT("F" &amp; $AZ110):INDIRECT("F" &amp; $BA110)),"")</f>
        <v>0</v>
      </c>
      <c r="BF110" s="10" t="e">
        <f t="shared" ref="BF110:BF112" ca="1" si="268">BC110+1</f>
        <v>#VALUE!</v>
      </c>
      <c r="BI110" s="11">
        <f t="shared" si="133"/>
        <v>45409</v>
      </c>
      <c r="BJ110" s="10" t="str">
        <f ca="1">IFERROR(AVERAGE(INDIRECT("H" &amp; $AZ110):INDIRECT("H" &amp; $BA110)),"")</f>
        <v/>
      </c>
      <c r="BK110">
        <f ca="1">IFERROR(MAX(INDIRECT("I" &amp; $AZ110):INDIRECT("I" &amp; $BA110)),"")</f>
        <v>0</v>
      </c>
      <c r="BL110">
        <f ca="1">IFERROR(MIN(INDIRECT("J" &amp; $AZ110):INDIRECT("J" &amp; $BA110)),"")</f>
        <v>0</v>
      </c>
      <c r="BM110" s="10" t="e">
        <f t="shared" ref="BM110:BM112" ca="1" si="269">BJ110+0.3</f>
        <v>#VALUE!</v>
      </c>
    </row>
    <row r="111" spans="1:65" x14ac:dyDescent="0.2">
      <c r="A111" s="1">
        <v>45417</v>
      </c>
      <c r="B111" s="2">
        <v>0.70833333333333337</v>
      </c>
      <c r="C111" s="6">
        <v>45417.708333333336</v>
      </c>
      <c r="D111">
        <v>57.1</v>
      </c>
      <c r="E111">
        <v>64.599999999999994</v>
      </c>
      <c r="F111">
        <v>51.4</v>
      </c>
      <c r="G111" t="s">
        <v>6</v>
      </c>
      <c r="H111">
        <v>20.399999999999999</v>
      </c>
      <c r="I111">
        <v>26.4</v>
      </c>
      <c r="J111">
        <v>16.399999999999999</v>
      </c>
      <c r="K111" t="s">
        <v>6</v>
      </c>
      <c r="L111">
        <v>217</v>
      </c>
      <c r="M111" t="s">
        <v>6</v>
      </c>
      <c r="O111" s="6">
        <f t="shared" si="98"/>
        <v>45417.708333333336</v>
      </c>
      <c r="P111">
        <f t="shared" si="99"/>
        <v>57.1</v>
      </c>
      <c r="Q111">
        <f t="shared" si="100"/>
        <v>64.599999999999994</v>
      </c>
      <c r="R111">
        <f t="shared" si="101"/>
        <v>51.4</v>
      </c>
      <c r="S111">
        <f t="shared" si="102"/>
        <v>58.1</v>
      </c>
      <c r="V111" s="6">
        <f t="shared" si="103"/>
        <v>45417.708333333336</v>
      </c>
      <c r="W111">
        <f t="shared" si="104"/>
        <v>20.399999999999999</v>
      </c>
      <c r="X111">
        <f t="shared" si="105"/>
        <v>26.4</v>
      </c>
      <c r="Y111">
        <f t="shared" si="106"/>
        <v>16.399999999999999</v>
      </c>
      <c r="Z111">
        <f t="shared" si="107"/>
        <v>21.4</v>
      </c>
      <c r="AY111" t="s">
        <v>126</v>
      </c>
      <c r="AZ111">
        <f t="shared" ca="1" si="266"/>
        <v>2248</v>
      </c>
      <c r="BA111">
        <f t="shared" ca="1" si="267"/>
        <v>2271</v>
      </c>
      <c r="BB111" s="11">
        <f t="shared" si="132"/>
        <v>45410</v>
      </c>
      <c r="BC111" s="10" t="str">
        <f ca="1">IFERROR(AVERAGE(INDIRECT("D" &amp; $AZ111):INDIRECT("D" &amp; $BA111)),"")</f>
        <v/>
      </c>
      <c r="BD111">
        <f ca="1">IFERROR(MAX(INDIRECT("E" &amp; $AZ111):INDIRECT("E" &amp; $BA111)),"")</f>
        <v>0</v>
      </c>
      <c r="BE111">
        <f ca="1">IFERROR(MIN(INDIRECT("F" &amp; $AZ111):INDIRECT("F" &amp; $BA111)),"")</f>
        <v>0</v>
      </c>
      <c r="BF111" s="10" t="e">
        <f t="shared" ca="1" si="268"/>
        <v>#VALUE!</v>
      </c>
      <c r="BI111" s="11">
        <f t="shared" si="133"/>
        <v>45410</v>
      </c>
      <c r="BJ111" s="10" t="str">
        <f ca="1">IFERROR(AVERAGE(INDIRECT("H" &amp; $AZ111):INDIRECT("H" &amp; $BA111)),"")</f>
        <v/>
      </c>
      <c r="BK111">
        <f ca="1">IFERROR(MAX(INDIRECT("I" &amp; $AZ111):INDIRECT("I" &amp; $BA111)),"")</f>
        <v>0</v>
      </c>
      <c r="BL111">
        <f ca="1">IFERROR(MIN(INDIRECT("J" &amp; $AZ111):INDIRECT("J" &amp; $BA111)),"")</f>
        <v>0</v>
      </c>
      <c r="BM111" s="10" t="e">
        <f t="shared" ca="1" si="269"/>
        <v>#VALUE!</v>
      </c>
    </row>
    <row r="112" spans="1:65" x14ac:dyDescent="0.2">
      <c r="A112" s="1">
        <v>45417</v>
      </c>
      <c r="B112" s="2">
        <v>0.75</v>
      </c>
      <c r="C112" s="6">
        <v>45417.75</v>
      </c>
      <c r="D112">
        <v>60.9</v>
      </c>
      <c r="E112">
        <v>65.3</v>
      </c>
      <c r="F112">
        <v>55.6</v>
      </c>
      <c r="G112" t="s">
        <v>6</v>
      </c>
      <c r="H112">
        <v>19.5</v>
      </c>
      <c r="I112">
        <v>23.7</v>
      </c>
      <c r="J112">
        <v>14.6</v>
      </c>
      <c r="K112" t="s">
        <v>6</v>
      </c>
      <c r="L112">
        <v>187</v>
      </c>
      <c r="M112" t="s">
        <v>6</v>
      </c>
      <c r="O112" s="6">
        <f t="shared" si="98"/>
        <v>45417.75</v>
      </c>
      <c r="P112">
        <f t="shared" si="99"/>
        <v>60.9</v>
      </c>
      <c r="Q112">
        <f t="shared" si="100"/>
        <v>65.3</v>
      </c>
      <c r="R112">
        <f t="shared" si="101"/>
        <v>55.6</v>
      </c>
      <c r="S112">
        <f t="shared" si="102"/>
        <v>61.9</v>
      </c>
      <c r="V112" s="6">
        <f t="shared" si="103"/>
        <v>45417.75</v>
      </c>
      <c r="W112">
        <f t="shared" si="104"/>
        <v>19.5</v>
      </c>
      <c r="X112">
        <f t="shared" si="105"/>
        <v>23.7</v>
      </c>
      <c r="Y112">
        <f t="shared" si="106"/>
        <v>14.6</v>
      </c>
      <c r="Z112">
        <f t="shared" si="107"/>
        <v>20.5</v>
      </c>
      <c r="AY112" t="s">
        <v>127</v>
      </c>
      <c r="AZ112">
        <f t="shared" ca="1" si="266"/>
        <v>2272</v>
      </c>
      <c r="BA112">
        <f t="shared" ca="1" si="267"/>
        <v>2295</v>
      </c>
      <c r="BB112" s="11">
        <f t="shared" si="132"/>
        <v>45411</v>
      </c>
      <c r="BC112" s="10" t="str">
        <f ca="1">IFERROR(AVERAGE(INDIRECT("D" &amp; $AZ112):INDIRECT("D" &amp; $BA112)),"")</f>
        <v/>
      </c>
      <c r="BD112">
        <f ca="1">IFERROR(MAX(INDIRECT("E" &amp; $AZ112):INDIRECT("E" &amp; $BA112)),"")</f>
        <v>0</v>
      </c>
      <c r="BE112">
        <f ca="1">IFERROR(MIN(INDIRECT("F" &amp; $AZ112):INDIRECT("F" &amp; $BA112)),"")</f>
        <v>0</v>
      </c>
      <c r="BF112" s="10" t="e">
        <f t="shared" ca="1" si="268"/>
        <v>#VALUE!</v>
      </c>
      <c r="BI112" s="11">
        <f t="shared" si="133"/>
        <v>45411</v>
      </c>
      <c r="BJ112" s="10" t="str">
        <f ca="1">IFERROR(AVERAGE(INDIRECT("H" &amp; $AZ112):INDIRECT("H" &amp; $BA112)),"")</f>
        <v/>
      </c>
      <c r="BK112">
        <f ca="1">IFERROR(MAX(INDIRECT("I" &amp; $AZ112):INDIRECT("I" &amp; $BA112)),"")</f>
        <v>0</v>
      </c>
      <c r="BL112">
        <f ca="1">IFERROR(MIN(INDIRECT("J" &amp; $AZ112):INDIRECT("J" &amp; $BA112)),"")</f>
        <v>0</v>
      </c>
      <c r="BM112" s="10" t="e">
        <f t="shared" ca="1" si="269"/>
        <v>#VALUE!</v>
      </c>
    </row>
    <row r="113" spans="1:65" x14ac:dyDescent="0.2">
      <c r="A113" s="1">
        <v>45417</v>
      </c>
      <c r="B113" s="2">
        <v>0.79166666666666663</v>
      </c>
      <c r="C113" s="6">
        <v>45417.791666666664</v>
      </c>
      <c r="D113">
        <v>60</v>
      </c>
      <c r="E113">
        <v>66.599999999999994</v>
      </c>
      <c r="F113">
        <v>53.2</v>
      </c>
      <c r="G113" t="s">
        <v>6</v>
      </c>
      <c r="H113">
        <v>18.899999999999999</v>
      </c>
      <c r="I113">
        <v>23</v>
      </c>
      <c r="J113">
        <v>15.9</v>
      </c>
      <c r="K113" t="s">
        <v>6</v>
      </c>
      <c r="L113">
        <v>221</v>
      </c>
      <c r="M113" t="s">
        <v>6</v>
      </c>
      <c r="O113" s="6">
        <f t="shared" si="98"/>
        <v>45417.791666666664</v>
      </c>
      <c r="P113">
        <f t="shared" si="99"/>
        <v>60</v>
      </c>
      <c r="Q113">
        <f t="shared" si="100"/>
        <v>66.599999999999994</v>
      </c>
      <c r="R113">
        <f t="shared" si="101"/>
        <v>53.2</v>
      </c>
      <c r="S113">
        <f t="shared" si="102"/>
        <v>61</v>
      </c>
      <c r="V113" s="6">
        <f t="shared" si="103"/>
        <v>45417.791666666664</v>
      </c>
      <c r="W113">
        <f t="shared" si="104"/>
        <v>18.899999999999999</v>
      </c>
      <c r="X113">
        <f t="shared" si="105"/>
        <v>23</v>
      </c>
      <c r="Y113">
        <f t="shared" si="106"/>
        <v>15.9</v>
      </c>
      <c r="Z113">
        <f t="shared" si="107"/>
        <v>19.899999999999999</v>
      </c>
      <c r="AY113" t="s">
        <v>128</v>
      </c>
      <c r="AZ113">
        <f t="shared" ref="AZ113" ca="1" si="270">MIN(ROW(INDIRECT(AY113)))</f>
        <v>2296</v>
      </c>
      <c r="BA113">
        <f t="shared" ref="BA113" ca="1" si="271">MIN(ROW(INDIRECT(AY113))) + ROWS(INDIRECT(AY113)) -1</f>
        <v>2319</v>
      </c>
      <c r="BB113" s="11">
        <f t="shared" si="132"/>
        <v>45412</v>
      </c>
      <c r="BC113" s="10" t="str">
        <f ca="1">IFERROR(AVERAGE(INDIRECT("D" &amp; $AZ113):INDIRECT("D" &amp; $BA113)),"")</f>
        <v/>
      </c>
      <c r="BD113">
        <f ca="1">IFERROR(MAX(INDIRECT("E" &amp; $AZ113):INDIRECT("E" &amp; $BA113)),"")</f>
        <v>0</v>
      </c>
      <c r="BE113">
        <f ca="1">IFERROR(MIN(INDIRECT("F" &amp; $AZ113):INDIRECT("F" &amp; $BA113)),"")</f>
        <v>0</v>
      </c>
      <c r="BF113" s="10" t="e">
        <f t="shared" ref="BF113" ca="1" si="272">BC113+1</f>
        <v>#VALUE!</v>
      </c>
      <c r="BI113" s="11">
        <f t="shared" si="133"/>
        <v>45412</v>
      </c>
      <c r="BJ113" s="10" t="str">
        <f ca="1">IFERROR(AVERAGE(INDIRECT("H" &amp; $AZ113):INDIRECT("H" &amp; $BA113)),"")</f>
        <v/>
      </c>
      <c r="BK113">
        <f ca="1">IFERROR(MAX(INDIRECT("I" &amp; $AZ113):INDIRECT("I" &amp; $BA113)),"")</f>
        <v>0</v>
      </c>
      <c r="BL113">
        <f ca="1">IFERROR(MIN(INDIRECT("J" &amp; $AZ113):INDIRECT("J" &amp; $BA113)),"")</f>
        <v>0</v>
      </c>
      <c r="BM113" s="10" t="e">
        <f t="shared" ref="BM113" ca="1" si="273">BJ113+0.3</f>
        <v>#VALUE!</v>
      </c>
    </row>
    <row r="114" spans="1:65" x14ac:dyDescent="0.2">
      <c r="A114" s="1">
        <v>45417</v>
      </c>
      <c r="B114" s="2">
        <v>0.83333333333333337</v>
      </c>
      <c r="C114" s="6">
        <v>45417.833333333336</v>
      </c>
      <c r="D114">
        <v>61.1</v>
      </c>
      <c r="E114">
        <v>69</v>
      </c>
      <c r="F114">
        <v>55.7</v>
      </c>
      <c r="G114" t="s">
        <v>6</v>
      </c>
      <c r="H114">
        <v>19.399999999999999</v>
      </c>
      <c r="I114">
        <v>28.8</v>
      </c>
      <c r="J114">
        <v>15.4</v>
      </c>
      <c r="K114" t="s">
        <v>6</v>
      </c>
      <c r="L114">
        <v>226</v>
      </c>
      <c r="M114" t="s">
        <v>6</v>
      </c>
      <c r="O114" s="6">
        <f t="shared" si="98"/>
        <v>45417.833333333336</v>
      </c>
      <c r="P114">
        <f t="shared" si="99"/>
        <v>61.1</v>
      </c>
      <c r="Q114">
        <f t="shared" si="100"/>
        <v>69</v>
      </c>
      <c r="R114">
        <f t="shared" si="101"/>
        <v>55.7</v>
      </c>
      <c r="S114">
        <f t="shared" si="102"/>
        <v>62.1</v>
      </c>
      <c r="V114" s="6">
        <f t="shared" si="103"/>
        <v>45417.833333333336</v>
      </c>
      <c r="W114">
        <f t="shared" si="104"/>
        <v>19.399999999999999</v>
      </c>
      <c r="X114">
        <f t="shared" si="105"/>
        <v>28.8</v>
      </c>
      <c r="Y114">
        <f t="shared" si="106"/>
        <v>15.4</v>
      </c>
      <c r="Z114">
        <f t="shared" si="107"/>
        <v>20.399999999999999</v>
      </c>
      <c r="AY114" t="s">
        <v>129</v>
      </c>
      <c r="AZ114">
        <f t="shared" ref="AZ114" ca="1" si="274">MIN(ROW(INDIRECT(AY114)))</f>
        <v>2320</v>
      </c>
      <c r="BA114">
        <f t="shared" ref="BA114" ca="1" si="275">MIN(ROW(INDIRECT(AY114))) + ROWS(INDIRECT(AY114)) -1</f>
        <v>2343</v>
      </c>
      <c r="BB114" s="11">
        <f t="shared" si="132"/>
        <v>45413</v>
      </c>
      <c r="BC114" s="10" t="str">
        <f ca="1">IFERROR(AVERAGE(INDIRECT("D" &amp; $AZ114):INDIRECT("D" &amp; $BA114)),"")</f>
        <v/>
      </c>
      <c r="BD114">
        <f ca="1">IFERROR(MAX(INDIRECT("E" &amp; $AZ114):INDIRECT("E" &amp; $BA114)),"")</f>
        <v>0</v>
      </c>
      <c r="BE114">
        <f ca="1">IFERROR(MIN(INDIRECT("F" &amp; $AZ114):INDIRECT("F" &amp; $BA114)),"")</f>
        <v>0</v>
      </c>
      <c r="BF114" s="10" t="e">
        <f t="shared" ref="BF114" ca="1" si="276">BC114+1</f>
        <v>#VALUE!</v>
      </c>
      <c r="BI114" s="11">
        <f t="shared" si="133"/>
        <v>45413</v>
      </c>
      <c r="BJ114" s="10" t="str">
        <f ca="1">IFERROR(AVERAGE(INDIRECT("H" &amp; $AZ114):INDIRECT("H" &amp; $BA114)),"")</f>
        <v/>
      </c>
      <c r="BK114">
        <f ca="1">IFERROR(MAX(INDIRECT("I" &amp; $AZ114):INDIRECT("I" &amp; $BA114)),"")</f>
        <v>0</v>
      </c>
      <c r="BL114">
        <f ca="1">IFERROR(MIN(INDIRECT("J" &amp; $AZ114):INDIRECT("J" &amp; $BA114)),"")</f>
        <v>0</v>
      </c>
      <c r="BM114" s="10" t="e">
        <f t="shared" ref="BM114" ca="1" si="277">BJ114+0.3</f>
        <v>#VALUE!</v>
      </c>
    </row>
    <row r="115" spans="1:65" x14ac:dyDescent="0.2">
      <c r="A115" s="1">
        <v>45417</v>
      </c>
      <c r="B115" s="2">
        <v>0.875</v>
      </c>
      <c r="C115" s="6">
        <v>45417.875</v>
      </c>
      <c r="D115">
        <v>59.3</v>
      </c>
      <c r="E115">
        <v>65.900000000000006</v>
      </c>
      <c r="F115">
        <v>55.6</v>
      </c>
      <c r="G115" t="s">
        <v>6</v>
      </c>
      <c r="H115">
        <v>18.899999999999999</v>
      </c>
      <c r="I115">
        <v>25.5</v>
      </c>
      <c r="J115">
        <v>14.5</v>
      </c>
      <c r="K115" t="s">
        <v>6</v>
      </c>
      <c r="L115">
        <v>221</v>
      </c>
      <c r="M115" t="s">
        <v>6</v>
      </c>
      <c r="O115" s="6">
        <f t="shared" si="98"/>
        <v>45417.875</v>
      </c>
      <c r="P115">
        <f t="shared" si="99"/>
        <v>59.3</v>
      </c>
      <c r="Q115">
        <f t="shared" si="100"/>
        <v>65.900000000000006</v>
      </c>
      <c r="R115">
        <f t="shared" si="101"/>
        <v>55.6</v>
      </c>
      <c r="S115">
        <f t="shared" si="102"/>
        <v>60.3</v>
      </c>
      <c r="V115" s="6">
        <f t="shared" si="103"/>
        <v>45417.875</v>
      </c>
      <c r="W115">
        <f t="shared" si="104"/>
        <v>18.899999999999999</v>
      </c>
      <c r="X115">
        <f t="shared" si="105"/>
        <v>25.5</v>
      </c>
      <c r="Y115">
        <f t="shared" si="106"/>
        <v>14.5</v>
      </c>
      <c r="Z115">
        <f t="shared" si="107"/>
        <v>19.899999999999999</v>
      </c>
      <c r="AY115" t="s">
        <v>130</v>
      </c>
      <c r="AZ115">
        <f t="shared" ref="AZ115" ca="1" si="278">MIN(ROW(INDIRECT(AY115)))</f>
        <v>2344</v>
      </c>
      <c r="BA115">
        <f t="shared" ref="BA115" ca="1" si="279">MIN(ROW(INDIRECT(AY115))) + ROWS(INDIRECT(AY115)) -1</f>
        <v>2367</v>
      </c>
      <c r="BB115" s="11">
        <f t="shared" si="132"/>
        <v>45414</v>
      </c>
      <c r="BC115" s="10" t="str">
        <f ca="1">IFERROR(AVERAGE(INDIRECT("D" &amp; $AZ115):INDIRECT("D" &amp; $BA115)),"")</f>
        <v/>
      </c>
      <c r="BD115">
        <f ca="1">IFERROR(MAX(INDIRECT("E" &amp; $AZ115):INDIRECT("E" &amp; $BA115)),"")</f>
        <v>0</v>
      </c>
      <c r="BE115">
        <f ca="1">IFERROR(MIN(INDIRECT("F" &amp; $AZ115):INDIRECT("F" &amp; $BA115)),"")</f>
        <v>0</v>
      </c>
      <c r="BF115" s="10" t="e">
        <f t="shared" ref="BF115" ca="1" si="280">BC115+1</f>
        <v>#VALUE!</v>
      </c>
      <c r="BI115" s="11">
        <f t="shared" si="133"/>
        <v>45414</v>
      </c>
      <c r="BJ115" s="10" t="str">
        <f ca="1">IFERROR(AVERAGE(INDIRECT("H" &amp; $AZ115):INDIRECT("H" &amp; $BA115)),"")</f>
        <v/>
      </c>
      <c r="BK115">
        <f ca="1">IFERROR(MAX(INDIRECT("I" &amp; $AZ115):INDIRECT("I" &amp; $BA115)),"")</f>
        <v>0</v>
      </c>
      <c r="BL115">
        <f ca="1">IFERROR(MIN(INDIRECT("J" &amp; $AZ115):INDIRECT("J" &amp; $BA115)),"")</f>
        <v>0</v>
      </c>
      <c r="BM115" s="10" t="e">
        <f t="shared" ref="BM115" ca="1" si="281">BJ115+0.3</f>
        <v>#VALUE!</v>
      </c>
    </row>
    <row r="116" spans="1:65" x14ac:dyDescent="0.2">
      <c r="A116" s="1">
        <v>45417</v>
      </c>
      <c r="B116" s="2">
        <v>0.91666666666666663</v>
      </c>
      <c r="C116" s="6">
        <v>45417.916666666664</v>
      </c>
      <c r="D116">
        <v>56.5</v>
      </c>
      <c r="E116">
        <v>66.5</v>
      </c>
      <c r="F116">
        <v>51.3</v>
      </c>
      <c r="G116" t="s">
        <v>6</v>
      </c>
      <c r="H116">
        <v>20.399999999999999</v>
      </c>
      <c r="I116">
        <v>25.6</v>
      </c>
      <c r="J116">
        <v>16.5</v>
      </c>
      <c r="K116" t="s">
        <v>6</v>
      </c>
      <c r="L116">
        <v>216</v>
      </c>
      <c r="M116" t="s">
        <v>6</v>
      </c>
      <c r="O116" s="6">
        <f t="shared" si="98"/>
        <v>45417.916666666664</v>
      </c>
      <c r="P116">
        <f t="shared" si="99"/>
        <v>56.5</v>
      </c>
      <c r="Q116">
        <f t="shared" si="100"/>
        <v>66.5</v>
      </c>
      <c r="R116">
        <f t="shared" si="101"/>
        <v>51.3</v>
      </c>
      <c r="S116">
        <f t="shared" si="102"/>
        <v>57.5</v>
      </c>
      <c r="V116" s="6">
        <f t="shared" si="103"/>
        <v>45417.916666666664</v>
      </c>
      <c r="W116">
        <f t="shared" si="104"/>
        <v>20.399999999999999</v>
      </c>
      <c r="X116">
        <f t="shared" si="105"/>
        <v>25.6</v>
      </c>
      <c r="Y116">
        <f t="shared" si="106"/>
        <v>16.5</v>
      </c>
      <c r="Z116">
        <f t="shared" si="107"/>
        <v>21.4</v>
      </c>
      <c r="AY116" t="s">
        <v>131</v>
      </c>
      <c r="AZ116">
        <f t="shared" ref="AZ116" ca="1" si="282">MIN(ROW(INDIRECT(AY116)))</f>
        <v>2368</v>
      </c>
      <c r="BA116">
        <f t="shared" ref="BA116" ca="1" si="283">MIN(ROW(INDIRECT(AY116))) + ROWS(INDIRECT(AY116)) -1</f>
        <v>2391</v>
      </c>
      <c r="BB116" s="11">
        <f t="shared" si="132"/>
        <v>45415</v>
      </c>
      <c r="BC116" s="10" t="str">
        <f ca="1">IFERROR(AVERAGE(INDIRECT("D" &amp; $AZ116):INDIRECT("D" &amp; $BA116)),"")</f>
        <v/>
      </c>
      <c r="BD116">
        <f ca="1">IFERROR(MAX(INDIRECT("E" &amp; $AZ116):INDIRECT("E" &amp; $BA116)),"")</f>
        <v>0</v>
      </c>
      <c r="BE116">
        <f ca="1">IFERROR(MIN(INDIRECT("F" &amp; $AZ116):INDIRECT("F" &amp; $BA116)),"")</f>
        <v>0</v>
      </c>
      <c r="BF116" s="10" t="e">
        <f t="shared" ref="BF116" ca="1" si="284">BC116+1</f>
        <v>#VALUE!</v>
      </c>
      <c r="BI116" s="11">
        <f t="shared" si="133"/>
        <v>45415</v>
      </c>
      <c r="BJ116" s="10" t="str">
        <f ca="1">IFERROR(AVERAGE(INDIRECT("H" &amp; $AZ116):INDIRECT("H" &amp; $BA116)),"")</f>
        <v/>
      </c>
      <c r="BK116">
        <f ca="1">IFERROR(MAX(INDIRECT("I" &amp; $AZ116):INDIRECT("I" &amp; $BA116)),"")</f>
        <v>0</v>
      </c>
      <c r="BL116">
        <f ca="1">IFERROR(MIN(INDIRECT("J" &amp; $AZ116):INDIRECT("J" &amp; $BA116)),"")</f>
        <v>0</v>
      </c>
      <c r="BM116" s="10" t="e">
        <f t="shared" ref="BM116" ca="1" si="285">BJ116+0.3</f>
        <v>#VALUE!</v>
      </c>
    </row>
    <row r="117" spans="1:65" x14ac:dyDescent="0.2">
      <c r="A117" s="1">
        <v>45417</v>
      </c>
      <c r="B117" s="2">
        <v>0.95833333333333337</v>
      </c>
      <c r="C117" s="6">
        <v>45417.958333333336</v>
      </c>
      <c r="D117">
        <v>57.8</v>
      </c>
      <c r="E117">
        <v>65.2</v>
      </c>
      <c r="F117">
        <v>54.3</v>
      </c>
      <c r="G117" t="s">
        <v>6</v>
      </c>
      <c r="H117">
        <v>22.6</v>
      </c>
      <c r="I117">
        <v>28.8</v>
      </c>
      <c r="J117">
        <v>18.899999999999999</v>
      </c>
      <c r="K117" t="s">
        <v>6</v>
      </c>
      <c r="L117">
        <v>192</v>
      </c>
      <c r="M117" t="s">
        <v>6</v>
      </c>
      <c r="O117" s="6">
        <f t="shared" si="98"/>
        <v>45417.958333333336</v>
      </c>
      <c r="P117">
        <f t="shared" si="99"/>
        <v>57.8</v>
      </c>
      <c r="Q117">
        <f t="shared" si="100"/>
        <v>65.2</v>
      </c>
      <c r="R117">
        <f t="shared" si="101"/>
        <v>54.3</v>
      </c>
      <c r="S117">
        <f t="shared" si="102"/>
        <v>58.8</v>
      </c>
      <c r="V117" s="6">
        <f t="shared" si="103"/>
        <v>45417.958333333336</v>
      </c>
      <c r="W117">
        <f t="shared" si="104"/>
        <v>22.6</v>
      </c>
      <c r="X117">
        <f t="shared" si="105"/>
        <v>28.8</v>
      </c>
      <c r="Y117">
        <f t="shared" si="106"/>
        <v>18.899999999999999</v>
      </c>
      <c r="Z117">
        <f t="shared" si="107"/>
        <v>23.6</v>
      </c>
      <c r="AY117" t="s">
        <v>132</v>
      </c>
      <c r="AZ117">
        <f t="shared" ref="AZ117:AZ118" ca="1" si="286">MIN(ROW(INDIRECT(AY117)))</f>
        <v>2392</v>
      </c>
      <c r="BA117">
        <f t="shared" ref="BA117:BA118" ca="1" si="287">MIN(ROW(INDIRECT(AY117))) + ROWS(INDIRECT(AY117)) -1</f>
        <v>2410</v>
      </c>
      <c r="BB117" s="11">
        <f t="shared" si="132"/>
        <v>45416</v>
      </c>
      <c r="BC117" s="10" t="str">
        <f ca="1">IFERROR(AVERAGE(INDIRECT("D" &amp; $AZ117):INDIRECT("D" &amp; $BA117)),"")</f>
        <v/>
      </c>
      <c r="BD117">
        <f ca="1">IFERROR(MAX(INDIRECT("E" &amp; $AZ117):INDIRECT("E" &amp; $BA117)),"")</f>
        <v>0</v>
      </c>
      <c r="BE117">
        <f ca="1">IFERROR(MIN(INDIRECT("F" &amp; $AZ117):INDIRECT("F" &amp; $BA117)),"")</f>
        <v>0</v>
      </c>
      <c r="BF117" s="10" t="e">
        <f t="shared" ref="BF117:BF118" ca="1" si="288">BC117+1</f>
        <v>#VALUE!</v>
      </c>
      <c r="BI117" s="11">
        <f t="shared" si="133"/>
        <v>45416</v>
      </c>
      <c r="BJ117" s="10" t="str">
        <f ca="1">IFERROR(AVERAGE(INDIRECT("H" &amp; $AZ117):INDIRECT("H" &amp; $BA117)),"")</f>
        <v/>
      </c>
      <c r="BK117">
        <f ca="1">IFERROR(MAX(INDIRECT("I" &amp; $AZ117):INDIRECT("I" &amp; $BA117)),"")</f>
        <v>0</v>
      </c>
      <c r="BL117">
        <f ca="1">IFERROR(MIN(INDIRECT("J" &amp; $AZ117):INDIRECT("J" &amp; $BA117)),"")</f>
        <v>0</v>
      </c>
      <c r="BM117" s="10" t="e">
        <f t="shared" ref="BM117:BM118" ca="1" si="289">BJ117+0.3</f>
        <v>#VALUE!</v>
      </c>
    </row>
    <row r="118" spans="1:65" x14ac:dyDescent="0.2">
      <c r="A118" s="1">
        <v>45418</v>
      </c>
      <c r="B118" s="2">
        <v>0</v>
      </c>
      <c r="C118" s="6">
        <v>45418</v>
      </c>
      <c r="D118">
        <v>63.7</v>
      </c>
      <c r="E118">
        <v>70.099999999999994</v>
      </c>
      <c r="F118">
        <v>57.9</v>
      </c>
      <c r="G118" t="s">
        <v>6</v>
      </c>
      <c r="H118">
        <v>21</v>
      </c>
      <c r="I118">
        <v>26.5</v>
      </c>
      <c r="J118">
        <v>13.8</v>
      </c>
      <c r="K118" t="s">
        <v>6</v>
      </c>
      <c r="L118">
        <v>223</v>
      </c>
      <c r="M118" t="s">
        <v>6</v>
      </c>
      <c r="O118" s="6">
        <f t="shared" si="98"/>
        <v>45418</v>
      </c>
      <c r="P118">
        <f t="shared" si="99"/>
        <v>63.7</v>
      </c>
      <c r="Q118">
        <f t="shared" si="100"/>
        <v>70.099999999999994</v>
      </c>
      <c r="R118">
        <f t="shared" si="101"/>
        <v>57.9</v>
      </c>
      <c r="S118">
        <f t="shared" si="102"/>
        <v>64.7</v>
      </c>
      <c r="V118" s="6">
        <f t="shared" si="103"/>
        <v>45418</v>
      </c>
      <c r="W118">
        <f t="shared" si="104"/>
        <v>21</v>
      </c>
      <c r="X118">
        <f t="shared" si="105"/>
        <v>26.5</v>
      </c>
      <c r="Y118">
        <f t="shared" si="106"/>
        <v>13.8</v>
      </c>
      <c r="Z118">
        <f t="shared" si="107"/>
        <v>22</v>
      </c>
      <c r="AY118" t="s">
        <v>133</v>
      </c>
      <c r="AZ118">
        <f t="shared" ca="1" si="286"/>
        <v>2411</v>
      </c>
      <c r="BA118">
        <f t="shared" ca="1" si="287"/>
        <v>2434</v>
      </c>
      <c r="BB118" s="11">
        <f t="shared" si="132"/>
        <v>45417</v>
      </c>
      <c r="BC118" s="10" t="str">
        <f ca="1">IFERROR(AVERAGE(INDIRECT("D" &amp; $AZ118):INDIRECT("D" &amp; $BA118)),"")</f>
        <v/>
      </c>
      <c r="BD118">
        <f ca="1">IFERROR(MAX(INDIRECT("E" &amp; $AZ118):INDIRECT("E" &amp; $BA118)),"")</f>
        <v>0</v>
      </c>
      <c r="BE118">
        <f ca="1">IFERROR(MIN(INDIRECT("F" &amp; $AZ118):INDIRECT("F" &amp; $BA118)),"")</f>
        <v>0</v>
      </c>
      <c r="BF118" s="10" t="e">
        <f t="shared" ca="1" si="288"/>
        <v>#VALUE!</v>
      </c>
      <c r="BI118" s="11">
        <f t="shared" si="133"/>
        <v>45417</v>
      </c>
      <c r="BJ118" s="10" t="str">
        <f ca="1">IFERROR(AVERAGE(INDIRECT("H" &amp; $AZ118):INDIRECT("H" &amp; $BA118)),"")</f>
        <v/>
      </c>
      <c r="BK118">
        <f ca="1">IFERROR(MAX(INDIRECT("I" &amp; $AZ118):INDIRECT("I" &amp; $BA118)),"")</f>
        <v>0</v>
      </c>
      <c r="BL118">
        <f ca="1">IFERROR(MIN(INDIRECT("J" &amp; $AZ118):INDIRECT("J" &amp; $BA118)),"")</f>
        <v>0</v>
      </c>
      <c r="BM118" s="10" t="e">
        <f t="shared" ca="1" si="289"/>
        <v>#VALUE!</v>
      </c>
    </row>
    <row r="119" spans="1:65" x14ac:dyDescent="0.2">
      <c r="A119" s="1">
        <v>45418</v>
      </c>
      <c r="B119" s="2">
        <v>4.1666666666666664E-2</v>
      </c>
      <c r="C119" s="6">
        <v>45418.041666666664</v>
      </c>
      <c r="D119">
        <v>60.6</v>
      </c>
      <c r="E119">
        <v>66.2</v>
      </c>
      <c r="F119">
        <v>56.4</v>
      </c>
      <c r="G119" t="s">
        <v>6</v>
      </c>
      <c r="H119">
        <v>19.2</v>
      </c>
      <c r="I119">
        <v>24.2</v>
      </c>
      <c r="J119">
        <v>16.2</v>
      </c>
      <c r="K119" t="s">
        <v>6</v>
      </c>
      <c r="L119">
        <v>229</v>
      </c>
      <c r="M119" t="s">
        <v>6</v>
      </c>
      <c r="O119" s="6">
        <f t="shared" si="98"/>
        <v>45418.041666666664</v>
      </c>
      <c r="P119">
        <f t="shared" si="99"/>
        <v>60.6</v>
      </c>
      <c r="Q119">
        <f t="shared" si="100"/>
        <v>66.2</v>
      </c>
      <c r="R119">
        <f t="shared" si="101"/>
        <v>56.4</v>
      </c>
      <c r="S119">
        <f t="shared" si="102"/>
        <v>61.6</v>
      </c>
      <c r="V119" s="6">
        <f t="shared" si="103"/>
        <v>45418.041666666664</v>
      </c>
      <c r="W119">
        <f t="shared" si="104"/>
        <v>19.2</v>
      </c>
      <c r="X119">
        <f t="shared" si="105"/>
        <v>24.2</v>
      </c>
      <c r="Y119">
        <f t="shared" si="106"/>
        <v>16.2</v>
      </c>
      <c r="Z119">
        <f t="shared" si="107"/>
        <v>20.2</v>
      </c>
      <c r="AY119" t="s">
        <v>134</v>
      </c>
      <c r="AZ119">
        <f t="shared" ref="AZ119" ca="1" si="290">MIN(ROW(INDIRECT(AY119)))</f>
        <v>2435</v>
      </c>
      <c r="BA119">
        <f t="shared" ref="BA119" ca="1" si="291">MIN(ROW(INDIRECT(AY119))) + ROWS(INDIRECT(AY119)) -1</f>
        <v>2458</v>
      </c>
      <c r="BB119" s="11">
        <f t="shared" si="132"/>
        <v>45418</v>
      </c>
      <c r="BC119" s="10" t="str">
        <f ca="1">IFERROR(AVERAGE(INDIRECT("D" &amp; $AZ119):INDIRECT("D" &amp; $BA119)),"")</f>
        <v/>
      </c>
      <c r="BD119">
        <f ca="1">IFERROR(MAX(INDIRECT("E" &amp; $AZ119):INDIRECT("E" &amp; $BA119)),"")</f>
        <v>0</v>
      </c>
      <c r="BE119">
        <f ca="1">IFERROR(MIN(INDIRECT("F" &amp; $AZ119):INDIRECT("F" &amp; $BA119)),"")</f>
        <v>0</v>
      </c>
      <c r="BF119" s="10" t="e">
        <f t="shared" ref="BF119" ca="1" si="292">BC119+1</f>
        <v>#VALUE!</v>
      </c>
      <c r="BI119" s="11">
        <f t="shared" si="133"/>
        <v>45418</v>
      </c>
      <c r="BJ119" s="10" t="str">
        <f ca="1">IFERROR(AVERAGE(INDIRECT("H" &amp; $AZ119):INDIRECT("H" &amp; $BA119)),"")</f>
        <v/>
      </c>
      <c r="BK119">
        <f ca="1">IFERROR(MAX(INDIRECT("I" &amp; $AZ119):INDIRECT("I" &amp; $BA119)),"")</f>
        <v>0</v>
      </c>
      <c r="BL119">
        <f ca="1">IFERROR(MIN(INDIRECT("J" &amp; $AZ119):INDIRECT("J" &amp; $BA119)),"")</f>
        <v>0</v>
      </c>
      <c r="BM119" s="10" t="e">
        <f t="shared" ref="BM119" ca="1" si="293">BJ119+0.3</f>
        <v>#VALUE!</v>
      </c>
    </row>
    <row r="120" spans="1:65" x14ac:dyDescent="0.2">
      <c r="A120" s="1">
        <v>45418</v>
      </c>
      <c r="B120" s="2">
        <v>8.3333333333333329E-2</v>
      </c>
      <c r="C120" s="6">
        <v>45418.083333333336</v>
      </c>
      <c r="D120">
        <v>62.9</v>
      </c>
      <c r="E120">
        <v>67.599999999999994</v>
      </c>
      <c r="F120">
        <v>58.4</v>
      </c>
      <c r="G120" t="s">
        <v>6</v>
      </c>
      <c r="H120">
        <v>20.9</v>
      </c>
      <c r="I120">
        <v>28.2</v>
      </c>
      <c r="J120">
        <v>16.399999999999999</v>
      </c>
      <c r="K120" t="s">
        <v>6</v>
      </c>
      <c r="L120">
        <v>197</v>
      </c>
      <c r="M120" t="s">
        <v>6</v>
      </c>
      <c r="O120" s="6">
        <f t="shared" si="98"/>
        <v>45418.083333333336</v>
      </c>
      <c r="P120">
        <f t="shared" si="99"/>
        <v>62.9</v>
      </c>
      <c r="Q120">
        <f t="shared" si="100"/>
        <v>67.599999999999994</v>
      </c>
      <c r="R120">
        <f t="shared" si="101"/>
        <v>58.4</v>
      </c>
      <c r="S120">
        <f t="shared" si="102"/>
        <v>63.9</v>
      </c>
      <c r="V120" s="6">
        <f t="shared" si="103"/>
        <v>45418.083333333336</v>
      </c>
      <c r="W120">
        <f t="shared" si="104"/>
        <v>20.9</v>
      </c>
      <c r="X120">
        <f t="shared" si="105"/>
        <v>28.2</v>
      </c>
      <c r="Y120">
        <f t="shared" si="106"/>
        <v>16.399999999999999</v>
      </c>
      <c r="Z120">
        <f t="shared" si="107"/>
        <v>21.9</v>
      </c>
      <c r="AY120" t="s">
        <v>135</v>
      </c>
      <c r="AZ120">
        <f t="shared" ref="AZ120" ca="1" si="294">MIN(ROW(INDIRECT(AY120)))</f>
        <v>2459</v>
      </c>
      <c r="BA120">
        <f t="shared" ref="BA120" ca="1" si="295">MIN(ROW(INDIRECT(AY120))) + ROWS(INDIRECT(AY120)) -1</f>
        <v>2482</v>
      </c>
      <c r="BB120" s="11">
        <f t="shared" si="132"/>
        <v>45419</v>
      </c>
      <c r="BC120" s="10" t="str">
        <f ca="1">IFERROR(AVERAGE(INDIRECT("D" &amp; $AZ120):INDIRECT("D" &amp; $BA120)),"")</f>
        <v/>
      </c>
      <c r="BD120">
        <f ca="1">IFERROR(MAX(INDIRECT("E" &amp; $AZ120):INDIRECT("E" &amp; $BA120)),"")</f>
        <v>0</v>
      </c>
      <c r="BE120">
        <f ca="1">IFERROR(MIN(INDIRECT("F" &amp; $AZ120):INDIRECT("F" &amp; $BA120)),"")</f>
        <v>0</v>
      </c>
      <c r="BF120" s="10" t="e">
        <f t="shared" ref="BF120" ca="1" si="296">BC120+1</f>
        <v>#VALUE!</v>
      </c>
      <c r="BI120" s="11">
        <f t="shared" si="133"/>
        <v>45419</v>
      </c>
      <c r="BJ120" s="10" t="str">
        <f ca="1">IFERROR(AVERAGE(INDIRECT("H" &amp; $AZ120):INDIRECT("H" &amp; $BA120)),"")</f>
        <v/>
      </c>
      <c r="BK120">
        <f ca="1">IFERROR(MAX(INDIRECT("I" &amp; $AZ120):INDIRECT("I" &amp; $BA120)),"")</f>
        <v>0</v>
      </c>
      <c r="BL120">
        <f ca="1">IFERROR(MIN(INDIRECT("J" &amp; $AZ120):INDIRECT("J" &amp; $BA120)),"")</f>
        <v>0</v>
      </c>
      <c r="BM120" s="10" t="e">
        <f t="shared" ref="BM120" ca="1" si="297">BJ120+0.3</f>
        <v>#VALUE!</v>
      </c>
    </row>
    <row r="121" spans="1:65" x14ac:dyDescent="0.2">
      <c r="A121" s="1">
        <v>45418</v>
      </c>
      <c r="B121" s="2">
        <v>0.125</v>
      </c>
      <c r="C121" s="6">
        <v>45418.125</v>
      </c>
      <c r="D121">
        <v>61</v>
      </c>
      <c r="E121">
        <v>66.900000000000006</v>
      </c>
      <c r="F121">
        <v>55.8</v>
      </c>
      <c r="G121" t="s">
        <v>6</v>
      </c>
      <c r="H121">
        <v>19.100000000000001</v>
      </c>
      <c r="I121">
        <v>23.5</v>
      </c>
      <c r="J121">
        <v>15.8</v>
      </c>
      <c r="K121" t="s">
        <v>6</v>
      </c>
      <c r="L121">
        <v>223</v>
      </c>
      <c r="M121" t="s">
        <v>6</v>
      </c>
      <c r="O121" s="6">
        <f t="shared" si="98"/>
        <v>45418.125</v>
      </c>
      <c r="P121">
        <f t="shared" si="99"/>
        <v>61</v>
      </c>
      <c r="Q121">
        <f t="shared" si="100"/>
        <v>66.900000000000006</v>
      </c>
      <c r="R121">
        <f t="shared" si="101"/>
        <v>55.8</v>
      </c>
      <c r="S121">
        <f t="shared" si="102"/>
        <v>62</v>
      </c>
      <c r="V121" s="6">
        <f t="shared" si="103"/>
        <v>45418.125</v>
      </c>
      <c r="W121">
        <f t="shared" si="104"/>
        <v>19.100000000000001</v>
      </c>
      <c r="X121">
        <f t="shared" si="105"/>
        <v>23.5</v>
      </c>
      <c r="Y121">
        <f t="shared" si="106"/>
        <v>15.8</v>
      </c>
      <c r="Z121">
        <f t="shared" si="107"/>
        <v>20.100000000000001</v>
      </c>
      <c r="AY121" t="s">
        <v>136</v>
      </c>
      <c r="AZ121">
        <f t="shared" ref="AZ121" ca="1" si="298">MIN(ROW(INDIRECT(AY121)))</f>
        <v>2483</v>
      </c>
      <c r="BA121">
        <f t="shared" ref="BA121" ca="1" si="299">MIN(ROW(INDIRECT(AY121))) + ROWS(INDIRECT(AY121)) -1</f>
        <v>2506</v>
      </c>
      <c r="BB121" s="11">
        <f t="shared" si="132"/>
        <v>45420</v>
      </c>
      <c r="BC121" s="10" t="str">
        <f ca="1">IFERROR(AVERAGE(INDIRECT("D" &amp; $AZ121):INDIRECT("D" &amp; $BA121)),"")</f>
        <v/>
      </c>
      <c r="BD121">
        <f ca="1">IFERROR(MAX(INDIRECT("E" &amp; $AZ121):INDIRECT("E" &amp; $BA121)),"")</f>
        <v>0</v>
      </c>
      <c r="BE121">
        <f ca="1">IFERROR(MIN(INDIRECT("F" &amp; $AZ121):INDIRECT("F" &amp; $BA121)),"")</f>
        <v>0</v>
      </c>
      <c r="BF121" s="10" t="e">
        <f t="shared" ref="BF121" ca="1" si="300">BC121+1</f>
        <v>#VALUE!</v>
      </c>
      <c r="BI121" s="11">
        <f t="shared" si="133"/>
        <v>45420</v>
      </c>
      <c r="BJ121" s="10" t="str">
        <f ca="1">IFERROR(AVERAGE(INDIRECT("H" &amp; $AZ121):INDIRECT("H" &amp; $BA121)),"")</f>
        <v/>
      </c>
      <c r="BK121">
        <f ca="1">IFERROR(MAX(INDIRECT("I" &amp; $AZ121):INDIRECT("I" &amp; $BA121)),"")</f>
        <v>0</v>
      </c>
      <c r="BL121">
        <f ca="1">IFERROR(MIN(INDIRECT("J" &amp; $AZ121):INDIRECT("J" &amp; $BA121)),"")</f>
        <v>0</v>
      </c>
      <c r="BM121" s="10" t="e">
        <f t="shared" ref="BM121" ca="1" si="301">BJ121+0.3</f>
        <v>#VALUE!</v>
      </c>
    </row>
    <row r="122" spans="1:65" x14ac:dyDescent="0.2">
      <c r="A122" s="1">
        <v>45418</v>
      </c>
      <c r="B122" s="2">
        <v>0.16666666666666666</v>
      </c>
      <c r="C122" s="6">
        <v>45418.166666666664</v>
      </c>
      <c r="D122">
        <v>59.3</v>
      </c>
      <c r="E122">
        <v>65.2</v>
      </c>
      <c r="F122">
        <v>55.7</v>
      </c>
      <c r="G122" t="s">
        <v>6</v>
      </c>
      <c r="H122">
        <v>20.3</v>
      </c>
      <c r="I122">
        <v>24.8</v>
      </c>
      <c r="J122">
        <v>14.9</v>
      </c>
      <c r="K122" t="s">
        <v>6</v>
      </c>
      <c r="L122">
        <v>221</v>
      </c>
      <c r="M122" t="s">
        <v>6</v>
      </c>
      <c r="O122" s="6">
        <f t="shared" si="98"/>
        <v>45418.166666666664</v>
      </c>
      <c r="P122">
        <f t="shared" si="99"/>
        <v>59.3</v>
      </c>
      <c r="Q122">
        <f t="shared" si="100"/>
        <v>65.2</v>
      </c>
      <c r="R122">
        <f t="shared" si="101"/>
        <v>55.7</v>
      </c>
      <c r="S122">
        <f t="shared" si="102"/>
        <v>60.3</v>
      </c>
      <c r="V122" s="6">
        <f t="shared" si="103"/>
        <v>45418.166666666664</v>
      </c>
      <c r="W122">
        <f t="shared" si="104"/>
        <v>20.3</v>
      </c>
      <c r="X122">
        <f t="shared" si="105"/>
        <v>24.8</v>
      </c>
      <c r="Y122">
        <f t="shared" si="106"/>
        <v>14.9</v>
      </c>
      <c r="Z122">
        <f t="shared" si="107"/>
        <v>21.3</v>
      </c>
      <c r="AY122" t="s">
        <v>137</v>
      </c>
      <c r="AZ122">
        <f t="shared" ref="AZ122" ca="1" si="302">MIN(ROW(INDIRECT(AY122)))</f>
        <v>2507</v>
      </c>
      <c r="BA122">
        <f t="shared" ref="BA122" ca="1" si="303">MIN(ROW(INDIRECT(AY122))) + ROWS(INDIRECT(AY122)) -1</f>
        <v>2530</v>
      </c>
      <c r="BB122" s="11">
        <f t="shared" si="132"/>
        <v>45421</v>
      </c>
      <c r="BC122" s="10" t="str">
        <f ca="1">IFERROR(AVERAGE(INDIRECT("D" &amp; $AZ122):INDIRECT("D" &amp; $BA122)),"")</f>
        <v/>
      </c>
      <c r="BD122">
        <f ca="1">IFERROR(MAX(INDIRECT("E" &amp; $AZ122):INDIRECT("E" &amp; $BA122)),"")</f>
        <v>0</v>
      </c>
      <c r="BE122">
        <f ca="1">IFERROR(MIN(INDIRECT("F" &amp; $AZ122):INDIRECT("F" &amp; $BA122)),"")</f>
        <v>0</v>
      </c>
      <c r="BF122" s="10" t="e">
        <f t="shared" ref="BF122" ca="1" si="304">BC122+1</f>
        <v>#VALUE!</v>
      </c>
      <c r="BI122" s="11">
        <f t="shared" si="133"/>
        <v>45421</v>
      </c>
      <c r="BJ122" s="10" t="str">
        <f ca="1">IFERROR(AVERAGE(INDIRECT("H" &amp; $AZ122):INDIRECT("H" &amp; $BA122)),"")</f>
        <v/>
      </c>
      <c r="BK122">
        <f ca="1">IFERROR(MAX(INDIRECT("I" &amp; $AZ122):INDIRECT("I" &amp; $BA122)),"")</f>
        <v>0</v>
      </c>
      <c r="BL122">
        <f ca="1">IFERROR(MIN(INDIRECT("J" &amp; $AZ122):INDIRECT("J" &amp; $BA122)),"")</f>
        <v>0</v>
      </c>
      <c r="BM122" s="10" t="e">
        <f t="shared" ref="BM122" ca="1" si="305">BJ122+0.3</f>
        <v>#VALUE!</v>
      </c>
    </row>
    <row r="123" spans="1:65" x14ac:dyDescent="0.2">
      <c r="A123" s="1">
        <v>45418</v>
      </c>
      <c r="B123" s="2">
        <v>0.20833333333333334</v>
      </c>
      <c r="C123" s="6">
        <v>45418.208333333336</v>
      </c>
      <c r="D123">
        <v>59</v>
      </c>
      <c r="E123">
        <v>64.5</v>
      </c>
      <c r="F123">
        <v>55.5</v>
      </c>
      <c r="G123" t="s">
        <v>6</v>
      </c>
      <c r="H123">
        <v>18.8</v>
      </c>
      <c r="I123">
        <v>22</v>
      </c>
      <c r="J123">
        <v>16</v>
      </c>
      <c r="K123" t="s">
        <v>6</v>
      </c>
      <c r="L123">
        <v>225</v>
      </c>
      <c r="M123" t="s">
        <v>6</v>
      </c>
      <c r="O123" s="6">
        <f t="shared" si="98"/>
        <v>45418.208333333336</v>
      </c>
      <c r="P123">
        <f t="shared" si="99"/>
        <v>59</v>
      </c>
      <c r="Q123">
        <f t="shared" si="100"/>
        <v>64.5</v>
      </c>
      <c r="R123">
        <f t="shared" si="101"/>
        <v>55.5</v>
      </c>
      <c r="S123">
        <f t="shared" si="102"/>
        <v>60</v>
      </c>
      <c r="V123" s="6">
        <f t="shared" si="103"/>
        <v>45418.208333333336</v>
      </c>
      <c r="W123">
        <f t="shared" si="104"/>
        <v>18.8</v>
      </c>
      <c r="X123">
        <f t="shared" si="105"/>
        <v>22</v>
      </c>
      <c r="Y123">
        <f t="shared" si="106"/>
        <v>16</v>
      </c>
      <c r="Z123">
        <f t="shared" si="107"/>
        <v>19.8</v>
      </c>
      <c r="AY123" t="s">
        <v>138</v>
      </c>
      <c r="AZ123">
        <f t="shared" ref="AZ123" ca="1" si="306">MIN(ROW(INDIRECT(AY123)))</f>
        <v>2531</v>
      </c>
      <c r="BA123">
        <f t="shared" ref="BA123" ca="1" si="307">MIN(ROW(INDIRECT(AY123))) + ROWS(INDIRECT(AY123)) -1</f>
        <v>2554</v>
      </c>
      <c r="BB123" s="11">
        <f t="shared" si="132"/>
        <v>45422</v>
      </c>
      <c r="BC123" s="10" t="str">
        <f ca="1">IFERROR(AVERAGE(INDIRECT("D" &amp; $AZ123):INDIRECT("D" &amp; $BA123)),"")</f>
        <v/>
      </c>
      <c r="BD123">
        <f ca="1">IFERROR(MAX(INDIRECT("E" &amp; $AZ123):INDIRECT("E" &amp; $BA123)),"")</f>
        <v>0</v>
      </c>
      <c r="BE123">
        <f ca="1">IFERROR(MIN(INDIRECT("F" &amp; $AZ123):INDIRECT("F" &amp; $BA123)),"")</f>
        <v>0</v>
      </c>
      <c r="BF123" s="10" t="e">
        <f t="shared" ref="BF123" ca="1" si="308">BC123+1</f>
        <v>#VALUE!</v>
      </c>
      <c r="BI123" s="11">
        <f t="shared" si="133"/>
        <v>45422</v>
      </c>
      <c r="BJ123" s="10" t="str">
        <f ca="1">IFERROR(AVERAGE(INDIRECT("H" &amp; $AZ123):INDIRECT("H" &amp; $BA123)),"")</f>
        <v/>
      </c>
      <c r="BK123">
        <f ca="1">IFERROR(MAX(INDIRECT("I" &amp; $AZ123):INDIRECT("I" &amp; $BA123)),"")</f>
        <v>0</v>
      </c>
      <c r="BL123">
        <f ca="1">IFERROR(MIN(INDIRECT("J" &amp; $AZ123):INDIRECT("J" &amp; $BA123)),"")</f>
        <v>0</v>
      </c>
      <c r="BM123" s="10" t="e">
        <f t="shared" ref="BM123" ca="1" si="309">BJ123+0.3</f>
        <v>#VALUE!</v>
      </c>
    </row>
    <row r="124" spans="1:65" x14ac:dyDescent="0.2">
      <c r="A124" s="1">
        <v>45418</v>
      </c>
      <c r="B124" s="2">
        <v>0.25</v>
      </c>
      <c r="C124" s="6">
        <v>45418.25</v>
      </c>
      <c r="D124">
        <v>61.6</v>
      </c>
      <c r="E124">
        <v>65.099999999999994</v>
      </c>
      <c r="F124">
        <v>57.2</v>
      </c>
      <c r="G124" t="s">
        <v>6</v>
      </c>
      <c r="H124">
        <v>18.600000000000001</v>
      </c>
      <c r="I124">
        <v>23.1</v>
      </c>
      <c r="J124">
        <v>15.2</v>
      </c>
      <c r="K124" t="s">
        <v>6</v>
      </c>
      <c r="L124">
        <v>227</v>
      </c>
      <c r="M124" t="s">
        <v>6</v>
      </c>
      <c r="O124" s="6">
        <f t="shared" si="98"/>
        <v>45418.25</v>
      </c>
      <c r="P124">
        <f t="shared" si="99"/>
        <v>61.6</v>
      </c>
      <c r="Q124">
        <f t="shared" si="100"/>
        <v>65.099999999999994</v>
      </c>
      <c r="R124">
        <f t="shared" si="101"/>
        <v>57.2</v>
      </c>
      <c r="S124">
        <f t="shared" si="102"/>
        <v>62.6</v>
      </c>
      <c r="V124" s="6">
        <f t="shared" si="103"/>
        <v>45418.25</v>
      </c>
      <c r="W124">
        <f t="shared" si="104"/>
        <v>18.600000000000001</v>
      </c>
      <c r="X124">
        <f t="shared" si="105"/>
        <v>23.1</v>
      </c>
      <c r="Y124">
        <f t="shared" si="106"/>
        <v>15.2</v>
      </c>
      <c r="Z124">
        <f t="shared" si="107"/>
        <v>19.600000000000001</v>
      </c>
      <c r="AY124" t="s">
        <v>139</v>
      </c>
      <c r="AZ124">
        <f t="shared" ref="AZ124:AZ126" ca="1" si="310">MIN(ROW(INDIRECT(AY124)))</f>
        <v>2555</v>
      </c>
      <c r="BA124">
        <f t="shared" ref="BA124:BA126" ca="1" si="311">MIN(ROW(INDIRECT(AY124))) + ROWS(INDIRECT(AY124)) -1</f>
        <v>2578</v>
      </c>
      <c r="BB124" s="11">
        <f t="shared" si="132"/>
        <v>45423</v>
      </c>
      <c r="BC124" s="10" t="str">
        <f ca="1">IFERROR(AVERAGE(INDIRECT("D" &amp; $AZ124):INDIRECT("D" &amp; $BA124)),"")</f>
        <v/>
      </c>
      <c r="BD124">
        <f ca="1">IFERROR(MAX(INDIRECT("E" &amp; $AZ124):INDIRECT("E" &amp; $BA124)),"")</f>
        <v>0</v>
      </c>
      <c r="BE124">
        <f ca="1">IFERROR(MIN(INDIRECT("F" &amp; $AZ124):INDIRECT("F" &amp; $BA124)),"")</f>
        <v>0</v>
      </c>
      <c r="BF124" s="10" t="e">
        <f t="shared" ref="BF124:BF126" ca="1" si="312">BC124+1</f>
        <v>#VALUE!</v>
      </c>
      <c r="BI124" s="11">
        <f t="shared" si="133"/>
        <v>45423</v>
      </c>
      <c r="BJ124" s="10" t="str">
        <f ca="1">IFERROR(AVERAGE(INDIRECT("H" &amp; $AZ124):INDIRECT("H" &amp; $BA124)),"")</f>
        <v/>
      </c>
      <c r="BK124">
        <f ca="1">IFERROR(MAX(INDIRECT("I" &amp; $AZ124):INDIRECT("I" &amp; $BA124)),"")</f>
        <v>0</v>
      </c>
      <c r="BL124">
        <f ca="1">IFERROR(MIN(INDIRECT("J" &amp; $AZ124):INDIRECT("J" &amp; $BA124)),"")</f>
        <v>0</v>
      </c>
      <c r="BM124" s="10" t="e">
        <f t="shared" ref="BM124:BM126" ca="1" si="313">BJ124+0.3</f>
        <v>#VALUE!</v>
      </c>
    </row>
    <row r="125" spans="1:65" x14ac:dyDescent="0.2">
      <c r="A125" s="1">
        <v>45418</v>
      </c>
      <c r="B125" s="2">
        <v>0.29166666666666669</v>
      </c>
      <c r="C125" s="6">
        <v>45418.291666666664</v>
      </c>
      <c r="D125">
        <v>59.9</v>
      </c>
      <c r="E125">
        <v>65.7</v>
      </c>
      <c r="F125">
        <v>53.7</v>
      </c>
      <c r="G125" t="s">
        <v>6</v>
      </c>
      <c r="H125">
        <v>19.399999999999999</v>
      </c>
      <c r="I125">
        <v>24.9</v>
      </c>
      <c r="J125">
        <v>16.600000000000001</v>
      </c>
      <c r="K125" t="s">
        <v>6</v>
      </c>
      <c r="L125">
        <v>221</v>
      </c>
      <c r="M125" t="s">
        <v>6</v>
      </c>
      <c r="O125" s="6">
        <f t="shared" si="98"/>
        <v>45418.291666666664</v>
      </c>
      <c r="P125">
        <f t="shared" si="99"/>
        <v>59.9</v>
      </c>
      <c r="Q125">
        <f t="shared" si="100"/>
        <v>65.7</v>
      </c>
      <c r="R125">
        <f t="shared" si="101"/>
        <v>53.7</v>
      </c>
      <c r="S125">
        <f t="shared" si="102"/>
        <v>60.9</v>
      </c>
      <c r="V125" s="6">
        <f t="shared" si="103"/>
        <v>45418.291666666664</v>
      </c>
      <c r="W125">
        <f t="shared" si="104"/>
        <v>19.399999999999999</v>
      </c>
      <c r="X125">
        <f t="shared" si="105"/>
        <v>24.9</v>
      </c>
      <c r="Y125">
        <f t="shared" si="106"/>
        <v>16.600000000000001</v>
      </c>
      <c r="Z125">
        <f t="shared" si="107"/>
        <v>20.399999999999999</v>
      </c>
      <c r="AY125" t="s">
        <v>140</v>
      </c>
      <c r="AZ125">
        <f t="shared" ca="1" si="310"/>
        <v>2579</v>
      </c>
      <c r="BA125">
        <f t="shared" ca="1" si="311"/>
        <v>2602</v>
      </c>
      <c r="BB125" s="11">
        <f t="shared" si="132"/>
        <v>45424</v>
      </c>
      <c r="BC125" s="10" t="str">
        <f ca="1">IFERROR(AVERAGE(INDIRECT("D" &amp; $AZ125):INDIRECT("D" &amp; $BA125)),"")</f>
        <v/>
      </c>
      <c r="BD125">
        <f ca="1">IFERROR(MAX(INDIRECT("E" &amp; $AZ125):INDIRECT("E" &amp; $BA125)),"")</f>
        <v>0</v>
      </c>
      <c r="BE125">
        <f ca="1">IFERROR(MIN(INDIRECT("F" &amp; $AZ125):INDIRECT("F" &amp; $BA125)),"")</f>
        <v>0</v>
      </c>
      <c r="BF125" s="10" t="e">
        <f t="shared" ca="1" si="312"/>
        <v>#VALUE!</v>
      </c>
      <c r="BI125" s="11">
        <f t="shared" si="133"/>
        <v>45424</v>
      </c>
      <c r="BJ125" s="10" t="str">
        <f ca="1">IFERROR(AVERAGE(INDIRECT("H" &amp; $AZ125):INDIRECT("H" &amp; $BA125)),"")</f>
        <v/>
      </c>
      <c r="BK125">
        <f ca="1">IFERROR(MAX(INDIRECT("I" &amp; $AZ125):INDIRECT("I" &amp; $BA125)),"")</f>
        <v>0</v>
      </c>
      <c r="BL125">
        <f ca="1">IFERROR(MIN(INDIRECT("J" &amp; $AZ125):INDIRECT("J" &amp; $BA125)),"")</f>
        <v>0</v>
      </c>
      <c r="BM125" s="10" t="e">
        <f t="shared" ca="1" si="313"/>
        <v>#VALUE!</v>
      </c>
    </row>
    <row r="126" spans="1:65" x14ac:dyDescent="0.2">
      <c r="A126" s="14">
        <v>45418</v>
      </c>
      <c r="B126" s="7">
        <v>0.33333333333333331</v>
      </c>
      <c r="C126" s="8">
        <v>45418.333333333336</v>
      </c>
      <c r="D126" s="9">
        <v>64.099999999999994</v>
      </c>
      <c r="E126" s="9">
        <v>75</v>
      </c>
      <c r="F126" s="9">
        <v>55.5</v>
      </c>
      <c r="G126" s="9" t="s">
        <v>6</v>
      </c>
      <c r="H126" s="9">
        <v>20.6</v>
      </c>
      <c r="I126" s="9">
        <v>24.2</v>
      </c>
      <c r="J126" s="9">
        <v>14.7</v>
      </c>
      <c r="K126" s="9" t="s">
        <v>6</v>
      </c>
      <c r="L126" s="9">
        <v>105</v>
      </c>
      <c r="M126" t="s">
        <v>6</v>
      </c>
      <c r="O126" s="6">
        <f t="shared" si="98"/>
        <v>45418.333333333336</v>
      </c>
      <c r="P126">
        <f t="shared" si="99"/>
        <v>64.099999999999994</v>
      </c>
      <c r="Q126">
        <f t="shared" si="100"/>
        <v>75</v>
      </c>
      <c r="R126">
        <f t="shared" si="101"/>
        <v>55.5</v>
      </c>
      <c r="S126">
        <f t="shared" si="102"/>
        <v>65.099999999999994</v>
      </c>
      <c r="V126" s="6">
        <f t="shared" si="103"/>
        <v>45418.333333333336</v>
      </c>
      <c r="W126">
        <f t="shared" si="104"/>
        <v>20.6</v>
      </c>
      <c r="X126">
        <f t="shared" si="105"/>
        <v>24.2</v>
      </c>
      <c r="Y126">
        <f t="shared" si="106"/>
        <v>14.7</v>
      </c>
      <c r="Z126">
        <f t="shared" si="107"/>
        <v>21.6</v>
      </c>
      <c r="AY126" t="s">
        <v>141</v>
      </c>
      <c r="AZ126">
        <f t="shared" ca="1" si="310"/>
        <v>2603</v>
      </c>
      <c r="BA126">
        <f t="shared" ca="1" si="311"/>
        <v>2626</v>
      </c>
      <c r="BB126" s="11">
        <f t="shared" si="132"/>
        <v>45425</v>
      </c>
      <c r="BC126" s="10" t="str">
        <f ca="1">IFERROR(AVERAGE(INDIRECT("D" &amp; $AZ126):INDIRECT("D" &amp; $BA126)),"")</f>
        <v/>
      </c>
      <c r="BD126">
        <f ca="1">IFERROR(MAX(INDIRECT("E" &amp; $AZ126):INDIRECT("E" &amp; $BA126)),"")</f>
        <v>0</v>
      </c>
      <c r="BE126">
        <f ca="1">IFERROR(MIN(INDIRECT("F" &amp; $AZ126):INDIRECT("F" &amp; $BA126)),"")</f>
        <v>0</v>
      </c>
      <c r="BF126" s="10" t="e">
        <f t="shared" ca="1" si="312"/>
        <v>#VALUE!</v>
      </c>
      <c r="BI126" s="11">
        <f t="shared" si="133"/>
        <v>45425</v>
      </c>
      <c r="BJ126" s="10" t="str">
        <f ca="1">IFERROR(AVERAGE(INDIRECT("H" &amp; $AZ126):INDIRECT("H" &amp; $BA126)),"")</f>
        <v/>
      </c>
      <c r="BK126">
        <f ca="1">IFERROR(MAX(INDIRECT("I" &amp; $AZ126):INDIRECT("I" &amp; $BA126)),"")</f>
        <v>0</v>
      </c>
      <c r="BL126">
        <f ca="1">IFERROR(MIN(INDIRECT("J" &amp; $AZ126):INDIRECT("J" &amp; $BA126)),"")</f>
        <v>0</v>
      </c>
      <c r="BM126" s="10" t="e">
        <f t="shared" ca="1" si="313"/>
        <v>#VALUE!</v>
      </c>
    </row>
    <row r="127" spans="1:65" x14ac:dyDescent="0.2">
      <c r="A127" s="13">
        <v>45418</v>
      </c>
      <c r="B127" s="3">
        <v>0.375</v>
      </c>
      <c r="C127" s="4">
        <v>45418.375</v>
      </c>
      <c r="D127" s="5">
        <v>63</v>
      </c>
      <c r="E127" s="5">
        <v>71.900000000000006</v>
      </c>
      <c r="F127" s="5">
        <v>56.7</v>
      </c>
      <c r="G127" s="5" t="s">
        <v>6</v>
      </c>
      <c r="H127" s="5">
        <v>18.2</v>
      </c>
      <c r="I127" s="5">
        <v>21.6</v>
      </c>
      <c r="J127" s="5">
        <v>16.399999999999999</v>
      </c>
      <c r="K127" s="5" t="s">
        <v>6</v>
      </c>
      <c r="L127" s="5">
        <v>224</v>
      </c>
      <c r="M127" t="s">
        <v>6</v>
      </c>
      <c r="O127" s="6">
        <f t="shared" si="98"/>
        <v>45418.375</v>
      </c>
      <c r="P127">
        <f t="shared" si="99"/>
        <v>63</v>
      </c>
      <c r="Q127">
        <f t="shared" si="100"/>
        <v>71.900000000000006</v>
      </c>
      <c r="R127">
        <f t="shared" si="101"/>
        <v>56.7</v>
      </c>
      <c r="S127">
        <f t="shared" si="102"/>
        <v>64</v>
      </c>
      <c r="V127" s="6">
        <f t="shared" si="103"/>
        <v>45418.375</v>
      </c>
      <c r="W127">
        <f t="shared" si="104"/>
        <v>18.2</v>
      </c>
      <c r="X127">
        <f t="shared" si="105"/>
        <v>21.6</v>
      </c>
      <c r="Y127">
        <f t="shared" si="106"/>
        <v>16.399999999999999</v>
      </c>
      <c r="Z127">
        <f t="shared" si="107"/>
        <v>19.2</v>
      </c>
      <c r="AY127" t="s">
        <v>142</v>
      </c>
      <c r="AZ127">
        <f t="shared" ref="AZ127" ca="1" si="314">MIN(ROW(INDIRECT(AY127)))</f>
        <v>2627</v>
      </c>
      <c r="BA127">
        <f t="shared" ref="BA127" ca="1" si="315">MIN(ROW(INDIRECT(AY127))) + ROWS(INDIRECT(AY127)) -1</f>
        <v>2647</v>
      </c>
      <c r="BB127" s="11">
        <f t="shared" si="132"/>
        <v>45426</v>
      </c>
      <c r="BC127" s="10" t="str">
        <f ca="1">IFERROR(AVERAGE(INDIRECT("D" &amp; $AZ127):INDIRECT("D" &amp; $BA127)),"")</f>
        <v/>
      </c>
      <c r="BD127">
        <f ca="1">IFERROR(MAX(INDIRECT("E" &amp; $AZ127):INDIRECT("E" &amp; $BA127)),"")</f>
        <v>0</v>
      </c>
      <c r="BE127">
        <f ca="1">IFERROR(MIN(INDIRECT("F" &amp; $AZ127):INDIRECT("F" &amp; $BA127)),"")</f>
        <v>0</v>
      </c>
      <c r="BF127" s="10" t="e">
        <f t="shared" ref="BF127" ca="1" si="316">BC127+1</f>
        <v>#VALUE!</v>
      </c>
      <c r="BI127" s="11">
        <f t="shared" si="133"/>
        <v>45426</v>
      </c>
      <c r="BJ127" s="10" t="str">
        <f ca="1">IFERROR(AVERAGE(INDIRECT("H" &amp; $AZ127):INDIRECT("H" &amp; $BA127)),"")</f>
        <v/>
      </c>
      <c r="BK127">
        <f ca="1">IFERROR(MAX(INDIRECT("I" &amp; $AZ127):INDIRECT("I" &amp; $BA127)),"")</f>
        <v>0</v>
      </c>
      <c r="BL127">
        <f ca="1">IFERROR(MIN(INDIRECT("J" &amp; $AZ127):INDIRECT("J" &amp; $BA127)),"")</f>
        <v>0</v>
      </c>
      <c r="BM127" s="10" t="e">
        <f t="shared" ref="BM127" ca="1" si="317">BJ127+0.3</f>
        <v>#VALUE!</v>
      </c>
    </row>
    <row r="128" spans="1:65" x14ac:dyDescent="0.2">
      <c r="A128" s="1">
        <v>45418</v>
      </c>
      <c r="B128" s="2">
        <v>0.41666666666666669</v>
      </c>
      <c r="C128" s="6">
        <v>45418.416666666664</v>
      </c>
      <c r="D128">
        <v>62.4</v>
      </c>
      <c r="E128">
        <v>71.3</v>
      </c>
      <c r="F128">
        <v>55.7</v>
      </c>
      <c r="G128" t="s">
        <v>6</v>
      </c>
      <c r="H128">
        <v>20.3</v>
      </c>
      <c r="I128">
        <v>25.7</v>
      </c>
      <c r="J128">
        <v>16.899999999999999</v>
      </c>
      <c r="K128" t="s">
        <v>6</v>
      </c>
      <c r="L128">
        <v>200</v>
      </c>
      <c r="M128" t="s">
        <v>6</v>
      </c>
      <c r="O128" s="6">
        <f t="shared" ref="O128:O191" si="318">C128</f>
        <v>45418.416666666664</v>
      </c>
      <c r="P128">
        <f t="shared" ref="P128:P191" si="319">D128</f>
        <v>62.4</v>
      </c>
      <c r="Q128">
        <f t="shared" ref="Q128:Q191" si="320">E128</f>
        <v>71.3</v>
      </c>
      <c r="R128">
        <f t="shared" ref="R128:R191" si="321">F128</f>
        <v>55.7</v>
      </c>
      <c r="S128">
        <f t="shared" ref="S128:S191" si="322">P128+1</f>
        <v>63.4</v>
      </c>
      <c r="V128" s="6">
        <f t="shared" ref="V128:V191" si="323">O128</f>
        <v>45418.416666666664</v>
      </c>
      <c r="W128">
        <f t="shared" ref="W128:W191" si="324">H128</f>
        <v>20.3</v>
      </c>
      <c r="X128">
        <f t="shared" ref="X128:X191" si="325">I128</f>
        <v>25.7</v>
      </c>
      <c r="Y128">
        <f t="shared" ref="Y128:Y191" si="326">J128</f>
        <v>16.899999999999999</v>
      </c>
      <c r="Z128">
        <f t="shared" ref="Z128:Z191" si="327">W128+1</f>
        <v>21.3</v>
      </c>
      <c r="AY128" t="s">
        <v>143</v>
      </c>
      <c r="AZ128">
        <f t="shared" ref="AZ128" ca="1" si="328">MIN(ROW(INDIRECT(AY128)))</f>
        <v>2648</v>
      </c>
      <c r="BA128">
        <f t="shared" ref="BA128" ca="1" si="329">MIN(ROW(INDIRECT(AY128))) + ROWS(INDIRECT(AY128)) -1</f>
        <v>2671</v>
      </c>
      <c r="BB128" s="11">
        <f t="shared" si="132"/>
        <v>45427</v>
      </c>
      <c r="BC128" s="10" t="str">
        <f ca="1">IFERROR(AVERAGE(INDIRECT("D" &amp; $AZ128):INDIRECT("D" &amp; $BA128)),"")</f>
        <v/>
      </c>
      <c r="BD128">
        <f ca="1">IFERROR(MAX(INDIRECT("E" &amp; $AZ128):INDIRECT("E" &amp; $BA128)),"")</f>
        <v>0</v>
      </c>
      <c r="BE128">
        <f ca="1">IFERROR(MIN(INDIRECT("F" &amp; $AZ128):INDIRECT("F" &amp; $BA128)),"")</f>
        <v>0</v>
      </c>
      <c r="BF128" s="10" t="e">
        <f t="shared" ref="BF128" ca="1" si="330">BC128+1</f>
        <v>#VALUE!</v>
      </c>
      <c r="BI128" s="11">
        <f t="shared" si="133"/>
        <v>45427</v>
      </c>
      <c r="BJ128" s="10" t="str">
        <f ca="1">IFERROR(AVERAGE(INDIRECT("H" &amp; $AZ128):INDIRECT("H" &amp; $BA128)),"")</f>
        <v/>
      </c>
      <c r="BK128">
        <f ca="1">IFERROR(MAX(INDIRECT("I" &amp; $AZ128):INDIRECT("I" &amp; $BA128)),"")</f>
        <v>0</v>
      </c>
      <c r="BL128">
        <f ca="1">IFERROR(MIN(INDIRECT("J" &amp; $AZ128):INDIRECT("J" &amp; $BA128)),"")</f>
        <v>0</v>
      </c>
      <c r="BM128" s="10" t="e">
        <f t="shared" ref="BM128" ca="1" si="331">BJ128+0.3</f>
        <v>#VALUE!</v>
      </c>
    </row>
    <row r="129" spans="1:65" x14ac:dyDescent="0.2">
      <c r="A129" s="1">
        <v>45418</v>
      </c>
      <c r="B129" s="2">
        <v>0.45833333333333331</v>
      </c>
      <c r="C129" s="6">
        <v>45418.458333333336</v>
      </c>
      <c r="D129">
        <v>73.400000000000006</v>
      </c>
      <c r="E129">
        <v>79.8</v>
      </c>
      <c r="F129">
        <v>59.1</v>
      </c>
      <c r="G129" t="s">
        <v>6</v>
      </c>
      <c r="H129">
        <v>21.4</v>
      </c>
      <c r="I129">
        <v>26.6</v>
      </c>
      <c r="J129">
        <v>15.4</v>
      </c>
      <c r="K129" t="s">
        <v>6</v>
      </c>
      <c r="L129">
        <v>179</v>
      </c>
      <c r="M129" t="s">
        <v>6</v>
      </c>
      <c r="O129" s="6">
        <f t="shared" si="318"/>
        <v>45418.458333333336</v>
      </c>
      <c r="P129">
        <f t="shared" si="319"/>
        <v>73.400000000000006</v>
      </c>
      <c r="Q129">
        <f t="shared" si="320"/>
        <v>79.8</v>
      </c>
      <c r="R129">
        <f t="shared" si="321"/>
        <v>59.1</v>
      </c>
      <c r="S129">
        <f t="shared" si="322"/>
        <v>74.400000000000006</v>
      </c>
      <c r="V129" s="6">
        <f t="shared" si="323"/>
        <v>45418.458333333336</v>
      </c>
      <c r="W129">
        <f t="shared" si="324"/>
        <v>21.4</v>
      </c>
      <c r="X129">
        <f t="shared" si="325"/>
        <v>26.6</v>
      </c>
      <c r="Y129">
        <f t="shared" si="326"/>
        <v>15.4</v>
      </c>
      <c r="Z129">
        <f t="shared" si="327"/>
        <v>22.4</v>
      </c>
      <c r="AY129" t="s">
        <v>144</v>
      </c>
      <c r="AZ129">
        <f t="shared" ref="AZ129" ca="1" si="332">MIN(ROW(INDIRECT(AY129)))</f>
        <v>2672</v>
      </c>
      <c r="BA129">
        <f t="shared" ref="BA129" ca="1" si="333">MIN(ROW(INDIRECT(AY129))) + ROWS(INDIRECT(AY129)) -1</f>
        <v>2695</v>
      </c>
      <c r="BB129" s="11">
        <f t="shared" si="132"/>
        <v>45428</v>
      </c>
      <c r="BC129" s="10" t="str">
        <f ca="1">IFERROR(AVERAGE(INDIRECT("D" &amp; $AZ129):INDIRECT("D" &amp; $BA129)),"")</f>
        <v/>
      </c>
      <c r="BD129">
        <f ca="1">IFERROR(MAX(INDIRECT("E" &amp; $AZ129):INDIRECT("E" &amp; $BA129)),"")</f>
        <v>0</v>
      </c>
      <c r="BE129">
        <f ca="1">IFERROR(MIN(INDIRECT("F" &amp; $AZ129):INDIRECT("F" &amp; $BA129)),"")</f>
        <v>0</v>
      </c>
      <c r="BF129" s="10" t="e">
        <f t="shared" ref="BF129" ca="1" si="334">BC129+1</f>
        <v>#VALUE!</v>
      </c>
      <c r="BI129" s="11">
        <f t="shared" si="133"/>
        <v>45428</v>
      </c>
      <c r="BJ129" s="10" t="str">
        <f ca="1">IFERROR(AVERAGE(INDIRECT("H" &amp; $AZ129):INDIRECT("H" &amp; $BA129)),"")</f>
        <v/>
      </c>
      <c r="BK129">
        <f ca="1">IFERROR(MAX(INDIRECT("I" &amp; $AZ129):INDIRECT("I" &amp; $BA129)),"")</f>
        <v>0</v>
      </c>
      <c r="BL129">
        <f ca="1">IFERROR(MIN(INDIRECT("J" &amp; $AZ129):INDIRECT("J" &amp; $BA129)),"")</f>
        <v>0</v>
      </c>
      <c r="BM129" s="10" t="e">
        <f t="shared" ref="BM129" ca="1" si="335">BJ129+0.3</f>
        <v>#VALUE!</v>
      </c>
    </row>
    <row r="130" spans="1:65" x14ac:dyDescent="0.2">
      <c r="A130" s="1">
        <v>45418</v>
      </c>
      <c r="B130" s="2">
        <v>0.5</v>
      </c>
      <c r="C130" s="6">
        <v>45418.5</v>
      </c>
      <c r="D130">
        <v>64.900000000000006</v>
      </c>
      <c r="E130">
        <v>72.8</v>
      </c>
      <c r="F130">
        <v>57</v>
      </c>
      <c r="G130" t="s">
        <v>6</v>
      </c>
      <c r="H130">
        <v>19</v>
      </c>
      <c r="I130">
        <v>22.7</v>
      </c>
      <c r="J130">
        <v>13.9</v>
      </c>
      <c r="K130" t="s">
        <v>6</v>
      </c>
      <c r="L130">
        <v>201</v>
      </c>
      <c r="M130" t="s">
        <v>6</v>
      </c>
      <c r="O130" s="6">
        <f t="shared" si="318"/>
        <v>45418.5</v>
      </c>
      <c r="P130">
        <f t="shared" si="319"/>
        <v>64.900000000000006</v>
      </c>
      <c r="Q130">
        <f t="shared" si="320"/>
        <v>72.8</v>
      </c>
      <c r="R130">
        <f t="shared" si="321"/>
        <v>57</v>
      </c>
      <c r="S130">
        <f t="shared" si="322"/>
        <v>65.900000000000006</v>
      </c>
      <c r="V130" s="6">
        <f t="shared" si="323"/>
        <v>45418.5</v>
      </c>
      <c r="W130">
        <f t="shared" si="324"/>
        <v>19</v>
      </c>
      <c r="X130">
        <f t="shared" si="325"/>
        <v>22.7</v>
      </c>
      <c r="Y130">
        <f t="shared" si="326"/>
        <v>13.9</v>
      </c>
      <c r="Z130">
        <f t="shared" si="327"/>
        <v>20</v>
      </c>
      <c r="AY130" t="s">
        <v>145</v>
      </c>
      <c r="AZ130">
        <f t="shared" ref="AZ130" ca="1" si="336">MIN(ROW(INDIRECT(AY130)))</f>
        <v>2696</v>
      </c>
      <c r="BA130">
        <f t="shared" ref="BA130" ca="1" si="337">MIN(ROW(INDIRECT(AY130))) + ROWS(INDIRECT(AY130)) -1</f>
        <v>2719</v>
      </c>
      <c r="BB130" s="11">
        <f t="shared" si="132"/>
        <v>45429</v>
      </c>
      <c r="BC130" s="10" t="str">
        <f ca="1">IFERROR(AVERAGE(INDIRECT("D" &amp; $AZ130):INDIRECT("D" &amp; $BA130)),"")</f>
        <v/>
      </c>
      <c r="BD130">
        <f ca="1">IFERROR(MAX(INDIRECT("E" &amp; $AZ130):INDIRECT("E" &amp; $BA130)),"")</f>
        <v>0</v>
      </c>
      <c r="BE130">
        <f ca="1">IFERROR(MIN(INDIRECT("F" &amp; $AZ130):INDIRECT("F" &amp; $BA130)),"")</f>
        <v>0</v>
      </c>
      <c r="BF130" s="10" t="e">
        <f t="shared" ref="BF130" ca="1" si="338">BC130+1</f>
        <v>#VALUE!</v>
      </c>
      <c r="BI130" s="11">
        <f t="shared" si="133"/>
        <v>45429</v>
      </c>
      <c r="BJ130" s="10" t="str">
        <f ca="1">IFERROR(AVERAGE(INDIRECT("H" &amp; $AZ130):INDIRECT("H" &amp; $BA130)),"")</f>
        <v/>
      </c>
      <c r="BK130">
        <f ca="1">IFERROR(MAX(INDIRECT("I" &amp; $AZ130):INDIRECT("I" &amp; $BA130)),"")</f>
        <v>0</v>
      </c>
      <c r="BL130">
        <f ca="1">IFERROR(MIN(INDIRECT("J" &amp; $AZ130):INDIRECT("J" &amp; $BA130)),"")</f>
        <v>0</v>
      </c>
      <c r="BM130" s="10" t="e">
        <f t="shared" ref="BM130" ca="1" si="339">BJ130+0.3</f>
        <v>#VALUE!</v>
      </c>
    </row>
    <row r="131" spans="1:65" x14ac:dyDescent="0.2">
      <c r="A131" s="1">
        <v>45418</v>
      </c>
      <c r="B131" s="2">
        <v>0.54166666666666663</v>
      </c>
      <c r="C131" s="6">
        <v>45418.541666666664</v>
      </c>
      <c r="D131">
        <v>58</v>
      </c>
      <c r="E131">
        <v>68.099999999999994</v>
      </c>
      <c r="F131">
        <v>53.2</v>
      </c>
      <c r="G131" t="s">
        <v>6</v>
      </c>
      <c r="H131">
        <v>20.5</v>
      </c>
      <c r="I131">
        <v>25</v>
      </c>
      <c r="J131">
        <v>13.7</v>
      </c>
      <c r="K131" t="s">
        <v>6</v>
      </c>
      <c r="L131">
        <v>183</v>
      </c>
      <c r="M131" t="s">
        <v>6</v>
      </c>
      <c r="O131" s="6">
        <f t="shared" si="318"/>
        <v>45418.541666666664</v>
      </c>
      <c r="P131">
        <f t="shared" si="319"/>
        <v>58</v>
      </c>
      <c r="Q131">
        <f t="shared" si="320"/>
        <v>68.099999999999994</v>
      </c>
      <c r="R131">
        <f t="shared" si="321"/>
        <v>53.2</v>
      </c>
      <c r="S131">
        <f t="shared" si="322"/>
        <v>59</v>
      </c>
      <c r="V131" s="6">
        <f t="shared" si="323"/>
        <v>45418.541666666664</v>
      </c>
      <c r="W131">
        <f t="shared" si="324"/>
        <v>20.5</v>
      </c>
      <c r="X131">
        <f t="shared" si="325"/>
        <v>25</v>
      </c>
      <c r="Y131">
        <f t="shared" si="326"/>
        <v>13.7</v>
      </c>
      <c r="Z131">
        <f t="shared" si="327"/>
        <v>21.5</v>
      </c>
      <c r="AY131" t="s">
        <v>146</v>
      </c>
      <c r="AZ131">
        <f t="shared" ref="AZ131:AZ133" ca="1" si="340">MIN(ROW(INDIRECT(AY131)))</f>
        <v>2720</v>
      </c>
      <c r="BA131">
        <f t="shared" ref="BA131:BA133" ca="1" si="341">MIN(ROW(INDIRECT(AY131))) + ROWS(INDIRECT(AY131)) -1</f>
        <v>2743</v>
      </c>
      <c r="BB131" s="11">
        <f t="shared" si="132"/>
        <v>45430</v>
      </c>
      <c r="BC131" s="10" t="str">
        <f ca="1">IFERROR(AVERAGE(INDIRECT("D" &amp; $AZ131):INDIRECT("D" &amp; $BA131)),"")</f>
        <v/>
      </c>
      <c r="BD131">
        <f ca="1">IFERROR(MAX(INDIRECT("E" &amp; $AZ131):INDIRECT("E" &amp; $BA131)),"")</f>
        <v>0</v>
      </c>
      <c r="BE131">
        <f ca="1">IFERROR(MIN(INDIRECT("F" &amp; $AZ131):INDIRECT("F" &amp; $BA131)),"")</f>
        <v>0</v>
      </c>
      <c r="BF131" s="10" t="e">
        <f t="shared" ref="BF131:BF133" ca="1" si="342">BC131+1</f>
        <v>#VALUE!</v>
      </c>
      <c r="BI131" s="11">
        <f t="shared" si="133"/>
        <v>45430</v>
      </c>
      <c r="BJ131" s="10" t="str">
        <f ca="1">IFERROR(AVERAGE(INDIRECT("H" &amp; $AZ131):INDIRECT("H" &amp; $BA131)),"")</f>
        <v/>
      </c>
      <c r="BK131">
        <f ca="1">IFERROR(MAX(INDIRECT("I" &amp; $AZ131):INDIRECT("I" &amp; $BA131)),"")</f>
        <v>0</v>
      </c>
      <c r="BL131">
        <f ca="1">IFERROR(MIN(INDIRECT("J" &amp; $AZ131):INDIRECT("J" &amp; $BA131)),"")</f>
        <v>0</v>
      </c>
      <c r="BM131" s="10" t="e">
        <f t="shared" ref="BM131:BM133" ca="1" si="343">BJ131+0.3</f>
        <v>#VALUE!</v>
      </c>
    </row>
    <row r="132" spans="1:65" x14ac:dyDescent="0.2">
      <c r="A132" s="1">
        <v>45418</v>
      </c>
      <c r="B132" s="2">
        <v>0.58333333333333337</v>
      </c>
      <c r="C132" s="6">
        <v>45418.583333333336</v>
      </c>
      <c r="D132">
        <v>68.8</v>
      </c>
      <c r="E132">
        <v>79.900000000000006</v>
      </c>
      <c r="F132">
        <v>59.1</v>
      </c>
      <c r="G132" t="s">
        <v>6</v>
      </c>
      <c r="H132">
        <v>19.899999999999999</v>
      </c>
      <c r="I132">
        <v>24.5</v>
      </c>
      <c r="J132">
        <v>15</v>
      </c>
      <c r="K132" t="s">
        <v>6</v>
      </c>
      <c r="L132">
        <v>228</v>
      </c>
      <c r="M132" t="s">
        <v>6</v>
      </c>
      <c r="O132" s="6">
        <f t="shared" si="318"/>
        <v>45418.583333333336</v>
      </c>
      <c r="P132">
        <f t="shared" si="319"/>
        <v>68.8</v>
      </c>
      <c r="Q132">
        <f t="shared" si="320"/>
        <v>79.900000000000006</v>
      </c>
      <c r="R132">
        <f t="shared" si="321"/>
        <v>59.1</v>
      </c>
      <c r="S132">
        <f t="shared" si="322"/>
        <v>69.8</v>
      </c>
      <c r="V132" s="6">
        <f t="shared" si="323"/>
        <v>45418.583333333336</v>
      </c>
      <c r="W132">
        <f t="shared" si="324"/>
        <v>19.899999999999999</v>
      </c>
      <c r="X132">
        <f t="shared" si="325"/>
        <v>24.5</v>
      </c>
      <c r="Y132">
        <f t="shared" si="326"/>
        <v>15</v>
      </c>
      <c r="Z132">
        <f t="shared" si="327"/>
        <v>20.9</v>
      </c>
      <c r="AY132" t="s">
        <v>147</v>
      </c>
      <c r="AZ132">
        <f t="shared" ca="1" si="340"/>
        <v>2744</v>
      </c>
      <c r="BA132">
        <f t="shared" ca="1" si="341"/>
        <v>2767</v>
      </c>
      <c r="BB132" s="11">
        <f t="shared" si="132"/>
        <v>45431</v>
      </c>
      <c r="BC132" s="10" t="str">
        <f ca="1">IFERROR(AVERAGE(INDIRECT("D" &amp; $AZ132):INDIRECT("D" &amp; $BA132)),"")</f>
        <v/>
      </c>
      <c r="BD132">
        <f ca="1">IFERROR(MAX(INDIRECT("E" &amp; $AZ132):INDIRECT("E" &amp; $BA132)),"")</f>
        <v>0</v>
      </c>
      <c r="BE132">
        <f ca="1">IFERROR(MIN(INDIRECT("F" &amp; $AZ132):INDIRECT("F" &amp; $BA132)),"")</f>
        <v>0</v>
      </c>
      <c r="BF132" s="10" t="e">
        <f t="shared" ca="1" si="342"/>
        <v>#VALUE!</v>
      </c>
      <c r="BI132" s="11">
        <f t="shared" si="133"/>
        <v>45431</v>
      </c>
      <c r="BJ132" s="10" t="str">
        <f ca="1">IFERROR(AVERAGE(INDIRECT("H" &amp; $AZ132):INDIRECT("H" &amp; $BA132)),"")</f>
        <v/>
      </c>
      <c r="BK132">
        <f ca="1">IFERROR(MAX(INDIRECT("I" &amp; $AZ132):INDIRECT("I" &amp; $BA132)),"")</f>
        <v>0</v>
      </c>
      <c r="BL132">
        <f ca="1">IFERROR(MIN(INDIRECT("J" &amp; $AZ132):INDIRECT("J" &amp; $BA132)),"")</f>
        <v>0</v>
      </c>
      <c r="BM132" s="10" t="e">
        <f t="shared" ca="1" si="343"/>
        <v>#VALUE!</v>
      </c>
    </row>
    <row r="133" spans="1:65" x14ac:dyDescent="0.2">
      <c r="A133" s="1">
        <v>45418</v>
      </c>
      <c r="B133" s="2">
        <v>0.625</v>
      </c>
      <c r="C133" s="6">
        <v>45418.625</v>
      </c>
      <c r="D133">
        <v>61</v>
      </c>
      <c r="E133">
        <v>65.400000000000006</v>
      </c>
      <c r="F133">
        <v>51.2</v>
      </c>
      <c r="G133" t="s">
        <v>6</v>
      </c>
      <c r="H133">
        <v>19.899999999999999</v>
      </c>
      <c r="I133">
        <v>23.7</v>
      </c>
      <c r="J133">
        <v>16.2</v>
      </c>
      <c r="K133" t="s">
        <v>6</v>
      </c>
      <c r="L133">
        <v>218</v>
      </c>
      <c r="M133" t="s">
        <v>6</v>
      </c>
      <c r="O133" s="6">
        <f t="shared" si="318"/>
        <v>45418.625</v>
      </c>
      <c r="P133">
        <f t="shared" si="319"/>
        <v>61</v>
      </c>
      <c r="Q133">
        <f t="shared" si="320"/>
        <v>65.400000000000006</v>
      </c>
      <c r="R133">
        <f t="shared" si="321"/>
        <v>51.2</v>
      </c>
      <c r="S133">
        <f t="shared" si="322"/>
        <v>62</v>
      </c>
      <c r="V133" s="6">
        <f t="shared" si="323"/>
        <v>45418.625</v>
      </c>
      <c r="W133">
        <f t="shared" si="324"/>
        <v>19.899999999999999</v>
      </c>
      <c r="X133">
        <f t="shared" si="325"/>
        <v>23.7</v>
      </c>
      <c r="Y133">
        <f t="shared" si="326"/>
        <v>16.2</v>
      </c>
      <c r="Z133">
        <f t="shared" si="327"/>
        <v>20.9</v>
      </c>
      <c r="AY133" t="s">
        <v>148</v>
      </c>
      <c r="AZ133">
        <f t="shared" ca="1" si="340"/>
        <v>2768</v>
      </c>
      <c r="BA133">
        <f t="shared" ca="1" si="341"/>
        <v>2791</v>
      </c>
      <c r="BB133" s="11">
        <f t="shared" si="132"/>
        <v>45432</v>
      </c>
      <c r="BC133" s="10" t="str">
        <f ca="1">IFERROR(AVERAGE(INDIRECT("D" &amp; $AZ133):INDIRECT("D" &amp; $BA133)),"")</f>
        <v/>
      </c>
      <c r="BD133">
        <f ca="1">IFERROR(MAX(INDIRECT("E" &amp; $AZ133):INDIRECT("E" &amp; $BA133)),"")</f>
        <v>0</v>
      </c>
      <c r="BE133">
        <f ca="1">IFERROR(MIN(INDIRECT("F" &amp; $AZ133):INDIRECT("F" &amp; $BA133)),"")</f>
        <v>0</v>
      </c>
      <c r="BF133" s="10" t="e">
        <f t="shared" ca="1" si="342"/>
        <v>#VALUE!</v>
      </c>
      <c r="BI133" s="11">
        <f t="shared" si="133"/>
        <v>45432</v>
      </c>
      <c r="BJ133" s="10" t="str">
        <f ca="1">IFERROR(AVERAGE(INDIRECT("H" &amp; $AZ133):INDIRECT("H" &amp; $BA133)),"")</f>
        <v/>
      </c>
      <c r="BK133">
        <f ca="1">IFERROR(MAX(INDIRECT("I" &amp; $AZ133):INDIRECT("I" &amp; $BA133)),"")</f>
        <v>0</v>
      </c>
      <c r="BL133">
        <f ca="1">IFERROR(MIN(INDIRECT("J" &amp; $AZ133):INDIRECT("J" &amp; $BA133)),"")</f>
        <v>0</v>
      </c>
      <c r="BM133" s="10" t="e">
        <f t="shared" ca="1" si="343"/>
        <v>#VALUE!</v>
      </c>
    </row>
    <row r="134" spans="1:65" x14ac:dyDescent="0.2">
      <c r="A134" s="1">
        <v>45418</v>
      </c>
      <c r="B134" s="2">
        <v>0.66666666666666663</v>
      </c>
      <c r="C134" s="6">
        <v>45418.666666666664</v>
      </c>
      <c r="D134">
        <v>57.1</v>
      </c>
      <c r="E134">
        <v>61.7</v>
      </c>
      <c r="F134">
        <v>50.6</v>
      </c>
      <c r="G134" t="s">
        <v>6</v>
      </c>
      <c r="H134">
        <v>20.6</v>
      </c>
      <c r="I134">
        <v>25.4</v>
      </c>
      <c r="J134">
        <v>17.3</v>
      </c>
      <c r="K134" t="s">
        <v>6</v>
      </c>
      <c r="L134">
        <v>215</v>
      </c>
      <c r="M134" t="s">
        <v>6</v>
      </c>
      <c r="O134" s="6">
        <f t="shared" si="318"/>
        <v>45418.666666666664</v>
      </c>
      <c r="P134">
        <f t="shared" si="319"/>
        <v>57.1</v>
      </c>
      <c r="Q134">
        <f t="shared" si="320"/>
        <v>61.7</v>
      </c>
      <c r="R134">
        <f t="shared" si="321"/>
        <v>50.6</v>
      </c>
      <c r="S134">
        <f t="shared" si="322"/>
        <v>58.1</v>
      </c>
      <c r="V134" s="6">
        <f t="shared" si="323"/>
        <v>45418.666666666664</v>
      </c>
      <c r="W134">
        <f t="shared" si="324"/>
        <v>20.6</v>
      </c>
      <c r="X134">
        <f t="shared" si="325"/>
        <v>25.4</v>
      </c>
      <c r="Y134">
        <f t="shared" si="326"/>
        <v>17.3</v>
      </c>
      <c r="Z134">
        <f t="shared" si="327"/>
        <v>21.6</v>
      </c>
      <c r="AY134" t="s">
        <v>149</v>
      </c>
      <c r="AZ134">
        <f t="shared" ref="AZ134" ca="1" si="344">MIN(ROW(INDIRECT(AY134)))</f>
        <v>2792</v>
      </c>
      <c r="BA134">
        <f t="shared" ref="BA134" ca="1" si="345">MIN(ROW(INDIRECT(AY134))) + ROWS(INDIRECT(AY134)) -1</f>
        <v>2815</v>
      </c>
      <c r="BB134" s="11">
        <f t="shared" si="132"/>
        <v>45433</v>
      </c>
      <c r="BC134" s="10" t="str">
        <f ca="1">IFERROR(AVERAGE(INDIRECT("D" &amp; $AZ134):INDIRECT("D" &amp; $BA134)),"")</f>
        <v/>
      </c>
      <c r="BD134">
        <f ca="1">IFERROR(MAX(INDIRECT("E" &amp; $AZ134):INDIRECT("E" &amp; $BA134)),"")</f>
        <v>0</v>
      </c>
      <c r="BE134">
        <f ca="1">IFERROR(MIN(INDIRECT("F" &amp; $AZ134):INDIRECT("F" &amp; $BA134)),"")</f>
        <v>0</v>
      </c>
      <c r="BF134" s="10" t="e">
        <f t="shared" ref="BF134" ca="1" si="346">BC134+1</f>
        <v>#VALUE!</v>
      </c>
      <c r="BI134" s="11">
        <f t="shared" si="133"/>
        <v>45433</v>
      </c>
      <c r="BJ134" s="10" t="str">
        <f ca="1">IFERROR(AVERAGE(INDIRECT("H" &amp; $AZ134):INDIRECT("H" &amp; $BA134)),"")</f>
        <v/>
      </c>
      <c r="BK134">
        <f ca="1">IFERROR(MAX(INDIRECT("I" &amp; $AZ134):INDIRECT("I" &amp; $BA134)),"")</f>
        <v>0</v>
      </c>
      <c r="BL134">
        <f ca="1">IFERROR(MIN(INDIRECT("J" &amp; $AZ134):INDIRECT("J" &amp; $BA134)),"")</f>
        <v>0</v>
      </c>
      <c r="BM134" s="10" t="e">
        <f t="shared" ref="BM134" ca="1" si="347">BJ134+0.3</f>
        <v>#VALUE!</v>
      </c>
    </row>
    <row r="135" spans="1:65" x14ac:dyDescent="0.2">
      <c r="A135" s="1">
        <v>45418</v>
      </c>
      <c r="B135" s="2">
        <v>0.70833333333333337</v>
      </c>
      <c r="C135" s="6">
        <v>45418.708333333336</v>
      </c>
      <c r="D135">
        <v>61</v>
      </c>
      <c r="E135">
        <v>70</v>
      </c>
      <c r="F135">
        <v>51.2</v>
      </c>
      <c r="G135" t="s">
        <v>6</v>
      </c>
      <c r="H135">
        <v>21.3</v>
      </c>
      <c r="I135">
        <v>25.5</v>
      </c>
      <c r="J135">
        <v>17.899999999999999</v>
      </c>
      <c r="K135" t="s">
        <v>6</v>
      </c>
      <c r="L135">
        <v>212</v>
      </c>
      <c r="M135" t="s">
        <v>6</v>
      </c>
      <c r="O135" s="6">
        <f t="shared" si="318"/>
        <v>45418.708333333336</v>
      </c>
      <c r="P135">
        <f t="shared" si="319"/>
        <v>61</v>
      </c>
      <c r="Q135">
        <f t="shared" si="320"/>
        <v>70</v>
      </c>
      <c r="R135">
        <f t="shared" si="321"/>
        <v>51.2</v>
      </c>
      <c r="S135">
        <f t="shared" si="322"/>
        <v>62</v>
      </c>
      <c r="V135" s="6">
        <f t="shared" si="323"/>
        <v>45418.708333333336</v>
      </c>
      <c r="W135">
        <f t="shared" si="324"/>
        <v>21.3</v>
      </c>
      <c r="X135">
        <f t="shared" si="325"/>
        <v>25.5</v>
      </c>
      <c r="Y135">
        <f t="shared" si="326"/>
        <v>17.899999999999999</v>
      </c>
      <c r="Z135">
        <f t="shared" si="327"/>
        <v>22.3</v>
      </c>
      <c r="AY135" t="s">
        <v>150</v>
      </c>
      <c r="AZ135">
        <f t="shared" ref="AZ135" ca="1" si="348">MIN(ROW(INDIRECT(AY135)))</f>
        <v>2816</v>
      </c>
      <c r="BA135">
        <f t="shared" ref="BA135" ca="1" si="349">MIN(ROW(INDIRECT(AY135))) + ROWS(INDIRECT(AY135)) -1</f>
        <v>2830</v>
      </c>
      <c r="BB135" s="11">
        <f t="shared" si="132"/>
        <v>45434</v>
      </c>
      <c r="BC135" s="10" t="str">
        <f ca="1">IFERROR(AVERAGE(INDIRECT("D" &amp; $AZ135):INDIRECT("D" &amp; $BA135)),"")</f>
        <v/>
      </c>
      <c r="BD135">
        <f ca="1">IFERROR(MAX(INDIRECT("E" &amp; $AZ135):INDIRECT("E" &amp; $BA135)),"")</f>
        <v>0</v>
      </c>
      <c r="BE135">
        <f ca="1">IFERROR(MIN(INDIRECT("F" &amp; $AZ135):INDIRECT("F" &amp; $BA135)),"")</f>
        <v>0</v>
      </c>
      <c r="BF135" s="10" t="e">
        <f t="shared" ref="BF135" ca="1" si="350">BC135+1</f>
        <v>#VALUE!</v>
      </c>
      <c r="BI135" s="11">
        <f t="shared" si="133"/>
        <v>45434</v>
      </c>
      <c r="BJ135" s="10" t="str">
        <f ca="1">IFERROR(AVERAGE(INDIRECT("H" &amp; $AZ135):INDIRECT("H" &amp; $BA135)),"")</f>
        <v/>
      </c>
      <c r="BK135">
        <f ca="1">IFERROR(MAX(INDIRECT("I" &amp; $AZ135):INDIRECT("I" &amp; $BA135)),"")</f>
        <v>0</v>
      </c>
      <c r="BL135">
        <f ca="1">IFERROR(MIN(INDIRECT("J" &amp; $AZ135):INDIRECT("J" &amp; $BA135)),"")</f>
        <v>0</v>
      </c>
      <c r="BM135" s="10" t="e">
        <f t="shared" ref="BM135" ca="1" si="351">BJ135+0.3</f>
        <v>#VALUE!</v>
      </c>
    </row>
    <row r="136" spans="1:65" x14ac:dyDescent="0.2">
      <c r="A136" s="1">
        <v>45418</v>
      </c>
      <c r="B136" s="2">
        <v>0.75</v>
      </c>
      <c r="C136" s="6">
        <v>45418.75</v>
      </c>
      <c r="D136">
        <v>59.3</v>
      </c>
      <c r="E136">
        <v>70.5</v>
      </c>
      <c r="F136">
        <v>52.7</v>
      </c>
      <c r="G136" t="s">
        <v>6</v>
      </c>
      <c r="H136">
        <v>20.3</v>
      </c>
      <c r="I136">
        <v>23.9</v>
      </c>
      <c r="J136">
        <v>13</v>
      </c>
      <c r="K136" t="s">
        <v>6</v>
      </c>
      <c r="L136">
        <v>210</v>
      </c>
      <c r="M136" t="s">
        <v>6</v>
      </c>
      <c r="O136" s="6">
        <f t="shared" si="318"/>
        <v>45418.75</v>
      </c>
      <c r="P136">
        <f t="shared" si="319"/>
        <v>59.3</v>
      </c>
      <c r="Q136">
        <f t="shared" si="320"/>
        <v>70.5</v>
      </c>
      <c r="R136">
        <f t="shared" si="321"/>
        <v>52.7</v>
      </c>
      <c r="S136">
        <f t="shared" si="322"/>
        <v>60.3</v>
      </c>
      <c r="V136" s="6">
        <f t="shared" si="323"/>
        <v>45418.75</v>
      </c>
      <c r="W136">
        <f t="shared" si="324"/>
        <v>20.3</v>
      </c>
      <c r="X136">
        <f t="shared" si="325"/>
        <v>23.9</v>
      </c>
      <c r="Y136">
        <f t="shared" si="326"/>
        <v>13</v>
      </c>
      <c r="Z136">
        <f t="shared" si="327"/>
        <v>21.3</v>
      </c>
      <c r="AY136" t="s">
        <v>151</v>
      </c>
      <c r="AZ136">
        <f t="shared" ref="AZ136" ca="1" si="352">MIN(ROW(INDIRECT(AY136)))</f>
        <v>2831</v>
      </c>
      <c r="BA136">
        <f t="shared" ref="BA136" ca="1" si="353">MIN(ROW(INDIRECT(AY136))) + ROWS(INDIRECT(AY136)) -1</f>
        <v>2843</v>
      </c>
      <c r="BB136" s="11">
        <f t="shared" si="132"/>
        <v>45435</v>
      </c>
      <c r="BC136" s="10" t="str">
        <f ca="1">IFERROR(AVERAGE(INDIRECT("D" &amp; $AZ136):INDIRECT("D" &amp; $BA136)),"")</f>
        <v/>
      </c>
      <c r="BD136">
        <f ca="1">IFERROR(MAX(INDIRECT("E" &amp; $AZ136):INDIRECT("E" &amp; $BA136)),"")</f>
        <v>0</v>
      </c>
      <c r="BE136">
        <f ca="1">IFERROR(MIN(INDIRECT("F" &amp; $AZ136):INDIRECT("F" &amp; $BA136)),"")</f>
        <v>0</v>
      </c>
      <c r="BF136" s="10" t="e">
        <f t="shared" ref="BF136" ca="1" si="354">BC136+1</f>
        <v>#VALUE!</v>
      </c>
      <c r="BI136" s="11">
        <f t="shared" si="133"/>
        <v>45435</v>
      </c>
      <c r="BJ136" s="10" t="str">
        <f ca="1">IFERROR(AVERAGE(INDIRECT("H" &amp; $AZ136):INDIRECT("H" &amp; $BA136)),"")</f>
        <v/>
      </c>
      <c r="BK136">
        <f ca="1">IFERROR(MAX(INDIRECT("I" &amp; $AZ136):INDIRECT("I" &amp; $BA136)),"")</f>
        <v>0</v>
      </c>
      <c r="BL136">
        <f ca="1">IFERROR(MIN(INDIRECT("J" &amp; $AZ136):INDIRECT("J" &amp; $BA136)),"")</f>
        <v>0</v>
      </c>
      <c r="BM136" s="10" t="e">
        <f t="shared" ref="BM136" ca="1" si="355">BJ136+0.3</f>
        <v>#VALUE!</v>
      </c>
    </row>
    <row r="137" spans="1:65" x14ac:dyDescent="0.2">
      <c r="A137" s="1">
        <v>45418</v>
      </c>
      <c r="B137" s="2">
        <v>0.79166666666666663</v>
      </c>
      <c r="C137" s="6">
        <v>45418.791666666664</v>
      </c>
      <c r="D137">
        <v>55.7</v>
      </c>
      <c r="E137">
        <v>70.8</v>
      </c>
      <c r="F137">
        <v>49.1</v>
      </c>
      <c r="G137" t="s">
        <v>6</v>
      </c>
      <c r="H137">
        <v>20.399999999999999</v>
      </c>
      <c r="I137">
        <v>24</v>
      </c>
      <c r="J137">
        <v>17.100000000000001</v>
      </c>
      <c r="K137" t="s">
        <v>6</v>
      </c>
      <c r="L137">
        <v>229</v>
      </c>
      <c r="M137" t="s">
        <v>6</v>
      </c>
      <c r="O137" s="6">
        <f t="shared" si="318"/>
        <v>45418.791666666664</v>
      </c>
      <c r="P137">
        <f t="shared" si="319"/>
        <v>55.7</v>
      </c>
      <c r="Q137">
        <f t="shared" si="320"/>
        <v>70.8</v>
      </c>
      <c r="R137">
        <f t="shared" si="321"/>
        <v>49.1</v>
      </c>
      <c r="S137">
        <f t="shared" si="322"/>
        <v>56.7</v>
      </c>
      <c r="V137" s="6">
        <f t="shared" si="323"/>
        <v>45418.791666666664</v>
      </c>
      <c r="W137">
        <f t="shared" si="324"/>
        <v>20.399999999999999</v>
      </c>
      <c r="X137">
        <f t="shared" si="325"/>
        <v>24</v>
      </c>
      <c r="Y137">
        <f t="shared" si="326"/>
        <v>17.100000000000001</v>
      </c>
      <c r="Z137">
        <f t="shared" si="327"/>
        <v>21.4</v>
      </c>
      <c r="AY137" t="s">
        <v>152</v>
      </c>
      <c r="AZ137">
        <f t="shared" ref="AZ137" ca="1" si="356">MIN(ROW(INDIRECT(AY137)))</f>
        <v>2844</v>
      </c>
      <c r="BA137">
        <f t="shared" ref="BA137" ca="1" si="357">MIN(ROW(INDIRECT(AY137))) + ROWS(INDIRECT(AY137)) -1</f>
        <v>2865</v>
      </c>
      <c r="BB137" s="11">
        <f t="shared" si="132"/>
        <v>45436</v>
      </c>
      <c r="BC137" s="10" t="str">
        <f ca="1">IFERROR(AVERAGE(INDIRECT("D" &amp; $AZ137):INDIRECT("D" &amp; $BA137)),"")</f>
        <v/>
      </c>
      <c r="BD137">
        <f ca="1">IFERROR(MAX(INDIRECT("E" &amp; $AZ137):INDIRECT("E" &amp; $BA137)),"")</f>
        <v>0</v>
      </c>
      <c r="BE137">
        <f ca="1">IFERROR(MIN(INDIRECT("F" &amp; $AZ137):INDIRECT("F" &amp; $BA137)),"")</f>
        <v>0</v>
      </c>
      <c r="BF137" s="10" t="e">
        <f t="shared" ref="BF137" ca="1" si="358">BC137+1</f>
        <v>#VALUE!</v>
      </c>
      <c r="BI137" s="11">
        <f t="shared" si="133"/>
        <v>45436</v>
      </c>
      <c r="BJ137" s="10" t="str">
        <f ca="1">IFERROR(AVERAGE(INDIRECT("H" &amp; $AZ137):INDIRECT("H" &amp; $BA137)),"")</f>
        <v/>
      </c>
      <c r="BK137">
        <f ca="1">IFERROR(MAX(INDIRECT("I" &amp; $AZ137):INDIRECT("I" &amp; $BA137)),"")</f>
        <v>0</v>
      </c>
      <c r="BL137">
        <f ca="1">IFERROR(MIN(INDIRECT("J" &amp; $AZ137):INDIRECT("J" &amp; $BA137)),"")</f>
        <v>0</v>
      </c>
      <c r="BM137" s="10" t="e">
        <f t="shared" ref="BM137" ca="1" si="359">BJ137+0.3</f>
        <v>#VALUE!</v>
      </c>
    </row>
    <row r="138" spans="1:65" x14ac:dyDescent="0.2">
      <c r="A138" s="1">
        <v>45418</v>
      </c>
      <c r="B138" s="2">
        <v>0.83333333333333337</v>
      </c>
      <c r="C138" s="6">
        <v>45418.833333333336</v>
      </c>
      <c r="D138">
        <v>64.099999999999994</v>
      </c>
      <c r="E138">
        <v>70.3</v>
      </c>
      <c r="F138">
        <v>58.4</v>
      </c>
      <c r="G138" t="s">
        <v>6</v>
      </c>
      <c r="H138">
        <v>20.5</v>
      </c>
      <c r="I138">
        <v>23.6</v>
      </c>
      <c r="J138">
        <v>17.100000000000001</v>
      </c>
      <c r="K138" t="s">
        <v>6</v>
      </c>
      <c r="L138">
        <v>218</v>
      </c>
      <c r="M138" t="s">
        <v>6</v>
      </c>
      <c r="O138" s="6">
        <f t="shared" si="318"/>
        <v>45418.833333333336</v>
      </c>
      <c r="P138">
        <f t="shared" si="319"/>
        <v>64.099999999999994</v>
      </c>
      <c r="Q138">
        <f t="shared" si="320"/>
        <v>70.3</v>
      </c>
      <c r="R138">
        <f t="shared" si="321"/>
        <v>58.4</v>
      </c>
      <c r="S138">
        <f t="shared" si="322"/>
        <v>65.099999999999994</v>
      </c>
      <c r="V138" s="6">
        <f t="shared" si="323"/>
        <v>45418.833333333336</v>
      </c>
      <c r="W138">
        <f t="shared" si="324"/>
        <v>20.5</v>
      </c>
      <c r="X138">
        <f t="shared" si="325"/>
        <v>23.6</v>
      </c>
      <c r="Y138">
        <f t="shared" si="326"/>
        <v>17.100000000000001</v>
      </c>
      <c r="Z138">
        <f t="shared" si="327"/>
        <v>21.5</v>
      </c>
      <c r="AY138" t="s">
        <v>153</v>
      </c>
      <c r="AZ138">
        <f t="shared" ref="AZ138:AZ140" ca="1" si="360">MIN(ROW(INDIRECT(AY138)))</f>
        <v>2866</v>
      </c>
      <c r="BA138">
        <f t="shared" ref="BA138:BA140" ca="1" si="361">MIN(ROW(INDIRECT(AY138))) + ROWS(INDIRECT(AY138)) -1</f>
        <v>2880</v>
      </c>
      <c r="BB138" s="11">
        <f t="shared" si="132"/>
        <v>45437</v>
      </c>
      <c r="BC138" s="10" t="str">
        <f ca="1">IFERROR(AVERAGE(INDIRECT("D" &amp; $AZ138):INDIRECT("D" &amp; $BA138)),"")</f>
        <v/>
      </c>
      <c r="BD138">
        <f ca="1">IFERROR(MAX(INDIRECT("E" &amp; $AZ138):INDIRECT("E" &amp; $BA138)),"")</f>
        <v>0</v>
      </c>
      <c r="BE138">
        <f ca="1">IFERROR(MIN(INDIRECT("F" &amp; $AZ138):INDIRECT("F" &amp; $BA138)),"")</f>
        <v>0</v>
      </c>
      <c r="BF138" s="10" t="e">
        <f t="shared" ref="BF138:BF140" ca="1" si="362">BC138+1</f>
        <v>#VALUE!</v>
      </c>
      <c r="BI138" s="11">
        <f t="shared" si="133"/>
        <v>45437</v>
      </c>
      <c r="BJ138" s="10" t="str">
        <f ca="1">IFERROR(AVERAGE(INDIRECT("H" &amp; $AZ138):INDIRECT("H" &amp; $BA138)),"")</f>
        <v/>
      </c>
      <c r="BK138">
        <f ca="1">IFERROR(MAX(INDIRECT("I" &amp; $AZ138):INDIRECT("I" &amp; $BA138)),"")</f>
        <v>0</v>
      </c>
      <c r="BL138">
        <f ca="1">IFERROR(MIN(INDIRECT("J" &amp; $AZ138):INDIRECT("J" &amp; $BA138)),"")</f>
        <v>0</v>
      </c>
      <c r="BM138" s="10" t="e">
        <f t="shared" ref="BM138:BM140" ca="1" si="363">BJ138+0.3</f>
        <v>#VALUE!</v>
      </c>
    </row>
    <row r="139" spans="1:65" x14ac:dyDescent="0.2">
      <c r="A139" s="1">
        <v>45418</v>
      </c>
      <c r="B139" s="2">
        <v>0.875</v>
      </c>
      <c r="C139" s="6">
        <v>45418.875</v>
      </c>
      <c r="D139">
        <v>63.3</v>
      </c>
      <c r="E139">
        <v>67.8</v>
      </c>
      <c r="F139">
        <v>57.5</v>
      </c>
      <c r="G139" t="s">
        <v>6</v>
      </c>
      <c r="H139">
        <v>22</v>
      </c>
      <c r="I139">
        <v>25.1</v>
      </c>
      <c r="J139">
        <v>19</v>
      </c>
      <c r="K139" t="s">
        <v>6</v>
      </c>
      <c r="L139">
        <v>194</v>
      </c>
      <c r="M139" t="s">
        <v>6</v>
      </c>
      <c r="O139" s="6">
        <f t="shared" si="318"/>
        <v>45418.875</v>
      </c>
      <c r="P139">
        <f t="shared" si="319"/>
        <v>63.3</v>
      </c>
      <c r="Q139">
        <f t="shared" si="320"/>
        <v>67.8</v>
      </c>
      <c r="R139">
        <f t="shared" si="321"/>
        <v>57.5</v>
      </c>
      <c r="S139">
        <f t="shared" si="322"/>
        <v>64.3</v>
      </c>
      <c r="V139" s="6">
        <f t="shared" si="323"/>
        <v>45418.875</v>
      </c>
      <c r="W139">
        <f t="shared" si="324"/>
        <v>22</v>
      </c>
      <c r="X139">
        <f t="shared" si="325"/>
        <v>25.1</v>
      </c>
      <c r="Y139">
        <f t="shared" si="326"/>
        <v>19</v>
      </c>
      <c r="Z139">
        <f t="shared" si="327"/>
        <v>23</v>
      </c>
      <c r="AY139" t="s">
        <v>154</v>
      </c>
      <c r="AZ139">
        <f t="shared" ca="1" si="360"/>
        <v>2881</v>
      </c>
      <c r="BA139">
        <f t="shared" ca="1" si="361"/>
        <v>2894</v>
      </c>
      <c r="BB139" s="11">
        <f t="shared" ref="BB139:BB175" si="364">BB138+1</f>
        <v>45438</v>
      </c>
      <c r="BC139" s="10" t="str">
        <f ca="1">IFERROR(AVERAGE(INDIRECT("D" &amp; $AZ139):INDIRECT("D" &amp; $BA139)),"")</f>
        <v/>
      </c>
      <c r="BD139">
        <f ca="1">IFERROR(MAX(INDIRECT("E" &amp; $AZ139):INDIRECT("E" &amp; $BA139)),"")</f>
        <v>0</v>
      </c>
      <c r="BE139">
        <f ca="1">IFERROR(MIN(INDIRECT("F" &amp; $AZ139):INDIRECT("F" &amp; $BA139)),"")</f>
        <v>0</v>
      </c>
      <c r="BF139" s="10" t="e">
        <f t="shared" ca="1" si="362"/>
        <v>#VALUE!</v>
      </c>
      <c r="BI139" s="11">
        <f t="shared" ref="BI139:BI175" si="365">BI138+1</f>
        <v>45438</v>
      </c>
      <c r="BJ139" s="10" t="str">
        <f ca="1">IFERROR(AVERAGE(INDIRECT("H" &amp; $AZ139):INDIRECT("H" &amp; $BA139)),"")</f>
        <v/>
      </c>
      <c r="BK139">
        <f ca="1">IFERROR(MAX(INDIRECT("I" &amp; $AZ139):INDIRECT("I" &amp; $BA139)),"")</f>
        <v>0</v>
      </c>
      <c r="BL139">
        <f ca="1">IFERROR(MIN(INDIRECT("J" &amp; $AZ139):INDIRECT("J" &amp; $BA139)),"")</f>
        <v>0</v>
      </c>
      <c r="BM139" s="10" t="e">
        <f t="shared" ca="1" si="363"/>
        <v>#VALUE!</v>
      </c>
    </row>
    <row r="140" spans="1:65" x14ac:dyDescent="0.2">
      <c r="A140" s="1">
        <v>45418</v>
      </c>
      <c r="B140" s="2">
        <v>0.91666666666666663</v>
      </c>
      <c r="C140" s="6">
        <v>45418.916666666664</v>
      </c>
      <c r="D140">
        <v>62.2</v>
      </c>
      <c r="E140">
        <v>69.7</v>
      </c>
      <c r="F140">
        <v>55.4</v>
      </c>
      <c r="G140" t="s">
        <v>6</v>
      </c>
      <c r="H140">
        <v>21.7</v>
      </c>
      <c r="I140">
        <v>25.3</v>
      </c>
      <c r="J140">
        <v>15.4</v>
      </c>
      <c r="K140" t="s">
        <v>6</v>
      </c>
      <c r="L140">
        <v>196</v>
      </c>
      <c r="M140" t="s">
        <v>6</v>
      </c>
      <c r="O140" s="6">
        <f t="shared" si="318"/>
        <v>45418.916666666664</v>
      </c>
      <c r="P140">
        <f t="shared" si="319"/>
        <v>62.2</v>
      </c>
      <c r="Q140">
        <f t="shared" si="320"/>
        <v>69.7</v>
      </c>
      <c r="R140">
        <f t="shared" si="321"/>
        <v>55.4</v>
      </c>
      <c r="S140">
        <f t="shared" si="322"/>
        <v>63.2</v>
      </c>
      <c r="V140" s="6">
        <f t="shared" si="323"/>
        <v>45418.916666666664</v>
      </c>
      <c r="W140">
        <f t="shared" si="324"/>
        <v>21.7</v>
      </c>
      <c r="X140">
        <f t="shared" si="325"/>
        <v>25.3</v>
      </c>
      <c r="Y140">
        <f t="shared" si="326"/>
        <v>15.4</v>
      </c>
      <c r="Z140">
        <f t="shared" si="327"/>
        <v>22.7</v>
      </c>
      <c r="AY140" t="s">
        <v>155</v>
      </c>
      <c r="AZ140">
        <f t="shared" ca="1" si="360"/>
        <v>2895</v>
      </c>
      <c r="BA140">
        <f t="shared" ca="1" si="361"/>
        <v>2911</v>
      </c>
      <c r="BB140" s="11">
        <f t="shared" si="364"/>
        <v>45439</v>
      </c>
      <c r="BC140" s="10" t="str">
        <f ca="1">IFERROR(AVERAGE(INDIRECT("D" &amp; $AZ140):INDIRECT("D" &amp; $BA140)),"")</f>
        <v/>
      </c>
      <c r="BD140">
        <f ca="1">IFERROR(MAX(INDIRECT("E" &amp; $AZ140):INDIRECT("E" &amp; $BA140)),"")</f>
        <v>0</v>
      </c>
      <c r="BE140">
        <f ca="1">IFERROR(MIN(INDIRECT("F" &amp; $AZ140):INDIRECT("F" &amp; $BA140)),"")</f>
        <v>0</v>
      </c>
      <c r="BF140" s="10" t="e">
        <f t="shared" ca="1" si="362"/>
        <v>#VALUE!</v>
      </c>
      <c r="BI140" s="11">
        <f t="shared" si="365"/>
        <v>45439</v>
      </c>
      <c r="BJ140" s="10" t="str">
        <f ca="1">IFERROR(AVERAGE(INDIRECT("H" &amp; $AZ140):INDIRECT("H" &amp; $BA140)),"")</f>
        <v/>
      </c>
      <c r="BK140">
        <f ca="1">IFERROR(MAX(INDIRECT("I" &amp; $AZ140):INDIRECT("I" &amp; $BA140)),"")</f>
        <v>0</v>
      </c>
      <c r="BL140">
        <f ca="1">IFERROR(MIN(INDIRECT("J" &amp; $AZ140):INDIRECT("J" &amp; $BA140)),"")</f>
        <v>0</v>
      </c>
      <c r="BM140" s="10" t="e">
        <f t="shared" ca="1" si="363"/>
        <v>#VALUE!</v>
      </c>
    </row>
    <row r="141" spans="1:65" x14ac:dyDescent="0.2">
      <c r="A141" s="1">
        <v>45418</v>
      </c>
      <c r="B141" s="2">
        <v>0.95833333333333337</v>
      </c>
      <c r="C141" s="6">
        <v>45418.958333333336</v>
      </c>
      <c r="D141">
        <v>61.8</v>
      </c>
      <c r="E141">
        <v>71.900000000000006</v>
      </c>
      <c r="F141">
        <v>57.4</v>
      </c>
      <c r="G141" t="s">
        <v>6</v>
      </c>
      <c r="H141">
        <v>21.7</v>
      </c>
      <c r="I141">
        <v>25.4</v>
      </c>
      <c r="J141">
        <v>16.3</v>
      </c>
      <c r="K141" t="s">
        <v>6</v>
      </c>
      <c r="L141">
        <v>188</v>
      </c>
      <c r="M141" t="s">
        <v>6</v>
      </c>
      <c r="O141" s="6">
        <f t="shared" si="318"/>
        <v>45418.958333333336</v>
      </c>
      <c r="P141">
        <f t="shared" si="319"/>
        <v>61.8</v>
      </c>
      <c r="Q141">
        <f t="shared" si="320"/>
        <v>71.900000000000006</v>
      </c>
      <c r="R141">
        <f t="shared" si="321"/>
        <v>57.4</v>
      </c>
      <c r="S141">
        <f t="shared" si="322"/>
        <v>62.8</v>
      </c>
      <c r="V141" s="6">
        <f t="shared" si="323"/>
        <v>45418.958333333336</v>
      </c>
      <c r="W141">
        <f t="shared" si="324"/>
        <v>21.7</v>
      </c>
      <c r="X141">
        <f t="shared" si="325"/>
        <v>25.4</v>
      </c>
      <c r="Y141">
        <f t="shared" si="326"/>
        <v>16.3</v>
      </c>
      <c r="Z141">
        <f t="shared" si="327"/>
        <v>22.7</v>
      </c>
      <c r="AY141" t="s">
        <v>156</v>
      </c>
      <c r="AZ141">
        <f t="shared" ref="AZ141" ca="1" si="366">MIN(ROW(INDIRECT(AY141)))</f>
        <v>2912</v>
      </c>
      <c r="BA141">
        <f t="shared" ref="BA141" ca="1" si="367">MIN(ROW(INDIRECT(AY141))) + ROWS(INDIRECT(AY141)) -1</f>
        <v>2927</v>
      </c>
      <c r="BB141" s="11">
        <f t="shared" si="364"/>
        <v>45440</v>
      </c>
      <c r="BC141" s="10" t="str">
        <f ca="1">IFERROR(AVERAGE(INDIRECT("D" &amp; $AZ141):INDIRECT("D" &amp; $BA141)),"")</f>
        <v/>
      </c>
      <c r="BD141">
        <f ca="1">IFERROR(MAX(INDIRECT("E" &amp; $AZ141):INDIRECT("E" &amp; $BA141)),"")</f>
        <v>0</v>
      </c>
      <c r="BE141">
        <f ca="1">IFERROR(MIN(INDIRECT("F" &amp; $AZ141):INDIRECT("F" &amp; $BA141)),"")</f>
        <v>0</v>
      </c>
      <c r="BF141" s="10" t="e">
        <f t="shared" ref="BF141" ca="1" si="368">BC141+1</f>
        <v>#VALUE!</v>
      </c>
      <c r="BI141" s="11">
        <f t="shared" si="365"/>
        <v>45440</v>
      </c>
      <c r="BJ141" s="10" t="str">
        <f ca="1">IFERROR(AVERAGE(INDIRECT("H" &amp; $AZ141):INDIRECT("H" &amp; $BA141)),"")</f>
        <v/>
      </c>
      <c r="BK141">
        <f ca="1">IFERROR(MAX(INDIRECT("I" &amp; $AZ141):INDIRECT("I" &amp; $BA141)),"")</f>
        <v>0</v>
      </c>
      <c r="BL141">
        <f ca="1">IFERROR(MIN(INDIRECT("J" &amp; $AZ141):INDIRECT("J" &amp; $BA141)),"")</f>
        <v>0</v>
      </c>
      <c r="BM141" s="10" t="e">
        <f t="shared" ref="BM141" ca="1" si="369">BJ141+0.3</f>
        <v>#VALUE!</v>
      </c>
    </row>
    <row r="142" spans="1:65" x14ac:dyDescent="0.2">
      <c r="A142" s="1">
        <v>45419</v>
      </c>
      <c r="B142" s="2">
        <v>0</v>
      </c>
      <c r="C142" s="6">
        <v>45419</v>
      </c>
      <c r="D142">
        <v>61.8</v>
      </c>
      <c r="E142">
        <v>66.2</v>
      </c>
      <c r="F142">
        <v>57.6</v>
      </c>
      <c r="G142" t="s">
        <v>6</v>
      </c>
      <c r="H142">
        <v>21</v>
      </c>
      <c r="I142">
        <v>28.3</v>
      </c>
      <c r="J142">
        <v>17.600000000000001</v>
      </c>
      <c r="K142" t="s">
        <v>6</v>
      </c>
      <c r="L142">
        <v>202</v>
      </c>
      <c r="M142" t="s">
        <v>6</v>
      </c>
      <c r="O142" s="6">
        <f t="shared" si="318"/>
        <v>45419</v>
      </c>
      <c r="P142">
        <f t="shared" si="319"/>
        <v>61.8</v>
      </c>
      <c r="Q142">
        <f t="shared" si="320"/>
        <v>66.2</v>
      </c>
      <c r="R142">
        <f t="shared" si="321"/>
        <v>57.6</v>
      </c>
      <c r="S142">
        <f t="shared" si="322"/>
        <v>62.8</v>
      </c>
      <c r="V142" s="6">
        <f t="shared" si="323"/>
        <v>45419</v>
      </c>
      <c r="W142">
        <f t="shared" si="324"/>
        <v>21</v>
      </c>
      <c r="X142">
        <f t="shared" si="325"/>
        <v>28.3</v>
      </c>
      <c r="Y142">
        <f t="shared" si="326"/>
        <v>17.600000000000001</v>
      </c>
      <c r="Z142">
        <f t="shared" si="327"/>
        <v>22</v>
      </c>
      <c r="AY142" t="s">
        <v>157</v>
      </c>
      <c r="AZ142">
        <f t="shared" ref="AZ142" ca="1" si="370">MIN(ROW(INDIRECT(AY142)))</f>
        <v>2928</v>
      </c>
      <c r="BA142">
        <f t="shared" ref="BA142" ca="1" si="371">MIN(ROW(INDIRECT(AY142))) + ROWS(INDIRECT(AY142)) -1</f>
        <v>2946</v>
      </c>
      <c r="BB142" s="11">
        <f t="shared" si="364"/>
        <v>45441</v>
      </c>
      <c r="BC142" s="10" t="str">
        <f ca="1">IFERROR(AVERAGE(INDIRECT("D" &amp; $AZ142):INDIRECT("D" &amp; $BA142)),"")</f>
        <v/>
      </c>
      <c r="BD142">
        <f ca="1">IFERROR(MAX(INDIRECT("E" &amp; $AZ142):INDIRECT("E" &amp; $BA142)),"")</f>
        <v>0</v>
      </c>
      <c r="BE142">
        <f ca="1">IFERROR(MIN(INDIRECT("F" &amp; $AZ142):INDIRECT("F" &amp; $BA142)),"")</f>
        <v>0</v>
      </c>
      <c r="BF142" s="10" t="e">
        <f t="shared" ref="BF142" ca="1" si="372">BC142+1</f>
        <v>#VALUE!</v>
      </c>
      <c r="BI142" s="11">
        <f t="shared" si="365"/>
        <v>45441</v>
      </c>
      <c r="BJ142" s="10" t="str">
        <f ca="1">IFERROR(AVERAGE(INDIRECT("H" &amp; $AZ142):INDIRECT("H" &amp; $BA142)),"")</f>
        <v/>
      </c>
      <c r="BK142">
        <f ca="1">IFERROR(MAX(INDIRECT("I" &amp; $AZ142):INDIRECT("I" &amp; $BA142)),"")</f>
        <v>0</v>
      </c>
      <c r="BL142">
        <f ca="1">IFERROR(MIN(INDIRECT("J" &amp; $AZ142):INDIRECT("J" &amp; $BA142)),"")</f>
        <v>0</v>
      </c>
      <c r="BM142" s="10" t="e">
        <f t="shared" ref="BM142" ca="1" si="373">BJ142+0.3</f>
        <v>#VALUE!</v>
      </c>
    </row>
    <row r="143" spans="1:65" x14ac:dyDescent="0.2">
      <c r="A143" s="1">
        <v>45419</v>
      </c>
      <c r="B143" s="2">
        <v>4.1666666666666664E-2</v>
      </c>
      <c r="C143" s="6">
        <v>45419.041666666664</v>
      </c>
      <c r="D143">
        <v>62.4</v>
      </c>
      <c r="E143">
        <v>72.900000000000006</v>
      </c>
      <c r="F143">
        <v>56.2</v>
      </c>
      <c r="G143" t="s">
        <v>6</v>
      </c>
      <c r="H143">
        <v>18.399999999999999</v>
      </c>
      <c r="I143">
        <v>21.3</v>
      </c>
      <c r="J143">
        <v>14.9</v>
      </c>
      <c r="K143" t="s">
        <v>6</v>
      </c>
      <c r="L143">
        <v>219</v>
      </c>
      <c r="M143" t="s">
        <v>6</v>
      </c>
      <c r="O143" s="6">
        <f t="shared" si="318"/>
        <v>45419.041666666664</v>
      </c>
      <c r="P143">
        <f t="shared" si="319"/>
        <v>62.4</v>
      </c>
      <c r="Q143">
        <f t="shared" si="320"/>
        <v>72.900000000000006</v>
      </c>
      <c r="R143">
        <f t="shared" si="321"/>
        <v>56.2</v>
      </c>
      <c r="S143">
        <f t="shared" si="322"/>
        <v>63.4</v>
      </c>
      <c r="V143" s="6">
        <f t="shared" si="323"/>
        <v>45419.041666666664</v>
      </c>
      <c r="W143">
        <f t="shared" si="324"/>
        <v>18.399999999999999</v>
      </c>
      <c r="X143">
        <f t="shared" si="325"/>
        <v>21.3</v>
      </c>
      <c r="Y143">
        <f t="shared" si="326"/>
        <v>14.9</v>
      </c>
      <c r="Z143">
        <f t="shared" si="327"/>
        <v>19.399999999999999</v>
      </c>
      <c r="AY143" t="s">
        <v>158</v>
      </c>
      <c r="AZ143">
        <f t="shared" ref="AZ143" ca="1" si="374">MIN(ROW(INDIRECT(AY143)))</f>
        <v>2947</v>
      </c>
      <c r="BA143">
        <f t="shared" ref="BA143" ca="1" si="375">MIN(ROW(INDIRECT(AY143))) + ROWS(INDIRECT(AY143)) -1</f>
        <v>2963</v>
      </c>
      <c r="BB143" s="11">
        <f t="shared" si="364"/>
        <v>45442</v>
      </c>
      <c r="BC143" s="10" t="str">
        <f ca="1">IFERROR(AVERAGE(INDIRECT("D" &amp; $AZ143):INDIRECT("D" &amp; $BA143)),"")</f>
        <v/>
      </c>
      <c r="BD143">
        <f ca="1">IFERROR(MAX(INDIRECT("E" &amp; $AZ143):INDIRECT("E" &amp; $BA143)),"")</f>
        <v>0</v>
      </c>
      <c r="BE143">
        <f ca="1">IFERROR(MIN(INDIRECT("F" &amp; $AZ143):INDIRECT("F" &amp; $BA143)),"")</f>
        <v>0</v>
      </c>
      <c r="BF143" s="10" t="e">
        <f t="shared" ref="BF143" ca="1" si="376">BC143+1</f>
        <v>#VALUE!</v>
      </c>
      <c r="BI143" s="11">
        <f t="shared" si="365"/>
        <v>45442</v>
      </c>
      <c r="BJ143" s="10" t="str">
        <f ca="1">IFERROR(AVERAGE(INDIRECT("H" &amp; $AZ143):INDIRECT("H" &amp; $BA143)),"")</f>
        <v/>
      </c>
      <c r="BK143">
        <f ca="1">IFERROR(MAX(INDIRECT("I" &amp; $AZ143):INDIRECT("I" &amp; $BA143)),"")</f>
        <v>0</v>
      </c>
      <c r="BL143">
        <f ca="1">IFERROR(MIN(INDIRECT("J" &amp; $AZ143):INDIRECT("J" &amp; $BA143)),"")</f>
        <v>0</v>
      </c>
      <c r="BM143" s="10" t="e">
        <f t="shared" ref="BM143" ca="1" si="377">BJ143+0.3</f>
        <v>#VALUE!</v>
      </c>
    </row>
    <row r="144" spans="1:65" x14ac:dyDescent="0.2">
      <c r="A144" s="1">
        <v>45419</v>
      </c>
      <c r="B144" s="2">
        <v>8.3333333333333329E-2</v>
      </c>
      <c r="C144" s="6">
        <v>45419.083333333336</v>
      </c>
      <c r="D144">
        <v>57.6</v>
      </c>
      <c r="E144">
        <v>64.099999999999994</v>
      </c>
      <c r="F144">
        <v>52.3</v>
      </c>
      <c r="G144" t="s">
        <v>6</v>
      </c>
      <c r="H144">
        <v>19.899999999999999</v>
      </c>
      <c r="I144">
        <v>22.7</v>
      </c>
      <c r="J144">
        <v>16.8</v>
      </c>
      <c r="K144" t="s">
        <v>6</v>
      </c>
      <c r="L144">
        <v>211</v>
      </c>
      <c r="M144" t="s">
        <v>6</v>
      </c>
      <c r="O144" s="6">
        <f t="shared" si="318"/>
        <v>45419.083333333336</v>
      </c>
      <c r="P144">
        <f t="shared" si="319"/>
        <v>57.6</v>
      </c>
      <c r="Q144">
        <f t="shared" si="320"/>
        <v>64.099999999999994</v>
      </c>
      <c r="R144">
        <f t="shared" si="321"/>
        <v>52.3</v>
      </c>
      <c r="S144">
        <f t="shared" si="322"/>
        <v>58.6</v>
      </c>
      <c r="V144" s="6">
        <f t="shared" si="323"/>
        <v>45419.083333333336</v>
      </c>
      <c r="W144">
        <f t="shared" si="324"/>
        <v>19.899999999999999</v>
      </c>
      <c r="X144">
        <f t="shared" si="325"/>
        <v>22.7</v>
      </c>
      <c r="Y144">
        <f t="shared" si="326"/>
        <v>16.8</v>
      </c>
      <c r="Z144">
        <f t="shared" si="327"/>
        <v>20.9</v>
      </c>
      <c r="AY144" t="s">
        <v>159</v>
      </c>
      <c r="AZ144">
        <f t="shared" ref="AZ144" ca="1" si="378">MIN(ROW(INDIRECT(AY144)))</f>
        <v>2964</v>
      </c>
      <c r="BA144">
        <f t="shared" ref="BA144" ca="1" si="379">MIN(ROW(INDIRECT(AY144))) + ROWS(INDIRECT(AY144)) -1</f>
        <v>2978</v>
      </c>
      <c r="BB144" s="11">
        <f t="shared" si="364"/>
        <v>45443</v>
      </c>
      <c r="BC144" s="10" t="str">
        <f ca="1">IFERROR(AVERAGE(INDIRECT("D" &amp; $AZ144):INDIRECT("D" &amp; $BA144)),"")</f>
        <v/>
      </c>
      <c r="BD144">
        <f ca="1">IFERROR(MAX(INDIRECT("E" &amp; $AZ144):INDIRECT("E" &amp; $BA144)),"")</f>
        <v>0</v>
      </c>
      <c r="BE144">
        <f ca="1">IFERROR(MIN(INDIRECT("F" &amp; $AZ144):INDIRECT("F" &amp; $BA144)),"")</f>
        <v>0</v>
      </c>
      <c r="BF144" s="10" t="e">
        <f t="shared" ref="BF144" ca="1" si="380">BC144+1</f>
        <v>#VALUE!</v>
      </c>
      <c r="BI144" s="11">
        <f t="shared" si="365"/>
        <v>45443</v>
      </c>
      <c r="BJ144" s="10" t="str">
        <f ca="1">IFERROR(AVERAGE(INDIRECT("H" &amp; $AZ144):INDIRECT("H" &amp; $BA144)),"")</f>
        <v/>
      </c>
      <c r="BK144">
        <f ca="1">IFERROR(MAX(INDIRECT("I" &amp; $AZ144):INDIRECT("I" &amp; $BA144)),"")</f>
        <v>0</v>
      </c>
      <c r="BL144">
        <f ca="1">IFERROR(MIN(INDIRECT("J" &amp; $AZ144):INDIRECT("J" &amp; $BA144)),"")</f>
        <v>0</v>
      </c>
      <c r="BM144" s="10" t="e">
        <f t="shared" ref="BM144" ca="1" si="381">BJ144+0.3</f>
        <v>#VALUE!</v>
      </c>
    </row>
    <row r="145" spans="1:65" x14ac:dyDescent="0.2">
      <c r="A145" s="1">
        <v>45419</v>
      </c>
      <c r="B145" s="2">
        <v>0.125</v>
      </c>
      <c r="C145" s="6">
        <v>45419.125</v>
      </c>
      <c r="D145">
        <v>55.9</v>
      </c>
      <c r="E145">
        <v>63</v>
      </c>
      <c r="F145">
        <v>51.9</v>
      </c>
      <c r="G145" t="s">
        <v>6</v>
      </c>
      <c r="H145">
        <v>17.100000000000001</v>
      </c>
      <c r="I145">
        <v>20.399999999999999</v>
      </c>
      <c r="J145">
        <v>11.8</v>
      </c>
      <c r="K145" t="s">
        <v>6</v>
      </c>
      <c r="L145">
        <v>224</v>
      </c>
      <c r="M145" t="s">
        <v>6</v>
      </c>
      <c r="O145" s="6">
        <f t="shared" si="318"/>
        <v>45419.125</v>
      </c>
      <c r="P145">
        <f t="shared" si="319"/>
        <v>55.9</v>
      </c>
      <c r="Q145">
        <f t="shared" si="320"/>
        <v>63</v>
      </c>
      <c r="R145">
        <f t="shared" si="321"/>
        <v>51.9</v>
      </c>
      <c r="S145">
        <f t="shared" si="322"/>
        <v>56.9</v>
      </c>
      <c r="V145" s="6">
        <f t="shared" si="323"/>
        <v>45419.125</v>
      </c>
      <c r="W145">
        <f t="shared" si="324"/>
        <v>17.100000000000001</v>
      </c>
      <c r="X145">
        <f t="shared" si="325"/>
        <v>20.399999999999999</v>
      </c>
      <c r="Y145">
        <f t="shared" si="326"/>
        <v>11.8</v>
      </c>
      <c r="Z145">
        <f t="shared" si="327"/>
        <v>18.100000000000001</v>
      </c>
      <c r="AY145" t="s">
        <v>160</v>
      </c>
      <c r="AZ145">
        <f t="shared" ref="AZ145:AZ146" ca="1" si="382">MIN(ROW(INDIRECT(AY145)))</f>
        <v>2979</v>
      </c>
      <c r="BA145">
        <f t="shared" ref="BA145:BA146" ca="1" si="383">MIN(ROW(INDIRECT(AY145))) + ROWS(INDIRECT(AY145)) -1</f>
        <v>2993</v>
      </c>
      <c r="BB145" s="11">
        <f t="shared" si="364"/>
        <v>45444</v>
      </c>
      <c r="BC145" s="10" t="str">
        <f ca="1">IFERROR(AVERAGE(INDIRECT("D" &amp; $AZ145):INDIRECT("D" &amp; $BA145)),"")</f>
        <v/>
      </c>
      <c r="BD145">
        <f ca="1">IFERROR(MAX(INDIRECT("E" &amp; $AZ145):INDIRECT("E" &amp; $BA145)),"")</f>
        <v>0</v>
      </c>
      <c r="BE145">
        <f ca="1">IFERROR(MIN(INDIRECT("F" &amp; $AZ145):INDIRECT("F" &amp; $BA145)),"")</f>
        <v>0</v>
      </c>
      <c r="BF145" s="10" t="e">
        <f t="shared" ref="BF145:BF146" ca="1" si="384">BC145+1</f>
        <v>#VALUE!</v>
      </c>
      <c r="BI145" s="11">
        <f t="shared" si="365"/>
        <v>45444</v>
      </c>
      <c r="BJ145" s="10" t="str">
        <f ca="1">IFERROR(AVERAGE(INDIRECT("H" &amp; $AZ145):INDIRECT("H" &amp; $BA145)),"")</f>
        <v/>
      </c>
      <c r="BK145">
        <f ca="1">IFERROR(MAX(INDIRECT("I" &amp; $AZ145):INDIRECT("I" &amp; $BA145)),"")</f>
        <v>0</v>
      </c>
      <c r="BL145">
        <f ca="1">IFERROR(MIN(INDIRECT("J" &amp; $AZ145):INDIRECT("J" &amp; $BA145)),"")</f>
        <v>0</v>
      </c>
      <c r="BM145" s="10" t="e">
        <f t="shared" ref="BM145:BM146" ca="1" si="385">BJ145+0.3</f>
        <v>#VALUE!</v>
      </c>
    </row>
    <row r="146" spans="1:65" x14ac:dyDescent="0.2">
      <c r="A146" s="1">
        <v>45419</v>
      </c>
      <c r="B146" s="2">
        <v>0.16666666666666666</v>
      </c>
      <c r="C146" s="6">
        <v>45419.166666666664</v>
      </c>
      <c r="D146">
        <v>57.5</v>
      </c>
      <c r="E146">
        <v>64.900000000000006</v>
      </c>
      <c r="F146">
        <v>52.2</v>
      </c>
      <c r="G146" t="s">
        <v>6</v>
      </c>
      <c r="H146">
        <v>16.600000000000001</v>
      </c>
      <c r="I146">
        <v>21.7</v>
      </c>
      <c r="J146">
        <v>11.4</v>
      </c>
      <c r="K146" t="s">
        <v>6</v>
      </c>
      <c r="L146">
        <v>221</v>
      </c>
      <c r="M146" t="s">
        <v>6</v>
      </c>
      <c r="O146" s="6">
        <f t="shared" si="318"/>
        <v>45419.166666666664</v>
      </c>
      <c r="P146">
        <f t="shared" si="319"/>
        <v>57.5</v>
      </c>
      <c r="Q146">
        <f t="shared" si="320"/>
        <v>64.900000000000006</v>
      </c>
      <c r="R146">
        <f t="shared" si="321"/>
        <v>52.2</v>
      </c>
      <c r="S146">
        <f t="shared" si="322"/>
        <v>58.5</v>
      </c>
      <c r="V146" s="6">
        <f t="shared" si="323"/>
        <v>45419.166666666664</v>
      </c>
      <c r="W146">
        <f t="shared" si="324"/>
        <v>16.600000000000001</v>
      </c>
      <c r="X146">
        <f t="shared" si="325"/>
        <v>21.7</v>
      </c>
      <c r="Y146">
        <f t="shared" si="326"/>
        <v>11.4</v>
      </c>
      <c r="Z146">
        <f t="shared" si="327"/>
        <v>17.600000000000001</v>
      </c>
      <c r="AY146" t="s">
        <v>161</v>
      </c>
      <c r="AZ146">
        <f t="shared" ca="1" si="382"/>
        <v>2994</v>
      </c>
      <c r="BA146">
        <f t="shared" ca="1" si="383"/>
        <v>3014</v>
      </c>
      <c r="BB146" s="11">
        <f t="shared" si="364"/>
        <v>45445</v>
      </c>
      <c r="BC146" s="10" t="str">
        <f ca="1">IFERROR(AVERAGE(INDIRECT("D" &amp; $AZ146):INDIRECT("D" &amp; $BA146)),"")</f>
        <v/>
      </c>
      <c r="BD146">
        <f ca="1">IFERROR(MAX(INDIRECT("E" &amp; $AZ146):INDIRECT("E" &amp; $BA146)),"")</f>
        <v>0</v>
      </c>
      <c r="BE146">
        <f ca="1">IFERROR(MIN(INDIRECT("F" &amp; $AZ146):INDIRECT("F" &amp; $BA146)),"")</f>
        <v>0</v>
      </c>
      <c r="BF146" s="10" t="e">
        <f t="shared" ca="1" si="384"/>
        <v>#VALUE!</v>
      </c>
      <c r="BI146" s="11">
        <f t="shared" si="365"/>
        <v>45445</v>
      </c>
      <c r="BJ146" s="10" t="str">
        <f ca="1">IFERROR(AVERAGE(INDIRECT("H" &amp; $AZ146):INDIRECT("H" &amp; $BA146)),"")</f>
        <v/>
      </c>
      <c r="BK146">
        <f ca="1">IFERROR(MAX(INDIRECT("I" &amp; $AZ146):INDIRECT("I" &amp; $BA146)),"")</f>
        <v>0</v>
      </c>
      <c r="BL146">
        <f ca="1">IFERROR(MIN(INDIRECT("J" &amp; $AZ146):INDIRECT("J" &amp; $BA146)),"")</f>
        <v>0</v>
      </c>
      <c r="BM146" s="10" t="e">
        <f t="shared" ca="1" si="385"/>
        <v>#VALUE!</v>
      </c>
    </row>
    <row r="147" spans="1:65" x14ac:dyDescent="0.2">
      <c r="A147" s="1">
        <v>45419</v>
      </c>
      <c r="B147" s="2">
        <v>0.20833333333333334</v>
      </c>
      <c r="C147" s="6">
        <v>45419.208333333336</v>
      </c>
      <c r="D147">
        <v>60.1</v>
      </c>
      <c r="E147">
        <v>67.7</v>
      </c>
      <c r="F147">
        <v>50.4</v>
      </c>
      <c r="G147" t="s">
        <v>6</v>
      </c>
      <c r="H147">
        <v>18.399999999999999</v>
      </c>
      <c r="I147">
        <v>22.7</v>
      </c>
      <c r="J147">
        <v>13.2</v>
      </c>
      <c r="K147" t="s">
        <v>6</v>
      </c>
      <c r="L147">
        <v>220</v>
      </c>
      <c r="M147" t="s">
        <v>6</v>
      </c>
      <c r="O147" s="6">
        <f t="shared" si="318"/>
        <v>45419.208333333336</v>
      </c>
      <c r="P147">
        <f t="shared" si="319"/>
        <v>60.1</v>
      </c>
      <c r="Q147">
        <f t="shared" si="320"/>
        <v>67.7</v>
      </c>
      <c r="R147">
        <f t="shared" si="321"/>
        <v>50.4</v>
      </c>
      <c r="S147">
        <f t="shared" si="322"/>
        <v>61.1</v>
      </c>
      <c r="V147" s="6">
        <f t="shared" si="323"/>
        <v>45419.208333333336</v>
      </c>
      <c r="W147">
        <f t="shared" si="324"/>
        <v>18.399999999999999</v>
      </c>
      <c r="X147">
        <f t="shared" si="325"/>
        <v>22.7</v>
      </c>
      <c r="Y147">
        <f t="shared" si="326"/>
        <v>13.2</v>
      </c>
      <c r="Z147">
        <f t="shared" si="327"/>
        <v>19.399999999999999</v>
      </c>
      <c r="AY147" t="s">
        <v>162</v>
      </c>
      <c r="AZ147">
        <f t="shared" ref="AZ147" ca="1" si="386">MIN(ROW(INDIRECT(AY147)))</f>
        <v>3015</v>
      </c>
      <c r="BA147">
        <f t="shared" ref="BA147" ca="1" si="387">MIN(ROW(INDIRECT(AY147))) + ROWS(INDIRECT(AY147)) -1</f>
        <v>3029</v>
      </c>
      <c r="BB147" s="11">
        <f t="shared" si="364"/>
        <v>45446</v>
      </c>
      <c r="BC147" s="10" t="str">
        <f ca="1">IFERROR(AVERAGE(INDIRECT("D" &amp; $AZ147):INDIRECT("D" &amp; $BA147)),"")</f>
        <v/>
      </c>
      <c r="BD147">
        <f ca="1">IFERROR(MAX(INDIRECT("E" &amp; $AZ147):INDIRECT("E" &amp; $BA147)),"")</f>
        <v>0</v>
      </c>
      <c r="BE147">
        <f ca="1">IFERROR(MIN(INDIRECT("F" &amp; $AZ147):INDIRECT("F" &amp; $BA147)),"")</f>
        <v>0</v>
      </c>
      <c r="BF147" s="10" t="e">
        <f t="shared" ref="BF147" ca="1" si="388">BC147+1</f>
        <v>#VALUE!</v>
      </c>
      <c r="BI147" s="11">
        <f t="shared" si="365"/>
        <v>45446</v>
      </c>
      <c r="BJ147" s="10" t="str">
        <f ca="1">IFERROR(AVERAGE(INDIRECT("H" &amp; $AZ147):INDIRECT("H" &amp; $BA147)),"")</f>
        <v/>
      </c>
      <c r="BK147">
        <f ca="1">IFERROR(MAX(INDIRECT("I" &amp; $AZ147):INDIRECT("I" &amp; $BA147)),"")</f>
        <v>0</v>
      </c>
      <c r="BL147">
        <f ca="1">IFERROR(MIN(INDIRECT("J" &amp; $AZ147):INDIRECT("J" &amp; $BA147)),"")</f>
        <v>0</v>
      </c>
      <c r="BM147" s="10" t="e">
        <f t="shared" ref="BM147" ca="1" si="389">BJ147+0.3</f>
        <v>#VALUE!</v>
      </c>
    </row>
    <row r="148" spans="1:65" x14ac:dyDescent="0.2">
      <c r="A148" s="1">
        <v>45419</v>
      </c>
      <c r="B148" s="2">
        <v>0.25</v>
      </c>
      <c r="C148" s="6">
        <v>45419.25</v>
      </c>
      <c r="D148">
        <v>57.2</v>
      </c>
      <c r="E148">
        <v>61.2</v>
      </c>
      <c r="F148">
        <v>50.6</v>
      </c>
      <c r="G148" t="s">
        <v>6</v>
      </c>
      <c r="H148">
        <v>19.600000000000001</v>
      </c>
      <c r="I148">
        <v>24.8</v>
      </c>
      <c r="J148">
        <v>16.3</v>
      </c>
      <c r="K148" t="s">
        <v>6</v>
      </c>
      <c r="L148">
        <v>213</v>
      </c>
      <c r="M148" t="s">
        <v>6</v>
      </c>
      <c r="O148" s="6">
        <f t="shared" si="318"/>
        <v>45419.25</v>
      </c>
      <c r="P148">
        <f t="shared" si="319"/>
        <v>57.2</v>
      </c>
      <c r="Q148">
        <f t="shared" si="320"/>
        <v>61.2</v>
      </c>
      <c r="R148">
        <f t="shared" si="321"/>
        <v>50.6</v>
      </c>
      <c r="S148">
        <f t="shared" si="322"/>
        <v>58.2</v>
      </c>
      <c r="V148" s="6">
        <f t="shared" si="323"/>
        <v>45419.25</v>
      </c>
      <c r="W148">
        <f t="shared" si="324"/>
        <v>19.600000000000001</v>
      </c>
      <c r="X148">
        <f t="shared" si="325"/>
        <v>24.8</v>
      </c>
      <c r="Y148">
        <f t="shared" si="326"/>
        <v>16.3</v>
      </c>
      <c r="Z148">
        <f t="shared" si="327"/>
        <v>20.6</v>
      </c>
      <c r="AY148" t="s">
        <v>163</v>
      </c>
      <c r="AZ148">
        <f t="shared" ref="AZ148" ca="1" si="390">MIN(ROW(INDIRECT(AY148)))</f>
        <v>3030</v>
      </c>
      <c r="BA148">
        <f t="shared" ref="BA148" ca="1" si="391">MIN(ROW(INDIRECT(AY148))) + ROWS(INDIRECT(AY148)) -1</f>
        <v>3044</v>
      </c>
      <c r="BB148" s="11">
        <f t="shared" si="364"/>
        <v>45447</v>
      </c>
      <c r="BC148" s="10" t="str">
        <f ca="1">IFERROR(AVERAGE(INDIRECT("D" &amp; $AZ148):INDIRECT("D" &amp; $BA148)),"")</f>
        <v/>
      </c>
      <c r="BD148">
        <f ca="1">IFERROR(MAX(INDIRECT("E" &amp; $AZ148):INDIRECT("E" &amp; $BA148)),"")</f>
        <v>0</v>
      </c>
      <c r="BE148">
        <f ca="1">IFERROR(MIN(INDIRECT("F" &amp; $AZ148):INDIRECT("F" &amp; $BA148)),"")</f>
        <v>0</v>
      </c>
      <c r="BF148" s="10" t="e">
        <f t="shared" ref="BF148" ca="1" si="392">BC148+1</f>
        <v>#VALUE!</v>
      </c>
      <c r="BI148" s="11">
        <f t="shared" si="365"/>
        <v>45447</v>
      </c>
      <c r="BJ148" s="10" t="str">
        <f ca="1">IFERROR(AVERAGE(INDIRECT("H" &amp; $AZ148):INDIRECT("H" &amp; $BA148)),"")</f>
        <v/>
      </c>
      <c r="BK148">
        <f ca="1">IFERROR(MAX(INDIRECT("I" &amp; $AZ148):INDIRECT("I" &amp; $BA148)),"")</f>
        <v>0</v>
      </c>
      <c r="BL148">
        <f ca="1">IFERROR(MIN(INDIRECT("J" &amp; $AZ148):INDIRECT("J" &amp; $BA148)),"")</f>
        <v>0</v>
      </c>
      <c r="BM148" s="10" t="e">
        <f t="shared" ref="BM148" ca="1" si="393">BJ148+0.3</f>
        <v>#VALUE!</v>
      </c>
    </row>
    <row r="149" spans="1:65" x14ac:dyDescent="0.2">
      <c r="A149" s="1">
        <v>45419</v>
      </c>
      <c r="B149" s="2">
        <v>0.29166666666666669</v>
      </c>
      <c r="C149" s="6">
        <v>45419.291666666664</v>
      </c>
      <c r="D149">
        <v>60.5</v>
      </c>
      <c r="E149">
        <v>67.2</v>
      </c>
      <c r="F149">
        <v>54.6</v>
      </c>
      <c r="G149" t="s">
        <v>6</v>
      </c>
      <c r="H149">
        <v>18.5</v>
      </c>
      <c r="I149">
        <v>23.7</v>
      </c>
      <c r="J149">
        <v>14.8</v>
      </c>
      <c r="K149" t="s">
        <v>6</v>
      </c>
      <c r="L149">
        <v>214</v>
      </c>
      <c r="M149" t="s">
        <v>6</v>
      </c>
      <c r="O149" s="6">
        <f t="shared" si="318"/>
        <v>45419.291666666664</v>
      </c>
      <c r="P149">
        <f t="shared" si="319"/>
        <v>60.5</v>
      </c>
      <c r="Q149">
        <f t="shared" si="320"/>
        <v>67.2</v>
      </c>
      <c r="R149">
        <f t="shared" si="321"/>
        <v>54.6</v>
      </c>
      <c r="S149">
        <f t="shared" si="322"/>
        <v>61.5</v>
      </c>
      <c r="V149" s="6">
        <f t="shared" si="323"/>
        <v>45419.291666666664</v>
      </c>
      <c r="W149">
        <f t="shared" si="324"/>
        <v>18.5</v>
      </c>
      <c r="X149">
        <f t="shared" si="325"/>
        <v>23.7</v>
      </c>
      <c r="Y149">
        <f t="shared" si="326"/>
        <v>14.8</v>
      </c>
      <c r="Z149">
        <f t="shared" si="327"/>
        <v>19.5</v>
      </c>
      <c r="AY149" t="s">
        <v>164</v>
      </c>
      <c r="AZ149">
        <f t="shared" ref="AZ149" ca="1" si="394">MIN(ROW(INDIRECT(AY149)))</f>
        <v>3045</v>
      </c>
      <c r="BA149">
        <f t="shared" ref="BA149" ca="1" si="395">MIN(ROW(INDIRECT(AY149))) + ROWS(INDIRECT(AY149)) -1</f>
        <v>3060</v>
      </c>
      <c r="BB149" s="11">
        <f t="shared" si="364"/>
        <v>45448</v>
      </c>
      <c r="BC149" s="10" t="str">
        <f ca="1">IFERROR(AVERAGE(INDIRECT("D" &amp; $AZ149):INDIRECT("D" &amp; $BA149)),"")</f>
        <v/>
      </c>
      <c r="BD149">
        <f ca="1">IFERROR(MAX(INDIRECT("E" &amp; $AZ149):INDIRECT("E" &amp; $BA149)),"")</f>
        <v>0</v>
      </c>
      <c r="BE149">
        <f ca="1">IFERROR(MIN(INDIRECT("F" &amp; $AZ149):INDIRECT("F" &amp; $BA149)),"")</f>
        <v>0</v>
      </c>
      <c r="BF149" s="10" t="e">
        <f t="shared" ref="BF149" ca="1" si="396">BC149+1</f>
        <v>#VALUE!</v>
      </c>
      <c r="BI149" s="11">
        <f t="shared" si="365"/>
        <v>45448</v>
      </c>
      <c r="BJ149" s="10" t="str">
        <f ca="1">IFERROR(AVERAGE(INDIRECT("H" &amp; $AZ149):INDIRECT("H" &amp; $BA149)),"")</f>
        <v/>
      </c>
      <c r="BK149">
        <f ca="1">IFERROR(MAX(INDIRECT("I" &amp; $AZ149):INDIRECT("I" &amp; $BA149)),"")</f>
        <v>0</v>
      </c>
      <c r="BL149">
        <f ca="1">IFERROR(MIN(INDIRECT("J" &amp; $AZ149):INDIRECT("J" &amp; $BA149)),"")</f>
        <v>0</v>
      </c>
      <c r="BM149" s="10" t="e">
        <f t="shared" ref="BM149" ca="1" si="397">BJ149+0.3</f>
        <v>#VALUE!</v>
      </c>
    </row>
    <row r="150" spans="1:65" x14ac:dyDescent="0.2">
      <c r="A150" s="14">
        <v>45419</v>
      </c>
      <c r="B150" s="7">
        <v>0.33333333333333331</v>
      </c>
      <c r="C150" s="8">
        <v>45419.333333333336</v>
      </c>
      <c r="D150" s="9">
        <v>61.5</v>
      </c>
      <c r="E150" s="9">
        <v>73.900000000000006</v>
      </c>
      <c r="F150" s="9">
        <v>55.6</v>
      </c>
      <c r="G150" s="9" t="s">
        <v>6</v>
      </c>
      <c r="H150" s="9">
        <v>18.2</v>
      </c>
      <c r="I150" s="9">
        <v>23.7</v>
      </c>
      <c r="J150" s="9">
        <v>15.1</v>
      </c>
      <c r="K150" s="9" t="s">
        <v>6</v>
      </c>
      <c r="L150" s="9">
        <v>194</v>
      </c>
      <c r="M150" t="s">
        <v>6</v>
      </c>
      <c r="O150" s="6">
        <f t="shared" si="318"/>
        <v>45419.333333333336</v>
      </c>
      <c r="P150">
        <f t="shared" si="319"/>
        <v>61.5</v>
      </c>
      <c r="Q150">
        <f t="shared" si="320"/>
        <v>73.900000000000006</v>
      </c>
      <c r="R150">
        <f t="shared" si="321"/>
        <v>55.6</v>
      </c>
      <c r="S150">
        <f t="shared" si="322"/>
        <v>62.5</v>
      </c>
      <c r="V150" s="6">
        <f t="shared" si="323"/>
        <v>45419.333333333336</v>
      </c>
      <c r="W150">
        <f t="shared" si="324"/>
        <v>18.2</v>
      </c>
      <c r="X150">
        <f t="shared" si="325"/>
        <v>23.7</v>
      </c>
      <c r="Y150">
        <f t="shared" si="326"/>
        <v>15.1</v>
      </c>
      <c r="Z150">
        <f t="shared" si="327"/>
        <v>19.2</v>
      </c>
      <c r="AY150" t="s">
        <v>165</v>
      </c>
      <c r="AZ150">
        <f t="shared" ref="AZ150" ca="1" si="398">MIN(ROW(INDIRECT(AY150)))</f>
        <v>3061</v>
      </c>
      <c r="BA150">
        <f t="shared" ref="BA150" ca="1" si="399">MIN(ROW(INDIRECT(AY150))) + ROWS(INDIRECT(AY150)) -1</f>
        <v>3077</v>
      </c>
      <c r="BB150" s="11">
        <f t="shared" si="364"/>
        <v>45449</v>
      </c>
      <c r="BC150" s="10" t="str">
        <f ca="1">IFERROR(AVERAGE(INDIRECT("D" &amp; $AZ150):INDIRECT("D" &amp; $BA150)),"")</f>
        <v/>
      </c>
      <c r="BD150">
        <f ca="1">IFERROR(MAX(INDIRECT("E" &amp; $AZ150):INDIRECT("E" &amp; $BA150)),"")</f>
        <v>0</v>
      </c>
      <c r="BE150">
        <f ca="1">IFERROR(MIN(INDIRECT("F" &amp; $AZ150):INDIRECT("F" &amp; $BA150)),"")</f>
        <v>0</v>
      </c>
      <c r="BF150" s="10" t="e">
        <f t="shared" ref="BF150" ca="1" si="400">BC150+1</f>
        <v>#VALUE!</v>
      </c>
      <c r="BI150" s="11">
        <f t="shared" si="365"/>
        <v>45449</v>
      </c>
      <c r="BJ150" s="10" t="str">
        <f ca="1">IFERROR(AVERAGE(INDIRECT("H" &amp; $AZ150):INDIRECT("H" &amp; $BA150)),"")</f>
        <v/>
      </c>
      <c r="BK150">
        <f ca="1">IFERROR(MAX(INDIRECT("I" &amp; $AZ150):INDIRECT("I" &amp; $BA150)),"")</f>
        <v>0</v>
      </c>
      <c r="BL150">
        <f ca="1">IFERROR(MIN(INDIRECT("J" &amp; $AZ150):INDIRECT("J" &amp; $BA150)),"")</f>
        <v>0</v>
      </c>
      <c r="BM150" s="10" t="e">
        <f t="shared" ref="BM150" ca="1" si="401">BJ150+0.3</f>
        <v>#VALUE!</v>
      </c>
    </row>
    <row r="151" spans="1:65" x14ac:dyDescent="0.2">
      <c r="A151" s="13">
        <v>45419</v>
      </c>
      <c r="B151" s="3">
        <v>0.375</v>
      </c>
      <c r="C151" s="4">
        <v>45419.375</v>
      </c>
      <c r="D151" s="5">
        <v>64.099999999999994</v>
      </c>
      <c r="E151" s="5">
        <v>73.7</v>
      </c>
      <c r="F151" s="5">
        <v>58.9</v>
      </c>
      <c r="G151" s="5" t="s">
        <v>6</v>
      </c>
      <c r="H151" s="5">
        <v>17.899999999999999</v>
      </c>
      <c r="I151" s="5">
        <v>21.1</v>
      </c>
      <c r="J151" s="5">
        <v>15.6</v>
      </c>
      <c r="K151" s="5" t="s">
        <v>6</v>
      </c>
      <c r="L151" s="5">
        <v>230</v>
      </c>
      <c r="M151" t="s">
        <v>6</v>
      </c>
      <c r="O151" s="6">
        <f t="shared" si="318"/>
        <v>45419.375</v>
      </c>
      <c r="P151">
        <f t="shared" si="319"/>
        <v>64.099999999999994</v>
      </c>
      <c r="Q151">
        <f t="shared" si="320"/>
        <v>73.7</v>
      </c>
      <c r="R151">
        <f t="shared" si="321"/>
        <v>58.9</v>
      </c>
      <c r="S151">
        <f t="shared" si="322"/>
        <v>65.099999999999994</v>
      </c>
      <c r="V151" s="6">
        <f t="shared" si="323"/>
        <v>45419.375</v>
      </c>
      <c r="W151">
        <f t="shared" si="324"/>
        <v>17.899999999999999</v>
      </c>
      <c r="X151">
        <f t="shared" si="325"/>
        <v>21.1</v>
      </c>
      <c r="Y151">
        <f t="shared" si="326"/>
        <v>15.6</v>
      </c>
      <c r="Z151">
        <f t="shared" si="327"/>
        <v>18.899999999999999</v>
      </c>
      <c r="AY151" t="s">
        <v>166</v>
      </c>
      <c r="AZ151">
        <f t="shared" ref="AZ151" ca="1" si="402">MIN(ROW(INDIRECT(AY151)))</f>
        <v>3078</v>
      </c>
      <c r="BA151">
        <f t="shared" ref="BA151" ca="1" si="403">MIN(ROW(INDIRECT(AY151))) + ROWS(INDIRECT(AY151)) -1</f>
        <v>3095</v>
      </c>
      <c r="BB151" s="11">
        <f t="shared" si="364"/>
        <v>45450</v>
      </c>
      <c r="BC151" s="10" t="str">
        <f ca="1">IFERROR(AVERAGE(INDIRECT("D" &amp; $AZ151):INDIRECT("D" &amp; $BA151)),"")</f>
        <v/>
      </c>
      <c r="BD151">
        <f ca="1">IFERROR(MAX(INDIRECT("E" &amp; $AZ151):INDIRECT("E" &amp; $BA151)),"")</f>
        <v>0</v>
      </c>
      <c r="BE151">
        <f ca="1">IFERROR(MIN(INDIRECT("F" &amp; $AZ151):INDIRECT("F" &amp; $BA151)),"")</f>
        <v>0</v>
      </c>
      <c r="BF151" s="10" t="e">
        <f t="shared" ref="BF151" ca="1" si="404">BC151+1</f>
        <v>#VALUE!</v>
      </c>
      <c r="BI151" s="11">
        <f t="shared" si="365"/>
        <v>45450</v>
      </c>
      <c r="BJ151" s="10" t="str">
        <f ca="1">IFERROR(AVERAGE(INDIRECT("H" &amp; $AZ151):INDIRECT("H" &amp; $BA151)),"")</f>
        <v/>
      </c>
      <c r="BK151">
        <f ca="1">IFERROR(MAX(INDIRECT("I" &amp; $AZ151):INDIRECT("I" &amp; $BA151)),"")</f>
        <v>0</v>
      </c>
      <c r="BL151">
        <f ca="1">IFERROR(MIN(INDIRECT("J" &amp; $AZ151):INDIRECT("J" &amp; $BA151)),"")</f>
        <v>0</v>
      </c>
      <c r="BM151" s="10" t="e">
        <f t="shared" ref="BM151" ca="1" si="405">BJ151+0.3</f>
        <v>#VALUE!</v>
      </c>
    </row>
    <row r="152" spans="1:65" x14ac:dyDescent="0.2">
      <c r="A152" s="1">
        <v>45419</v>
      </c>
      <c r="B152" s="2">
        <v>0.41666666666666669</v>
      </c>
      <c r="C152" s="6">
        <v>45419.416666666664</v>
      </c>
      <c r="D152">
        <v>60.7</v>
      </c>
      <c r="E152">
        <v>69.400000000000006</v>
      </c>
      <c r="F152">
        <v>55.6</v>
      </c>
      <c r="G152" t="s">
        <v>6</v>
      </c>
      <c r="H152">
        <v>17.600000000000001</v>
      </c>
      <c r="I152">
        <v>21.8</v>
      </c>
      <c r="J152">
        <v>14.5</v>
      </c>
      <c r="K152" t="s">
        <v>6</v>
      </c>
      <c r="L152">
        <v>203</v>
      </c>
      <c r="M152" t="s">
        <v>6</v>
      </c>
      <c r="O152" s="6">
        <f t="shared" si="318"/>
        <v>45419.416666666664</v>
      </c>
      <c r="P152">
        <f t="shared" si="319"/>
        <v>60.7</v>
      </c>
      <c r="Q152">
        <f t="shared" si="320"/>
        <v>69.400000000000006</v>
      </c>
      <c r="R152">
        <f t="shared" si="321"/>
        <v>55.6</v>
      </c>
      <c r="S152">
        <f t="shared" si="322"/>
        <v>61.7</v>
      </c>
      <c r="V152" s="6">
        <f t="shared" si="323"/>
        <v>45419.416666666664</v>
      </c>
      <c r="W152">
        <f t="shared" si="324"/>
        <v>17.600000000000001</v>
      </c>
      <c r="X152">
        <f t="shared" si="325"/>
        <v>21.8</v>
      </c>
      <c r="Y152">
        <f t="shared" si="326"/>
        <v>14.5</v>
      </c>
      <c r="Z152">
        <f t="shared" si="327"/>
        <v>18.600000000000001</v>
      </c>
      <c r="AY152" t="s">
        <v>167</v>
      </c>
      <c r="AZ152">
        <f t="shared" ref="AZ152:AZ154" ca="1" si="406">MIN(ROW(INDIRECT(AY152)))</f>
        <v>3096</v>
      </c>
      <c r="BA152">
        <f t="shared" ref="BA152:BA154" ca="1" si="407">MIN(ROW(INDIRECT(AY152))) + ROWS(INDIRECT(AY152)) -1</f>
        <v>3118</v>
      </c>
      <c r="BB152" s="11">
        <f t="shared" si="364"/>
        <v>45451</v>
      </c>
      <c r="BC152" s="10" t="str">
        <f ca="1">IFERROR(AVERAGE(INDIRECT("D" &amp; $AZ152):INDIRECT("D" &amp; $BA152)),"")</f>
        <v/>
      </c>
      <c r="BD152">
        <f ca="1">IFERROR(MAX(INDIRECT("E" &amp; $AZ152):INDIRECT("E" &amp; $BA152)),"")</f>
        <v>0</v>
      </c>
      <c r="BE152">
        <f ca="1">IFERROR(MIN(INDIRECT("F" &amp; $AZ152):INDIRECT("F" &amp; $BA152)),"")</f>
        <v>0</v>
      </c>
      <c r="BF152" s="10" t="e">
        <f t="shared" ref="BF152:BF154" ca="1" si="408">BC152+1</f>
        <v>#VALUE!</v>
      </c>
      <c r="BI152" s="11">
        <f t="shared" si="365"/>
        <v>45451</v>
      </c>
      <c r="BJ152" s="10" t="str">
        <f ca="1">IFERROR(AVERAGE(INDIRECT("H" &amp; $AZ152):INDIRECT("H" &amp; $BA152)),"")</f>
        <v/>
      </c>
      <c r="BK152">
        <f ca="1">IFERROR(MAX(INDIRECT("I" &amp; $AZ152):INDIRECT("I" &amp; $BA152)),"")</f>
        <v>0</v>
      </c>
      <c r="BL152">
        <f ca="1">IFERROR(MIN(INDIRECT("J" &amp; $AZ152):INDIRECT("J" &amp; $BA152)),"")</f>
        <v>0</v>
      </c>
      <c r="BM152" s="10" t="e">
        <f t="shared" ref="BM152:BM154" ca="1" si="409">BJ152+0.3</f>
        <v>#VALUE!</v>
      </c>
    </row>
    <row r="153" spans="1:65" x14ac:dyDescent="0.2">
      <c r="A153" s="1">
        <v>45419</v>
      </c>
      <c r="B153" s="2">
        <v>0.45833333333333331</v>
      </c>
      <c r="C153" s="6">
        <v>45419.458333333336</v>
      </c>
      <c r="D153">
        <v>63.7</v>
      </c>
      <c r="E153">
        <v>72.900000000000006</v>
      </c>
      <c r="F153">
        <v>57.2</v>
      </c>
      <c r="G153" t="s">
        <v>6</v>
      </c>
      <c r="H153">
        <v>17.899999999999999</v>
      </c>
      <c r="I153">
        <v>22.9</v>
      </c>
      <c r="J153">
        <v>13.8</v>
      </c>
      <c r="K153" t="s">
        <v>6</v>
      </c>
      <c r="L153">
        <v>221</v>
      </c>
      <c r="M153" t="s">
        <v>6</v>
      </c>
      <c r="O153" s="6">
        <f t="shared" si="318"/>
        <v>45419.458333333336</v>
      </c>
      <c r="P153">
        <f t="shared" si="319"/>
        <v>63.7</v>
      </c>
      <c r="Q153">
        <f t="shared" si="320"/>
        <v>72.900000000000006</v>
      </c>
      <c r="R153">
        <f t="shared" si="321"/>
        <v>57.2</v>
      </c>
      <c r="S153">
        <f t="shared" si="322"/>
        <v>64.7</v>
      </c>
      <c r="V153" s="6">
        <f t="shared" si="323"/>
        <v>45419.458333333336</v>
      </c>
      <c r="W153">
        <f t="shared" si="324"/>
        <v>17.899999999999999</v>
      </c>
      <c r="X153">
        <f t="shared" si="325"/>
        <v>22.9</v>
      </c>
      <c r="Y153">
        <f t="shared" si="326"/>
        <v>13.8</v>
      </c>
      <c r="Z153">
        <f t="shared" si="327"/>
        <v>18.899999999999999</v>
      </c>
      <c r="AY153" t="s">
        <v>168</v>
      </c>
      <c r="AZ153">
        <f t="shared" ca="1" si="406"/>
        <v>3119</v>
      </c>
      <c r="BA153">
        <f t="shared" ca="1" si="407"/>
        <v>3138</v>
      </c>
      <c r="BB153" s="11">
        <f t="shared" si="364"/>
        <v>45452</v>
      </c>
      <c r="BC153" s="10" t="str">
        <f ca="1">IFERROR(AVERAGE(INDIRECT("D" &amp; $AZ153):INDIRECT("D" &amp; $BA153)),"")</f>
        <v/>
      </c>
      <c r="BD153">
        <f ca="1">IFERROR(MAX(INDIRECT("E" &amp; $AZ153):INDIRECT("E" &amp; $BA153)),"")</f>
        <v>0</v>
      </c>
      <c r="BE153">
        <f ca="1">IFERROR(MIN(INDIRECT("F" &amp; $AZ153):INDIRECT("F" &amp; $BA153)),"")</f>
        <v>0</v>
      </c>
      <c r="BF153" s="10" t="e">
        <f t="shared" ca="1" si="408"/>
        <v>#VALUE!</v>
      </c>
      <c r="BI153" s="11">
        <f t="shared" si="365"/>
        <v>45452</v>
      </c>
      <c r="BJ153" s="10" t="str">
        <f ca="1">IFERROR(AVERAGE(INDIRECT("H" &amp; $AZ153):INDIRECT("H" &amp; $BA153)),"")</f>
        <v/>
      </c>
      <c r="BK153">
        <f ca="1">IFERROR(MAX(INDIRECT("I" &amp; $AZ153):INDIRECT("I" &amp; $BA153)),"")</f>
        <v>0</v>
      </c>
      <c r="BL153">
        <f ca="1">IFERROR(MIN(INDIRECT("J" &amp; $AZ153):INDIRECT("J" &amp; $BA153)),"")</f>
        <v>0</v>
      </c>
      <c r="BM153" s="10" t="e">
        <f t="shared" ca="1" si="409"/>
        <v>#VALUE!</v>
      </c>
    </row>
    <row r="154" spans="1:65" x14ac:dyDescent="0.2">
      <c r="A154" s="1">
        <v>45419</v>
      </c>
      <c r="B154" s="2">
        <v>0.5</v>
      </c>
      <c r="C154" s="6">
        <v>45419.5</v>
      </c>
      <c r="D154">
        <v>72.8</v>
      </c>
      <c r="E154">
        <v>80.099999999999994</v>
      </c>
      <c r="F154">
        <v>56.7</v>
      </c>
      <c r="G154" t="s">
        <v>6</v>
      </c>
      <c r="H154">
        <v>20.399999999999999</v>
      </c>
      <c r="I154">
        <v>26.5</v>
      </c>
      <c r="J154">
        <v>15.2</v>
      </c>
      <c r="K154" t="s">
        <v>6</v>
      </c>
      <c r="L154">
        <v>220</v>
      </c>
      <c r="M154" t="s">
        <v>6</v>
      </c>
      <c r="O154" s="6">
        <f t="shared" si="318"/>
        <v>45419.5</v>
      </c>
      <c r="P154">
        <f t="shared" si="319"/>
        <v>72.8</v>
      </c>
      <c r="Q154">
        <f t="shared" si="320"/>
        <v>80.099999999999994</v>
      </c>
      <c r="R154">
        <f t="shared" si="321"/>
        <v>56.7</v>
      </c>
      <c r="S154">
        <f t="shared" si="322"/>
        <v>73.8</v>
      </c>
      <c r="V154" s="6">
        <f t="shared" si="323"/>
        <v>45419.5</v>
      </c>
      <c r="W154">
        <f t="shared" si="324"/>
        <v>20.399999999999999</v>
      </c>
      <c r="X154">
        <f t="shared" si="325"/>
        <v>26.5</v>
      </c>
      <c r="Y154">
        <f t="shared" si="326"/>
        <v>15.2</v>
      </c>
      <c r="Z154">
        <f t="shared" si="327"/>
        <v>21.4</v>
      </c>
      <c r="AY154" t="s">
        <v>169</v>
      </c>
      <c r="AZ154">
        <f t="shared" ca="1" si="406"/>
        <v>3139</v>
      </c>
      <c r="BA154">
        <f t="shared" ca="1" si="407"/>
        <v>3154</v>
      </c>
      <c r="BB154" s="11">
        <f t="shared" si="364"/>
        <v>45453</v>
      </c>
      <c r="BC154" s="10" t="str">
        <f ca="1">IFERROR(AVERAGE(INDIRECT("D" &amp; $AZ154):INDIRECT("D" &amp; $BA154)),"")</f>
        <v/>
      </c>
      <c r="BD154">
        <f ca="1">IFERROR(MAX(INDIRECT("E" &amp; $AZ154):INDIRECT("E" &amp; $BA154)),"")</f>
        <v>0</v>
      </c>
      <c r="BE154">
        <f ca="1">IFERROR(MIN(INDIRECT("F" &amp; $AZ154):INDIRECT("F" &amp; $BA154)),"")</f>
        <v>0</v>
      </c>
      <c r="BF154" s="10" t="e">
        <f t="shared" ca="1" si="408"/>
        <v>#VALUE!</v>
      </c>
      <c r="BI154" s="11">
        <f t="shared" si="365"/>
        <v>45453</v>
      </c>
      <c r="BJ154" s="10" t="str">
        <f ca="1">IFERROR(AVERAGE(INDIRECT("H" &amp; $AZ154):INDIRECT("H" &amp; $BA154)),"")</f>
        <v/>
      </c>
      <c r="BK154">
        <f ca="1">IFERROR(MAX(INDIRECT("I" &amp; $AZ154):INDIRECT("I" &amp; $BA154)),"")</f>
        <v>0</v>
      </c>
      <c r="BL154">
        <f ca="1">IFERROR(MIN(INDIRECT("J" &amp; $AZ154):INDIRECT("J" &amp; $BA154)),"")</f>
        <v>0</v>
      </c>
      <c r="BM154" s="10" t="e">
        <f t="shared" ca="1" si="409"/>
        <v>#VALUE!</v>
      </c>
    </row>
    <row r="155" spans="1:65" x14ac:dyDescent="0.2">
      <c r="A155" s="1">
        <v>45419</v>
      </c>
      <c r="B155" s="2">
        <v>0.54166666666666663</v>
      </c>
      <c r="C155" s="6">
        <v>45419.541666666664</v>
      </c>
      <c r="D155">
        <v>75.099999999999994</v>
      </c>
      <c r="E155">
        <v>84.2</v>
      </c>
      <c r="F155">
        <v>64.400000000000006</v>
      </c>
      <c r="G155" t="s">
        <v>6</v>
      </c>
      <c r="H155">
        <v>17.7</v>
      </c>
      <c r="I155">
        <v>21.6</v>
      </c>
      <c r="J155">
        <v>14.6</v>
      </c>
      <c r="K155" t="s">
        <v>6</v>
      </c>
      <c r="L155">
        <v>227</v>
      </c>
      <c r="M155" t="s">
        <v>6</v>
      </c>
      <c r="O155" s="6">
        <f t="shared" si="318"/>
        <v>45419.541666666664</v>
      </c>
      <c r="P155">
        <f t="shared" si="319"/>
        <v>75.099999999999994</v>
      </c>
      <c r="Q155">
        <f t="shared" si="320"/>
        <v>84.2</v>
      </c>
      <c r="R155">
        <f t="shared" si="321"/>
        <v>64.400000000000006</v>
      </c>
      <c r="S155">
        <f t="shared" si="322"/>
        <v>76.099999999999994</v>
      </c>
      <c r="V155" s="6">
        <f t="shared" si="323"/>
        <v>45419.541666666664</v>
      </c>
      <c r="W155">
        <f t="shared" si="324"/>
        <v>17.7</v>
      </c>
      <c r="X155">
        <f t="shared" si="325"/>
        <v>21.6</v>
      </c>
      <c r="Y155">
        <f t="shared" si="326"/>
        <v>14.6</v>
      </c>
      <c r="Z155">
        <f t="shared" si="327"/>
        <v>18.7</v>
      </c>
      <c r="AY155" t="s">
        <v>170</v>
      </c>
      <c r="AZ155">
        <f t="shared" ref="AZ155" ca="1" si="410">MIN(ROW(INDIRECT(AY155)))</f>
        <v>3155</v>
      </c>
      <c r="BA155">
        <f t="shared" ref="BA155" ca="1" si="411">MIN(ROW(INDIRECT(AY155))) + ROWS(INDIRECT(AY155)) -1</f>
        <v>3171</v>
      </c>
      <c r="BB155" s="11">
        <f t="shared" si="364"/>
        <v>45454</v>
      </c>
      <c r="BC155" s="10" t="str">
        <f ca="1">IFERROR(AVERAGE(INDIRECT("D" &amp; $AZ155):INDIRECT("D" &amp; $BA155)),"")</f>
        <v/>
      </c>
      <c r="BD155">
        <f ca="1">IFERROR(MAX(INDIRECT("E" &amp; $AZ155):INDIRECT("E" &amp; $BA155)),"")</f>
        <v>0</v>
      </c>
      <c r="BE155">
        <f ca="1">IFERROR(MIN(INDIRECT("F" &amp; $AZ155):INDIRECT("F" &amp; $BA155)),"")</f>
        <v>0</v>
      </c>
      <c r="BF155" s="10" t="e">
        <f t="shared" ref="BF155" ca="1" si="412">BC155+1</f>
        <v>#VALUE!</v>
      </c>
      <c r="BI155" s="11">
        <f t="shared" si="365"/>
        <v>45454</v>
      </c>
      <c r="BJ155" s="10" t="str">
        <f ca="1">IFERROR(AVERAGE(INDIRECT("H" &amp; $AZ155):INDIRECT("H" &amp; $BA155)),"")</f>
        <v/>
      </c>
      <c r="BK155">
        <f ca="1">IFERROR(MAX(INDIRECT("I" &amp; $AZ155):INDIRECT("I" &amp; $BA155)),"")</f>
        <v>0</v>
      </c>
      <c r="BL155">
        <f ca="1">IFERROR(MIN(INDIRECT("J" &amp; $AZ155):INDIRECT("J" &amp; $BA155)),"")</f>
        <v>0</v>
      </c>
      <c r="BM155" s="10" t="e">
        <f t="shared" ref="BM155" ca="1" si="413">BJ155+0.3</f>
        <v>#VALUE!</v>
      </c>
    </row>
    <row r="156" spans="1:65" x14ac:dyDescent="0.2">
      <c r="A156" s="1">
        <v>45419</v>
      </c>
      <c r="B156" s="2">
        <v>0.58333333333333337</v>
      </c>
      <c r="C156" s="6">
        <v>45419.583333333336</v>
      </c>
      <c r="D156">
        <v>63.3</v>
      </c>
      <c r="E156">
        <v>72.3</v>
      </c>
      <c r="F156">
        <v>55.1</v>
      </c>
      <c r="G156" t="s">
        <v>6</v>
      </c>
      <c r="H156">
        <v>17.7</v>
      </c>
      <c r="I156">
        <v>21.2</v>
      </c>
      <c r="J156">
        <v>14.2</v>
      </c>
      <c r="K156" t="s">
        <v>6</v>
      </c>
      <c r="L156">
        <v>223</v>
      </c>
      <c r="M156" t="s">
        <v>6</v>
      </c>
      <c r="O156" s="6">
        <f t="shared" si="318"/>
        <v>45419.583333333336</v>
      </c>
      <c r="P156">
        <f t="shared" si="319"/>
        <v>63.3</v>
      </c>
      <c r="Q156">
        <f t="shared" si="320"/>
        <v>72.3</v>
      </c>
      <c r="R156">
        <f t="shared" si="321"/>
        <v>55.1</v>
      </c>
      <c r="S156">
        <f t="shared" si="322"/>
        <v>64.3</v>
      </c>
      <c r="V156" s="6">
        <f t="shared" si="323"/>
        <v>45419.583333333336</v>
      </c>
      <c r="W156">
        <f t="shared" si="324"/>
        <v>17.7</v>
      </c>
      <c r="X156">
        <f t="shared" si="325"/>
        <v>21.2</v>
      </c>
      <c r="Y156">
        <f t="shared" si="326"/>
        <v>14.2</v>
      </c>
      <c r="Z156">
        <f t="shared" si="327"/>
        <v>18.7</v>
      </c>
      <c r="AY156" t="s">
        <v>171</v>
      </c>
      <c r="AZ156">
        <f t="shared" ref="AZ156" ca="1" si="414">MIN(ROW(INDIRECT(AY156)))</f>
        <v>3172</v>
      </c>
      <c r="BA156">
        <f t="shared" ref="BA156" ca="1" si="415">MIN(ROW(INDIRECT(AY156))) + ROWS(INDIRECT(AY156)) -1</f>
        <v>3188</v>
      </c>
      <c r="BB156" s="11">
        <f t="shared" si="364"/>
        <v>45455</v>
      </c>
      <c r="BC156" s="10" t="str">
        <f ca="1">IFERROR(AVERAGE(INDIRECT("D" &amp; $AZ156):INDIRECT("D" &amp; $BA156)),"")</f>
        <v/>
      </c>
      <c r="BD156">
        <f ca="1">IFERROR(MAX(INDIRECT("E" &amp; $AZ156):INDIRECT("E" &amp; $BA156)),"")</f>
        <v>0</v>
      </c>
      <c r="BE156">
        <f ca="1">IFERROR(MIN(INDIRECT("F" &amp; $AZ156):INDIRECT("F" &amp; $BA156)),"")</f>
        <v>0</v>
      </c>
      <c r="BF156" s="10" t="e">
        <f t="shared" ref="BF156" ca="1" si="416">BC156+1</f>
        <v>#VALUE!</v>
      </c>
      <c r="BI156" s="11">
        <f t="shared" si="365"/>
        <v>45455</v>
      </c>
      <c r="BJ156" s="10" t="str">
        <f ca="1">IFERROR(AVERAGE(INDIRECT("H" &amp; $AZ156):INDIRECT("H" &amp; $BA156)),"")</f>
        <v/>
      </c>
      <c r="BK156">
        <f ca="1">IFERROR(MAX(INDIRECT("I" &amp; $AZ156):INDIRECT("I" &amp; $BA156)),"")</f>
        <v>0</v>
      </c>
      <c r="BL156">
        <f ca="1">IFERROR(MIN(INDIRECT("J" &amp; $AZ156):INDIRECT("J" &amp; $BA156)),"")</f>
        <v>0</v>
      </c>
      <c r="BM156" s="10" t="e">
        <f t="shared" ref="BM156" ca="1" si="417">BJ156+0.3</f>
        <v>#VALUE!</v>
      </c>
    </row>
    <row r="157" spans="1:65" x14ac:dyDescent="0.2">
      <c r="A157" s="1">
        <v>45419</v>
      </c>
      <c r="B157" s="2">
        <v>0.625</v>
      </c>
      <c r="C157" s="6">
        <v>45419.625</v>
      </c>
      <c r="D157">
        <v>65.8</v>
      </c>
      <c r="E157">
        <v>72.2</v>
      </c>
      <c r="F157">
        <v>59.4</v>
      </c>
      <c r="G157" t="s">
        <v>6</v>
      </c>
      <c r="H157">
        <v>18.8</v>
      </c>
      <c r="I157">
        <v>23.3</v>
      </c>
      <c r="J157">
        <v>15.4</v>
      </c>
      <c r="K157" t="s">
        <v>6</v>
      </c>
      <c r="L157">
        <v>227</v>
      </c>
      <c r="M157" t="s">
        <v>6</v>
      </c>
      <c r="O157" s="6">
        <f t="shared" si="318"/>
        <v>45419.625</v>
      </c>
      <c r="P157">
        <f t="shared" si="319"/>
        <v>65.8</v>
      </c>
      <c r="Q157">
        <f t="shared" si="320"/>
        <v>72.2</v>
      </c>
      <c r="R157">
        <f t="shared" si="321"/>
        <v>59.4</v>
      </c>
      <c r="S157">
        <f t="shared" si="322"/>
        <v>66.8</v>
      </c>
      <c r="V157" s="6">
        <f t="shared" si="323"/>
        <v>45419.625</v>
      </c>
      <c r="W157">
        <f t="shared" si="324"/>
        <v>18.8</v>
      </c>
      <c r="X157">
        <f t="shared" si="325"/>
        <v>23.3</v>
      </c>
      <c r="Y157">
        <f t="shared" si="326"/>
        <v>15.4</v>
      </c>
      <c r="Z157">
        <f t="shared" si="327"/>
        <v>19.8</v>
      </c>
      <c r="AY157" t="s">
        <v>172</v>
      </c>
      <c r="AZ157">
        <f t="shared" ref="AZ157" ca="1" si="418">MIN(ROW(INDIRECT(AY157)))</f>
        <v>3189</v>
      </c>
      <c r="BA157">
        <f t="shared" ref="BA157" ca="1" si="419">MIN(ROW(INDIRECT(AY157))) + ROWS(INDIRECT(AY157)) -1</f>
        <v>3205</v>
      </c>
      <c r="BB157" s="11">
        <f t="shared" si="364"/>
        <v>45456</v>
      </c>
      <c r="BC157" s="10" t="str">
        <f ca="1">IFERROR(AVERAGE(INDIRECT("D" &amp; $AZ157):INDIRECT("D" &amp; $BA157)),"")</f>
        <v/>
      </c>
      <c r="BD157">
        <f ca="1">IFERROR(MAX(INDIRECT("E" &amp; $AZ157):INDIRECT("E" &amp; $BA157)),"")</f>
        <v>0</v>
      </c>
      <c r="BE157">
        <f ca="1">IFERROR(MIN(INDIRECT("F" &amp; $AZ157):INDIRECT("F" &amp; $BA157)),"")</f>
        <v>0</v>
      </c>
      <c r="BF157" s="10" t="e">
        <f t="shared" ref="BF157" ca="1" si="420">BC157+1</f>
        <v>#VALUE!</v>
      </c>
      <c r="BI157" s="11">
        <f t="shared" si="365"/>
        <v>45456</v>
      </c>
      <c r="BJ157" s="10" t="str">
        <f ca="1">IFERROR(AVERAGE(INDIRECT("H" &amp; $AZ157):INDIRECT("H" &amp; $BA157)),"")</f>
        <v/>
      </c>
      <c r="BK157">
        <f ca="1">IFERROR(MAX(INDIRECT("I" &amp; $AZ157):INDIRECT("I" &amp; $BA157)),"")</f>
        <v>0</v>
      </c>
      <c r="BL157">
        <f ca="1">IFERROR(MIN(INDIRECT("J" &amp; $AZ157):INDIRECT("J" &amp; $BA157)),"")</f>
        <v>0</v>
      </c>
      <c r="BM157" s="10" t="e">
        <f t="shared" ref="BM157" ca="1" si="421">BJ157+0.3</f>
        <v>#VALUE!</v>
      </c>
    </row>
    <row r="158" spans="1:65" x14ac:dyDescent="0.2">
      <c r="A158" s="1">
        <v>45419</v>
      </c>
      <c r="B158" s="2">
        <v>0.66666666666666663</v>
      </c>
      <c r="C158" s="6">
        <v>45419.666666666664</v>
      </c>
      <c r="D158">
        <v>75.7</v>
      </c>
      <c r="E158">
        <v>85</v>
      </c>
      <c r="F158">
        <v>62.1</v>
      </c>
      <c r="G158" t="s">
        <v>6</v>
      </c>
      <c r="H158">
        <v>22.5</v>
      </c>
      <c r="I158">
        <v>41.1</v>
      </c>
      <c r="J158">
        <v>17.100000000000001</v>
      </c>
      <c r="K158" t="s">
        <v>6</v>
      </c>
      <c r="L158">
        <v>182</v>
      </c>
      <c r="M158" t="s">
        <v>6</v>
      </c>
      <c r="O158" s="6">
        <f t="shared" si="318"/>
        <v>45419.666666666664</v>
      </c>
      <c r="P158">
        <f t="shared" si="319"/>
        <v>75.7</v>
      </c>
      <c r="Q158">
        <f t="shared" si="320"/>
        <v>85</v>
      </c>
      <c r="R158">
        <f t="shared" si="321"/>
        <v>62.1</v>
      </c>
      <c r="S158">
        <f t="shared" si="322"/>
        <v>76.7</v>
      </c>
      <c r="V158" s="6">
        <f t="shared" si="323"/>
        <v>45419.666666666664</v>
      </c>
      <c r="W158">
        <f t="shared" si="324"/>
        <v>22.5</v>
      </c>
      <c r="X158">
        <f t="shared" si="325"/>
        <v>41.1</v>
      </c>
      <c r="Y158">
        <f t="shared" si="326"/>
        <v>17.100000000000001</v>
      </c>
      <c r="Z158">
        <f t="shared" si="327"/>
        <v>23.5</v>
      </c>
      <c r="AY158" t="s">
        <v>173</v>
      </c>
      <c r="AZ158">
        <f t="shared" ref="AZ158" ca="1" si="422">MIN(ROW(INDIRECT(AY158)))</f>
        <v>3206</v>
      </c>
      <c r="BA158">
        <f t="shared" ref="BA158" ca="1" si="423">MIN(ROW(INDIRECT(AY158))) + ROWS(INDIRECT(AY158)) -1</f>
        <v>3223</v>
      </c>
      <c r="BB158" s="11">
        <f t="shared" si="364"/>
        <v>45457</v>
      </c>
      <c r="BC158" s="10" t="str">
        <f ca="1">IFERROR(AVERAGE(INDIRECT("D" &amp; $AZ158):INDIRECT("D" &amp; $BA158)),"")</f>
        <v/>
      </c>
      <c r="BD158">
        <f ca="1">IFERROR(MAX(INDIRECT("E" &amp; $AZ158):INDIRECT("E" &amp; $BA158)),"")</f>
        <v>0</v>
      </c>
      <c r="BE158">
        <f ca="1">IFERROR(MIN(INDIRECT("F" &amp; $AZ158):INDIRECT("F" &amp; $BA158)),"")</f>
        <v>0</v>
      </c>
      <c r="BF158" s="10" t="e">
        <f t="shared" ref="BF158" ca="1" si="424">BC158+1</f>
        <v>#VALUE!</v>
      </c>
      <c r="BI158" s="11">
        <f t="shared" si="365"/>
        <v>45457</v>
      </c>
      <c r="BJ158" s="10" t="str">
        <f ca="1">IFERROR(AVERAGE(INDIRECT("H" &amp; $AZ158):INDIRECT("H" &amp; $BA158)),"")</f>
        <v/>
      </c>
      <c r="BK158">
        <f ca="1">IFERROR(MAX(INDIRECT("I" &amp; $AZ158):INDIRECT("I" &amp; $BA158)),"")</f>
        <v>0</v>
      </c>
      <c r="BL158">
        <f ca="1">IFERROR(MIN(INDIRECT("J" &amp; $AZ158):INDIRECT("J" &amp; $BA158)),"")</f>
        <v>0</v>
      </c>
      <c r="BM158" s="10" t="e">
        <f t="shared" ref="BM158" ca="1" si="425">BJ158+0.3</f>
        <v>#VALUE!</v>
      </c>
    </row>
    <row r="159" spans="1:65" x14ac:dyDescent="0.2">
      <c r="A159" s="1">
        <v>45419</v>
      </c>
      <c r="B159" s="2">
        <v>0.70833333333333337</v>
      </c>
      <c r="C159" s="6">
        <v>45419.708333333336</v>
      </c>
      <c r="D159">
        <v>74.400000000000006</v>
      </c>
      <c r="E159">
        <v>83.8</v>
      </c>
      <c r="F159">
        <v>59.6</v>
      </c>
      <c r="G159" t="s">
        <v>6</v>
      </c>
      <c r="H159">
        <v>21.7</v>
      </c>
      <c r="I159">
        <v>28.1</v>
      </c>
      <c r="J159">
        <v>16.8</v>
      </c>
      <c r="K159" t="s">
        <v>6</v>
      </c>
      <c r="L159">
        <v>194</v>
      </c>
      <c r="M159" t="s">
        <v>6</v>
      </c>
      <c r="O159" s="6">
        <f t="shared" si="318"/>
        <v>45419.708333333336</v>
      </c>
      <c r="P159">
        <f t="shared" si="319"/>
        <v>74.400000000000006</v>
      </c>
      <c r="Q159">
        <f t="shared" si="320"/>
        <v>83.8</v>
      </c>
      <c r="R159">
        <f t="shared" si="321"/>
        <v>59.6</v>
      </c>
      <c r="S159">
        <f t="shared" si="322"/>
        <v>75.400000000000006</v>
      </c>
      <c r="V159" s="6">
        <f t="shared" si="323"/>
        <v>45419.708333333336</v>
      </c>
      <c r="W159">
        <f t="shared" si="324"/>
        <v>21.7</v>
      </c>
      <c r="X159">
        <f t="shared" si="325"/>
        <v>28.1</v>
      </c>
      <c r="Y159">
        <f t="shared" si="326"/>
        <v>16.8</v>
      </c>
      <c r="Z159">
        <f t="shared" si="327"/>
        <v>22.7</v>
      </c>
      <c r="AY159" t="s">
        <v>174</v>
      </c>
      <c r="AZ159">
        <f t="shared" ref="AZ159:AZ161" ca="1" si="426">MIN(ROW(INDIRECT(AY159)))</f>
        <v>3224</v>
      </c>
      <c r="BA159">
        <f t="shared" ref="BA159:BA161" ca="1" si="427">MIN(ROW(INDIRECT(AY159))) + ROWS(INDIRECT(AY159)) -1</f>
        <v>3242</v>
      </c>
      <c r="BB159" s="11">
        <f t="shared" si="364"/>
        <v>45458</v>
      </c>
      <c r="BC159" s="10" t="str">
        <f ca="1">IFERROR(AVERAGE(INDIRECT("D" &amp; $AZ159):INDIRECT("D" &amp; $BA159)),"")</f>
        <v/>
      </c>
      <c r="BD159">
        <f ca="1">IFERROR(MAX(INDIRECT("E" &amp; $AZ159):INDIRECT("E" &amp; $BA159)),"")</f>
        <v>0</v>
      </c>
      <c r="BE159">
        <f ca="1">IFERROR(MIN(INDIRECT("F" &amp; $AZ159):INDIRECT("F" &amp; $BA159)),"")</f>
        <v>0</v>
      </c>
      <c r="BF159" s="10" t="e">
        <f t="shared" ref="BF159:BF161" ca="1" si="428">BC159+1</f>
        <v>#VALUE!</v>
      </c>
      <c r="BI159" s="11">
        <f t="shared" si="365"/>
        <v>45458</v>
      </c>
      <c r="BJ159" s="10" t="str">
        <f ca="1">IFERROR(AVERAGE(INDIRECT("H" &amp; $AZ159):INDIRECT("H" &amp; $BA159)),"")</f>
        <v/>
      </c>
      <c r="BK159">
        <f ca="1">IFERROR(MAX(INDIRECT("I" &amp; $AZ159):INDIRECT("I" &amp; $BA159)),"")</f>
        <v>0</v>
      </c>
      <c r="BL159">
        <f ca="1">IFERROR(MIN(INDIRECT("J" &amp; $AZ159):INDIRECT("J" &amp; $BA159)),"")</f>
        <v>0</v>
      </c>
      <c r="BM159" s="10" t="e">
        <f t="shared" ref="BM159:BM161" ca="1" si="429">BJ159+0.3</f>
        <v>#VALUE!</v>
      </c>
    </row>
    <row r="160" spans="1:65" x14ac:dyDescent="0.2">
      <c r="A160" s="1">
        <v>45419</v>
      </c>
      <c r="B160" s="2">
        <v>0.75</v>
      </c>
      <c r="C160" s="6">
        <v>45419.75</v>
      </c>
      <c r="D160">
        <v>73.3</v>
      </c>
      <c r="E160">
        <v>81.8</v>
      </c>
      <c r="F160">
        <v>59.3</v>
      </c>
      <c r="G160" t="s">
        <v>6</v>
      </c>
      <c r="H160">
        <v>22.3</v>
      </c>
      <c r="I160">
        <v>25.2</v>
      </c>
      <c r="J160">
        <v>19.2</v>
      </c>
      <c r="K160" t="s">
        <v>6</v>
      </c>
      <c r="L160">
        <v>184</v>
      </c>
      <c r="M160" t="s">
        <v>6</v>
      </c>
      <c r="O160" s="6">
        <f t="shared" si="318"/>
        <v>45419.75</v>
      </c>
      <c r="P160">
        <f t="shared" si="319"/>
        <v>73.3</v>
      </c>
      <c r="Q160">
        <f t="shared" si="320"/>
        <v>81.8</v>
      </c>
      <c r="R160">
        <f t="shared" si="321"/>
        <v>59.3</v>
      </c>
      <c r="S160">
        <f t="shared" si="322"/>
        <v>74.3</v>
      </c>
      <c r="V160" s="6">
        <f t="shared" si="323"/>
        <v>45419.75</v>
      </c>
      <c r="W160">
        <f t="shared" si="324"/>
        <v>22.3</v>
      </c>
      <c r="X160">
        <f t="shared" si="325"/>
        <v>25.2</v>
      </c>
      <c r="Y160">
        <f t="shared" si="326"/>
        <v>19.2</v>
      </c>
      <c r="Z160">
        <f t="shared" si="327"/>
        <v>23.3</v>
      </c>
      <c r="AY160" t="s">
        <v>175</v>
      </c>
      <c r="AZ160">
        <f t="shared" ca="1" si="426"/>
        <v>3243</v>
      </c>
      <c r="BA160">
        <f t="shared" ca="1" si="427"/>
        <v>3264</v>
      </c>
      <c r="BB160" s="11">
        <f t="shared" si="364"/>
        <v>45459</v>
      </c>
      <c r="BC160" s="10" t="str">
        <f ca="1">IFERROR(AVERAGE(INDIRECT("D" &amp; $AZ160):INDIRECT("D" &amp; $BA160)),"")</f>
        <v/>
      </c>
      <c r="BD160">
        <f ca="1">IFERROR(MAX(INDIRECT("E" &amp; $AZ160):INDIRECT("E" &amp; $BA160)),"")</f>
        <v>0</v>
      </c>
      <c r="BE160">
        <f ca="1">IFERROR(MIN(INDIRECT("F" &amp; $AZ160):INDIRECT("F" &amp; $BA160)),"")</f>
        <v>0</v>
      </c>
      <c r="BF160" s="10" t="e">
        <f t="shared" ca="1" si="428"/>
        <v>#VALUE!</v>
      </c>
      <c r="BI160" s="11">
        <f t="shared" si="365"/>
        <v>45459</v>
      </c>
      <c r="BJ160" s="10" t="str">
        <f ca="1">IFERROR(AVERAGE(INDIRECT("H" &amp; $AZ160):INDIRECT("H" &amp; $BA160)),"")</f>
        <v/>
      </c>
      <c r="BK160">
        <f ca="1">IFERROR(MAX(INDIRECT("I" &amp; $AZ160):INDIRECT("I" &amp; $BA160)),"")</f>
        <v>0</v>
      </c>
      <c r="BL160">
        <f ca="1">IFERROR(MIN(INDIRECT("J" &amp; $AZ160):INDIRECT("J" &amp; $BA160)),"")</f>
        <v>0</v>
      </c>
      <c r="BM160" s="10" t="e">
        <f t="shared" ca="1" si="429"/>
        <v>#VALUE!</v>
      </c>
    </row>
    <row r="161" spans="1:65" x14ac:dyDescent="0.2">
      <c r="A161" s="1">
        <v>45419</v>
      </c>
      <c r="B161" s="2">
        <v>0.79166666666666663</v>
      </c>
      <c r="C161" s="6">
        <v>45419.791666666664</v>
      </c>
      <c r="D161">
        <v>68.900000000000006</v>
      </c>
      <c r="E161">
        <v>79.900000000000006</v>
      </c>
      <c r="F161">
        <v>62.2</v>
      </c>
      <c r="G161" t="s">
        <v>6</v>
      </c>
      <c r="H161">
        <v>20.399999999999999</v>
      </c>
      <c r="I161">
        <v>23.3</v>
      </c>
      <c r="J161">
        <v>15.3</v>
      </c>
      <c r="K161" t="s">
        <v>6</v>
      </c>
      <c r="L161">
        <v>214</v>
      </c>
      <c r="M161" t="s">
        <v>6</v>
      </c>
      <c r="O161" s="6">
        <f t="shared" si="318"/>
        <v>45419.791666666664</v>
      </c>
      <c r="P161">
        <f t="shared" si="319"/>
        <v>68.900000000000006</v>
      </c>
      <c r="Q161">
        <f t="shared" si="320"/>
        <v>79.900000000000006</v>
      </c>
      <c r="R161">
        <f t="shared" si="321"/>
        <v>62.2</v>
      </c>
      <c r="S161">
        <f t="shared" si="322"/>
        <v>69.900000000000006</v>
      </c>
      <c r="V161" s="6">
        <f t="shared" si="323"/>
        <v>45419.791666666664</v>
      </c>
      <c r="W161">
        <f t="shared" si="324"/>
        <v>20.399999999999999</v>
      </c>
      <c r="X161">
        <f t="shared" si="325"/>
        <v>23.3</v>
      </c>
      <c r="Y161">
        <f t="shared" si="326"/>
        <v>15.3</v>
      </c>
      <c r="Z161">
        <f t="shared" si="327"/>
        <v>21.4</v>
      </c>
      <c r="AY161" t="s">
        <v>176</v>
      </c>
      <c r="AZ161">
        <f t="shared" ca="1" si="426"/>
        <v>3265</v>
      </c>
      <c r="BA161">
        <f t="shared" ca="1" si="427"/>
        <v>3288</v>
      </c>
      <c r="BB161" s="11">
        <f t="shared" si="364"/>
        <v>45460</v>
      </c>
      <c r="BC161" s="10" t="str">
        <f ca="1">IFERROR(AVERAGE(INDIRECT("D" &amp; $AZ161):INDIRECT("D" &amp; $BA161)),"")</f>
        <v/>
      </c>
      <c r="BD161">
        <f ca="1">IFERROR(MAX(INDIRECT("E" &amp; $AZ161):INDIRECT("E" &amp; $BA161)),"")</f>
        <v>0</v>
      </c>
      <c r="BE161">
        <f ca="1">IFERROR(MIN(INDIRECT("F" &amp; $AZ161):INDIRECT("F" &amp; $BA161)),"")</f>
        <v>0</v>
      </c>
      <c r="BF161" s="10" t="e">
        <f t="shared" ca="1" si="428"/>
        <v>#VALUE!</v>
      </c>
      <c r="BI161" s="11">
        <f t="shared" si="365"/>
        <v>45460</v>
      </c>
      <c r="BJ161" s="10" t="str">
        <f ca="1">IFERROR(AVERAGE(INDIRECT("H" &amp; $AZ161):INDIRECT("H" &amp; $BA161)),"")</f>
        <v/>
      </c>
      <c r="BK161">
        <f ca="1">IFERROR(MAX(INDIRECT("I" &amp; $AZ161):INDIRECT("I" &amp; $BA161)),"")</f>
        <v>0</v>
      </c>
      <c r="BL161">
        <f ca="1">IFERROR(MIN(INDIRECT("J" &amp; $AZ161):INDIRECT("J" &amp; $BA161)),"")</f>
        <v>0</v>
      </c>
      <c r="BM161" s="10" t="e">
        <f t="shared" ca="1" si="429"/>
        <v>#VALUE!</v>
      </c>
    </row>
    <row r="162" spans="1:65" x14ac:dyDescent="0.2">
      <c r="A162" s="1">
        <v>45419</v>
      </c>
      <c r="B162" s="2">
        <v>0.83333333333333337</v>
      </c>
      <c r="C162" s="6">
        <v>45419.833333333336</v>
      </c>
      <c r="D162">
        <v>76.2</v>
      </c>
      <c r="E162">
        <v>80.7</v>
      </c>
      <c r="F162">
        <v>67.2</v>
      </c>
      <c r="G162" t="s">
        <v>6</v>
      </c>
      <c r="H162">
        <v>20.2</v>
      </c>
      <c r="I162">
        <v>24.3</v>
      </c>
      <c r="J162">
        <v>17.2</v>
      </c>
      <c r="K162" t="s">
        <v>6</v>
      </c>
      <c r="L162">
        <v>198</v>
      </c>
      <c r="M162" t="s">
        <v>6</v>
      </c>
      <c r="O162" s="6">
        <f t="shared" si="318"/>
        <v>45419.833333333336</v>
      </c>
      <c r="P162">
        <f t="shared" si="319"/>
        <v>76.2</v>
      </c>
      <c r="Q162">
        <f t="shared" si="320"/>
        <v>80.7</v>
      </c>
      <c r="R162">
        <f t="shared" si="321"/>
        <v>67.2</v>
      </c>
      <c r="S162">
        <f t="shared" si="322"/>
        <v>77.2</v>
      </c>
      <c r="V162" s="6">
        <f t="shared" si="323"/>
        <v>45419.833333333336</v>
      </c>
      <c r="W162">
        <f t="shared" si="324"/>
        <v>20.2</v>
      </c>
      <c r="X162">
        <f t="shared" si="325"/>
        <v>24.3</v>
      </c>
      <c r="Y162">
        <f t="shared" si="326"/>
        <v>17.2</v>
      </c>
      <c r="Z162">
        <f t="shared" si="327"/>
        <v>21.2</v>
      </c>
      <c r="AY162" t="s">
        <v>177</v>
      </c>
      <c r="AZ162">
        <f t="shared" ref="AZ162" ca="1" si="430">MIN(ROW(INDIRECT(AY162)))</f>
        <v>3289</v>
      </c>
      <c r="BA162">
        <f t="shared" ref="BA162" ca="1" si="431">MIN(ROW(INDIRECT(AY162))) + ROWS(INDIRECT(AY162)) -1</f>
        <v>3307</v>
      </c>
      <c r="BB162" s="11">
        <f t="shared" si="364"/>
        <v>45461</v>
      </c>
      <c r="BC162" s="10" t="str">
        <f ca="1">IFERROR(AVERAGE(INDIRECT("D" &amp; $AZ162):INDIRECT("D" &amp; $BA162)),"")</f>
        <v/>
      </c>
      <c r="BD162">
        <f ca="1">IFERROR(MAX(INDIRECT("E" &amp; $AZ162):INDIRECT("E" &amp; $BA162)),"")</f>
        <v>0</v>
      </c>
      <c r="BE162">
        <f ca="1">IFERROR(MIN(INDIRECT("F" &amp; $AZ162):INDIRECT("F" &amp; $BA162)),"")</f>
        <v>0</v>
      </c>
      <c r="BF162" s="10" t="e">
        <f t="shared" ref="BF162" ca="1" si="432">BC162+1</f>
        <v>#VALUE!</v>
      </c>
      <c r="BI162" s="11">
        <f t="shared" si="365"/>
        <v>45461</v>
      </c>
      <c r="BJ162" s="10" t="str">
        <f ca="1">IFERROR(AVERAGE(INDIRECT("H" &amp; $AZ162):INDIRECT("H" &amp; $BA162)),"")</f>
        <v/>
      </c>
      <c r="BK162">
        <f ca="1">IFERROR(MAX(INDIRECT("I" &amp; $AZ162):INDIRECT("I" &amp; $BA162)),"")</f>
        <v>0</v>
      </c>
      <c r="BL162">
        <f ca="1">IFERROR(MIN(INDIRECT("J" &amp; $AZ162):INDIRECT("J" &amp; $BA162)),"")</f>
        <v>0</v>
      </c>
      <c r="BM162" s="10" t="e">
        <f t="shared" ref="BM162" ca="1" si="433">BJ162+0.3</f>
        <v>#VALUE!</v>
      </c>
    </row>
    <row r="163" spans="1:65" x14ac:dyDescent="0.2">
      <c r="A163" s="1">
        <v>45419</v>
      </c>
      <c r="B163" s="2">
        <v>0.875</v>
      </c>
      <c r="C163" s="6">
        <v>45419.875</v>
      </c>
      <c r="D163">
        <v>57.7</v>
      </c>
      <c r="E163">
        <v>62.5</v>
      </c>
      <c r="F163">
        <v>54.6</v>
      </c>
      <c r="G163" t="s">
        <v>6</v>
      </c>
      <c r="H163">
        <v>20.7</v>
      </c>
      <c r="I163">
        <v>23.6</v>
      </c>
      <c r="J163">
        <v>17.8</v>
      </c>
      <c r="K163" t="s">
        <v>6</v>
      </c>
      <c r="L163">
        <v>180</v>
      </c>
      <c r="M163" t="s">
        <v>6</v>
      </c>
      <c r="O163" s="6">
        <f t="shared" si="318"/>
        <v>45419.875</v>
      </c>
      <c r="P163">
        <f t="shared" si="319"/>
        <v>57.7</v>
      </c>
      <c r="Q163">
        <f t="shared" si="320"/>
        <v>62.5</v>
      </c>
      <c r="R163">
        <f t="shared" si="321"/>
        <v>54.6</v>
      </c>
      <c r="S163">
        <f t="shared" si="322"/>
        <v>58.7</v>
      </c>
      <c r="V163" s="6">
        <f t="shared" si="323"/>
        <v>45419.875</v>
      </c>
      <c r="W163">
        <f t="shared" si="324"/>
        <v>20.7</v>
      </c>
      <c r="X163">
        <f t="shared" si="325"/>
        <v>23.6</v>
      </c>
      <c r="Y163">
        <f t="shared" si="326"/>
        <v>17.8</v>
      </c>
      <c r="Z163">
        <f t="shared" si="327"/>
        <v>21.7</v>
      </c>
      <c r="AY163" t="s">
        <v>178</v>
      </c>
      <c r="AZ163">
        <f t="shared" ref="AZ163" ca="1" si="434">MIN(ROW(INDIRECT(AY163)))</f>
        <v>3308</v>
      </c>
      <c r="BA163">
        <f t="shared" ref="BA163" ca="1" si="435">MIN(ROW(INDIRECT(AY163))) + ROWS(INDIRECT(AY163)) -1</f>
        <v>3327</v>
      </c>
      <c r="BB163" s="11">
        <f t="shared" si="364"/>
        <v>45462</v>
      </c>
      <c r="BC163" s="10" t="str">
        <f ca="1">IFERROR(AVERAGE(INDIRECT("D" &amp; $AZ163):INDIRECT("D" &amp; $BA163)),"")</f>
        <v/>
      </c>
      <c r="BD163">
        <f ca="1">IFERROR(MAX(INDIRECT("E" &amp; $AZ163):INDIRECT("E" &amp; $BA163)),"")</f>
        <v>0</v>
      </c>
      <c r="BE163">
        <f ca="1">IFERROR(MIN(INDIRECT("F" &amp; $AZ163):INDIRECT("F" &amp; $BA163)),"")</f>
        <v>0</v>
      </c>
      <c r="BF163" s="10" t="e">
        <f t="shared" ref="BF163" ca="1" si="436">BC163+1</f>
        <v>#VALUE!</v>
      </c>
      <c r="BI163" s="11">
        <f t="shared" si="365"/>
        <v>45462</v>
      </c>
      <c r="BJ163" s="10" t="str">
        <f ca="1">IFERROR(AVERAGE(INDIRECT("H" &amp; $AZ163):INDIRECT("H" &amp; $BA163)),"")</f>
        <v/>
      </c>
      <c r="BK163">
        <f ca="1">IFERROR(MAX(INDIRECT("I" &amp; $AZ163):INDIRECT("I" &amp; $BA163)),"")</f>
        <v>0</v>
      </c>
      <c r="BL163">
        <f ca="1">IFERROR(MIN(INDIRECT("J" &amp; $AZ163):INDIRECT("J" &amp; $BA163)),"")</f>
        <v>0</v>
      </c>
      <c r="BM163" s="10" t="e">
        <f t="shared" ref="BM163" ca="1" si="437">BJ163+0.3</f>
        <v>#VALUE!</v>
      </c>
    </row>
    <row r="164" spans="1:65" x14ac:dyDescent="0.2">
      <c r="A164" s="1">
        <v>45419</v>
      </c>
      <c r="B164" s="2">
        <v>0.91666666666666663</v>
      </c>
      <c r="C164" s="6">
        <v>45419.916666666664</v>
      </c>
      <c r="D164">
        <v>61.6</v>
      </c>
      <c r="E164">
        <v>67.400000000000006</v>
      </c>
      <c r="F164">
        <v>56.8</v>
      </c>
      <c r="G164" t="s">
        <v>6</v>
      </c>
      <c r="H164">
        <v>19.600000000000001</v>
      </c>
      <c r="I164">
        <v>22.9</v>
      </c>
      <c r="J164">
        <v>16.8</v>
      </c>
      <c r="K164" t="s">
        <v>6</v>
      </c>
      <c r="L164">
        <v>222</v>
      </c>
      <c r="M164" t="s">
        <v>6</v>
      </c>
      <c r="O164" s="6">
        <f t="shared" si="318"/>
        <v>45419.916666666664</v>
      </c>
      <c r="P164">
        <f t="shared" si="319"/>
        <v>61.6</v>
      </c>
      <c r="Q164">
        <f t="shared" si="320"/>
        <v>67.400000000000006</v>
      </c>
      <c r="R164">
        <f t="shared" si="321"/>
        <v>56.8</v>
      </c>
      <c r="S164">
        <f t="shared" si="322"/>
        <v>62.6</v>
      </c>
      <c r="V164" s="6">
        <f t="shared" si="323"/>
        <v>45419.916666666664</v>
      </c>
      <c r="W164">
        <f t="shared" si="324"/>
        <v>19.600000000000001</v>
      </c>
      <c r="X164">
        <f t="shared" si="325"/>
        <v>22.9</v>
      </c>
      <c r="Y164">
        <f t="shared" si="326"/>
        <v>16.8</v>
      </c>
      <c r="Z164">
        <f t="shared" si="327"/>
        <v>20.6</v>
      </c>
      <c r="AY164" t="s">
        <v>179</v>
      </c>
      <c r="AZ164">
        <f t="shared" ref="AZ164" ca="1" si="438">MIN(ROW(INDIRECT(AY164)))</f>
        <v>3328</v>
      </c>
      <c r="BA164">
        <f t="shared" ref="BA164" ca="1" si="439">MIN(ROW(INDIRECT(AY164))) + ROWS(INDIRECT(AY164)) -1</f>
        <v>3351</v>
      </c>
      <c r="BB164" s="11">
        <f t="shared" si="364"/>
        <v>45463</v>
      </c>
      <c r="BC164" s="10" t="str">
        <f ca="1">IFERROR(AVERAGE(INDIRECT("D" &amp; $AZ164):INDIRECT("D" &amp; $BA164)),"")</f>
        <v/>
      </c>
      <c r="BD164">
        <f ca="1">IFERROR(MAX(INDIRECT("E" &amp; $AZ164):INDIRECT("E" &amp; $BA164)),"")</f>
        <v>0</v>
      </c>
      <c r="BE164">
        <f ca="1">IFERROR(MIN(INDIRECT("F" &amp; $AZ164):INDIRECT("F" &amp; $BA164)),"")</f>
        <v>0</v>
      </c>
      <c r="BF164" s="10" t="e">
        <f t="shared" ref="BF164" ca="1" si="440">BC164+1</f>
        <v>#VALUE!</v>
      </c>
      <c r="BI164" s="11">
        <f t="shared" si="365"/>
        <v>45463</v>
      </c>
      <c r="BJ164" s="10" t="str">
        <f ca="1">IFERROR(AVERAGE(INDIRECT("H" &amp; $AZ164):INDIRECT("H" &amp; $BA164)),"")</f>
        <v/>
      </c>
      <c r="BK164">
        <f ca="1">IFERROR(MAX(INDIRECT("I" &amp; $AZ164):INDIRECT("I" &amp; $BA164)),"")</f>
        <v>0</v>
      </c>
      <c r="BL164">
        <f ca="1">IFERROR(MIN(INDIRECT("J" &amp; $AZ164):INDIRECT("J" &amp; $BA164)),"")</f>
        <v>0</v>
      </c>
      <c r="BM164" s="10" t="e">
        <f t="shared" ref="BM164" ca="1" si="441">BJ164+0.3</f>
        <v>#VALUE!</v>
      </c>
    </row>
    <row r="165" spans="1:65" x14ac:dyDescent="0.2">
      <c r="A165" s="1">
        <v>45419</v>
      </c>
      <c r="B165" s="2">
        <v>0.95833333333333337</v>
      </c>
      <c r="C165" s="6">
        <v>45419.958333333336</v>
      </c>
      <c r="D165">
        <v>61.1</v>
      </c>
      <c r="E165">
        <v>68</v>
      </c>
      <c r="F165">
        <v>54.9</v>
      </c>
      <c r="G165" t="s">
        <v>6</v>
      </c>
      <c r="H165">
        <v>18.8</v>
      </c>
      <c r="I165">
        <v>21.9</v>
      </c>
      <c r="J165">
        <v>13.8</v>
      </c>
      <c r="K165" t="s">
        <v>6</v>
      </c>
      <c r="L165">
        <v>226</v>
      </c>
      <c r="M165" t="s">
        <v>6</v>
      </c>
      <c r="O165" s="6">
        <f t="shared" si="318"/>
        <v>45419.958333333336</v>
      </c>
      <c r="P165">
        <f t="shared" si="319"/>
        <v>61.1</v>
      </c>
      <c r="Q165">
        <f t="shared" si="320"/>
        <v>68</v>
      </c>
      <c r="R165">
        <f t="shared" si="321"/>
        <v>54.9</v>
      </c>
      <c r="S165">
        <f t="shared" si="322"/>
        <v>62.1</v>
      </c>
      <c r="V165" s="6">
        <f t="shared" si="323"/>
        <v>45419.958333333336</v>
      </c>
      <c r="W165">
        <f t="shared" si="324"/>
        <v>18.8</v>
      </c>
      <c r="X165">
        <f t="shared" si="325"/>
        <v>21.9</v>
      </c>
      <c r="Y165">
        <f t="shared" si="326"/>
        <v>13.8</v>
      </c>
      <c r="Z165">
        <f t="shared" si="327"/>
        <v>19.8</v>
      </c>
      <c r="AY165" t="s">
        <v>180</v>
      </c>
      <c r="AZ165">
        <f t="shared" ref="AZ165" ca="1" si="442">MIN(ROW(INDIRECT(AY165)))</f>
        <v>3352</v>
      </c>
      <c r="BA165">
        <f t="shared" ref="BA165" ca="1" si="443">MIN(ROW(INDIRECT(AY165))) + ROWS(INDIRECT(AY165)) -1</f>
        <v>3366</v>
      </c>
      <c r="BB165" s="11">
        <f t="shared" si="364"/>
        <v>45464</v>
      </c>
      <c r="BC165" s="10" t="str">
        <f ca="1">IFERROR(AVERAGE(INDIRECT("D" &amp; $AZ165):INDIRECT("D" &amp; $BA165)),"")</f>
        <v/>
      </c>
      <c r="BD165">
        <f ca="1">IFERROR(MAX(INDIRECT("E" &amp; $AZ165):INDIRECT("E" &amp; $BA165)),"")</f>
        <v>0</v>
      </c>
      <c r="BE165">
        <f ca="1">IFERROR(MIN(INDIRECT("F" &amp; $AZ165):INDIRECT("F" &amp; $BA165)),"")</f>
        <v>0</v>
      </c>
      <c r="BF165" s="10" t="e">
        <f t="shared" ref="BF165" ca="1" si="444">BC165+1</f>
        <v>#VALUE!</v>
      </c>
      <c r="BI165" s="11">
        <f t="shared" si="365"/>
        <v>45464</v>
      </c>
      <c r="BJ165" s="10" t="str">
        <f ca="1">IFERROR(AVERAGE(INDIRECT("H" &amp; $AZ165):INDIRECT("H" &amp; $BA165)),"")</f>
        <v/>
      </c>
      <c r="BK165">
        <f ca="1">IFERROR(MAX(INDIRECT("I" &amp; $AZ165):INDIRECT("I" &amp; $BA165)),"")</f>
        <v>0</v>
      </c>
      <c r="BL165">
        <f ca="1">IFERROR(MIN(INDIRECT("J" &amp; $AZ165):INDIRECT("J" &amp; $BA165)),"")</f>
        <v>0</v>
      </c>
      <c r="BM165" s="10" t="e">
        <f t="shared" ref="BM165" ca="1" si="445">BJ165+0.3</f>
        <v>#VALUE!</v>
      </c>
    </row>
    <row r="166" spans="1:65" x14ac:dyDescent="0.2">
      <c r="A166" s="1">
        <v>45420</v>
      </c>
      <c r="B166" s="2">
        <v>0</v>
      </c>
      <c r="C166" s="6">
        <v>45420</v>
      </c>
      <c r="D166">
        <v>59.8</v>
      </c>
      <c r="E166">
        <v>66.7</v>
      </c>
      <c r="F166">
        <v>54.1</v>
      </c>
      <c r="G166" t="s">
        <v>6</v>
      </c>
      <c r="H166">
        <v>20.5</v>
      </c>
      <c r="I166">
        <v>25.6</v>
      </c>
      <c r="J166">
        <v>17.100000000000001</v>
      </c>
      <c r="K166" t="s">
        <v>6</v>
      </c>
      <c r="L166">
        <v>218</v>
      </c>
      <c r="M166" t="s">
        <v>6</v>
      </c>
      <c r="O166" s="6">
        <f t="shared" si="318"/>
        <v>45420</v>
      </c>
      <c r="P166">
        <f t="shared" si="319"/>
        <v>59.8</v>
      </c>
      <c r="Q166">
        <f t="shared" si="320"/>
        <v>66.7</v>
      </c>
      <c r="R166">
        <f t="shared" si="321"/>
        <v>54.1</v>
      </c>
      <c r="S166">
        <f t="shared" si="322"/>
        <v>60.8</v>
      </c>
      <c r="V166" s="6">
        <f t="shared" si="323"/>
        <v>45420</v>
      </c>
      <c r="W166">
        <f t="shared" si="324"/>
        <v>20.5</v>
      </c>
      <c r="X166">
        <f t="shared" si="325"/>
        <v>25.6</v>
      </c>
      <c r="Y166">
        <f t="shared" si="326"/>
        <v>17.100000000000001</v>
      </c>
      <c r="Z166">
        <f t="shared" si="327"/>
        <v>21.5</v>
      </c>
      <c r="AY166" t="s">
        <v>181</v>
      </c>
      <c r="AZ166">
        <f t="shared" ref="AZ166:AZ168" ca="1" si="446">MIN(ROW(INDIRECT(AY166)))</f>
        <v>3367</v>
      </c>
      <c r="BA166">
        <f t="shared" ref="BA166:BA168" ca="1" si="447">MIN(ROW(INDIRECT(AY166))) + ROWS(INDIRECT(AY166)) -1</f>
        <v>3390</v>
      </c>
      <c r="BB166" s="11">
        <f t="shared" si="364"/>
        <v>45465</v>
      </c>
      <c r="BC166" s="10" t="str">
        <f ca="1">IFERROR(AVERAGE(INDIRECT("D" &amp; $AZ166):INDIRECT("D" &amp; $BA166)),"")</f>
        <v/>
      </c>
      <c r="BD166">
        <f ca="1">IFERROR(MAX(INDIRECT("E" &amp; $AZ166):INDIRECT("E" &amp; $BA166)),"")</f>
        <v>0</v>
      </c>
      <c r="BE166">
        <f ca="1">IFERROR(MIN(INDIRECT("F" &amp; $AZ166):INDIRECT("F" &amp; $BA166)),"")</f>
        <v>0</v>
      </c>
      <c r="BF166" s="10" t="e">
        <f t="shared" ref="BF166:BF168" ca="1" si="448">BC166+1</f>
        <v>#VALUE!</v>
      </c>
      <c r="BI166" s="11">
        <f t="shared" si="365"/>
        <v>45465</v>
      </c>
      <c r="BJ166" s="10" t="str">
        <f ca="1">IFERROR(AVERAGE(INDIRECT("H" &amp; $AZ166):INDIRECT("H" &amp; $BA166)),"")</f>
        <v/>
      </c>
      <c r="BK166">
        <f ca="1">IFERROR(MAX(INDIRECT("I" &amp; $AZ166):INDIRECT("I" &amp; $BA166)),"")</f>
        <v>0</v>
      </c>
      <c r="BL166">
        <f ca="1">IFERROR(MIN(INDIRECT("J" &amp; $AZ166):INDIRECT("J" &amp; $BA166)),"")</f>
        <v>0</v>
      </c>
      <c r="BM166" s="10" t="e">
        <f t="shared" ref="BM166:BM168" ca="1" si="449">BJ166+0.3</f>
        <v>#VALUE!</v>
      </c>
    </row>
    <row r="167" spans="1:65" x14ac:dyDescent="0.2">
      <c r="A167" s="1">
        <v>45420</v>
      </c>
      <c r="B167" s="2">
        <v>4.1666666666666664E-2</v>
      </c>
      <c r="C167" s="6">
        <v>45420.041666666664</v>
      </c>
      <c r="D167">
        <v>59.8</v>
      </c>
      <c r="E167">
        <v>68.400000000000006</v>
      </c>
      <c r="F167">
        <v>51.6</v>
      </c>
      <c r="G167" t="s">
        <v>6</v>
      </c>
      <c r="H167">
        <v>20.9</v>
      </c>
      <c r="I167">
        <v>26.9</v>
      </c>
      <c r="J167">
        <v>17.100000000000001</v>
      </c>
      <c r="K167" t="s">
        <v>6</v>
      </c>
      <c r="L167">
        <v>223</v>
      </c>
      <c r="M167" t="s">
        <v>6</v>
      </c>
      <c r="O167" s="6">
        <f t="shared" si="318"/>
        <v>45420.041666666664</v>
      </c>
      <c r="P167">
        <f t="shared" si="319"/>
        <v>59.8</v>
      </c>
      <c r="Q167">
        <f t="shared" si="320"/>
        <v>68.400000000000006</v>
      </c>
      <c r="R167">
        <f t="shared" si="321"/>
        <v>51.6</v>
      </c>
      <c r="S167">
        <f t="shared" si="322"/>
        <v>60.8</v>
      </c>
      <c r="V167" s="6">
        <f t="shared" si="323"/>
        <v>45420.041666666664</v>
      </c>
      <c r="W167">
        <f t="shared" si="324"/>
        <v>20.9</v>
      </c>
      <c r="X167">
        <f t="shared" si="325"/>
        <v>26.9</v>
      </c>
      <c r="Y167">
        <f t="shared" si="326"/>
        <v>17.100000000000001</v>
      </c>
      <c r="Z167">
        <f t="shared" si="327"/>
        <v>21.9</v>
      </c>
      <c r="AY167" t="s">
        <v>182</v>
      </c>
      <c r="AZ167">
        <f t="shared" ca="1" si="446"/>
        <v>3391</v>
      </c>
      <c r="BA167">
        <f t="shared" ca="1" si="447"/>
        <v>3414</v>
      </c>
      <c r="BB167" s="11">
        <f t="shared" si="364"/>
        <v>45466</v>
      </c>
      <c r="BC167" s="10" t="str">
        <f ca="1">IFERROR(AVERAGE(INDIRECT("D" &amp; $AZ167):INDIRECT("D" &amp; $BA167)),"")</f>
        <v/>
      </c>
      <c r="BD167">
        <f ca="1">IFERROR(MAX(INDIRECT("E" &amp; $AZ167):INDIRECT("E" &amp; $BA167)),"")</f>
        <v>0</v>
      </c>
      <c r="BE167">
        <f ca="1">IFERROR(MIN(INDIRECT("F" &amp; $AZ167):INDIRECT("F" &amp; $BA167)),"")</f>
        <v>0</v>
      </c>
      <c r="BF167" s="10" t="e">
        <f t="shared" ca="1" si="448"/>
        <v>#VALUE!</v>
      </c>
      <c r="BI167" s="11">
        <f t="shared" si="365"/>
        <v>45466</v>
      </c>
      <c r="BJ167" s="10" t="str">
        <f ca="1">IFERROR(AVERAGE(INDIRECT("H" &amp; $AZ167):INDIRECT("H" &amp; $BA167)),"")</f>
        <v/>
      </c>
      <c r="BK167">
        <f ca="1">IFERROR(MAX(INDIRECT("I" &amp; $AZ167):INDIRECT("I" &amp; $BA167)),"")</f>
        <v>0</v>
      </c>
      <c r="BL167">
        <f ca="1">IFERROR(MIN(INDIRECT("J" &amp; $AZ167):INDIRECT("J" &amp; $BA167)),"")</f>
        <v>0</v>
      </c>
      <c r="BM167" s="10" t="e">
        <f t="shared" ca="1" si="449"/>
        <v>#VALUE!</v>
      </c>
    </row>
    <row r="168" spans="1:65" x14ac:dyDescent="0.2">
      <c r="A168" s="1">
        <v>45420</v>
      </c>
      <c r="B168" s="2">
        <v>8.3333333333333329E-2</v>
      </c>
      <c r="C168" s="6">
        <v>45420.083333333336</v>
      </c>
      <c r="D168">
        <v>59.8</v>
      </c>
      <c r="E168">
        <v>65.5</v>
      </c>
      <c r="F168">
        <v>50.9</v>
      </c>
      <c r="G168" t="s">
        <v>6</v>
      </c>
      <c r="H168">
        <v>21.3</v>
      </c>
      <c r="I168">
        <v>28.2</v>
      </c>
      <c r="J168">
        <v>18.5</v>
      </c>
      <c r="K168" t="s">
        <v>6</v>
      </c>
      <c r="L168">
        <v>223</v>
      </c>
      <c r="M168" t="s">
        <v>6</v>
      </c>
      <c r="O168" s="6">
        <f t="shared" si="318"/>
        <v>45420.083333333336</v>
      </c>
      <c r="P168">
        <f t="shared" si="319"/>
        <v>59.8</v>
      </c>
      <c r="Q168">
        <f t="shared" si="320"/>
        <v>65.5</v>
      </c>
      <c r="R168">
        <f t="shared" si="321"/>
        <v>50.9</v>
      </c>
      <c r="S168">
        <f t="shared" si="322"/>
        <v>60.8</v>
      </c>
      <c r="V168" s="6">
        <f t="shared" si="323"/>
        <v>45420.083333333336</v>
      </c>
      <c r="W168">
        <f t="shared" si="324"/>
        <v>21.3</v>
      </c>
      <c r="X168">
        <f t="shared" si="325"/>
        <v>28.2</v>
      </c>
      <c r="Y168">
        <f t="shared" si="326"/>
        <v>18.5</v>
      </c>
      <c r="Z168">
        <f t="shared" si="327"/>
        <v>22.3</v>
      </c>
      <c r="AY168" t="s">
        <v>183</v>
      </c>
      <c r="AZ168">
        <f t="shared" ca="1" si="446"/>
        <v>3415</v>
      </c>
      <c r="BA168">
        <f t="shared" ca="1" si="447"/>
        <v>3425</v>
      </c>
      <c r="BB168" s="11">
        <f t="shared" si="364"/>
        <v>45467</v>
      </c>
      <c r="BC168" s="10" t="str">
        <f ca="1">IFERROR(AVERAGE(INDIRECT("D" &amp; $AZ168):INDIRECT("D" &amp; $BA168)),"")</f>
        <v/>
      </c>
      <c r="BD168">
        <f ca="1">IFERROR(MAX(INDIRECT("E" &amp; $AZ168):INDIRECT("E" &amp; $BA168)),"")</f>
        <v>0</v>
      </c>
      <c r="BE168">
        <f ca="1">IFERROR(MIN(INDIRECT("F" &amp; $AZ168):INDIRECT("F" &amp; $BA168)),"")</f>
        <v>0</v>
      </c>
      <c r="BF168" s="10" t="e">
        <f t="shared" ca="1" si="448"/>
        <v>#VALUE!</v>
      </c>
      <c r="BI168" s="11">
        <f t="shared" si="365"/>
        <v>45467</v>
      </c>
      <c r="BJ168" s="10" t="str">
        <f ca="1">IFERROR(AVERAGE(INDIRECT("H" &amp; $AZ168):INDIRECT("H" &amp; $BA168)),"")</f>
        <v/>
      </c>
      <c r="BK168">
        <f ca="1">IFERROR(MAX(INDIRECT("I" &amp; $AZ168):INDIRECT("I" &amp; $BA168)),"")</f>
        <v>0</v>
      </c>
      <c r="BL168">
        <f ca="1">IFERROR(MIN(INDIRECT("J" &amp; $AZ168):INDIRECT("J" &amp; $BA168)),"")</f>
        <v>0</v>
      </c>
      <c r="BM168" s="10" t="e">
        <f t="shared" ca="1" si="449"/>
        <v>#VALUE!</v>
      </c>
    </row>
    <row r="169" spans="1:65" x14ac:dyDescent="0.2">
      <c r="A169" s="1">
        <v>45420</v>
      </c>
      <c r="B169" s="2">
        <v>0.125</v>
      </c>
      <c r="C169" s="6">
        <v>45420.125</v>
      </c>
      <c r="D169">
        <v>61</v>
      </c>
      <c r="E169">
        <v>71.5</v>
      </c>
      <c r="F169">
        <v>54.7</v>
      </c>
      <c r="G169" t="s">
        <v>6</v>
      </c>
      <c r="H169">
        <v>21.2</v>
      </c>
      <c r="I169">
        <v>26.7</v>
      </c>
      <c r="J169">
        <v>16.2</v>
      </c>
      <c r="K169" t="s">
        <v>6</v>
      </c>
      <c r="L169">
        <v>227</v>
      </c>
      <c r="M169" t="s">
        <v>6</v>
      </c>
      <c r="O169" s="6">
        <f t="shared" si="318"/>
        <v>45420.125</v>
      </c>
      <c r="P169">
        <f t="shared" si="319"/>
        <v>61</v>
      </c>
      <c r="Q169">
        <f t="shared" si="320"/>
        <v>71.5</v>
      </c>
      <c r="R169">
        <f t="shared" si="321"/>
        <v>54.7</v>
      </c>
      <c r="S169">
        <f t="shared" si="322"/>
        <v>62</v>
      </c>
      <c r="V169" s="6">
        <f t="shared" si="323"/>
        <v>45420.125</v>
      </c>
      <c r="W169">
        <f t="shared" si="324"/>
        <v>21.2</v>
      </c>
      <c r="X169">
        <f t="shared" si="325"/>
        <v>26.7</v>
      </c>
      <c r="Y169">
        <f t="shared" si="326"/>
        <v>16.2</v>
      </c>
      <c r="Z169">
        <f t="shared" si="327"/>
        <v>22.2</v>
      </c>
      <c r="AY169" t="s">
        <v>184</v>
      </c>
      <c r="AZ169">
        <f t="shared" ref="AZ169" ca="1" si="450">MIN(ROW(INDIRECT(AY169)))</f>
        <v>3426</v>
      </c>
      <c r="BA169">
        <f t="shared" ref="BA169" ca="1" si="451">MIN(ROW(INDIRECT(AY169))) + ROWS(INDIRECT(AY169)) -1</f>
        <v>3449</v>
      </c>
      <c r="BB169" s="11">
        <f t="shared" si="364"/>
        <v>45468</v>
      </c>
      <c r="BC169" s="10" t="str">
        <f ca="1">IFERROR(AVERAGE(INDIRECT("D" &amp; $AZ169):INDIRECT("D" &amp; $BA169)),"")</f>
        <v/>
      </c>
      <c r="BD169">
        <f ca="1">IFERROR(MAX(INDIRECT("E" &amp; $AZ169):INDIRECT("E" &amp; $BA169)),"")</f>
        <v>0</v>
      </c>
      <c r="BE169">
        <f ca="1">IFERROR(MIN(INDIRECT("F" &amp; $AZ169):INDIRECT("F" &amp; $BA169)),"")</f>
        <v>0</v>
      </c>
      <c r="BF169" s="10" t="e">
        <f t="shared" ref="BF169" ca="1" si="452">BC169+1</f>
        <v>#VALUE!</v>
      </c>
      <c r="BI169" s="11">
        <f t="shared" si="365"/>
        <v>45468</v>
      </c>
      <c r="BJ169" s="10" t="str">
        <f ca="1">IFERROR(AVERAGE(INDIRECT("H" &amp; $AZ169):INDIRECT("H" &amp; $BA169)),"")</f>
        <v/>
      </c>
      <c r="BK169">
        <f ca="1">IFERROR(MAX(INDIRECT("I" &amp; $AZ169):INDIRECT("I" &amp; $BA169)),"")</f>
        <v>0</v>
      </c>
      <c r="BL169">
        <f ca="1">IFERROR(MIN(INDIRECT("J" &amp; $AZ169):INDIRECT("J" &amp; $BA169)),"")</f>
        <v>0</v>
      </c>
      <c r="BM169" s="10" t="e">
        <f t="shared" ref="BM169" ca="1" si="453">BJ169+0.3</f>
        <v>#VALUE!</v>
      </c>
    </row>
    <row r="170" spans="1:65" x14ac:dyDescent="0.2">
      <c r="A170" s="1">
        <v>45420</v>
      </c>
      <c r="B170" s="2">
        <v>0.16666666666666666</v>
      </c>
      <c r="C170" s="6">
        <v>45420.166666666664</v>
      </c>
      <c r="D170">
        <v>60.5</v>
      </c>
      <c r="E170">
        <v>65.099999999999994</v>
      </c>
      <c r="F170">
        <v>55.2</v>
      </c>
      <c r="G170" t="s">
        <v>6</v>
      </c>
      <c r="H170">
        <v>20.2</v>
      </c>
      <c r="I170">
        <v>26.4</v>
      </c>
      <c r="J170">
        <v>15.6</v>
      </c>
      <c r="K170" t="s">
        <v>6</v>
      </c>
      <c r="L170">
        <v>225</v>
      </c>
      <c r="M170" t="s">
        <v>6</v>
      </c>
      <c r="O170" s="6">
        <f t="shared" si="318"/>
        <v>45420.166666666664</v>
      </c>
      <c r="P170">
        <f t="shared" si="319"/>
        <v>60.5</v>
      </c>
      <c r="Q170">
        <f t="shared" si="320"/>
        <v>65.099999999999994</v>
      </c>
      <c r="R170">
        <f t="shared" si="321"/>
        <v>55.2</v>
      </c>
      <c r="S170">
        <f t="shared" si="322"/>
        <v>61.5</v>
      </c>
      <c r="V170" s="6">
        <f t="shared" si="323"/>
        <v>45420.166666666664</v>
      </c>
      <c r="W170">
        <f t="shared" si="324"/>
        <v>20.2</v>
      </c>
      <c r="X170">
        <f t="shared" si="325"/>
        <v>26.4</v>
      </c>
      <c r="Y170">
        <f t="shared" si="326"/>
        <v>15.6</v>
      </c>
      <c r="Z170">
        <f t="shared" si="327"/>
        <v>21.2</v>
      </c>
      <c r="AY170" t="s">
        <v>185</v>
      </c>
      <c r="AZ170">
        <f t="shared" ref="AZ170" ca="1" si="454">MIN(ROW(INDIRECT(AY170)))</f>
        <v>3450</v>
      </c>
      <c r="BA170">
        <f t="shared" ref="BA170" ca="1" si="455">MIN(ROW(INDIRECT(AY170))) + ROWS(INDIRECT(AY170)) -1</f>
        <v>3471</v>
      </c>
      <c r="BB170" s="11">
        <f t="shared" si="364"/>
        <v>45469</v>
      </c>
      <c r="BC170" s="10" t="str">
        <f ca="1">IFERROR(AVERAGE(INDIRECT("D" &amp; $AZ170):INDIRECT("D" &amp; $BA170)),"")</f>
        <v/>
      </c>
      <c r="BD170">
        <f ca="1">IFERROR(MAX(INDIRECT("E" &amp; $AZ170):INDIRECT("E" &amp; $BA170)),"")</f>
        <v>0</v>
      </c>
      <c r="BE170">
        <f ca="1">IFERROR(MIN(INDIRECT("F" &amp; $AZ170):INDIRECT("F" &amp; $BA170)),"")</f>
        <v>0</v>
      </c>
      <c r="BF170" s="10" t="e">
        <f t="shared" ref="BF170" ca="1" si="456">BC170+1</f>
        <v>#VALUE!</v>
      </c>
      <c r="BI170" s="11">
        <f t="shared" si="365"/>
        <v>45469</v>
      </c>
      <c r="BJ170" s="10" t="str">
        <f ca="1">IFERROR(AVERAGE(INDIRECT("H" &amp; $AZ170):INDIRECT("H" &amp; $BA170)),"")</f>
        <v/>
      </c>
      <c r="BK170">
        <f ca="1">IFERROR(MAX(INDIRECT("I" &amp; $AZ170):INDIRECT("I" &amp; $BA170)),"")</f>
        <v>0</v>
      </c>
      <c r="BL170">
        <f ca="1">IFERROR(MIN(INDIRECT("J" &amp; $AZ170):INDIRECT("J" &amp; $BA170)),"")</f>
        <v>0</v>
      </c>
      <c r="BM170" s="10" t="e">
        <f t="shared" ref="BM170" ca="1" si="457">BJ170+0.3</f>
        <v>#VALUE!</v>
      </c>
    </row>
    <row r="171" spans="1:65" x14ac:dyDescent="0.2">
      <c r="A171" s="1">
        <v>45420</v>
      </c>
      <c r="B171" s="2">
        <v>0.20833333333333334</v>
      </c>
      <c r="C171" s="6">
        <v>45420.208333333336</v>
      </c>
      <c r="D171">
        <v>60.4</v>
      </c>
      <c r="E171">
        <v>65.900000000000006</v>
      </c>
      <c r="F171">
        <v>55.9</v>
      </c>
      <c r="G171" t="s">
        <v>6</v>
      </c>
      <c r="H171">
        <v>19.399999999999999</v>
      </c>
      <c r="I171">
        <v>24.6</v>
      </c>
      <c r="J171">
        <v>16.8</v>
      </c>
      <c r="K171" t="s">
        <v>6</v>
      </c>
      <c r="L171">
        <v>222</v>
      </c>
      <c r="M171" t="s">
        <v>6</v>
      </c>
      <c r="O171" s="6">
        <f t="shared" si="318"/>
        <v>45420.208333333336</v>
      </c>
      <c r="P171">
        <f t="shared" si="319"/>
        <v>60.4</v>
      </c>
      <c r="Q171">
        <f t="shared" si="320"/>
        <v>65.900000000000006</v>
      </c>
      <c r="R171">
        <f t="shared" si="321"/>
        <v>55.9</v>
      </c>
      <c r="S171">
        <f t="shared" si="322"/>
        <v>61.4</v>
      </c>
      <c r="V171" s="6">
        <f t="shared" si="323"/>
        <v>45420.208333333336</v>
      </c>
      <c r="W171">
        <f t="shared" si="324"/>
        <v>19.399999999999999</v>
      </c>
      <c r="X171">
        <f t="shared" si="325"/>
        <v>24.6</v>
      </c>
      <c r="Y171">
        <f t="shared" si="326"/>
        <v>16.8</v>
      </c>
      <c r="Z171">
        <f t="shared" si="327"/>
        <v>20.399999999999999</v>
      </c>
      <c r="AY171" t="s">
        <v>186</v>
      </c>
      <c r="AZ171">
        <f t="shared" ref="AZ171" ca="1" si="458">MIN(ROW(INDIRECT(AY171)))</f>
        <v>3472</v>
      </c>
      <c r="BA171">
        <f t="shared" ref="BA171" ca="1" si="459">MIN(ROW(INDIRECT(AY171))) + ROWS(INDIRECT(AY171)) -1</f>
        <v>3495</v>
      </c>
      <c r="BB171" s="11">
        <f t="shared" si="364"/>
        <v>45470</v>
      </c>
      <c r="BC171" s="10" t="str">
        <f ca="1">IFERROR(AVERAGE(INDIRECT("D" &amp; $AZ171):INDIRECT("D" &amp; $BA171)),"")</f>
        <v/>
      </c>
      <c r="BD171">
        <f ca="1">IFERROR(MAX(INDIRECT("E" &amp; $AZ171):INDIRECT("E" &amp; $BA171)),"")</f>
        <v>0</v>
      </c>
      <c r="BE171">
        <f ca="1">IFERROR(MIN(INDIRECT("F" &amp; $AZ171):INDIRECT("F" &amp; $BA171)),"")</f>
        <v>0</v>
      </c>
      <c r="BF171" s="10" t="e">
        <f t="shared" ref="BF171" ca="1" si="460">BC171+1</f>
        <v>#VALUE!</v>
      </c>
      <c r="BI171" s="11">
        <f t="shared" si="365"/>
        <v>45470</v>
      </c>
      <c r="BJ171" s="10" t="str">
        <f ca="1">IFERROR(AVERAGE(INDIRECT("H" &amp; $AZ171):INDIRECT("H" &amp; $BA171)),"")</f>
        <v/>
      </c>
      <c r="BK171">
        <f ca="1">IFERROR(MAX(INDIRECT("I" &amp; $AZ171):INDIRECT("I" &amp; $BA171)),"")</f>
        <v>0</v>
      </c>
      <c r="BL171">
        <f ca="1">IFERROR(MIN(INDIRECT("J" &amp; $AZ171):INDIRECT("J" &amp; $BA171)),"")</f>
        <v>0</v>
      </c>
      <c r="BM171" s="10" t="e">
        <f t="shared" ref="BM171" ca="1" si="461">BJ171+0.3</f>
        <v>#VALUE!</v>
      </c>
    </row>
    <row r="172" spans="1:65" x14ac:dyDescent="0.2">
      <c r="A172" s="1">
        <v>45420</v>
      </c>
      <c r="B172" s="2">
        <v>0.25</v>
      </c>
      <c r="C172" s="6">
        <v>45420.25</v>
      </c>
      <c r="D172">
        <v>59.8</v>
      </c>
      <c r="E172">
        <v>65.900000000000006</v>
      </c>
      <c r="F172">
        <v>54.7</v>
      </c>
      <c r="G172" t="s">
        <v>6</v>
      </c>
      <c r="H172">
        <v>19.100000000000001</v>
      </c>
      <c r="I172">
        <v>28</v>
      </c>
      <c r="J172">
        <v>15.5</v>
      </c>
      <c r="K172" t="s">
        <v>6</v>
      </c>
      <c r="L172">
        <v>227</v>
      </c>
      <c r="M172" t="s">
        <v>6</v>
      </c>
      <c r="O172" s="6">
        <f t="shared" si="318"/>
        <v>45420.25</v>
      </c>
      <c r="P172">
        <f t="shared" si="319"/>
        <v>59.8</v>
      </c>
      <c r="Q172">
        <f t="shared" si="320"/>
        <v>65.900000000000006</v>
      </c>
      <c r="R172">
        <f t="shared" si="321"/>
        <v>54.7</v>
      </c>
      <c r="S172">
        <f t="shared" si="322"/>
        <v>60.8</v>
      </c>
      <c r="V172" s="6">
        <f t="shared" si="323"/>
        <v>45420.25</v>
      </c>
      <c r="W172">
        <f t="shared" si="324"/>
        <v>19.100000000000001</v>
      </c>
      <c r="X172">
        <f t="shared" si="325"/>
        <v>28</v>
      </c>
      <c r="Y172">
        <f t="shared" si="326"/>
        <v>15.5</v>
      </c>
      <c r="Z172">
        <f t="shared" si="327"/>
        <v>20.100000000000001</v>
      </c>
      <c r="AY172" t="s">
        <v>187</v>
      </c>
      <c r="AZ172">
        <f t="shared" ref="AZ172" ca="1" si="462">MIN(ROW(INDIRECT(AY172)))</f>
        <v>3496</v>
      </c>
      <c r="BA172">
        <f t="shared" ref="BA172" ca="1" si="463">MIN(ROW(INDIRECT(AY172))) + ROWS(INDIRECT(AY172)) -1</f>
        <v>3519</v>
      </c>
      <c r="BB172" s="11">
        <f t="shared" si="364"/>
        <v>45471</v>
      </c>
      <c r="BC172" s="10" t="str">
        <f ca="1">IFERROR(AVERAGE(INDIRECT("D" &amp; $AZ172):INDIRECT("D" &amp; $BA172)),"")</f>
        <v/>
      </c>
      <c r="BD172">
        <f ca="1">IFERROR(MAX(INDIRECT("E" &amp; $AZ172):INDIRECT("E" &amp; $BA172)),"")</f>
        <v>0</v>
      </c>
      <c r="BE172">
        <f ca="1">IFERROR(MIN(INDIRECT("F" &amp; $AZ172):INDIRECT("F" &amp; $BA172)),"")</f>
        <v>0</v>
      </c>
      <c r="BF172" s="10" t="e">
        <f t="shared" ref="BF172" ca="1" si="464">BC172+1</f>
        <v>#VALUE!</v>
      </c>
      <c r="BI172" s="11">
        <f t="shared" si="365"/>
        <v>45471</v>
      </c>
      <c r="BJ172" s="10" t="str">
        <f ca="1">IFERROR(AVERAGE(INDIRECT("H" &amp; $AZ172):INDIRECT("H" &amp; $BA172)),"")</f>
        <v/>
      </c>
      <c r="BK172">
        <f ca="1">IFERROR(MAX(INDIRECT("I" &amp; $AZ172):INDIRECT("I" &amp; $BA172)),"")</f>
        <v>0</v>
      </c>
      <c r="BL172">
        <f ca="1">IFERROR(MIN(INDIRECT("J" &amp; $AZ172):INDIRECT("J" &amp; $BA172)),"")</f>
        <v>0</v>
      </c>
      <c r="BM172" s="10" t="e">
        <f t="shared" ref="BM172" ca="1" si="465">BJ172+0.3</f>
        <v>#VALUE!</v>
      </c>
    </row>
    <row r="173" spans="1:65" x14ac:dyDescent="0.2">
      <c r="A173" s="1">
        <v>45420</v>
      </c>
      <c r="B173" s="2">
        <v>0.29166666666666669</v>
      </c>
      <c r="C173" s="6">
        <v>45420.291666666664</v>
      </c>
      <c r="D173">
        <v>58.5</v>
      </c>
      <c r="E173">
        <v>65.599999999999994</v>
      </c>
      <c r="F173">
        <v>52.5</v>
      </c>
      <c r="G173" t="s">
        <v>6</v>
      </c>
      <c r="H173">
        <v>19</v>
      </c>
      <c r="I173">
        <v>25.9</v>
      </c>
      <c r="J173">
        <v>15.5</v>
      </c>
      <c r="K173" t="s">
        <v>6</v>
      </c>
      <c r="L173">
        <v>218</v>
      </c>
      <c r="M173" t="s">
        <v>6</v>
      </c>
      <c r="O173" s="6">
        <f t="shared" si="318"/>
        <v>45420.291666666664</v>
      </c>
      <c r="P173">
        <f t="shared" si="319"/>
        <v>58.5</v>
      </c>
      <c r="Q173">
        <f t="shared" si="320"/>
        <v>65.599999999999994</v>
      </c>
      <c r="R173">
        <f t="shared" si="321"/>
        <v>52.5</v>
      </c>
      <c r="S173">
        <f t="shared" si="322"/>
        <v>59.5</v>
      </c>
      <c r="V173" s="6">
        <f t="shared" si="323"/>
        <v>45420.291666666664</v>
      </c>
      <c r="W173">
        <f t="shared" si="324"/>
        <v>19</v>
      </c>
      <c r="X173">
        <f t="shared" si="325"/>
        <v>25.9</v>
      </c>
      <c r="Y173">
        <f t="shared" si="326"/>
        <v>15.5</v>
      </c>
      <c r="Z173">
        <f t="shared" si="327"/>
        <v>20</v>
      </c>
      <c r="AY173" t="s">
        <v>188</v>
      </c>
      <c r="AZ173">
        <f t="shared" ref="AZ173:AZ174" ca="1" si="466">MIN(ROW(INDIRECT(AY173)))</f>
        <v>3520</v>
      </c>
      <c r="BA173">
        <f t="shared" ref="BA173:BA174" ca="1" si="467">MIN(ROW(INDIRECT(AY173))) + ROWS(INDIRECT(AY173)) -1</f>
        <v>3524</v>
      </c>
      <c r="BB173" s="11">
        <f t="shared" si="364"/>
        <v>45472</v>
      </c>
      <c r="BC173" s="10" t="str">
        <f ca="1">IFERROR(AVERAGE(INDIRECT("D" &amp; $AZ173):INDIRECT("D" &amp; $BA173)),"")</f>
        <v/>
      </c>
      <c r="BD173">
        <f ca="1">IFERROR(MAX(INDIRECT("E" &amp; $AZ173):INDIRECT("E" &amp; $BA173)),"")</f>
        <v>0</v>
      </c>
      <c r="BE173">
        <f ca="1">IFERROR(MIN(INDIRECT("F" &amp; $AZ173):INDIRECT("F" &amp; $BA173)),"")</f>
        <v>0</v>
      </c>
      <c r="BF173" s="10" t="e">
        <f t="shared" ref="BF173:BF174" ca="1" si="468">BC173+1</f>
        <v>#VALUE!</v>
      </c>
      <c r="BI173" s="11">
        <f t="shared" si="365"/>
        <v>45472</v>
      </c>
      <c r="BJ173" s="10" t="str">
        <f ca="1">IFERROR(AVERAGE(INDIRECT("H" &amp; $AZ173):INDIRECT("H" &amp; $BA173)),"")</f>
        <v/>
      </c>
      <c r="BK173">
        <f ca="1">IFERROR(MAX(INDIRECT("I" &amp; $AZ173):INDIRECT("I" &amp; $BA173)),"")</f>
        <v>0</v>
      </c>
      <c r="BL173">
        <f ca="1">IFERROR(MIN(INDIRECT("J" &amp; $AZ173):INDIRECT("J" &amp; $BA173)),"")</f>
        <v>0</v>
      </c>
      <c r="BM173" s="10" t="e">
        <f t="shared" ref="BM173:BM174" ca="1" si="469">BJ173+0.3</f>
        <v>#VALUE!</v>
      </c>
    </row>
    <row r="174" spans="1:65" x14ac:dyDescent="0.2">
      <c r="A174" s="14">
        <v>45420</v>
      </c>
      <c r="B174" s="7">
        <v>0.33333333333333331</v>
      </c>
      <c r="C174" s="8">
        <v>45420.333333333336</v>
      </c>
      <c r="D174" s="9">
        <v>58.6</v>
      </c>
      <c r="E174" s="9">
        <v>62.5</v>
      </c>
      <c r="F174" s="9">
        <v>52.5</v>
      </c>
      <c r="G174" s="9" t="s">
        <v>6</v>
      </c>
      <c r="H174" s="9">
        <v>20.100000000000001</v>
      </c>
      <c r="I174" s="9">
        <v>26.4</v>
      </c>
      <c r="J174" s="9">
        <v>16.5</v>
      </c>
      <c r="K174" s="9" t="s">
        <v>6</v>
      </c>
      <c r="L174" s="9">
        <v>198</v>
      </c>
      <c r="M174" t="s">
        <v>6</v>
      </c>
      <c r="O174" s="6">
        <f t="shared" si="318"/>
        <v>45420.333333333336</v>
      </c>
      <c r="P174">
        <f t="shared" si="319"/>
        <v>58.6</v>
      </c>
      <c r="Q174">
        <f t="shared" si="320"/>
        <v>62.5</v>
      </c>
      <c r="R174">
        <f t="shared" si="321"/>
        <v>52.5</v>
      </c>
      <c r="S174">
        <f t="shared" si="322"/>
        <v>59.6</v>
      </c>
      <c r="V174" s="6">
        <f t="shared" si="323"/>
        <v>45420.333333333336</v>
      </c>
      <c r="W174">
        <f t="shared" si="324"/>
        <v>20.100000000000001</v>
      </c>
      <c r="X174">
        <f t="shared" si="325"/>
        <v>26.4</v>
      </c>
      <c r="Y174">
        <f t="shared" si="326"/>
        <v>16.5</v>
      </c>
      <c r="Z174">
        <f t="shared" si="327"/>
        <v>21.1</v>
      </c>
      <c r="AY174" t="s">
        <v>189</v>
      </c>
      <c r="AZ174">
        <f t="shared" ca="1" si="466"/>
        <v>3525</v>
      </c>
      <c r="BA174">
        <f t="shared" ca="1" si="467"/>
        <v>3527</v>
      </c>
      <c r="BB174" s="11">
        <f t="shared" si="364"/>
        <v>45473</v>
      </c>
      <c r="BC174" s="10" t="str">
        <f ca="1">IFERROR(AVERAGE(INDIRECT("D" &amp; $AZ174):INDIRECT("D" &amp; $BA174)),"")</f>
        <v/>
      </c>
      <c r="BD174">
        <f ca="1">IFERROR(MAX(INDIRECT("E" &amp; $AZ174):INDIRECT("E" &amp; $BA174)),"")</f>
        <v>0</v>
      </c>
      <c r="BE174">
        <f ca="1">IFERROR(MIN(INDIRECT("F" &amp; $AZ174):INDIRECT("F" &amp; $BA174)),"")</f>
        <v>0</v>
      </c>
      <c r="BF174" s="10" t="e">
        <f t="shared" ca="1" si="468"/>
        <v>#VALUE!</v>
      </c>
      <c r="BI174" s="11">
        <f t="shared" si="365"/>
        <v>45473</v>
      </c>
      <c r="BJ174" s="10" t="str">
        <f ca="1">IFERROR(AVERAGE(INDIRECT("H" &amp; $AZ174):INDIRECT("H" &amp; $BA174)),"")</f>
        <v/>
      </c>
      <c r="BK174">
        <f ca="1">IFERROR(MAX(INDIRECT("I" &amp; $AZ174):INDIRECT("I" &amp; $BA174)),"")</f>
        <v>0</v>
      </c>
      <c r="BL174">
        <f ca="1">IFERROR(MIN(INDIRECT("J" &amp; $AZ174):INDIRECT("J" &amp; $BA174)),"")</f>
        <v>0</v>
      </c>
      <c r="BM174" s="10" t="e">
        <f t="shared" ca="1" si="469"/>
        <v>#VALUE!</v>
      </c>
    </row>
    <row r="175" spans="1:65" x14ac:dyDescent="0.2">
      <c r="A175" s="13">
        <v>45420</v>
      </c>
      <c r="B175" s="3">
        <v>0.375</v>
      </c>
      <c r="C175" s="4">
        <v>45420.375</v>
      </c>
      <c r="D175" s="5">
        <v>60.3</v>
      </c>
      <c r="E175" s="5">
        <v>66</v>
      </c>
      <c r="F175" s="5">
        <v>52.7</v>
      </c>
      <c r="G175" s="5" t="s">
        <v>6</v>
      </c>
      <c r="H175" s="5">
        <v>19.100000000000001</v>
      </c>
      <c r="I175" s="5">
        <v>23.7</v>
      </c>
      <c r="J175" s="5">
        <v>16.399999999999999</v>
      </c>
      <c r="K175" s="5" t="s">
        <v>6</v>
      </c>
      <c r="L175" s="5">
        <v>222</v>
      </c>
      <c r="M175" t="s">
        <v>6</v>
      </c>
      <c r="O175" s="6">
        <f t="shared" si="318"/>
        <v>45420.375</v>
      </c>
      <c r="P175">
        <f t="shared" si="319"/>
        <v>60.3</v>
      </c>
      <c r="Q175">
        <f t="shared" si="320"/>
        <v>66</v>
      </c>
      <c r="R175">
        <f t="shared" si="321"/>
        <v>52.7</v>
      </c>
      <c r="S175">
        <f t="shared" si="322"/>
        <v>61.3</v>
      </c>
      <c r="V175" s="6">
        <f t="shared" si="323"/>
        <v>45420.375</v>
      </c>
      <c r="W175">
        <f t="shared" si="324"/>
        <v>19.100000000000001</v>
      </c>
      <c r="X175">
        <f t="shared" si="325"/>
        <v>23.7</v>
      </c>
      <c r="Y175">
        <f t="shared" si="326"/>
        <v>16.399999999999999</v>
      </c>
      <c r="Z175">
        <f t="shared" si="327"/>
        <v>20.100000000000001</v>
      </c>
      <c r="BA175" t="s">
        <v>6</v>
      </c>
      <c r="BB175" s="11">
        <f t="shared" si="364"/>
        <v>45474</v>
      </c>
      <c r="BI175" s="11">
        <f t="shared" si="365"/>
        <v>45474</v>
      </c>
    </row>
    <row r="176" spans="1:65" x14ac:dyDescent="0.2">
      <c r="A176" s="1">
        <v>45420</v>
      </c>
      <c r="B176" s="2">
        <v>0.41666666666666669</v>
      </c>
      <c r="C176" s="6">
        <v>45420.416666666664</v>
      </c>
      <c r="D176">
        <v>59.9</v>
      </c>
      <c r="E176">
        <v>66.599999999999994</v>
      </c>
      <c r="F176">
        <v>53.7</v>
      </c>
      <c r="G176" t="s">
        <v>6</v>
      </c>
      <c r="H176">
        <v>18</v>
      </c>
      <c r="I176">
        <v>24.9</v>
      </c>
      <c r="J176">
        <v>15.9</v>
      </c>
      <c r="K176" t="s">
        <v>6</v>
      </c>
      <c r="L176">
        <v>224</v>
      </c>
      <c r="M176" t="s">
        <v>6</v>
      </c>
      <c r="O176" s="6">
        <f t="shared" si="318"/>
        <v>45420.416666666664</v>
      </c>
      <c r="P176">
        <f t="shared" si="319"/>
        <v>59.9</v>
      </c>
      <c r="Q176">
        <f t="shared" si="320"/>
        <v>66.599999999999994</v>
      </c>
      <c r="R176">
        <f t="shared" si="321"/>
        <v>53.7</v>
      </c>
      <c r="S176">
        <f t="shared" si="322"/>
        <v>60.9</v>
      </c>
      <c r="V176" s="6">
        <f t="shared" si="323"/>
        <v>45420.416666666664</v>
      </c>
      <c r="W176">
        <f t="shared" si="324"/>
        <v>18</v>
      </c>
      <c r="X176">
        <f t="shared" si="325"/>
        <v>24.9</v>
      </c>
      <c r="Y176">
        <f t="shared" si="326"/>
        <v>15.9</v>
      </c>
      <c r="Z176">
        <f t="shared" si="327"/>
        <v>19</v>
      </c>
      <c r="BA176" t="s">
        <v>6</v>
      </c>
    </row>
    <row r="177" spans="1:53" x14ac:dyDescent="0.2">
      <c r="A177" s="1">
        <v>45420</v>
      </c>
      <c r="B177" s="2">
        <v>0.45833333333333331</v>
      </c>
      <c r="C177" s="6">
        <v>45420.458333333336</v>
      </c>
      <c r="D177">
        <v>61.2</v>
      </c>
      <c r="E177">
        <v>70.099999999999994</v>
      </c>
      <c r="F177">
        <v>56.4</v>
      </c>
      <c r="G177" t="s">
        <v>6</v>
      </c>
      <c r="H177">
        <v>19.399999999999999</v>
      </c>
      <c r="I177">
        <v>24.3</v>
      </c>
      <c r="J177">
        <v>12.9</v>
      </c>
      <c r="K177" t="s">
        <v>6</v>
      </c>
      <c r="L177">
        <v>195</v>
      </c>
      <c r="M177" t="s">
        <v>6</v>
      </c>
      <c r="O177" s="6">
        <f t="shared" si="318"/>
        <v>45420.458333333336</v>
      </c>
      <c r="P177">
        <f t="shared" si="319"/>
        <v>61.2</v>
      </c>
      <c r="Q177">
        <f t="shared" si="320"/>
        <v>70.099999999999994</v>
      </c>
      <c r="R177">
        <f t="shared" si="321"/>
        <v>56.4</v>
      </c>
      <c r="S177">
        <f t="shared" si="322"/>
        <v>62.2</v>
      </c>
      <c r="V177" s="6">
        <f t="shared" si="323"/>
        <v>45420.458333333336</v>
      </c>
      <c r="W177">
        <f t="shared" si="324"/>
        <v>19.399999999999999</v>
      </c>
      <c r="X177">
        <f t="shared" si="325"/>
        <v>24.3</v>
      </c>
      <c r="Y177">
        <f t="shared" si="326"/>
        <v>12.9</v>
      </c>
      <c r="Z177">
        <f t="shared" si="327"/>
        <v>20.399999999999999</v>
      </c>
      <c r="BA177" t="s">
        <v>6</v>
      </c>
    </row>
    <row r="178" spans="1:53" x14ac:dyDescent="0.2">
      <c r="A178" s="1">
        <v>45420</v>
      </c>
      <c r="B178" s="2">
        <v>0.5</v>
      </c>
      <c r="C178" s="6">
        <v>45420.5</v>
      </c>
      <c r="D178">
        <v>62.3</v>
      </c>
      <c r="E178">
        <v>69.599999999999994</v>
      </c>
      <c r="F178">
        <v>58.1</v>
      </c>
      <c r="G178" t="s">
        <v>6</v>
      </c>
      <c r="H178">
        <v>18.899999999999999</v>
      </c>
      <c r="I178">
        <v>23</v>
      </c>
      <c r="J178">
        <v>16</v>
      </c>
      <c r="K178" t="s">
        <v>6</v>
      </c>
      <c r="L178">
        <v>220</v>
      </c>
      <c r="M178" t="s">
        <v>6</v>
      </c>
      <c r="O178" s="6">
        <f t="shared" si="318"/>
        <v>45420.5</v>
      </c>
      <c r="P178">
        <f t="shared" si="319"/>
        <v>62.3</v>
      </c>
      <c r="Q178">
        <f t="shared" si="320"/>
        <v>69.599999999999994</v>
      </c>
      <c r="R178">
        <f t="shared" si="321"/>
        <v>58.1</v>
      </c>
      <c r="S178">
        <f t="shared" si="322"/>
        <v>63.3</v>
      </c>
      <c r="V178" s="6">
        <f t="shared" si="323"/>
        <v>45420.5</v>
      </c>
      <c r="W178">
        <f t="shared" si="324"/>
        <v>18.899999999999999</v>
      </c>
      <c r="X178">
        <f t="shared" si="325"/>
        <v>23</v>
      </c>
      <c r="Y178">
        <f t="shared" si="326"/>
        <v>16</v>
      </c>
      <c r="Z178">
        <f t="shared" si="327"/>
        <v>19.899999999999999</v>
      </c>
      <c r="BA178" t="s">
        <v>6</v>
      </c>
    </row>
    <row r="179" spans="1:53" x14ac:dyDescent="0.2">
      <c r="A179" s="1">
        <v>45420</v>
      </c>
      <c r="B179" s="2">
        <v>0.54166666666666663</v>
      </c>
      <c r="C179" s="6">
        <v>45420.541666666664</v>
      </c>
      <c r="D179">
        <v>66.2</v>
      </c>
      <c r="E179">
        <v>79.900000000000006</v>
      </c>
      <c r="F179">
        <v>57.9</v>
      </c>
      <c r="G179" t="s">
        <v>6</v>
      </c>
      <c r="H179">
        <v>21</v>
      </c>
      <c r="I179">
        <v>28.6</v>
      </c>
      <c r="J179">
        <v>16.3</v>
      </c>
      <c r="K179" t="s">
        <v>6</v>
      </c>
      <c r="L179">
        <v>196</v>
      </c>
      <c r="M179" t="s">
        <v>6</v>
      </c>
      <c r="O179" s="6">
        <f t="shared" si="318"/>
        <v>45420.541666666664</v>
      </c>
      <c r="P179">
        <f t="shared" si="319"/>
        <v>66.2</v>
      </c>
      <c r="Q179">
        <f t="shared" si="320"/>
        <v>79.900000000000006</v>
      </c>
      <c r="R179">
        <f t="shared" si="321"/>
        <v>57.9</v>
      </c>
      <c r="S179">
        <f t="shared" si="322"/>
        <v>67.2</v>
      </c>
      <c r="V179" s="6">
        <f t="shared" si="323"/>
        <v>45420.541666666664</v>
      </c>
      <c r="W179">
        <f t="shared" si="324"/>
        <v>21</v>
      </c>
      <c r="X179">
        <f t="shared" si="325"/>
        <v>28.6</v>
      </c>
      <c r="Y179">
        <f t="shared" si="326"/>
        <v>16.3</v>
      </c>
      <c r="Z179">
        <f t="shared" si="327"/>
        <v>22</v>
      </c>
      <c r="BA179" t="s">
        <v>6</v>
      </c>
    </row>
    <row r="180" spans="1:53" x14ac:dyDescent="0.2">
      <c r="A180" s="1">
        <v>45420</v>
      </c>
      <c r="B180" s="2">
        <v>0.58333333333333337</v>
      </c>
      <c r="C180" s="6">
        <v>45420.583333333336</v>
      </c>
      <c r="D180">
        <v>65.2</v>
      </c>
      <c r="E180">
        <v>70.099999999999994</v>
      </c>
      <c r="F180">
        <v>59.9</v>
      </c>
      <c r="G180" t="s">
        <v>6</v>
      </c>
      <c r="H180">
        <v>20.9</v>
      </c>
      <c r="I180">
        <v>24.8</v>
      </c>
      <c r="J180">
        <v>16.899999999999999</v>
      </c>
      <c r="K180" t="s">
        <v>6</v>
      </c>
      <c r="L180">
        <v>230</v>
      </c>
      <c r="M180" t="s">
        <v>6</v>
      </c>
      <c r="O180" s="6">
        <f t="shared" si="318"/>
        <v>45420.583333333336</v>
      </c>
      <c r="P180">
        <f t="shared" si="319"/>
        <v>65.2</v>
      </c>
      <c r="Q180">
        <f t="shared" si="320"/>
        <v>70.099999999999994</v>
      </c>
      <c r="R180">
        <f t="shared" si="321"/>
        <v>59.9</v>
      </c>
      <c r="S180">
        <f t="shared" si="322"/>
        <v>66.2</v>
      </c>
      <c r="V180" s="6">
        <f t="shared" si="323"/>
        <v>45420.583333333336</v>
      </c>
      <c r="W180">
        <f t="shared" si="324"/>
        <v>20.9</v>
      </c>
      <c r="X180">
        <f t="shared" si="325"/>
        <v>24.8</v>
      </c>
      <c r="Y180">
        <f t="shared" si="326"/>
        <v>16.899999999999999</v>
      </c>
      <c r="Z180">
        <f t="shared" si="327"/>
        <v>21.9</v>
      </c>
      <c r="BA180" t="s">
        <v>6</v>
      </c>
    </row>
    <row r="181" spans="1:53" x14ac:dyDescent="0.2">
      <c r="A181" s="1">
        <v>45420</v>
      </c>
      <c r="B181" s="2">
        <v>0.625</v>
      </c>
      <c r="C181" s="6">
        <v>45420.625</v>
      </c>
      <c r="D181">
        <v>63.7</v>
      </c>
      <c r="E181">
        <v>68.099999999999994</v>
      </c>
      <c r="F181">
        <v>57.4</v>
      </c>
      <c r="G181" t="s">
        <v>6</v>
      </c>
      <c r="H181">
        <v>21.4</v>
      </c>
      <c r="I181">
        <v>25.6</v>
      </c>
      <c r="J181">
        <v>15.4</v>
      </c>
      <c r="K181" t="s">
        <v>6</v>
      </c>
      <c r="L181">
        <v>190</v>
      </c>
      <c r="M181" t="s">
        <v>6</v>
      </c>
      <c r="O181" s="6">
        <f t="shared" si="318"/>
        <v>45420.625</v>
      </c>
      <c r="P181">
        <f t="shared" si="319"/>
        <v>63.7</v>
      </c>
      <c r="Q181">
        <f t="shared" si="320"/>
        <v>68.099999999999994</v>
      </c>
      <c r="R181">
        <f t="shared" si="321"/>
        <v>57.4</v>
      </c>
      <c r="S181">
        <f t="shared" si="322"/>
        <v>64.7</v>
      </c>
      <c r="V181" s="6">
        <f t="shared" si="323"/>
        <v>45420.625</v>
      </c>
      <c r="W181">
        <f t="shared" si="324"/>
        <v>21.4</v>
      </c>
      <c r="X181">
        <f t="shared" si="325"/>
        <v>25.6</v>
      </c>
      <c r="Y181">
        <f t="shared" si="326"/>
        <v>15.4</v>
      </c>
      <c r="Z181">
        <f t="shared" si="327"/>
        <v>22.4</v>
      </c>
      <c r="BA181" t="s">
        <v>6</v>
      </c>
    </row>
    <row r="182" spans="1:53" x14ac:dyDescent="0.2">
      <c r="A182" s="1">
        <v>45420</v>
      </c>
      <c r="B182" s="2">
        <v>0.66666666666666663</v>
      </c>
      <c r="C182" s="6">
        <v>45420.666666666664</v>
      </c>
      <c r="D182">
        <v>59.5</v>
      </c>
      <c r="E182">
        <v>63.5</v>
      </c>
      <c r="F182">
        <v>53.8</v>
      </c>
      <c r="G182" t="s">
        <v>6</v>
      </c>
      <c r="H182">
        <v>21.1</v>
      </c>
      <c r="I182">
        <v>24.1</v>
      </c>
      <c r="J182">
        <v>17.8</v>
      </c>
      <c r="K182" t="s">
        <v>6</v>
      </c>
      <c r="L182">
        <v>225</v>
      </c>
      <c r="M182" t="s">
        <v>6</v>
      </c>
      <c r="O182" s="6">
        <f t="shared" si="318"/>
        <v>45420.666666666664</v>
      </c>
      <c r="P182">
        <f t="shared" si="319"/>
        <v>59.5</v>
      </c>
      <c r="Q182">
        <f t="shared" si="320"/>
        <v>63.5</v>
      </c>
      <c r="R182">
        <f t="shared" si="321"/>
        <v>53.8</v>
      </c>
      <c r="S182">
        <f t="shared" si="322"/>
        <v>60.5</v>
      </c>
      <c r="V182" s="6">
        <f t="shared" si="323"/>
        <v>45420.666666666664</v>
      </c>
      <c r="W182">
        <f t="shared" si="324"/>
        <v>21.1</v>
      </c>
      <c r="X182">
        <f t="shared" si="325"/>
        <v>24.1</v>
      </c>
      <c r="Y182">
        <f t="shared" si="326"/>
        <v>17.8</v>
      </c>
      <c r="Z182">
        <f t="shared" si="327"/>
        <v>22.1</v>
      </c>
      <c r="BA182" t="s">
        <v>6</v>
      </c>
    </row>
    <row r="183" spans="1:53" x14ac:dyDescent="0.2">
      <c r="A183" s="1">
        <v>45420</v>
      </c>
      <c r="B183" s="2">
        <v>0.70833333333333337</v>
      </c>
      <c r="C183" s="6">
        <v>45420.708333333336</v>
      </c>
      <c r="D183">
        <v>59.6</v>
      </c>
      <c r="E183">
        <v>65</v>
      </c>
      <c r="F183">
        <v>55.7</v>
      </c>
      <c r="G183" t="s">
        <v>6</v>
      </c>
      <c r="H183">
        <v>19.7</v>
      </c>
      <c r="I183">
        <v>23.7</v>
      </c>
      <c r="J183">
        <v>15.6</v>
      </c>
      <c r="K183" t="s">
        <v>6</v>
      </c>
      <c r="L183">
        <v>196</v>
      </c>
      <c r="M183" t="s">
        <v>6</v>
      </c>
      <c r="O183" s="6">
        <f t="shared" si="318"/>
        <v>45420.708333333336</v>
      </c>
      <c r="P183">
        <f t="shared" si="319"/>
        <v>59.6</v>
      </c>
      <c r="Q183">
        <f t="shared" si="320"/>
        <v>65</v>
      </c>
      <c r="R183">
        <f t="shared" si="321"/>
        <v>55.7</v>
      </c>
      <c r="S183">
        <f t="shared" si="322"/>
        <v>60.6</v>
      </c>
      <c r="V183" s="6">
        <f t="shared" si="323"/>
        <v>45420.708333333336</v>
      </c>
      <c r="W183">
        <f t="shared" si="324"/>
        <v>19.7</v>
      </c>
      <c r="X183">
        <f t="shared" si="325"/>
        <v>23.7</v>
      </c>
      <c r="Y183">
        <f t="shared" si="326"/>
        <v>15.6</v>
      </c>
      <c r="Z183">
        <f t="shared" si="327"/>
        <v>20.7</v>
      </c>
      <c r="BA183" t="s">
        <v>6</v>
      </c>
    </row>
    <row r="184" spans="1:53" x14ac:dyDescent="0.2">
      <c r="A184" s="1">
        <v>45420</v>
      </c>
      <c r="B184" s="2">
        <v>0.75</v>
      </c>
      <c r="C184" s="6">
        <v>45420.75</v>
      </c>
      <c r="D184">
        <v>58</v>
      </c>
      <c r="E184">
        <v>61.5</v>
      </c>
      <c r="F184">
        <v>54.4</v>
      </c>
      <c r="G184" t="s">
        <v>6</v>
      </c>
      <c r="H184">
        <v>22.1</v>
      </c>
      <c r="I184">
        <v>29.1</v>
      </c>
      <c r="J184">
        <v>16.7</v>
      </c>
      <c r="K184" t="s">
        <v>6</v>
      </c>
      <c r="L184">
        <v>208</v>
      </c>
      <c r="M184" t="s">
        <v>6</v>
      </c>
      <c r="O184" s="6">
        <f t="shared" si="318"/>
        <v>45420.75</v>
      </c>
      <c r="P184">
        <f t="shared" si="319"/>
        <v>58</v>
      </c>
      <c r="Q184">
        <f t="shared" si="320"/>
        <v>61.5</v>
      </c>
      <c r="R184">
        <f t="shared" si="321"/>
        <v>54.4</v>
      </c>
      <c r="S184">
        <f t="shared" si="322"/>
        <v>59</v>
      </c>
      <c r="V184" s="6">
        <f t="shared" si="323"/>
        <v>45420.75</v>
      </c>
      <c r="W184">
        <f t="shared" si="324"/>
        <v>22.1</v>
      </c>
      <c r="X184">
        <f t="shared" si="325"/>
        <v>29.1</v>
      </c>
      <c r="Y184">
        <f t="shared" si="326"/>
        <v>16.7</v>
      </c>
      <c r="Z184">
        <f t="shared" si="327"/>
        <v>23.1</v>
      </c>
      <c r="BA184" t="s">
        <v>6</v>
      </c>
    </row>
    <row r="185" spans="1:53" x14ac:dyDescent="0.2">
      <c r="A185" s="1">
        <v>45420</v>
      </c>
      <c r="B185" s="2">
        <v>0.79166666666666663</v>
      </c>
      <c r="C185" s="6">
        <v>45420.791666666664</v>
      </c>
      <c r="D185">
        <v>55.8</v>
      </c>
      <c r="E185">
        <v>65.3</v>
      </c>
      <c r="F185">
        <v>46.7</v>
      </c>
      <c r="G185" t="s">
        <v>6</v>
      </c>
      <c r="H185">
        <v>19.899999999999999</v>
      </c>
      <c r="I185">
        <v>23.1</v>
      </c>
      <c r="J185">
        <v>15.8</v>
      </c>
      <c r="K185" t="s">
        <v>6</v>
      </c>
      <c r="L185">
        <v>222</v>
      </c>
      <c r="M185" t="s">
        <v>6</v>
      </c>
      <c r="O185" s="6">
        <f t="shared" si="318"/>
        <v>45420.791666666664</v>
      </c>
      <c r="P185">
        <f t="shared" si="319"/>
        <v>55.8</v>
      </c>
      <c r="Q185">
        <f t="shared" si="320"/>
        <v>65.3</v>
      </c>
      <c r="R185">
        <f t="shared" si="321"/>
        <v>46.7</v>
      </c>
      <c r="S185">
        <f t="shared" si="322"/>
        <v>56.8</v>
      </c>
      <c r="V185" s="6">
        <f t="shared" si="323"/>
        <v>45420.791666666664</v>
      </c>
      <c r="W185">
        <f t="shared" si="324"/>
        <v>19.899999999999999</v>
      </c>
      <c r="X185">
        <f t="shared" si="325"/>
        <v>23.1</v>
      </c>
      <c r="Y185">
        <f t="shared" si="326"/>
        <v>15.8</v>
      </c>
      <c r="Z185">
        <f t="shared" si="327"/>
        <v>20.9</v>
      </c>
      <c r="BA185" t="s">
        <v>6</v>
      </c>
    </row>
    <row r="186" spans="1:53" x14ac:dyDescent="0.2">
      <c r="A186" s="1">
        <v>45420</v>
      </c>
      <c r="B186" s="2">
        <v>0.83333333333333337</v>
      </c>
      <c r="C186" s="6">
        <v>45420.833333333336</v>
      </c>
      <c r="D186">
        <v>57</v>
      </c>
      <c r="E186">
        <v>63</v>
      </c>
      <c r="F186">
        <v>51.8</v>
      </c>
      <c r="G186" t="s">
        <v>6</v>
      </c>
      <c r="H186">
        <v>20.9</v>
      </c>
      <c r="I186">
        <v>25.7</v>
      </c>
      <c r="J186">
        <v>14.4</v>
      </c>
      <c r="K186" t="s">
        <v>6</v>
      </c>
      <c r="L186">
        <v>190</v>
      </c>
      <c r="M186" t="s">
        <v>6</v>
      </c>
      <c r="O186" s="6">
        <f t="shared" si="318"/>
        <v>45420.833333333336</v>
      </c>
      <c r="P186">
        <f t="shared" si="319"/>
        <v>57</v>
      </c>
      <c r="Q186">
        <f t="shared" si="320"/>
        <v>63</v>
      </c>
      <c r="R186">
        <f t="shared" si="321"/>
        <v>51.8</v>
      </c>
      <c r="S186">
        <f t="shared" si="322"/>
        <v>58</v>
      </c>
      <c r="V186" s="6">
        <f t="shared" si="323"/>
        <v>45420.833333333336</v>
      </c>
      <c r="W186">
        <f t="shared" si="324"/>
        <v>20.9</v>
      </c>
      <c r="X186">
        <f t="shared" si="325"/>
        <v>25.7</v>
      </c>
      <c r="Y186">
        <f t="shared" si="326"/>
        <v>14.4</v>
      </c>
      <c r="Z186">
        <f t="shared" si="327"/>
        <v>21.9</v>
      </c>
      <c r="BA186" t="s">
        <v>6</v>
      </c>
    </row>
    <row r="187" spans="1:53" x14ac:dyDescent="0.2">
      <c r="A187" s="1">
        <v>45420</v>
      </c>
      <c r="B187" s="2">
        <v>0.875</v>
      </c>
      <c r="C187" s="6">
        <v>45420.875</v>
      </c>
      <c r="D187">
        <v>57.1</v>
      </c>
      <c r="E187">
        <v>61.9</v>
      </c>
      <c r="F187">
        <v>53.6</v>
      </c>
      <c r="G187" t="s">
        <v>6</v>
      </c>
      <c r="H187">
        <v>21.1</v>
      </c>
      <c r="I187">
        <v>25</v>
      </c>
      <c r="J187">
        <v>17.600000000000001</v>
      </c>
      <c r="K187" t="s">
        <v>6</v>
      </c>
      <c r="L187">
        <v>181</v>
      </c>
      <c r="M187" t="s">
        <v>6</v>
      </c>
      <c r="O187" s="6">
        <f t="shared" si="318"/>
        <v>45420.875</v>
      </c>
      <c r="P187">
        <f t="shared" si="319"/>
        <v>57.1</v>
      </c>
      <c r="Q187">
        <f t="shared" si="320"/>
        <v>61.9</v>
      </c>
      <c r="R187">
        <f t="shared" si="321"/>
        <v>53.6</v>
      </c>
      <c r="S187">
        <f t="shared" si="322"/>
        <v>58.1</v>
      </c>
      <c r="V187" s="6">
        <f t="shared" si="323"/>
        <v>45420.875</v>
      </c>
      <c r="W187">
        <f t="shared" si="324"/>
        <v>21.1</v>
      </c>
      <c r="X187">
        <f t="shared" si="325"/>
        <v>25</v>
      </c>
      <c r="Y187">
        <f t="shared" si="326"/>
        <v>17.600000000000001</v>
      </c>
      <c r="Z187">
        <f t="shared" si="327"/>
        <v>22.1</v>
      </c>
      <c r="BA187" t="s">
        <v>6</v>
      </c>
    </row>
    <row r="188" spans="1:53" x14ac:dyDescent="0.2">
      <c r="A188" s="1">
        <v>45420</v>
      </c>
      <c r="B188" s="2">
        <v>0.91666666666666663</v>
      </c>
      <c r="C188" s="6">
        <v>45420.916666666664</v>
      </c>
      <c r="D188">
        <v>58.9</v>
      </c>
      <c r="E188">
        <v>63</v>
      </c>
      <c r="F188">
        <v>54.1</v>
      </c>
      <c r="G188" t="s">
        <v>6</v>
      </c>
      <c r="H188">
        <v>20.6</v>
      </c>
      <c r="I188">
        <v>25.2</v>
      </c>
      <c r="J188">
        <v>15.2</v>
      </c>
      <c r="K188" t="s">
        <v>6</v>
      </c>
      <c r="L188">
        <v>207</v>
      </c>
      <c r="M188" t="s">
        <v>6</v>
      </c>
      <c r="O188" s="6">
        <f t="shared" si="318"/>
        <v>45420.916666666664</v>
      </c>
      <c r="P188">
        <f t="shared" si="319"/>
        <v>58.9</v>
      </c>
      <c r="Q188">
        <f t="shared" si="320"/>
        <v>63</v>
      </c>
      <c r="R188">
        <f t="shared" si="321"/>
        <v>54.1</v>
      </c>
      <c r="S188">
        <f t="shared" si="322"/>
        <v>59.9</v>
      </c>
      <c r="V188" s="6">
        <f t="shared" si="323"/>
        <v>45420.916666666664</v>
      </c>
      <c r="W188">
        <f t="shared" si="324"/>
        <v>20.6</v>
      </c>
      <c r="X188">
        <f t="shared" si="325"/>
        <v>25.2</v>
      </c>
      <c r="Y188">
        <f t="shared" si="326"/>
        <v>15.2</v>
      </c>
      <c r="Z188">
        <f t="shared" si="327"/>
        <v>21.6</v>
      </c>
      <c r="BA188" t="s">
        <v>6</v>
      </c>
    </row>
    <row r="189" spans="1:53" x14ac:dyDescent="0.2">
      <c r="A189" s="1">
        <v>45420</v>
      </c>
      <c r="B189" s="2">
        <v>0.95833333333333337</v>
      </c>
      <c r="C189" s="6">
        <v>45420.958333333336</v>
      </c>
      <c r="D189">
        <v>62.4</v>
      </c>
      <c r="E189">
        <v>71</v>
      </c>
      <c r="F189">
        <v>56</v>
      </c>
      <c r="G189" t="s">
        <v>6</v>
      </c>
      <c r="H189">
        <v>20.7</v>
      </c>
      <c r="I189">
        <v>33.1</v>
      </c>
      <c r="J189">
        <v>15.7</v>
      </c>
      <c r="K189" t="s">
        <v>6</v>
      </c>
      <c r="L189">
        <v>221</v>
      </c>
      <c r="M189" t="s">
        <v>6</v>
      </c>
      <c r="O189" s="6">
        <f t="shared" si="318"/>
        <v>45420.958333333336</v>
      </c>
      <c r="P189">
        <f t="shared" si="319"/>
        <v>62.4</v>
      </c>
      <c r="Q189">
        <f t="shared" si="320"/>
        <v>71</v>
      </c>
      <c r="R189">
        <f t="shared" si="321"/>
        <v>56</v>
      </c>
      <c r="S189">
        <f t="shared" si="322"/>
        <v>63.4</v>
      </c>
      <c r="V189" s="6">
        <f t="shared" si="323"/>
        <v>45420.958333333336</v>
      </c>
      <c r="W189">
        <f t="shared" si="324"/>
        <v>20.7</v>
      </c>
      <c r="X189">
        <f t="shared" si="325"/>
        <v>33.1</v>
      </c>
      <c r="Y189">
        <f t="shared" si="326"/>
        <v>15.7</v>
      </c>
      <c r="Z189">
        <f t="shared" si="327"/>
        <v>21.7</v>
      </c>
      <c r="BA189" t="s">
        <v>6</v>
      </c>
    </row>
    <row r="190" spans="1:53" x14ac:dyDescent="0.2">
      <c r="A190" s="1">
        <v>45421</v>
      </c>
      <c r="B190" s="2">
        <v>0</v>
      </c>
      <c r="C190" s="6">
        <v>45421</v>
      </c>
      <c r="D190">
        <v>60.1</v>
      </c>
      <c r="E190">
        <v>67.599999999999994</v>
      </c>
      <c r="F190">
        <v>51.4</v>
      </c>
      <c r="G190" t="s">
        <v>6</v>
      </c>
      <c r="H190">
        <v>20.5</v>
      </c>
      <c r="I190">
        <v>27.1</v>
      </c>
      <c r="J190">
        <v>16.2</v>
      </c>
      <c r="K190" t="s">
        <v>6</v>
      </c>
      <c r="L190">
        <v>201</v>
      </c>
      <c r="M190" t="s">
        <v>6</v>
      </c>
      <c r="O190" s="6">
        <f t="shared" si="318"/>
        <v>45421</v>
      </c>
      <c r="P190">
        <f t="shared" si="319"/>
        <v>60.1</v>
      </c>
      <c r="Q190">
        <f t="shared" si="320"/>
        <v>67.599999999999994</v>
      </c>
      <c r="R190">
        <f t="shared" si="321"/>
        <v>51.4</v>
      </c>
      <c r="S190">
        <f t="shared" si="322"/>
        <v>61.1</v>
      </c>
      <c r="V190" s="6">
        <f t="shared" si="323"/>
        <v>45421</v>
      </c>
      <c r="W190">
        <f t="shared" si="324"/>
        <v>20.5</v>
      </c>
      <c r="X190">
        <f t="shared" si="325"/>
        <v>27.1</v>
      </c>
      <c r="Y190">
        <f t="shared" si="326"/>
        <v>16.2</v>
      </c>
      <c r="Z190">
        <f t="shared" si="327"/>
        <v>21.5</v>
      </c>
      <c r="BA190" t="s">
        <v>6</v>
      </c>
    </row>
    <row r="191" spans="1:53" x14ac:dyDescent="0.2">
      <c r="A191" s="1">
        <v>45421</v>
      </c>
      <c r="B191" s="2">
        <v>4.1666666666666664E-2</v>
      </c>
      <c r="C191" s="6">
        <v>45421.041666666664</v>
      </c>
      <c r="D191">
        <v>61.1</v>
      </c>
      <c r="E191">
        <v>68</v>
      </c>
      <c r="F191">
        <v>56.8</v>
      </c>
      <c r="G191" t="s">
        <v>6</v>
      </c>
      <c r="H191">
        <v>20.6</v>
      </c>
      <c r="I191">
        <v>25.6</v>
      </c>
      <c r="J191">
        <v>16.2</v>
      </c>
      <c r="K191" t="s">
        <v>6</v>
      </c>
      <c r="L191">
        <v>209</v>
      </c>
      <c r="M191" t="s">
        <v>6</v>
      </c>
      <c r="O191" s="6">
        <f t="shared" si="318"/>
        <v>45421.041666666664</v>
      </c>
      <c r="P191">
        <f t="shared" si="319"/>
        <v>61.1</v>
      </c>
      <c r="Q191">
        <f t="shared" si="320"/>
        <v>68</v>
      </c>
      <c r="R191">
        <f t="shared" si="321"/>
        <v>56.8</v>
      </c>
      <c r="S191">
        <f t="shared" si="322"/>
        <v>62.1</v>
      </c>
      <c r="V191" s="6">
        <f t="shared" si="323"/>
        <v>45421.041666666664</v>
      </c>
      <c r="W191">
        <f t="shared" si="324"/>
        <v>20.6</v>
      </c>
      <c r="X191">
        <f t="shared" si="325"/>
        <v>25.6</v>
      </c>
      <c r="Y191">
        <f t="shared" si="326"/>
        <v>16.2</v>
      </c>
      <c r="Z191">
        <f t="shared" si="327"/>
        <v>21.6</v>
      </c>
      <c r="BA191" t="s">
        <v>6</v>
      </c>
    </row>
    <row r="192" spans="1:53" x14ac:dyDescent="0.2">
      <c r="A192" s="1">
        <v>45421</v>
      </c>
      <c r="B192" s="2">
        <v>8.3333333333333329E-2</v>
      </c>
      <c r="C192" s="6">
        <v>45421.083333333336</v>
      </c>
      <c r="D192">
        <v>59.9</v>
      </c>
      <c r="E192">
        <v>65.7</v>
      </c>
      <c r="F192">
        <v>52.1</v>
      </c>
      <c r="G192" t="s">
        <v>6</v>
      </c>
      <c r="H192">
        <v>19.600000000000001</v>
      </c>
      <c r="I192">
        <v>22.3</v>
      </c>
      <c r="J192">
        <v>17.2</v>
      </c>
      <c r="K192" t="s">
        <v>6</v>
      </c>
      <c r="L192">
        <v>231</v>
      </c>
      <c r="M192" t="s">
        <v>6</v>
      </c>
      <c r="O192" s="6">
        <f t="shared" ref="O192:O255" si="470">C192</f>
        <v>45421.083333333336</v>
      </c>
      <c r="P192">
        <f t="shared" ref="P192:P255" si="471">D192</f>
        <v>59.9</v>
      </c>
      <c r="Q192">
        <f t="shared" ref="Q192:Q255" si="472">E192</f>
        <v>65.7</v>
      </c>
      <c r="R192">
        <f t="shared" ref="R192:R255" si="473">F192</f>
        <v>52.1</v>
      </c>
      <c r="S192">
        <f t="shared" ref="S192:S255" si="474">P192+1</f>
        <v>60.9</v>
      </c>
      <c r="V192" s="6">
        <f t="shared" ref="V192:V255" si="475">O192</f>
        <v>45421.083333333336</v>
      </c>
      <c r="W192">
        <f t="shared" ref="W192:W255" si="476">H192</f>
        <v>19.600000000000001</v>
      </c>
      <c r="X192">
        <f t="shared" ref="X192:X255" si="477">I192</f>
        <v>22.3</v>
      </c>
      <c r="Y192">
        <f t="shared" ref="Y192:Y255" si="478">J192</f>
        <v>17.2</v>
      </c>
      <c r="Z192">
        <f t="shared" ref="Z192:Z255" si="479">W192+1</f>
        <v>20.6</v>
      </c>
      <c r="BA192" t="s">
        <v>6</v>
      </c>
    </row>
    <row r="193" spans="1:53" x14ac:dyDescent="0.2">
      <c r="A193" s="1">
        <v>45421</v>
      </c>
      <c r="B193" s="2">
        <v>0.125</v>
      </c>
      <c r="C193" s="6">
        <v>45421.125</v>
      </c>
      <c r="D193">
        <v>63.2</v>
      </c>
      <c r="E193">
        <v>66.8</v>
      </c>
      <c r="F193">
        <v>58.8</v>
      </c>
      <c r="G193" t="s">
        <v>6</v>
      </c>
      <c r="H193">
        <v>19</v>
      </c>
      <c r="I193">
        <v>21.3</v>
      </c>
      <c r="J193">
        <v>17.399999999999999</v>
      </c>
      <c r="K193" t="s">
        <v>6</v>
      </c>
      <c r="L193">
        <v>224</v>
      </c>
      <c r="M193" t="s">
        <v>6</v>
      </c>
      <c r="O193" s="6">
        <f t="shared" si="470"/>
        <v>45421.125</v>
      </c>
      <c r="P193">
        <f t="shared" si="471"/>
        <v>63.2</v>
      </c>
      <c r="Q193">
        <f t="shared" si="472"/>
        <v>66.8</v>
      </c>
      <c r="R193">
        <f t="shared" si="473"/>
        <v>58.8</v>
      </c>
      <c r="S193">
        <f t="shared" si="474"/>
        <v>64.2</v>
      </c>
      <c r="V193" s="6">
        <f t="shared" si="475"/>
        <v>45421.125</v>
      </c>
      <c r="W193">
        <f t="shared" si="476"/>
        <v>19</v>
      </c>
      <c r="X193">
        <f t="shared" si="477"/>
        <v>21.3</v>
      </c>
      <c r="Y193">
        <f t="shared" si="478"/>
        <v>17.399999999999999</v>
      </c>
      <c r="Z193">
        <f t="shared" si="479"/>
        <v>20</v>
      </c>
      <c r="BA193" t="s">
        <v>6</v>
      </c>
    </row>
    <row r="194" spans="1:53" x14ac:dyDescent="0.2">
      <c r="A194" s="1">
        <v>45421</v>
      </c>
      <c r="B194" s="2">
        <v>0.16666666666666666</v>
      </c>
      <c r="C194" s="6">
        <v>45421.166666666664</v>
      </c>
      <c r="D194">
        <v>62.8</v>
      </c>
      <c r="E194">
        <v>67.900000000000006</v>
      </c>
      <c r="F194">
        <v>56.6</v>
      </c>
      <c r="G194" t="s">
        <v>6</v>
      </c>
      <c r="H194">
        <v>18.899999999999999</v>
      </c>
      <c r="I194">
        <v>21.6</v>
      </c>
      <c r="J194">
        <v>15.4</v>
      </c>
      <c r="K194" t="s">
        <v>6</v>
      </c>
      <c r="L194">
        <v>226</v>
      </c>
      <c r="M194" t="s">
        <v>6</v>
      </c>
      <c r="O194" s="6">
        <f t="shared" si="470"/>
        <v>45421.166666666664</v>
      </c>
      <c r="P194">
        <f t="shared" si="471"/>
        <v>62.8</v>
      </c>
      <c r="Q194">
        <f t="shared" si="472"/>
        <v>67.900000000000006</v>
      </c>
      <c r="R194">
        <f t="shared" si="473"/>
        <v>56.6</v>
      </c>
      <c r="S194">
        <f t="shared" si="474"/>
        <v>63.8</v>
      </c>
      <c r="V194" s="6">
        <f t="shared" si="475"/>
        <v>45421.166666666664</v>
      </c>
      <c r="W194">
        <f t="shared" si="476"/>
        <v>18.899999999999999</v>
      </c>
      <c r="X194">
        <f t="shared" si="477"/>
        <v>21.6</v>
      </c>
      <c r="Y194">
        <f t="shared" si="478"/>
        <v>15.4</v>
      </c>
      <c r="Z194">
        <f t="shared" si="479"/>
        <v>19.899999999999999</v>
      </c>
      <c r="BA194" t="s">
        <v>6</v>
      </c>
    </row>
    <row r="195" spans="1:53" x14ac:dyDescent="0.2">
      <c r="A195" s="1">
        <v>45421</v>
      </c>
      <c r="B195" s="2">
        <v>0.20833333333333334</v>
      </c>
      <c r="C195" s="6">
        <v>45421.208333333336</v>
      </c>
      <c r="D195">
        <v>58.7</v>
      </c>
      <c r="E195">
        <v>68.5</v>
      </c>
      <c r="F195">
        <v>51.9</v>
      </c>
      <c r="G195" t="s">
        <v>6</v>
      </c>
      <c r="H195">
        <v>18.399999999999999</v>
      </c>
      <c r="I195">
        <v>23.4</v>
      </c>
      <c r="J195">
        <v>14.2</v>
      </c>
      <c r="K195" t="s">
        <v>6</v>
      </c>
      <c r="L195">
        <v>225</v>
      </c>
      <c r="M195" t="s">
        <v>6</v>
      </c>
      <c r="O195" s="6">
        <f t="shared" si="470"/>
        <v>45421.208333333336</v>
      </c>
      <c r="P195">
        <f t="shared" si="471"/>
        <v>58.7</v>
      </c>
      <c r="Q195">
        <f t="shared" si="472"/>
        <v>68.5</v>
      </c>
      <c r="R195">
        <f t="shared" si="473"/>
        <v>51.9</v>
      </c>
      <c r="S195">
        <f t="shared" si="474"/>
        <v>59.7</v>
      </c>
      <c r="V195" s="6">
        <f t="shared" si="475"/>
        <v>45421.208333333336</v>
      </c>
      <c r="W195">
        <f t="shared" si="476"/>
        <v>18.399999999999999</v>
      </c>
      <c r="X195">
        <f t="shared" si="477"/>
        <v>23.4</v>
      </c>
      <c r="Y195">
        <f t="shared" si="478"/>
        <v>14.2</v>
      </c>
      <c r="Z195">
        <f t="shared" si="479"/>
        <v>19.399999999999999</v>
      </c>
      <c r="BA195" t="s">
        <v>6</v>
      </c>
    </row>
    <row r="196" spans="1:53" x14ac:dyDescent="0.2">
      <c r="A196" s="1">
        <v>45421</v>
      </c>
      <c r="B196" s="2">
        <v>0.25</v>
      </c>
      <c r="C196" s="6">
        <v>45421.25</v>
      </c>
      <c r="D196">
        <v>62</v>
      </c>
      <c r="E196">
        <v>66.3</v>
      </c>
      <c r="F196">
        <v>54</v>
      </c>
      <c r="G196" t="s">
        <v>6</v>
      </c>
      <c r="H196">
        <v>19.399999999999999</v>
      </c>
      <c r="I196">
        <v>22.6</v>
      </c>
      <c r="J196">
        <v>15.9</v>
      </c>
      <c r="K196" t="s">
        <v>6</v>
      </c>
      <c r="L196">
        <v>221</v>
      </c>
      <c r="M196" t="s">
        <v>6</v>
      </c>
      <c r="O196" s="6">
        <f t="shared" si="470"/>
        <v>45421.25</v>
      </c>
      <c r="P196">
        <f t="shared" si="471"/>
        <v>62</v>
      </c>
      <c r="Q196">
        <f t="shared" si="472"/>
        <v>66.3</v>
      </c>
      <c r="R196">
        <f t="shared" si="473"/>
        <v>54</v>
      </c>
      <c r="S196">
        <f t="shared" si="474"/>
        <v>63</v>
      </c>
      <c r="V196" s="6">
        <f t="shared" si="475"/>
        <v>45421.25</v>
      </c>
      <c r="W196">
        <f t="shared" si="476"/>
        <v>19.399999999999999</v>
      </c>
      <c r="X196">
        <f t="shared" si="477"/>
        <v>22.6</v>
      </c>
      <c r="Y196">
        <f t="shared" si="478"/>
        <v>15.9</v>
      </c>
      <c r="Z196">
        <f t="shared" si="479"/>
        <v>20.399999999999999</v>
      </c>
      <c r="BA196" t="s">
        <v>6</v>
      </c>
    </row>
    <row r="197" spans="1:53" x14ac:dyDescent="0.2">
      <c r="A197" s="1">
        <v>45421</v>
      </c>
      <c r="B197" s="2">
        <v>0.29166666666666669</v>
      </c>
      <c r="C197" s="6">
        <v>45421.291666666664</v>
      </c>
      <c r="D197">
        <v>62.3</v>
      </c>
      <c r="E197">
        <v>71.2</v>
      </c>
      <c r="F197">
        <v>54.4</v>
      </c>
      <c r="G197" t="s">
        <v>6</v>
      </c>
      <c r="H197">
        <v>19.399999999999999</v>
      </c>
      <c r="I197">
        <v>25.3</v>
      </c>
      <c r="J197">
        <v>17.100000000000001</v>
      </c>
      <c r="K197" t="s">
        <v>6</v>
      </c>
      <c r="L197">
        <v>219</v>
      </c>
      <c r="M197" t="s">
        <v>6</v>
      </c>
      <c r="O197" s="6">
        <f t="shared" si="470"/>
        <v>45421.291666666664</v>
      </c>
      <c r="P197">
        <f t="shared" si="471"/>
        <v>62.3</v>
      </c>
      <c r="Q197">
        <f t="shared" si="472"/>
        <v>71.2</v>
      </c>
      <c r="R197">
        <f t="shared" si="473"/>
        <v>54.4</v>
      </c>
      <c r="S197">
        <f t="shared" si="474"/>
        <v>63.3</v>
      </c>
      <c r="V197" s="6">
        <f t="shared" si="475"/>
        <v>45421.291666666664</v>
      </c>
      <c r="W197">
        <f t="shared" si="476"/>
        <v>19.399999999999999</v>
      </c>
      <c r="X197">
        <f t="shared" si="477"/>
        <v>25.3</v>
      </c>
      <c r="Y197">
        <f t="shared" si="478"/>
        <v>17.100000000000001</v>
      </c>
      <c r="Z197">
        <f t="shared" si="479"/>
        <v>20.399999999999999</v>
      </c>
      <c r="BA197" t="s">
        <v>6</v>
      </c>
    </row>
    <row r="198" spans="1:53" x14ac:dyDescent="0.2">
      <c r="A198" s="14">
        <v>45421</v>
      </c>
      <c r="B198" s="7">
        <v>0.33333333333333331</v>
      </c>
      <c r="C198" s="8">
        <v>45421.333333333336</v>
      </c>
      <c r="D198" s="9">
        <v>66.3</v>
      </c>
      <c r="E198" s="9">
        <v>73.099999999999994</v>
      </c>
      <c r="F198" s="9">
        <v>60.7</v>
      </c>
      <c r="G198" s="9" t="s">
        <v>6</v>
      </c>
      <c r="H198" s="9">
        <v>19.399999999999999</v>
      </c>
      <c r="I198" s="9">
        <v>24.7</v>
      </c>
      <c r="J198" s="9">
        <v>15.2</v>
      </c>
      <c r="K198" s="9" t="s">
        <v>6</v>
      </c>
      <c r="L198" s="9">
        <v>218</v>
      </c>
      <c r="M198" t="s">
        <v>6</v>
      </c>
      <c r="O198" s="6">
        <f t="shared" si="470"/>
        <v>45421.333333333336</v>
      </c>
      <c r="P198">
        <f t="shared" si="471"/>
        <v>66.3</v>
      </c>
      <c r="Q198">
        <f t="shared" si="472"/>
        <v>73.099999999999994</v>
      </c>
      <c r="R198">
        <f t="shared" si="473"/>
        <v>60.7</v>
      </c>
      <c r="S198">
        <f t="shared" si="474"/>
        <v>67.3</v>
      </c>
      <c r="V198" s="6">
        <f t="shared" si="475"/>
        <v>45421.333333333336</v>
      </c>
      <c r="W198">
        <f t="shared" si="476"/>
        <v>19.399999999999999</v>
      </c>
      <c r="X198">
        <f t="shared" si="477"/>
        <v>24.7</v>
      </c>
      <c r="Y198">
        <f t="shared" si="478"/>
        <v>15.2</v>
      </c>
      <c r="Z198">
        <f t="shared" si="479"/>
        <v>20.399999999999999</v>
      </c>
      <c r="BA198" t="s">
        <v>6</v>
      </c>
    </row>
    <row r="199" spans="1:53" x14ac:dyDescent="0.2">
      <c r="A199" s="13">
        <v>45421</v>
      </c>
      <c r="B199" s="3">
        <v>0.375</v>
      </c>
      <c r="C199" s="4">
        <v>45421.375</v>
      </c>
      <c r="D199" s="5">
        <v>70.8</v>
      </c>
      <c r="E199" s="5">
        <v>78.2</v>
      </c>
      <c r="F199" s="5">
        <v>60.7</v>
      </c>
      <c r="G199" s="5" t="s">
        <v>6</v>
      </c>
      <c r="H199" s="5">
        <v>19.899999999999999</v>
      </c>
      <c r="I199" s="5">
        <v>34.9</v>
      </c>
      <c r="J199" s="5">
        <v>16.3</v>
      </c>
      <c r="K199" s="5" t="s">
        <v>6</v>
      </c>
      <c r="L199" s="5">
        <v>186</v>
      </c>
      <c r="M199" t="s">
        <v>6</v>
      </c>
      <c r="O199" s="6">
        <f t="shared" si="470"/>
        <v>45421.375</v>
      </c>
      <c r="P199">
        <f t="shared" si="471"/>
        <v>70.8</v>
      </c>
      <c r="Q199">
        <f t="shared" si="472"/>
        <v>78.2</v>
      </c>
      <c r="R199">
        <f t="shared" si="473"/>
        <v>60.7</v>
      </c>
      <c r="S199">
        <f t="shared" si="474"/>
        <v>71.8</v>
      </c>
      <c r="V199" s="6">
        <f t="shared" si="475"/>
        <v>45421.375</v>
      </c>
      <c r="W199">
        <f t="shared" si="476"/>
        <v>19.899999999999999</v>
      </c>
      <c r="X199">
        <f t="shared" si="477"/>
        <v>34.9</v>
      </c>
      <c r="Y199">
        <f t="shared" si="478"/>
        <v>16.3</v>
      </c>
      <c r="Z199">
        <f t="shared" si="479"/>
        <v>20.9</v>
      </c>
      <c r="BA199" t="s">
        <v>6</v>
      </c>
    </row>
    <row r="200" spans="1:53" x14ac:dyDescent="0.2">
      <c r="A200" s="1">
        <v>45421</v>
      </c>
      <c r="B200" s="2">
        <v>0.41666666666666669</v>
      </c>
      <c r="C200" s="6">
        <v>45421.416666666664</v>
      </c>
      <c r="D200">
        <v>72</v>
      </c>
      <c r="E200">
        <v>78.8</v>
      </c>
      <c r="F200">
        <v>66</v>
      </c>
      <c r="G200" t="s">
        <v>6</v>
      </c>
      <c r="H200">
        <v>17.8</v>
      </c>
      <c r="I200">
        <v>19.8</v>
      </c>
      <c r="J200">
        <v>16.2</v>
      </c>
      <c r="K200" t="s">
        <v>6</v>
      </c>
      <c r="L200">
        <v>182</v>
      </c>
      <c r="M200" t="s">
        <v>6</v>
      </c>
      <c r="O200" s="6">
        <f t="shared" si="470"/>
        <v>45421.416666666664</v>
      </c>
      <c r="P200">
        <f t="shared" si="471"/>
        <v>72</v>
      </c>
      <c r="Q200">
        <f t="shared" si="472"/>
        <v>78.8</v>
      </c>
      <c r="R200">
        <f t="shared" si="473"/>
        <v>66</v>
      </c>
      <c r="S200">
        <f t="shared" si="474"/>
        <v>73</v>
      </c>
      <c r="V200" s="6">
        <f t="shared" si="475"/>
        <v>45421.416666666664</v>
      </c>
      <c r="W200">
        <f t="shared" si="476"/>
        <v>17.8</v>
      </c>
      <c r="X200">
        <f t="shared" si="477"/>
        <v>19.8</v>
      </c>
      <c r="Y200">
        <f t="shared" si="478"/>
        <v>16.2</v>
      </c>
      <c r="Z200">
        <f t="shared" si="479"/>
        <v>18.8</v>
      </c>
      <c r="BA200" t="s">
        <v>6</v>
      </c>
    </row>
    <row r="201" spans="1:53" x14ac:dyDescent="0.2">
      <c r="A201" s="1">
        <v>45421</v>
      </c>
      <c r="B201" s="2">
        <v>0.45833333333333331</v>
      </c>
      <c r="C201" s="6">
        <v>45421.458333333336</v>
      </c>
      <c r="D201">
        <v>65.8</v>
      </c>
      <c r="E201">
        <v>81.7</v>
      </c>
      <c r="F201">
        <v>55.3</v>
      </c>
      <c r="G201" t="s">
        <v>6</v>
      </c>
      <c r="H201">
        <v>19.7</v>
      </c>
      <c r="I201">
        <v>23.1</v>
      </c>
      <c r="J201">
        <v>16.899999999999999</v>
      </c>
      <c r="K201" t="s">
        <v>6</v>
      </c>
      <c r="L201">
        <v>173</v>
      </c>
      <c r="M201" t="s">
        <v>6</v>
      </c>
      <c r="O201" s="6">
        <f t="shared" si="470"/>
        <v>45421.458333333336</v>
      </c>
      <c r="P201">
        <f t="shared" si="471"/>
        <v>65.8</v>
      </c>
      <c r="Q201">
        <f t="shared" si="472"/>
        <v>81.7</v>
      </c>
      <c r="R201">
        <f t="shared" si="473"/>
        <v>55.3</v>
      </c>
      <c r="S201">
        <f t="shared" si="474"/>
        <v>66.8</v>
      </c>
      <c r="V201" s="6">
        <f t="shared" si="475"/>
        <v>45421.458333333336</v>
      </c>
      <c r="W201">
        <f t="shared" si="476"/>
        <v>19.7</v>
      </c>
      <c r="X201">
        <f t="shared" si="477"/>
        <v>23.1</v>
      </c>
      <c r="Y201">
        <f t="shared" si="478"/>
        <v>16.899999999999999</v>
      </c>
      <c r="Z201">
        <f t="shared" si="479"/>
        <v>20.7</v>
      </c>
      <c r="BA201" t="s">
        <v>6</v>
      </c>
    </row>
    <row r="202" spans="1:53" x14ac:dyDescent="0.2">
      <c r="A202" s="1">
        <v>45421</v>
      </c>
      <c r="B202" s="2">
        <v>0.5</v>
      </c>
      <c r="C202" s="6">
        <v>45421.5</v>
      </c>
      <c r="D202">
        <v>54.9</v>
      </c>
      <c r="E202">
        <v>64.099999999999994</v>
      </c>
      <c r="F202">
        <v>49.3</v>
      </c>
      <c r="G202" t="s">
        <v>6</v>
      </c>
      <c r="H202">
        <v>19</v>
      </c>
      <c r="I202">
        <v>22.5</v>
      </c>
      <c r="J202">
        <v>13.9</v>
      </c>
      <c r="K202" t="s">
        <v>6</v>
      </c>
      <c r="L202">
        <v>203</v>
      </c>
      <c r="M202" t="s">
        <v>6</v>
      </c>
      <c r="O202" s="6">
        <f t="shared" si="470"/>
        <v>45421.5</v>
      </c>
      <c r="P202">
        <f t="shared" si="471"/>
        <v>54.9</v>
      </c>
      <c r="Q202">
        <f t="shared" si="472"/>
        <v>64.099999999999994</v>
      </c>
      <c r="R202">
        <f t="shared" si="473"/>
        <v>49.3</v>
      </c>
      <c r="S202">
        <f t="shared" si="474"/>
        <v>55.9</v>
      </c>
      <c r="V202" s="6">
        <f t="shared" si="475"/>
        <v>45421.5</v>
      </c>
      <c r="W202">
        <f t="shared" si="476"/>
        <v>19</v>
      </c>
      <c r="X202">
        <f t="shared" si="477"/>
        <v>22.5</v>
      </c>
      <c r="Y202">
        <f t="shared" si="478"/>
        <v>13.9</v>
      </c>
      <c r="Z202">
        <f t="shared" si="479"/>
        <v>20</v>
      </c>
      <c r="BA202" t="s">
        <v>6</v>
      </c>
    </row>
    <row r="203" spans="1:53" x14ac:dyDescent="0.2">
      <c r="A203" s="1">
        <v>45421</v>
      </c>
      <c r="B203" s="2">
        <v>0.54166666666666663</v>
      </c>
      <c r="C203" s="6">
        <v>45421.541666666664</v>
      </c>
      <c r="D203">
        <v>63.8</v>
      </c>
      <c r="E203">
        <v>76.2</v>
      </c>
      <c r="F203">
        <v>50.6</v>
      </c>
      <c r="G203" t="s">
        <v>6</v>
      </c>
      <c r="H203">
        <v>18.3</v>
      </c>
      <c r="I203">
        <v>21.6</v>
      </c>
      <c r="J203">
        <v>15.5</v>
      </c>
      <c r="K203" t="s">
        <v>6</v>
      </c>
      <c r="L203">
        <v>218</v>
      </c>
      <c r="M203" t="s">
        <v>6</v>
      </c>
      <c r="O203" s="6">
        <f t="shared" si="470"/>
        <v>45421.541666666664</v>
      </c>
      <c r="P203">
        <f t="shared" si="471"/>
        <v>63.8</v>
      </c>
      <c r="Q203">
        <f t="shared" si="472"/>
        <v>76.2</v>
      </c>
      <c r="R203">
        <f t="shared" si="473"/>
        <v>50.6</v>
      </c>
      <c r="S203">
        <f t="shared" si="474"/>
        <v>64.8</v>
      </c>
      <c r="V203" s="6">
        <f t="shared" si="475"/>
        <v>45421.541666666664</v>
      </c>
      <c r="W203">
        <f t="shared" si="476"/>
        <v>18.3</v>
      </c>
      <c r="X203">
        <f t="shared" si="477"/>
        <v>21.6</v>
      </c>
      <c r="Y203">
        <f t="shared" si="478"/>
        <v>15.5</v>
      </c>
      <c r="Z203">
        <f t="shared" si="479"/>
        <v>19.3</v>
      </c>
      <c r="BA203" t="s">
        <v>6</v>
      </c>
    </row>
    <row r="204" spans="1:53" x14ac:dyDescent="0.2">
      <c r="A204" s="1">
        <v>45421</v>
      </c>
      <c r="B204" s="2">
        <v>0.58333333333333337</v>
      </c>
      <c r="C204" s="6">
        <v>45421.583333333336</v>
      </c>
      <c r="D204">
        <v>66.7</v>
      </c>
      <c r="E204">
        <v>74.900000000000006</v>
      </c>
      <c r="F204">
        <v>57.4</v>
      </c>
      <c r="G204" t="s">
        <v>6</v>
      </c>
      <c r="H204">
        <v>19.3</v>
      </c>
      <c r="I204">
        <v>24.5</v>
      </c>
      <c r="J204">
        <v>16.2</v>
      </c>
      <c r="K204" t="s">
        <v>6</v>
      </c>
      <c r="L204">
        <v>201</v>
      </c>
      <c r="M204" t="s">
        <v>6</v>
      </c>
      <c r="O204" s="6">
        <f t="shared" si="470"/>
        <v>45421.583333333336</v>
      </c>
      <c r="P204">
        <f t="shared" si="471"/>
        <v>66.7</v>
      </c>
      <c r="Q204">
        <f t="shared" si="472"/>
        <v>74.900000000000006</v>
      </c>
      <c r="R204">
        <f t="shared" si="473"/>
        <v>57.4</v>
      </c>
      <c r="S204">
        <f t="shared" si="474"/>
        <v>67.7</v>
      </c>
      <c r="V204" s="6">
        <f t="shared" si="475"/>
        <v>45421.583333333336</v>
      </c>
      <c r="W204">
        <f t="shared" si="476"/>
        <v>19.3</v>
      </c>
      <c r="X204">
        <f t="shared" si="477"/>
        <v>24.5</v>
      </c>
      <c r="Y204">
        <f t="shared" si="478"/>
        <v>16.2</v>
      </c>
      <c r="Z204">
        <f t="shared" si="479"/>
        <v>20.3</v>
      </c>
      <c r="BA204" t="s">
        <v>6</v>
      </c>
    </row>
    <row r="205" spans="1:53" x14ac:dyDescent="0.2">
      <c r="A205" s="1">
        <v>45421</v>
      </c>
      <c r="B205" s="2">
        <v>0.625</v>
      </c>
      <c r="C205" s="6">
        <v>45421.625</v>
      </c>
      <c r="D205">
        <v>60.4</v>
      </c>
      <c r="E205">
        <v>67</v>
      </c>
      <c r="F205">
        <v>56.8</v>
      </c>
      <c r="G205" t="s">
        <v>6</v>
      </c>
      <c r="H205">
        <v>17.399999999999999</v>
      </c>
      <c r="I205">
        <v>20.8</v>
      </c>
      <c r="J205">
        <v>13.9</v>
      </c>
      <c r="K205" t="s">
        <v>6</v>
      </c>
      <c r="L205">
        <v>230</v>
      </c>
      <c r="M205" t="s">
        <v>6</v>
      </c>
      <c r="O205" s="6">
        <f t="shared" si="470"/>
        <v>45421.625</v>
      </c>
      <c r="P205">
        <f t="shared" si="471"/>
        <v>60.4</v>
      </c>
      <c r="Q205">
        <f t="shared" si="472"/>
        <v>67</v>
      </c>
      <c r="R205">
        <f t="shared" si="473"/>
        <v>56.8</v>
      </c>
      <c r="S205">
        <f t="shared" si="474"/>
        <v>61.4</v>
      </c>
      <c r="V205" s="6">
        <f t="shared" si="475"/>
        <v>45421.625</v>
      </c>
      <c r="W205">
        <f t="shared" si="476"/>
        <v>17.399999999999999</v>
      </c>
      <c r="X205">
        <f t="shared" si="477"/>
        <v>20.8</v>
      </c>
      <c r="Y205">
        <f t="shared" si="478"/>
        <v>13.9</v>
      </c>
      <c r="Z205">
        <f t="shared" si="479"/>
        <v>18.399999999999999</v>
      </c>
      <c r="BA205" t="s">
        <v>6</v>
      </c>
    </row>
    <row r="206" spans="1:53" x14ac:dyDescent="0.2">
      <c r="A206" s="1">
        <v>45421</v>
      </c>
      <c r="B206" s="2">
        <v>0.66666666666666663</v>
      </c>
      <c r="C206" s="6">
        <v>45421.666666666664</v>
      </c>
      <c r="D206">
        <v>63.5</v>
      </c>
      <c r="E206">
        <v>69.7</v>
      </c>
      <c r="F206">
        <v>59.4</v>
      </c>
      <c r="G206" t="s">
        <v>6</v>
      </c>
      <c r="H206">
        <v>18.100000000000001</v>
      </c>
      <c r="I206">
        <v>22.4</v>
      </c>
      <c r="J206">
        <v>15.1</v>
      </c>
      <c r="K206" t="s">
        <v>6</v>
      </c>
      <c r="L206">
        <v>218</v>
      </c>
      <c r="M206" t="s">
        <v>6</v>
      </c>
      <c r="O206" s="6">
        <f t="shared" si="470"/>
        <v>45421.666666666664</v>
      </c>
      <c r="P206">
        <f t="shared" si="471"/>
        <v>63.5</v>
      </c>
      <c r="Q206">
        <f t="shared" si="472"/>
        <v>69.7</v>
      </c>
      <c r="R206">
        <f t="shared" si="473"/>
        <v>59.4</v>
      </c>
      <c r="S206">
        <f t="shared" si="474"/>
        <v>64.5</v>
      </c>
      <c r="V206" s="6">
        <f t="shared" si="475"/>
        <v>45421.666666666664</v>
      </c>
      <c r="W206">
        <f t="shared" si="476"/>
        <v>18.100000000000001</v>
      </c>
      <c r="X206">
        <f t="shared" si="477"/>
        <v>22.4</v>
      </c>
      <c r="Y206">
        <f t="shared" si="478"/>
        <v>15.1</v>
      </c>
      <c r="Z206">
        <f t="shared" si="479"/>
        <v>19.100000000000001</v>
      </c>
      <c r="BA206" t="s">
        <v>6</v>
      </c>
    </row>
    <row r="207" spans="1:53" x14ac:dyDescent="0.2">
      <c r="A207" s="1">
        <v>45421</v>
      </c>
      <c r="B207" s="2">
        <v>0.70833333333333337</v>
      </c>
      <c r="C207" s="6">
        <v>45421.708333333336</v>
      </c>
      <c r="D207">
        <v>62.2</v>
      </c>
      <c r="E207">
        <v>70.5</v>
      </c>
      <c r="F207">
        <v>57.4</v>
      </c>
      <c r="G207" t="s">
        <v>6</v>
      </c>
      <c r="H207">
        <v>18.5</v>
      </c>
      <c r="I207">
        <v>22.4</v>
      </c>
      <c r="J207">
        <v>15.9</v>
      </c>
      <c r="K207" t="s">
        <v>6</v>
      </c>
      <c r="L207">
        <v>225</v>
      </c>
      <c r="M207" t="s">
        <v>6</v>
      </c>
      <c r="O207" s="6">
        <f t="shared" si="470"/>
        <v>45421.708333333336</v>
      </c>
      <c r="P207">
        <f t="shared" si="471"/>
        <v>62.2</v>
      </c>
      <c r="Q207">
        <f t="shared" si="472"/>
        <v>70.5</v>
      </c>
      <c r="R207">
        <f t="shared" si="473"/>
        <v>57.4</v>
      </c>
      <c r="S207">
        <f t="shared" si="474"/>
        <v>63.2</v>
      </c>
      <c r="V207" s="6">
        <f t="shared" si="475"/>
        <v>45421.708333333336</v>
      </c>
      <c r="W207">
        <f t="shared" si="476"/>
        <v>18.5</v>
      </c>
      <c r="X207">
        <f t="shared" si="477"/>
        <v>22.4</v>
      </c>
      <c r="Y207">
        <f t="shared" si="478"/>
        <v>15.9</v>
      </c>
      <c r="Z207">
        <f t="shared" si="479"/>
        <v>19.5</v>
      </c>
      <c r="BA207" t="s">
        <v>6</v>
      </c>
    </row>
    <row r="208" spans="1:53" x14ac:dyDescent="0.2">
      <c r="A208" s="1">
        <v>45421</v>
      </c>
      <c r="B208" s="2">
        <v>0.75</v>
      </c>
      <c r="C208" s="6">
        <v>45421.75</v>
      </c>
      <c r="D208">
        <v>57.8</v>
      </c>
      <c r="E208">
        <v>64.3</v>
      </c>
      <c r="F208">
        <v>52.5</v>
      </c>
      <c r="G208" t="s">
        <v>6</v>
      </c>
      <c r="H208">
        <v>19.600000000000001</v>
      </c>
      <c r="I208">
        <v>24.1</v>
      </c>
      <c r="J208">
        <v>12.6</v>
      </c>
      <c r="K208" t="s">
        <v>6</v>
      </c>
      <c r="L208">
        <v>218</v>
      </c>
      <c r="M208" t="s">
        <v>6</v>
      </c>
      <c r="O208" s="6">
        <f t="shared" si="470"/>
        <v>45421.75</v>
      </c>
      <c r="P208">
        <f t="shared" si="471"/>
        <v>57.8</v>
      </c>
      <c r="Q208">
        <f t="shared" si="472"/>
        <v>64.3</v>
      </c>
      <c r="R208">
        <f t="shared" si="473"/>
        <v>52.5</v>
      </c>
      <c r="S208">
        <f t="shared" si="474"/>
        <v>58.8</v>
      </c>
      <c r="V208" s="6">
        <f t="shared" si="475"/>
        <v>45421.75</v>
      </c>
      <c r="W208">
        <f t="shared" si="476"/>
        <v>19.600000000000001</v>
      </c>
      <c r="X208">
        <f t="shared" si="477"/>
        <v>24.1</v>
      </c>
      <c r="Y208">
        <f t="shared" si="478"/>
        <v>12.6</v>
      </c>
      <c r="Z208">
        <f t="shared" si="479"/>
        <v>20.6</v>
      </c>
      <c r="BA208" t="s">
        <v>6</v>
      </c>
    </row>
    <row r="209" spans="1:53" x14ac:dyDescent="0.2">
      <c r="A209" s="1">
        <v>45421</v>
      </c>
      <c r="B209" s="2">
        <v>0.79166666666666663</v>
      </c>
      <c r="C209" s="6">
        <v>45421.791666666664</v>
      </c>
      <c r="D209">
        <v>53.6</v>
      </c>
      <c r="E209">
        <v>62.8</v>
      </c>
      <c r="F209">
        <v>49.7</v>
      </c>
      <c r="G209" t="s">
        <v>6</v>
      </c>
      <c r="H209">
        <v>20</v>
      </c>
      <c r="I209">
        <v>23.1</v>
      </c>
      <c r="J209">
        <v>15.2</v>
      </c>
      <c r="K209" t="s">
        <v>6</v>
      </c>
      <c r="L209">
        <v>225</v>
      </c>
      <c r="M209" t="s">
        <v>6</v>
      </c>
      <c r="O209" s="6">
        <f t="shared" si="470"/>
        <v>45421.791666666664</v>
      </c>
      <c r="P209">
        <f t="shared" si="471"/>
        <v>53.6</v>
      </c>
      <c r="Q209">
        <f t="shared" si="472"/>
        <v>62.8</v>
      </c>
      <c r="R209">
        <f t="shared" si="473"/>
        <v>49.7</v>
      </c>
      <c r="S209">
        <f t="shared" si="474"/>
        <v>54.6</v>
      </c>
      <c r="V209" s="6">
        <f t="shared" si="475"/>
        <v>45421.791666666664</v>
      </c>
      <c r="W209">
        <f t="shared" si="476"/>
        <v>20</v>
      </c>
      <c r="X209">
        <f t="shared" si="477"/>
        <v>23.1</v>
      </c>
      <c r="Y209">
        <f t="shared" si="478"/>
        <v>15.2</v>
      </c>
      <c r="Z209">
        <f t="shared" si="479"/>
        <v>21</v>
      </c>
      <c r="BA209" t="s">
        <v>6</v>
      </c>
    </row>
    <row r="210" spans="1:53" x14ac:dyDescent="0.2">
      <c r="A210" s="1">
        <v>45421</v>
      </c>
      <c r="B210" s="2">
        <v>0.83333333333333337</v>
      </c>
      <c r="C210" s="6">
        <v>45421.833333333336</v>
      </c>
      <c r="D210">
        <v>59.3</v>
      </c>
      <c r="E210">
        <v>70.599999999999994</v>
      </c>
      <c r="F210">
        <v>50.2</v>
      </c>
      <c r="G210" t="s">
        <v>6</v>
      </c>
      <c r="H210">
        <v>19.2</v>
      </c>
      <c r="I210">
        <v>23.7</v>
      </c>
      <c r="J210">
        <v>15.4</v>
      </c>
      <c r="K210" t="s">
        <v>6</v>
      </c>
      <c r="L210">
        <v>182</v>
      </c>
      <c r="M210" t="s">
        <v>6</v>
      </c>
      <c r="O210" s="6">
        <f t="shared" si="470"/>
        <v>45421.833333333336</v>
      </c>
      <c r="P210">
        <f t="shared" si="471"/>
        <v>59.3</v>
      </c>
      <c r="Q210">
        <f t="shared" si="472"/>
        <v>70.599999999999994</v>
      </c>
      <c r="R210">
        <f t="shared" si="473"/>
        <v>50.2</v>
      </c>
      <c r="S210">
        <f t="shared" si="474"/>
        <v>60.3</v>
      </c>
      <c r="V210" s="6">
        <f t="shared" si="475"/>
        <v>45421.833333333336</v>
      </c>
      <c r="W210">
        <f t="shared" si="476"/>
        <v>19.2</v>
      </c>
      <c r="X210">
        <f t="shared" si="477"/>
        <v>23.7</v>
      </c>
      <c r="Y210">
        <f t="shared" si="478"/>
        <v>15.4</v>
      </c>
      <c r="Z210">
        <f t="shared" si="479"/>
        <v>20.2</v>
      </c>
      <c r="BA210" t="s">
        <v>6</v>
      </c>
    </row>
    <row r="211" spans="1:53" x14ac:dyDescent="0.2">
      <c r="A211" s="1">
        <v>45421</v>
      </c>
      <c r="B211" s="2">
        <v>0.875</v>
      </c>
      <c r="C211" s="6">
        <v>45421.875</v>
      </c>
      <c r="D211">
        <v>59.8</v>
      </c>
      <c r="E211">
        <v>66.8</v>
      </c>
      <c r="F211">
        <v>53.6</v>
      </c>
      <c r="G211" t="s">
        <v>6</v>
      </c>
      <c r="H211">
        <v>21</v>
      </c>
      <c r="I211">
        <v>24.3</v>
      </c>
      <c r="J211">
        <v>17.8</v>
      </c>
      <c r="K211" t="s">
        <v>6</v>
      </c>
      <c r="L211">
        <v>192</v>
      </c>
      <c r="M211" t="s">
        <v>6</v>
      </c>
      <c r="O211" s="6">
        <f t="shared" si="470"/>
        <v>45421.875</v>
      </c>
      <c r="P211">
        <f t="shared" si="471"/>
        <v>59.8</v>
      </c>
      <c r="Q211">
        <f t="shared" si="472"/>
        <v>66.8</v>
      </c>
      <c r="R211">
        <f t="shared" si="473"/>
        <v>53.6</v>
      </c>
      <c r="S211">
        <f t="shared" si="474"/>
        <v>60.8</v>
      </c>
      <c r="V211" s="6">
        <f t="shared" si="475"/>
        <v>45421.875</v>
      </c>
      <c r="W211">
        <f t="shared" si="476"/>
        <v>21</v>
      </c>
      <c r="X211">
        <f t="shared" si="477"/>
        <v>24.3</v>
      </c>
      <c r="Y211">
        <f t="shared" si="478"/>
        <v>17.8</v>
      </c>
      <c r="Z211">
        <f t="shared" si="479"/>
        <v>22</v>
      </c>
      <c r="BA211" t="s">
        <v>6</v>
      </c>
    </row>
    <row r="212" spans="1:53" x14ac:dyDescent="0.2">
      <c r="A212" s="1">
        <v>45421</v>
      </c>
      <c r="B212" s="2">
        <v>0.91666666666666663</v>
      </c>
      <c r="C212" s="6">
        <v>45421.916666666664</v>
      </c>
      <c r="D212">
        <v>61.1</v>
      </c>
      <c r="E212">
        <v>68.8</v>
      </c>
      <c r="F212">
        <v>54.4</v>
      </c>
      <c r="G212" t="s">
        <v>6</v>
      </c>
      <c r="H212">
        <v>19.2</v>
      </c>
      <c r="I212">
        <v>22.7</v>
      </c>
      <c r="J212">
        <v>13.5</v>
      </c>
      <c r="K212" t="s">
        <v>6</v>
      </c>
      <c r="L212">
        <v>224</v>
      </c>
      <c r="M212" t="s">
        <v>6</v>
      </c>
      <c r="O212" s="6">
        <f t="shared" si="470"/>
        <v>45421.916666666664</v>
      </c>
      <c r="P212">
        <f t="shared" si="471"/>
        <v>61.1</v>
      </c>
      <c r="Q212">
        <f t="shared" si="472"/>
        <v>68.8</v>
      </c>
      <c r="R212">
        <f t="shared" si="473"/>
        <v>54.4</v>
      </c>
      <c r="S212">
        <f t="shared" si="474"/>
        <v>62.1</v>
      </c>
      <c r="V212" s="6">
        <f t="shared" si="475"/>
        <v>45421.916666666664</v>
      </c>
      <c r="W212">
        <f t="shared" si="476"/>
        <v>19.2</v>
      </c>
      <c r="X212">
        <f t="shared" si="477"/>
        <v>22.7</v>
      </c>
      <c r="Y212">
        <f t="shared" si="478"/>
        <v>13.5</v>
      </c>
      <c r="Z212">
        <f t="shared" si="479"/>
        <v>20.2</v>
      </c>
      <c r="BA212" t="s">
        <v>6</v>
      </c>
    </row>
    <row r="213" spans="1:53" x14ac:dyDescent="0.2">
      <c r="A213" s="1">
        <v>45421</v>
      </c>
      <c r="B213" s="2">
        <v>0.95833333333333337</v>
      </c>
      <c r="C213" s="6">
        <v>45421.958333333336</v>
      </c>
      <c r="D213">
        <v>58.8</v>
      </c>
      <c r="E213">
        <v>65.3</v>
      </c>
      <c r="F213">
        <v>53.8</v>
      </c>
      <c r="G213" t="s">
        <v>6</v>
      </c>
      <c r="H213">
        <v>17.5</v>
      </c>
      <c r="I213">
        <v>23.7</v>
      </c>
      <c r="J213">
        <v>15</v>
      </c>
      <c r="K213" t="s">
        <v>6</v>
      </c>
      <c r="L213">
        <v>225</v>
      </c>
      <c r="M213" t="s">
        <v>6</v>
      </c>
      <c r="O213" s="6">
        <f t="shared" si="470"/>
        <v>45421.958333333336</v>
      </c>
      <c r="P213">
        <f t="shared" si="471"/>
        <v>58.8</v>
      </c>
      <c r="Q213">
        <f t="shared" si="472"/>
        <v>65.3</v>
      </c>
      <c r="R213">
        <f t="shared" si="473"/>
        <v>53.8</v>
      </c>
      <c r="S213">
        <f t="shared" si="474"/>
        <v>59.8</v>
      </c>
      <c r="V213" s="6">
        <f t="shared" si="475"/>
        <v>45421.958333333336</v>
      </c>
      <c r="W213">
        <f t="shared" si="476"/>
        <v>17.5</v>
      </c>
      <c r="X213">
        <f t="shared" si="477"/>
        <v>23.7</v>
      </c>
      <c r="Y213">
        <f t="shared" si="478"/>
        <v>15</v>
      </c>
      <c r="Z213">
        <f t="shared" si="479"/>
        <v>18.5</v>
      </c>
      <c r="BA213" t="s">
        <v>6</v>
      </c>
    </row>
    <row r="214" spans="1:53" x14ac:dyDescent="0.2">
      <c r="A214" s="1">
        <v>45422</v>
      </c>
      <c r="B214" s="2">
        <v>0</v>
      </c>
      <c r="C214" s="6">
        <v>45422</v>
      </c>
      <c r="D214">
        <v>57</v>
      </c>
      <c r="E214">
        <v>60.2</v>
      </c>
      <c r="F214">
        <v>53.3</v>
      </c>
      <c r="G214" t="s">
        <v>6</v>
      </c>
      <c r="H214">
        <v>17.100000000000001</v>
      </c>
      <c r="I214">
        <v>22.8</v>
      </c>
      <c r="J214">
        <v>14.3</v>
      </c>
      <c r="K214" t="s">
        <v>6</v>
      </c>
      <c r="L214">
        <v>216</v>
      </c>
      <c r="M214" t="s">
        <v>6</v>
      </c>
      <c r="O214" s="6">
        <f t="shared" si="470"/>
        <v>45422</v>
      </c>
      <c r="P214">
        <f t="shared" si="471"/>
        <v>57</v>
      </c>
      <c r="Q214">
        <f t="shared" si="472"/>
        <v>60.2</v>
      </c>
      <c r="R214">
        <f t="shared" si="473"/>
        <v>53.3</v>
      </c>
      <c r="S214">
        <f t="shared" si="474"/>
        <v>58</v>
      </c>
      <c r="V214" s="6">
        <f t="shared" si="475"/>
        <v>45422</v>
      </c>
      <c r="W214">
        <f t="shared" si="476"/>
        <v>17.100000000000001</v>
      </c>
      <c r="X214">
        <f t="shared" si="477"/>
        <v>22.8</v>
      </c>
      <c r="Y214">
        <f t="shared" si="478"/>
        <v>14.3</v>
      </c>
      <c r="Z214">
        <f t="shared" si="479"/>
        <v>18.100000000000001</v>
      </c>
      <c r="BA214" t="s">
        <v>6</v>
      </c>
    </row>
    <row r="215" spans="1:53" x14ac:dyDescent="0.2">
      <c r="A215" s="1">
        <v>45422</v>
      </c>
      <c r="B215" s="2">
        <v>4.1666666666666664E-2</v>
      </c>
      <c r="C215" s="6">
        <v>45422.041666666664</v>
      </c>
      <c r="D215">
        <v>58.6</v>
      </c>
      <c r="E215">
        <v>64.3</v>
      </c>
      <c r="F215">
        <v>53.6</v>
      </c>
      <c r="G215" t="s">
        <v>6</v>
      </c>
      <c r="H215">
        <v>18.2</v>
      </c>
      <c r="I215">
        <v>24.6</v>
      </c>
      <c r="J215">
        <v>13.7</v>
      </c>
      <c r="K215" t="s">
        <v>6</v>
      </c>
      <c r="L215">
        <v>225</v>
      </c>
      <c r="M215" t="s">
        <v>6</v>
      </c>
      <c r="O215" s="6">
        <f t="shared" si="470"/>
        <v>45422.041666666664</v>
      </c>
      <c r="P215">
        <f t="shared" si="471"/>
        <v>58.6</v>
      </c>
      <c r="Q215">
        <f t="shared" si="472"/>
        <v>64.3</v>
      </c>
      <c r="R215">
        <f t="shared" si="473"/>
        <v>53.6</v>
      </c>
      <c r="S215">
        <f t="shared" si="474"/>
        <v>59.6</v>
      </c>
      <c r="V215" s="6">
        <f t="shared" si="475"/>
        <v>45422.041666666664</v>
      </c>
      <c r="W215">
        <f t="shared" si="476"/>
        <v>18.2</v>
      </c>
      <c r="X215">
        <f t="shared" si="477"/>
        <v>24.6</v>
      </c>
      <c r="Y215">
        <f t="shared" si="478"/>
        <v>13.7</v>
      </c>
      <c r="Z215">
        <f t="shared" si="479"/>
        <v>19.2</v>
      </c>
      <c r="BA215" t="s">
        <v>6</v>
      </c>
    </row>
    <row r="216" spans="1:53" x14ac:dyDescent="0.2">
      <c r="A216" s="1">
        <v>45422</v>
      </c>
      <c r="B216" s="2">
        <v>8.3333333333333329E-2</v>
      </c>
      <c r="C216" s="6">
        <v>45422.083333333336</v>
      </c>
      <c r="D216">
        <v>57.9</v>
      </c>
      <c r="E216">
        <v>62.4</v>
      </c>
      <c r="F216">
        <v>55.2</v>
      </c>
      <c r="G216" t="s">
        <v>6</v>
      </c>
      <c r="H216">
        <v>18.399999999999999</v>
      </c>
      <c r="I216">
        <v>21.4</v>
      </c>
      <c r="J216">
        <v>15.9</v>
      </c>
      <c r="K216" t="s">
        <v>6</v>
      </c>
      <c r="L216">
        <v>224</v>
      </c>
      <c r="M216" t="s">
        <v>6</v>
      </c>
      <c r="O216" s="6">
        <f t="shared" si="470"/>
        <v>45422.083333333336</v>
      </c>
      <c r="P216">
        <f t="shared" si="471"/>
        <v>57.9</v>
      </c>
      <c r="Q216">
        <f t="shared" si="472"/>
        <v>62.4</v>
      </c>
      <c r="R216">
        <f t="shared" si="473"/>
        <v>55.2</v>
      </c>
      <c r="S216">
        <f t="shared" si="474"/>
        <v>58.9</v>
      </c>
      <c r="V216" s="6">
        <f t="shared" si="475"/>
        <v>45422.083333333336</v>
      </c>
      <c r="W216">
        <f t="shared" si="476"/>
        <v>18.399999999999999</v>
      </c>
      <c r="X216">
        <f t="shared" si="477"/>
        <v>21.4</v>
      </c>
      <c r="Y216">
        <f t="shared" si="478"/>
        <v>15.9</v>
      </c>
      <c r="Z216">
        <f t="shared" si="479"/>
        <v>19.399999999999999</v>
      </c>
      <c r="BA216" t="s">
        <v>6</v>
      </c>
    </row>
    <row r="217" spans="1:53" x14ac:dyDescent="0.2">
      <c r="A217" s="1">
        <v>45422</v>
      </c>
      <c r="B217" s="2">
        <v>0.125</v>
      </c>
      <c r="C217" s="6">
        <v>45422.125</v>
      </c>
      <c r="D217">
        <v>54.4</v>
      </c>
      <c r="E217">
        <v>60</v>
      </c>
      <c r="F217">
        <v>51.2</v>
      </c>
      <c r="G217" t="s">
        <v>6</v>
      </c>
      <c r="H217">
        <v>19.2</v>
      </c>
      <c r="I217">
        <v>24</v>
      </c>
      <c r="J217">
        <v>14.7</v>
      </c>
      <c r="K217" t="s">
        <v>6</v>
      </c>
      <c r="L217">
        <v>223</v>
      </c>
      <c r="M217" t="s">
        <v>6</v>
      </c>
      <c r="O217" s="6">
        <f t="shared" si="470"/>
        <v>45422.125</v>
      </c>
      <c r="P217">
        <f t="shared" si="471"/>
        <v>54.4</v>
      </c>
      <c r="Q217">
        <f t="shared" si="472"/>
        <v>60</v>
      </c>
      <c r="R217">
        <f t="shared" si="473"/>
        <v>51.2</v>
      </c>
      <c r="S217">
        <f t="shared" si="474"/>
        <v>55.4</v>
      </c>
      <c r="V217" s="6">
        <f t="shared" si="475"/>
        <v>45422.125</v>
      </c>
      <c r="W217">
        <f t="shared" si="476"/>
        <v>19.2</v>
      </c>
      <c r="X217">
        <f t="shared" si="477"/>
        <v>24</v>
      </c>
      <c r="Y217">
        <f t="shared" si="478"/>
        <v>14.7</v>
      </c>
      <c r="Z217">
        <f t="shared" si="479"/>
        <v>20.2</v>
      </c>
      <c r="BA217" t="s">
        <v>6</v>
      </c>
    </row>
    <row r="218" spans="1:53" x14ac:dyDescent="0.2">
      <c r="A218" s="1">
        <v>45422</v>
      </c>
      <c r="B218" s="2">
        <v>0.16666666666666666</v>
      </c>
      <c r="C218" s="6">
        <v>45422.166666666664</v>
      </c>
      <c r="D218">
        <v>52.6</v>
      </c>
      <c r="E218">
        <v>56.9</v>
      </c>
      <c r="F218">
        <v>49.2</v>
      </c>
      <c r="G218" t="s">
        <v>6</v>
      </c>
      <c r="H218">
        <v>19.399999999999999</v>
      </c>
      <c r="I218">
        <v>25.6</v>
      </c>
      <c r="J218">
        <v>16</v>
      </c>
      <c r="K218" t="s">
        <v>6</v>
      </c>
      <c r="L218">
        <v>212</v>
      </c>
      <c r="M218" t="s">
        <v>6</v>
      </c>
      <c r="O218" s="6">
        <f t="shared" si="470"/>
        <v>45422.166666666664</v>
      </c>
      <c r="P218">
        <f t="shared" si="471"/>
        <v>52.6</v>
      </c>
      <c r="Q218">
        <f t="shared" si="472"/>
        <v>56.9</v>
      </c>
      <c r="R218">
        <f t="shared" si="473"/>
        <v>49.2</v>
      </c>
      <c r="S218">
        <f t="shared" si="474"/>
        <v>53.6</v>
      </c>
      <c r="V218" s="6">
        <f t="shared" si="475"/>
        <v>45422.166666666664</v>
      </c>
      <c r="W218">
        <f t="shared" si="476"/>
        <v>19.399999999999999</v>
      </c>
      <c r="X218">
        <f t="shared" si="477"/>
        <v>25.6</v>
      </c>
      <c r="Y218">
        <f t="shared" si="478"/>
        <v>16</v>
      </c>
      <c r="Z218">
        <f t="shared" si="479"/>
        <v>20.399999999999999</v>
      </c>
      <c r="BA218" t="s">
        <v>6</v>
      </c>
    </row>
    <row r="219" spans="1:53" x14ac:dyDescent="0.2">
      <c r="A219" s="1">
        <v>45422</v>
      </c>
      <c r="B219" s="2">
        <v>0.20833333333333334</v>
      </c>
      <c r="C219" s="6">
        <v>45422.208333333336</v>
      </c>
      <c r="D219">
        <v>58.7</v>
      </c>
      <c r="E219">
        <v>64.5</v>
      </c>
      <c r="F219">
        <v>52.3</v>
      </c>
      <c r="G219" t="s">
        <v>6</v>
      </c>
      <c r="H219">
        <v>19.399999999999999</v>
      </c>
      <c r="I219">
        <v>24.5</v>
      </c>
      <c r="J219">
        <v>14.9</v>
      </c>
      <c r="K219" t="s">
        <v>6</v>
      </c>
      <c r="L219">
        <v>222</v>
      </c>
      <c r="M219" t="s">
        <v>6</v>
      </c>
      <c r="O219" s="6">
        <f t="shared" si="470"/>
        <v>45422.208333333336</v>
      </c>
      <c r="P219">
        <f t="shared" si="471"/>
        <v>58.7</v>
      </c>
      <c r="Q219">
        <f t="shared" si="472"/>
        <v>64.5</v>
      </c>
      <c r="R219">
        <f t="shared" si="473"/>
        <v>52.3</v>
      </c>
      <c r="S219">
        <f t="shared" si="474"/>
        <v>59.7</v>
      </c>
      <c r="V219" s="6">
        <f t="shared" si="475"/>
        <v>45422.208333333336</v>
      </c>
      <c r="W219">
        <f t="shared" si="476"/>
        <v>19.399999999999999</v>
      </c>
      <c r="X219">
        <f t="shared" si="477"/>
        <v>24.5</v>
      </c>
      <c r="Y219">
        <f t="shared" si="478"/>
        <v>14.9</v>
      </c>
      <c r="Z219">
        <f t="shared" si="479"/>
        <v>20.399999999999999</v>
      </c>
      <c r="BA219" t="s">
        <v>6</v>
      </c>
    </row>
    <row r="220" spans="1:53" x14ac:dyDescent="0.2">
      <c r="A220" s="1">
        <v>45422</v>
      </c>
      <c r="B220" s="2">
        <v>0.25</v>
      </c>
      <c r="C220" s="6">
        <v>45422.25</v>
      </c>
      <c r="D220">
        <v>59.2</v>
      </c>
      <c r="E220">
        <v>63.5</v>
      </c>
      <c r="F220">
        <v>56.2</v>
      </c>
      <c r="G220" t="s">
        <v>6</v>
      </c>
      <c r="H220">
        <v>17.399999999999999</v>
      </c>
      <c r="I220">
        <v>19.3</v>
      </c>
      <c r="J220">
        <v>15.4</v>
      </c>
      <c r="K220" t="s">
        <v>6</v>
      </c>
      <c r="L220">
        <v>224</v>
      </c>
      <c r="M220" t="s">
        <v>6</v>
      </c>
      <c r="O220" s="6">
        <f t="shared" si="470"/>
        <v>45422.25</v>
      </c>
      <c r="P220">
        <f t="shared" si="471"/>
        <v>59.2</v>
      </c>
      <c r="Q220">
        <f t="shared" si="472"/>
        <v>63.5</v>
      </c>
      <c r="R220">
        <f t="shared" si="473"/>
        <v>56.2</v>
      </c>
      <c r="S220">
        <f t="shared" si="474"/>
        <v>60.2</v>
      </c>
      <c r="V220" s="6">
        <f t="shared" si="475"/>
        <v>45422.25</v>
      </c>
      <c r="W220">
        <f t="shared" si="476"/>
        <v>17.399999999999999</v>
      </c>
      <c r="X220">
        <f t="shared" si="477"/>
        <v>19.3</v>
      </c>
      <c r="Y220">
        <f t="shared" si="478"/>
        <v>15.4</v>
      </c>
      <c r="Z220">
        <f t="shared" si="479"/>
        <v>18.399999999999999</v>
      </c>
      <c r="BA220" t="s">
        <v>6</v>
      </c>
    </row>
    <row r="221" spans="1:53" x14ac:dyDescent="0.2">
      <c r="A221" s="1">
        <v>45422</v>
      </c>
      <c r="B221" s="2">
        <v>0.29166666666666669</v>
      </c>
      <c r="C221" s="6">
        <v>45422.291666666664</v>
      </c>
      <c r="D221">
        <v>59.7</v>
      </c>
      <c r="E221">
        <v>71.5</v>
      </c>
      <c r="F221">
        <v>52.5</v>
      </c>
      <c r="G221" t="s">
        <v>6</v>
      </c>
      <c r="H221">
        <v>19.399999999999999</v>
      </c>
      <c r="I221">
        <v>23.8</v>
      </c>
      <c r="J221">
        <v>15.7</v>
      </c>
      <c r="K221" t="s">
        <v>6</v>
      </c>
      <c r="L221">
        <v>167</v>
      </c>
      <c r="M221" t="s">
        <v>6</v>
      </c>
      <c r="O221" s="6">
        <f t="shared" si="470"/>
        <v>45422.291666666664</v>
      </c>
      <c r="P221">
        <f t="shared" si="471"/>
        <v>59.7</v>
      </c>
      <c r="Q221">
        <f t="shared" si="472"/>
        <v>71.5</v>
      </c>
      <c r="R221">
        <f t="shared" si="473"/>
        <v>52.5</v>
      </c>
      <c r="S221">
        <f t="shared" si="474"/>
        <v>60.7</v>
      </c>
      <c r="V221" s="6">
        <f t="shared" si="475"/>
        <v>45422.291666666664</v>
      </c>
      <c r="W221">
        <f t="shared" si="476"/>
        <v>19.399999999999999</v>
      </c>
      <c r="X221">
        <f t="shared" si="477"/>
        <v>23.8</v>
      </c>
      <c r="Y221">
        <f t="shared" si="478"/>
        <v>15.7</v>
      </c>
      <c r="Z221">
        <f t="shared" si="479"/>
        <v>20.399999999999999</v>
      </c>
      <c r="BA221" t="s">
        <v>6</v>
      </c>
    </row>
    <row r="222" spans="1:53" x14ac:dyDescent="0.2">
      <c r="A222" s="14">
        <v>45422</v>
      </c>
      <c r="B222" s="7">
        <v>0.33333333333333331</v>
      </c>
      <c r="C222" s="8">
        <v>45422.333333333336</v>
      </c>
      <c r="D222" s="9">
        <v>67.7</v>
      </c>
      <c r="E222" s="9">
        <v>76.5</v>
      </c>
      <c r="F222" s="9">
        <v>61.5</v>
      </c>
      <c r="G222" s="9" t="s">
        <v>6</v>
      </c>
      <c r="H222" s="9">
        <v>18.8</v>
      </c>
      <c r="I222" s="9">
        <v>26.3</v>
      </c>
      <c r="J222" s="9">
        <v>16.5</v>
      </c>
      <c r="K222" s="9" t="s">
        <v>6</v>
      </c>
      <c r="L222" s="9">
        <v>223</v>
      </c>
      <c r="M222" t="s">
        <v>6</v>
      </c>
      <c r="O222" s="6">
        <f t="shared" si="470"/>
        <v>45422.333333333336</v>
      </c>
      <c r="P222">
        <f t="shared" si="471"/>
        <v>67.7</v>
      </c>
      <c r="Q222">
        <f t="shared" si="472"/>
        <v>76.5</v>
      </c>
      <c r="R222">
        <f t="shared" si="473"/>
        <v>61.5</v>
      </c>
      <c r="S222">
        <f t="shared" si="474"/>
        <v>68.7</v>
      </c>
      <c r="V222" s="6">
        <f t="shared" si="475"/>
        <v>45422.333333333336</v>
      </c>
      <c r="W222">
        <f t="shared" si="476"/>
        <v>18.8</v>
      </c>
      <c r="X222">
        <f t="shared" si="477"/>
        <v>26.3</v>
      </c>
      <c r="Y222">
        <f t="shared" si="478"/>
        <v>16.5</v>
      </c>
      <c r="Z222">
        <f t="shared" si="479"/>
        <v>19.8</v>
      </c>
      <c r="BA222" t="s">
        <v>6</v>
      </c>
    </row>
    <row r="223" spans="1:53" x14ac:dyDescent="0.2">
      <c r="A223" s="13">
        <v>45422</v>
      </c>
      <c r="B223" s="3">
        <v>0.375</v>
      </c>
      <c r="C223" s="4">
        <v>45422.375</v>
      </c>
      <c r="D223" s="5">
        <v>64.7</v>
      </c>
      <c r="E223" s="5">
        <v>70.400000000000006</v>
      </c>
      <c r="F223" s="5">
        <v>59.3</v>
      </c>
      <c r="G223" s="5" t="s">
        <v>6</v>
      </c>
      <c r="H223" s="5">
        <v>17.7</v>
      </c>
      <c r="I223" s="5">
        <v>23.1</v>
      </c>
      <c r="J223" s="5">
        <v>14.3</v>
      </c>
      <c r="K223" s="5" t="s">
        <v>6</v>
      </c>
      <c r="L223" s="5">
        <v>226</v>
      </c>
      <c r="M223" t="s">
        <v>6</v>
      </c>
      <c r="O223" s="6">
        <f t="shared" si="470"/>
        <v>45422.375</v>
      </c>
      <c r="P223">
        <f t="shared" si="471"/>
        <v>64.7</v>
      </c>
      <c r="Q223">
        <f t="shared" si="472"/>
        <v>70.400000000000006</v>
      </c>
      <c r="R223">
        <f t="shared" si="473"/>
        <v>59.3</v>
      </c>
      <c r="S223">
        <f t="shared" si="474"/>
        <v>65.7</v>
      </c>
      <c r="V223" s="6">
        <f t="shared" si="475"/>
        <v>45422.375</v>
      </c>
      <c r="W223">
        <f t="shared" si="476"/>
        <v>17.7</v>
      </c>
      <c r="X223">
        <f t="shared" si="477"/>
        <v>23.1</v>
      </c>
      <c r="Y223">
        <f t="shared" si="478"/>
        <v>14.3</v>
      </c>
      <c r="Z223">
        <f t="shared" si="479"/>
        <v>18.7</v>
      </c>
      <c r="BA223" t="s">
        <v>6</v>
      </c>
    </row>
    <row r="224" spans="1:53" x14ac:dyDescent="0.2">
      <c r="A224" s="1">
        <v>45422</v>
      </c>
      <c r="B224" s="2">
        <v>0.41666666666666669</v>
      </c>
      <c r="C224" s="6">
        <v>45422.416666666664</v>
      </c>
      <c r="D224">
        <v>62</v>
      </c>
      <c r="E224">
        <v>67.5</v>
      </c>
      <c r="F224">
        <v>54.8</v>
      </c>
      <c r="G224" t="s">
        <v>6</v>
      </c>
      <c r="H224">
        <v>19.100000000000001</v>
      </c>
      <c r="I224">
        <v>23.9</v>
      </c>
      <c r="J224">
        <v>15.2</v>
      </c>
      <c r="K224" t="s">
        <v>6</v>
      </c>
      <c r="L224">
        <v>175</v>
      </c>
      <c r="M224" t="s">
        <v>6</v>
      </c>
      <c r="O224" s="6">
        <f t="shared" si="470"/>
        <v>45422.416666666664</v>
      </c>
      <c r="P224">
        <f t="shared" si="471"/>
        <v>62</v>
      </c>
      <c r="Q224">
        <f t="shared" si="472"/>
        <v>67.5</v>
      </c>
      <c r="R224">
        <f t="shared" si="473"/>
        <v>54.8</v>
      </c>
      <c r="S224">
        <f t="shared" si="474"/>
        <v>63</v>
      </c>
      <c r="V224" s="6">
        <f t="shared" si="475"/>
        <v>45422.416666666664</v>
      </c>
      <c r="W224">
        <f t="shared" si="476"/>
        <v>19.100000000000001</v>
      </c>
      <c r="X224">
        <f t="shared" si="477"/>
        <v>23.9</v>
      </c>
      <c r="Y224">
        <f t="shared" si="478"/>
        <v>15.2</v>
      </c>
      <c r="Z224">
        <f t="shared" si="479"/>
        <v>20.100000000000001</v>
      </c>
      <c r="BA224" t="s">
        <v>6</v>
      </c>
    </row>
    <row r="225" spans="1:53" x14ac:dyDescent="0.2">
      <c r="A225" s="1">
        <v>45422</v>
      </c>
      <c r="B225" s="2">
        <v>0.45833333333333331</v>
      </c>
      <c r="C225" s="6">
        <v>45422.458333333336</v>
      </c>
      <c r="D225">
        <v>68.400000000000006</v>
      </c>
      <c r="E225">
        <v>76.599999999999994</v>
      </c>
      <c r="F225">
        <v>58</v>
      </c>
      <c r="G225" t="s">
        <v>6</v>
      </c>
      <c r="H225">
        <v>19.8</v>
      </c>
      <c r="I225">
        <v>25.9</v>
      </c>
      <c r="J225">
        <v>16.3</v>
      </c>
      <c r="K225" t="s">
        <v>6</v>
      </c>
      <c r="L225">
        <v>217</v>
      </c>
      <c r="M225" t="s">
        <v>6</v>
      </c>
      <c r="O225" s="6">
        <f t="shared" si="470"/>
        <v>45422.458333333336</v>
      </c>
      <c r="P225">
        <f t="shared" si="471"/>
        <v>68.400000000000006</v>
      </c>
      <c r="Q225">
        <f t="shared" si="472"/>
        <v>76.599999999999994</v>
      </c>
      <c r="R225">
        <f t="shared" si="473"/>
        <v>58</v>
      </c>
      <c r="S225">
        <f t="shared" si="474"/>
        <v>69.400000000000006</v>
      </c>
      <c r="V225" s="6">
        <f t="shared" si="475"/>
        <v>45422.458333333336</v>
      </c>
      <c r="W225">
        <f t="shared" si="476"/>
        <v>19.8</v>
      </c>
      <c r="X225">
        <f t="shared" si="477"/>
        <v>25.9</v>
      </c>
      <c r="Y225">
        <f t="shared" si="478"/>
        <v>16.3</v>
      </c>
      <c r="Z225">
        <f t="shared" si="479"/>
        <v>20.8</v>
      </c>
      <c r="BA225" t="s">
        <v>6</v>
      </c>
    </row>
    <row r="226" spans="1:53" x14ac:dyDescent="0.2">
      <c r="A226" s="1">
        <v>45422</v>
      </c>
      <c r="B226" s="2">
        <v>0.5</v>
      </c>
      <c r="C226" s="6">
        <v>45422.5</v>
      </c>
      <c r="D226">
        <v>57.7</v>
      </c>
      <c r="E226">
        <v>67.3</v>
      </c>
      <c r="F226">
        <v>51.4</v>
      </c>
      <c r="G226" t="s">
        <v>6</v>
      </c>
      <c r="H226">
        <v>19.7</v>
      </c>
      <c r="I226">
        <v>24.5</v>
      </c>
      <c r="J226">
        <v>16.100000000000001</v>
      </c>
      <c r="K226" t="s">
        <v>6</v>
      </c>
      <c r="L226">
        <v>213</v>
      </c>
      <c r="M226" t="s">
        <v>6</v>
      </c>
      <c r="O226" s="6">
        <f t="shared" si="470"/>
        <v>45422.5</v>
      </c>
      <c r="P226">
        <f t="shared" si="471"/>
        <v>57.7</v>
      </c>
      <c r="Q226">
        <f t="shared" si="472"/>
        <v>67.3</v>
      </c>
      <c r="R226">
        <f t="shared" si="473"/>
        <v>51.4</v>
      </c>
      <c r="S226">
        <f t="shared" si="474"/>
        <v>58.7</v>
      </c>
      <c r="V226" s="6">
        <f t="shared" si="475"/>
        <v>45422.5</v>
      </c>
      <c r="W226">
        <f t="shared" si="476"/>
        <v>19.7</v>
      </c>
      <c r="X226">
        <f t="shared" si="477"/>
        <v>24.5</v>
      </c>
      <c r="Y226">
        <f t="shared" si="478"/>
        <v>16.100000000000001</v>
      </c>
      <c r="Z226">
        <f t="shared" si="479"/>
        <v>20.7</v>
      </c>
      <c r="BA226" t="s">
        <v>6</v>
      </c>
    </row>
    <row r="227" spans="1:53" x14ac:dyDescent="0.2">
      <c r="A227" s="1">
        <v>45422</v>
      </c>
      <c r="B227" s="2">
        <v>0.54166666666666663</v>
      </c>
      <c r="C227" s="6">
        <v>45422.541666666664</v>
      </c>
      <c r="D227">
        <v>54.8</v>
      </c>
      <c r="E227">
        <v>67.900000000000006</v>
      </c>
      <c r="F227">
        <v>48.1</v>
      </c>
      <c r="G227" t="s">
        <v>6</v>
      </c>
      <c r="H227">
        <v>19.3</v>
      </c>
      <c r="I227">
        <v>22.7</v>
      </c>
      <c r="J227">
        <v>16.3</v>
      </c>
      <c r="K227" t="s">
        <v>6</v>
      </c>
      <c r="L227">
        <v>222</v>
      </c>
      <c r="M227" t="s">
        <v>6</v>
      </c>
      <c r="O227" s="6">
        <f t="shared" si="470"/>
        <v>45422.541666666664</v>
      </c>
      <c r="P227">
        <f t="shared" si="471"/>
        <v>54.8</v>
      </c>
      <c r="Q227">
        <f t="shared" si="472"/>
        <v>67.900000000000006</v>
      </c>
      <c r="R227">
        <f t="shared" si="473"/>
        <v>48.1</v>
      </c>
      <c r="S227">
        <f t="shared" si="474"/>
        <v>55.8</v>
      </c>
      <c r="V227" s="6">
        <f t="shared" si="475"/>
        <v>45422.541666666664</v>
      </c>
      <c r="W227">
        <f t="shared" si="476"/>
        <v>19.3</v>
      </c>
      <c r="X227">
        <f t="shared" si="477"/>
        <v>22.7</v>
      </c>
      <c r="Y227">
        <f t="shared" si="478"/>
        <v>16.3</v>
      </c>
      <c r="Z227">
        <f t="shared" si="479"/>
        <v>20.3</v>
      </c>
      <c r="BA227" t="s">
        <v>6</v>
      </c>
    </row>
    <row r="228" spans="1:53" x14ac:dyDescent="0.2">
      <c r="A228" s="1">
        <v>45422</v>
      </c>
      <c r="B228" s="2">
        <v>0.58333333333333337</v>
      </c>
      <c r="C228" s="6">
        <v>45422.583333333336</v>
      </c>
      <c r="D228">
        <v>64</v>
      </c>
      <c r="E228">
        <v>69</v>
      </c>
      <c r="F228">
        <v>59.5</v>
      </c>
      <c r="G228" t="s">
        <v>6</v>
      </c>
      <c r="H228">
        <v>19.5</v>
      </c>
      <c r="I228">
        <v>24.1</v>
      </c>
      <c r="J228">
        <v>16</v>
      </c>
      <c r="K228" t="s">
        <v>6</v>
      </c>
      <c r="L228">
        <v>231</v>
      </c>
      <c r="M228" t="s">
        <v>6</v>
      </c>
      <c r="O228" s="6">
        <f t="shared" si="470"/>
        <v>45422.583333333336</v>
      </c>
      <c r="P228">
        <f t="shared" si="471"/>
        <v>64</v>
      </c>
      <c r="Q228">
        <f t="shared" si="472"/>
        <v>69</v>
      </c>
      <c r="R228">
        <f t="shared" si="473"/>
        <v>59.5</v>
      </c>
      <c r="S228">
        <f t="shared" si="474"/>
        <v>65</v>
      </c>
      <c r="V228" s="6">
        <f t="shared" si="475"/>
        <v>45422.583333333336</v>
      </c>
      <c r="W228">
        <f t="shared" si="476"/>
        <v>19.5</v>
      </c>
      <c r="X228">
        <f t="shared" si="477"/>
        <v>24.1</v>
      </c>
      <c r="Y228">
        <f t="shared" si="478"/>
        <v>16</v>
      </c>
      <c r="Z228">
        <f t="shared" si="479"/>
        <v>20.5</v>
      </c>
      <c r="BA228" t="s">
        <v>6</v>
      </c>
    </row>
    <row r="229" spans="1:53" x14ac:dyDescent="0.2">
      <c r="A229" s="1">
        <v>45422</v>
      </c>
      <c r="B229" s="2">
        <v>0.625</v>
      </c>
      <c r="C229" s="6">
        <v>45422.625</v>
      </c>
      <c r="D229">
        <v>61.2</v>
      </c>
      <c r="E229">
        <v>69.7</v>
      </c>
      <c r="F229">
        <v>56.4</v>
      </c>
      <c r="G229" t="s">
        <v>6</v>
      </c>
      <c r="H229">
        <v>21.1</v>
      </c>
      <c r="I229">
        <v>27</v>
      </c>
      <c r="J229">
        <v>16.600000000000001</v>
      </c>
      <c r="K229" t="s">
        <v>6</v>
      </c>
      <c r="L229">
        <v>215</v>
      </c>
      <c r="M229" t="s">
        <v>6</v>
      </c>
      <c r="O229" s="6">
        <f t="shared" si="470"/>
        <v>45422.625</v>
      </c>
      <c r="P229">
        <f t="shared" si="471"/>
        <v>61.2</v>
      </c>
      <c r="Q229">
        <f t="shared" si="472"/>
        <v>69.7</v>
      </c>
      <c r="R229">
        <f t="shared" si="473"/>
        <v>56.4</v>
      </c>
      <c r="S229">
        <f t="shared" si="474"/>
        <v>62.2</v>
      </c>
      <c r="V229" s="6">
        <f t="shared" si="475"/>
        <v>45422.625</v>
      </c>
      <c r="W229">
        <f t="shared" si="476"/>
        <v>21.1</v>
      </c>
      <c r="X229">
        <f t="shared" si="477"/>
        <v>27</v>
      </c>
      <c r="Y229">
        <f t="shared" si="478"/>
        <v>16.600000000000001</v>
      </c>
      <c r="Z229">
        <f t="shared" si="479"/>
        <v>22.1</v>
      </c>
      <c r="BA229" t="s">
        <v>6</v>
      </c>
    </row>
    <row r="230" spans="1:53" x14ac:dyDescent="0.2">
      <c r="A230" s="1">
        <v>45422</v>
      </c>
      <c r="B230" s="2">
        <v>0.66666666666666663</v>
      </c>
      <c r="C230" s="6">
        <v>45422.666666666664</v>
      </c>
      <c r="D230">
        <v>60.5</v>
      </c>
      <c r="E230">
        <v>66.599999999999994</v>
      </c>
      <c r="F230">
        <v>56.4</v>
      </c>
      <c r="G230" t="s">
        <v>6</v>
      </c>
      <c r="H230">
        <v>20.3</v>
      </c>
      <c r="I230">
        <v>24.6</v>
      </c>
      <c r="J230">
        <v>15</v>
      </c>
      <c r="K230" t="s">
        <v>6</v>
      </c>
      <c r="L230">
        <v>220</v>
      </c>
      <c r="M230" t="s">
        <v>6</v>
      </c>
      <c r="O230" s="6">
        <f t="shared" si="470"/>
        <v>45422.666666666664</v>
      </c>
      <c r="P230">
        <f t="shared" si="471"/>
        <v>60.5</v>
      </c>
      <c r="Q230">
        <f t="shared" si="472"/>
        <v>66.599999999999994</v>
      </c>
      <c r="R230">
        <f t="shared" si="473"/>
        <v>56.4</v>
      </c>
      <c r="S230">
        <f t="shared" si="474"/>
        <v>61.5</v>
      </c>
      <c r="V230" s="6">
        <f t="shared" si="475"/>
        <v>45422.666666666664</v>
      </c>
      <c r="W230">
        <f t="shared" si="476"/>
        <v>20.3</v>
      </c>
      <c r="X230">
        <f t="shared" si="477"/>
        <v>24.6</v>
      </c>
      <c r="Y230">
        <f t="shared" si="478"/>
        <v>15</v>
      </c>
      <c r="Z230">
        <f t="shared" si="479"/>
        <v>21.3</v>
      </c>
      <c r="BA230" t="s">
        <v>6</v>
      </c>
    </row>
    <row r="231" spans="1:53" x14ac:dyDescent="0.2">
      <c r="A231" s="1">
        <v>45422</v>
      </c>
      <c r="B231" s="2">
        <v>0.70833333333333337</v>
      </c>
      <c r="C231" s="6">
        <v>45422.708333333336</v>
      </c>
      <c r="D231">
        <v>60.9</v>
      </c>
      <c r="E231">
        <v>80.099999999999994</v>
      </c>
      <c r="F231">
        <v>50.2</v>
      </c>
      <c r="G231" t="s">
        <v>6</v>
      </c>
      <c r="H231">
        <v>22.7</v>
      </c>
      <c r="I231">
        <v>28</v>
      </c>
      <c r="J231">
        <v>17.399999999999999</v>
      </c>
      <c r="K231" t="s">
        <v>6</v>
      </c>
      <c r="L231">
        <v>183</v>
      </c>
      <c r="M231" t="s">
        <v>6</v>
      </c>
      <c r="O231" s="6">
        <f t="shared" si="470"/>
        <v>45422.708333333336</v>
      </c>
      <c r="P231">
        <f t="shared" si="471"/>
        <v>60.9</v>
      </c>
      <c r="Q231">
        <f t="shared" si="472"/>
        <v>80.099999999999994</v>
      </c>
      <c r="R231">
        <f t="shared" si="473"/>
        <v>50.2</v>
      </c>
      <c r="S231">
        <f t="shared" si="474"/>
        <v>61.9</v>
      </c>
      <c r="V231" s="6">
        <f t="shared" si="475"/>
        <v>45422.708333333336</v>
      </c>
      <c r="W231">
        <f t="shared" si="476"/>
        <v>22.7</v>
      </c>
      <c r="X231">
        <f t="shared" si="477"/>
        <v>28</v>
      </c>
      <c r="Y231">
        <f t="shared" si="478"/>
        <v>17.399999999999999</v>
      </c>
      <c r="Z231">
        <f t="shared" si="479"/>
        <v>23.7</v>
      </c>
      <c r="BA231" t="s">
        <v>6</v>
      </c>
    </row>
    <row r="232" spans="1:53" x14ac:dyDescent="0.2">
      <c r="A232" s="1">
        <v>45422</v>
      </c>
      <c r="B232" s="2">
        <v>0.75</v>
      </c>
      <c r="C232" s="6">
        <v>45422.75</v>
      </c>
      <c r="D232">
        <v>67.5</v>
      </c>
      <c r="E232">
        <v>75.3</v>
      </c>
      <c r="F232">
        <v>49.3</v>
      </c>
      <c r="G232" t="s">
        <v>6</v>
      </c>
      <c r="H232">
        <v>21.8</v>
      </c>
      <c r="I232">
        <v>25.6</v>
      </c>
      <c r="J232">
        <v>18.8</v>
      </c>
      <c r="K232" t="s">
        <v>6</v>
      </c>
      <c r="L232">
        <v>216</v>
      </c>
      <c r="M232" t="s">
        <v>6</v>
      </c>
      <c r="O232" s="6">
        <f t="shared" si="470"/>
        <v>45422.75</v>
      </c>
      <c r="P232">
        <f t="shared" si="471"/>
        <v>67.5</v>
      </c>
      <c r="Q232">
        <f t="shared" si="472"/>
        <v>75.3</v>
      </c>
      <c r="R232">
        <f t="shared" si="473"/>
        <v>49.3</v>
      </c>
      <c r="S232">
        <f t="shared" si="474"/>
        <v>68.5</v>
      </c>
      <c r="V232" s="6">
        <f t="shared" si="475"/>
        <v>45422.75</v>
      </c>
      <c r="W232">
        <f t="shared" si="476"/>
        <v>21.8</v>
      </c>
      <c r="X232">
        <f t="shared" si="477"/>
        <v>25.6</v>
      </c>
      <c r="Y232">
        <f t="shared" si="478"/>
        <v>18.8</v>
      </c>
      <c r="Z232">
        <f t="shared" si="479"/>
        <v>22.8</v>
      </c>
      <c r="BA232" t="s">
        <v>6</v>
      </c>
    </row>
    <row r="233" spans="1:53" x14ac:dyDescent="0.2">
      <c r="A233" s="1">
        <v>45422</v>
      </c>
      <c r="B233" s="2">
        <v>0.79166666666666663</v>
      </c>
      <c r="C233" s="6">
        <v>45422.791666666664</v>
      </c>
      <c r="D233">
        <v>62.5</v>
      </c>
      <c r="E233">
        <v>80.3</v>
      </c>
      <c r="F233">
        <v>54.5</v>
      </c>
      <c r="G233" t="s">
        <v>6</v>
      </c>
      <c r="H233">
        <v>20.7</v>
      </c>
      <c r="I233">
        <v>23.1</v>
      </c>
      <c r="J233">
        <v>17.100000000000001</v>
      </c>
      <c r="K233" t="s">
        <v>6</v>
      </c>
      <c r="L233">
        <v>224</v>
      </c>
      <c r="M233" t="s">
        <v>6</v>
      </c>
      <c r="O233" s="6">
        <f t="shared" si="470"/>
        <v>45422.791666666664</v>
      </c>
      <c r="P233">
        <f t="shared" si="471"/>
        <v>62.5</v>
      </c>
      <c r="Q233">
        <f t="shared" si="472"/>
        <v>80.3</v>
      </c>
      <c r="R233">
        <f t="shared" si="473"/>
        <v>54.5</v>
      </c>
      <c r="S233">
        <f t="shared" si="474"/>
        <v>63.5</v>
      </c>
      <c r="V233" s="6">
        <f t="shared" si="475"/>
        <v>45422.791666666664</v>
      </c>
      <c r="W233">
        <f t="shared" si="476"/>
        <v>20.7</v>
      </c>
      <c r="X233">
        <f t="shared" si="477"/>
        <v>23.1</v>
      </c>
      <c r="Y233">
        <f t="shared" si="478"/>
        <v>17.100000000000001</v>
      </c>
      <c r="Z233">
        <f t="shared" si="479"/>
        <v>21.7</v>
      </c>
      <c r="BA233" t="s">
        <v>6</v>
      </c>
    </row>
    <row r="234" spans="1:53" x14ac:dyDescent="0.2">
      <c r="A234" s="1">
        <v>45422</v>
      </c>
      <c r="B234" s="2">
        <v>0.83333333333333337</v>
      </c>
      <c r="C234" s="6">
        <v>45422.833333333336</v>
      </c>
      <c r="D234">
        <v>76.099999999999994</v>
      </c>
      <c r="E234">
        <v>81.900000000000006</v>
      </c>
      <c r="F234">
        <v>66</v>
      </c>
      <c r="G234" t="s">
        <v>6</v>
      </c>
      <c r="H234">
        <v>20</v>
      </c>
      <c r="I234">
        <v>24.7</v>
      </c>
      <c r="J234">
        <v>16.2</v>
      </c>
      <c r="K234" t="s">
        <v>6</v>
      </c>
      <c r="L234">
        <v>226</v>
      </c>
      <c r="M234" t="s">
        <v>6</v>
      </c>
      <c r="O234" s="6">
        <f t="shared" si="470"/>
        <v>45422.833333333336</v>
      </c>
      <c r="P234">
        <f t="shared" si="471"/>
        <v>76.099999999999994</v>
      </c>
      <c r="Q234">
        <f t="shared" si="472"/>
        <v>81.900000000000006</v>
      </c>
      <c r="R234">
        <f t="shared" si="473"/>
        <v>66</v>
      </c>
      <c r="S234">
        <f t="shared" si="474"/>
        <v>77.099999999999994</v>
      </c>
      <c r="V234" s="6">
        <f t="shared" si="475"/>
        <v>45422.833333333336</v>
      </c>
      <c r="W234">
        <f t="shared" si="476"/>
        <v>20</v>
      </c>
      <c r="X234">
        <f t="shared" si="477"/>
        <v>24.7</v>
      </c>
      <c r="Y234">
        <f t="shared" si="478"/>
        <v>16.2</v>
      </c>
      <c r="Z234">
        <f t="shared" si="479"/>
        <v>21</v>
      </c>
      <c r="BA234" t="s">
        <v>6</v>
      </c>
    </row>
    <row r="235" spans="1:53" x14ac:dyDescent="0.2">
      <c r="A235" s="1">
        <v>45422</v>
      </c>
      <c r="B235" s="2">
        <v>0.875</v>
      </c>
      <c r="C235" s="6">
        <v>45422.875</v>
      </c>
      <c r="D235">
        <v>72.099999999999994</v>
      </c>
      <c r="E235">
        <v>86.1</v>
      </c>
      <c r="F235">
        <v>59.8</v>
      </c>
      <c r="G235" t="s">
        <v>6</v>
      </c>
      <c r="H235">
        <v>22.1</v>
      </c>
      <c r="I235">
        <v>27.9</v>
      </c>
      <c r="J235">
        <v>16.7</v>
      </c>
      <c r="K235" t="s">
        <v>6</v>
      </c>
      <c r="L235">
        <v>223</v>
      </c>
      <c r="M235" t="s">
        <v>6</v>
      </c>
      <c r="O235" s="6">
        <f t="shared" si="470"/>
        <v>45422.875</v>
      </c>
      <c r="P235">
        <f t="shared" si="471"/>
        <v>72.099999999999994</v>
      </c>
      <c r="Q235">
        <f t="shared" si="472"/>
        <v>86.1</v>
      </c>
      <c r="R235">
        <f t="shared" si="473"/>
        <v>59.8</v>
      </c>
      <c r="S235">
        <f t="shared" si="474"/>
        <v>73.099999999999994</v>
      </c>
      <c r="V235" s="6">
        <f t="shared" si="475"/>
        <v>45422.875</v>
      </c>
      <c r="W235">
        <f t="shared" si="476"/>
        <v>22.1</v>
      </c>
      <c r="X235">
        <f t="shared" si="477"/>
        <v>27.9</v>
      </c>
      <c r="Y235">
        <f t="shared" si="478"/>
        <v>16.7</v>
      </c>
      <c r="Z235">
        <f t="shared" si="479"/>
        <v>23.1</v>
      </c>
      <c r="BA235" t="s">
        <v>6</v>
      </c>
    </row>
    <row r="236" spans="1:53" x14ac:dyDescent="0.2">
      <c r="A236" s="1">
        <v>45422</v>
      </c>
      <c r="B236" s="2">
        <v>0.91666666666666663</v>
      </c>
      <c r="C236" s="6">
        <v>45422.916666666664</v>
      </c>
      <c r="D236">
        <v>86.5</v>
      </c>
      <c r="E236">
        <v>95</v>
      </c>
      <c r="F236">
        <v>73.8</v>
      </c>
      <c r="G236" t="s">
        <v>6</v>
      </c>
      <c r="H236">
        <v>22.6</v>
      </c>
      <c r="I236">
        <v>26.5</v>
      </c>
      <c r="J236">
        <v>17.7</v>
      </c>
      <c r="K236" t="s">
        <v>6</v>
      </c>
      <c r="L236">
        <v>195</v>
      </c>
      <c r="M236" t="s">
        <v>6</v>
      </c>
      <c r="O236" s="6">
        <f t="shared" si="470"/>
        <v>45422.916666666664</v>
      </c>
      <c r="P236">
        <f t="shared" si="471"/>
        <v>86.5</v>
      </c>
      <c r="Q236">
        <f t="shared" si="472"/>
        <v>95</v>
      </c>
      <c r="R236">
        <f t="shared" si="473"/>
        <v>73.8</v>
      </c>
      <c r="S236">
        <f t="shared" si="474"/>
        <v>87.5</v>
      </c>
      <c r="V236" s="6">
        <f t="shared" si="475"/>
        <v>45422.916666666664</v>
      </c>
      <c r="W236">
        <f t="shared" si="476"/>
        <v>22.6</v>
      </c>
      <c r="X236">
        <f t="shared" si="477"/>
        <v>26.5</v>
      </c>
      <c r="Y236">
        <f t="shared" si="478"/>
        <v>17.7</v>
      </c>
      <c r="Z236">
        <f t="shared" si="479"/>
        <v>23.6</v>
      </c>
      <c r="BA236" t="s">
        <v>6</v>
      </c>
    </row>
    <row r="237" spans="1:53" x14ac:dyDescent="0.2">
      <c r="A237" s="1">
        <v>45422</v>
      </c>
      <c r="B237" s="2">
        <v>0.95833333333333337</v>
      </c>
      <c r="C237" s="6">
        <v>45422.958333333336</v>
      </c>
      <c r="D237">
        <v>73.7</v>
      </c>
      <c r="E237">
        <v>87.1</v>
      </c>
      <c r="F237">
        <v>62.9</v>
      </c>
      <c r="G237" t="s">
        <v>6</v>
      </c>
      <c r="H237">
        <v>22.4</v>
      </c>
      <c r="I237">
        <v>24.7</v>
      </c>
      <c r="J237">
        <v>18.5</v>
      </c>
      <c r="K237" t="s">
        <v>6</v>
      </c>
      <c r="L237">
        <v>225</v>
      </c>
      <c r="M237" t="s">
        <v>6</v>
      </c>
      <c r="O237" s="6">
        <f t="shared" si="470"/>
        <v>45422.958333333336</v>
      </c>
      <c r="P237">
        <f t="shared" si="471"/>
        <v>73.7</v>
      </c>
      <c r="Q237">
        <f t="shared" si="472"/>
        <v>87.1</v>
      </c>
      <c r="R237">
        <f t="shared" si="473"/>
        <v>62.9</v>
      </c>
      <c r="S237">
        <f t="shared" si="474"/>
        <v>74.7</v>
      </c>
      <c r="V237" s="6">
        <f t="shared" si="475"/>
        <v>45422.958333333336</v>
      </c>
      <c r="W237">
        <f t="shared" si="476"/>
        <v>22.4</v>
      </c>
      <c r="X237">
        <f t="shared" si="477"/>
        <v>24.7</v>
      </c>
      <c r="Y237">
        <f t="shared" si="478"/>
        <v>18.5</v>
      </c>
      <c r="Z237">
        <f t="shared" si="479"/>
        <v>23.4</v>
      </c>
      <c r="BA237" t="s">
        <v>6</v>
      </c>
    </row>
    <row r="238" spans="1:53" x14ac:dyDescent="0.2">
      <c r="A238" s="1">
        <v>45423</v>
      </c>
      <c r="B238" s="2">
        <v>0</v>
      </c>
      <c r="C238" s="6">
        <v>45423</v>
      </c>
      <c r="D238">
        <v>66.599999999999994</v>
      </c>
      <c r="E238">
        <v>85.4</v>
      </c>
      <c r="F238">
        <v>54.5</v>
      </c>
      <c r="G238" t="s">
        <v>6</v>
      </c>
      <c r="H238">
        <v>22.4</v>
      </c>
      <c r="I238">
        <v>24.9</v>
      </c>
      <c r="J238">
        <v>19</v>
      </c>
      <c r="K238" t="s">
        <v>6</v>
      </c>
      <c r="L238">
        <v>173</v>
      </c>
      <c r="M238" t="s">
        <v>6</v>
      </c>
      <c r="O238" s="6">
        <f t="shared" si="470"/>
        <v>45423</v>
      </c>
      <c r="P238">
        <f t="shared" si="471"/>
        <v>66.599999999999994</v>
      </c>
      <c r="Q238">
        <f t="shared" si="472"/>
        <v>85.4</v>
      </c>
      <c r="R238">
        <f t="shared" si="473"/>
        <v>54.5</v>
      </c>
      <c r="S238">
        <f t="shared" si="474"/>
        <v>67.599999999999994</v>
      </c>
      <c r="V238" s="6">
        <f t="shared" si="475"/>
        <v>45423</v>
      </c>
      <c r="W238">
        <f t="shared" si="476"/>
        <v>22.4</v>
      </c>
      <c r="X238">
        <f t="shared" si="477"/>
        <v>24.9</v>
      </c>
      <c r="Y238">
        <f t="shared" si="478"/>
        <v>19</v>
      </c>
      <c r="Z238">
        <f t="shared" si="479"/>
        <v>23.4</v>
      </c>
      <c r="BA238" t="s">
        <v>6</v>
      </c>
    </row>
    <row r="239" spans="1:53" x14ac:dyDescent="0.2">
      <c r="A239" s="1">
        <v>45423</v>
      </c>
      <c r="B239" s="2">
        <v>4.1666666666666664E-2</v>
      </c>
      <c r="C239" s="6">
        <v>45423.041666666664</v>
      </c>
      <c r="D239">
        <v>73.8</v>
      </c>
      <c r="E239">
        <v>83.6</v>
      </c>
      <c r="F239">
        <v>61.4</v>
      </c>
      <c r="G239" t="s">
        <v>6</v>
      </c>
      <c r="H239">
        <v>21</v>
      </c>
      <c r="I239">
        <v>24.8</v>
      </c>
      <c r="J239">
        <v>18.600000000000001</v>
      </c>
      <c r="K239" t="s">
        <v>6</v>
      </c>
      <c r="L239">
        <v>219</v>
      </c>
      <c r="M239" t="s">
        <v>6</v>
      </c>
      <c r="O239" s="6">
        <f t="shared" si="470"/>
        <v>45423.041666666664</v>
      </c>
      <c r="P239">
        <f t="shared" si="471"/>
        <v>73.8</v>
      </c>
      <c r="Q239">
        <f t="shared" si="472"/>
        <v>83.6</v>
      </c>
      <c r="R239">
        <f t="shared" si="473"/>
        <v>61.4</v>
      </c>
      <c r="S239">
        <f t="shared" si="474"/>
        <v>74.8</v>
      </c>
      <c r="V239" s="6">
        <f t="shared" si="475"/>
        <v>45423.041666666664</v>
      </c>
      <c r="W239">
        <f t="shared" si="476"/>
        <v>21</v>
      </c>
      <c r="X239">
        <f t="shared" si="477"/>
        <v>24.8</v>
      </c>
      <c r="Y239">
        <f t="shared" si="478"/>
        <v>18.600000000000001</v>
      </c>
      <c r="Z239">
        <f t="shared" si="479"/>
        <v>22</v>
      </c>
      <c r="BA239" t="s">
        <v>6</v>
      </c>
    </row>
    <row r="240" spans="1:53" x14ac:dyDescent="0.2">
      <c r="A240" s="1">
        <v>45423</v>
      </c>
      <c r="B240" s="2">
        <v>8.3333333333333329E-2</v>
      </c>
      <c r="C240" s="6">
        <v>45423.083333333336</v>
      </c>
      <c r="D240">
        <v>63.7</v>
      </c>
      <c r="E240">
        <v>70.2</v>
      </c>
      <c r="F240">
        <v>53.9</v>
      </c>
      <c r="G240" t="s">
        <v>6</v>
      </c>
      <c r="H240">
        <v>20</v>
      </c>
      <c r="I240">
        <v>22.5</v>
      </c>
      <c r="J240">
        <v>17.100000000000001</v>
      </c>
      <c r="K240" t="s">
        <v>6</v>
      </c>
      <c r="L240">
        <v>220</v>
      </c>
      <c r="M240" t="s">
        <v>6</v>
      </c>
      <c r="O240" s="6">
        <f t="shared" si="470"/>
        <v>45423.083333333336</v>
      </c>
      <c r="P240">
        <f t="shared" si="471"/>
        <v>63.7</v>
      </c>
      <c r="Q240">
        <f t="shared" si="472"/>
        <v>70.2</v>
      </c>
      <c r="R240">
        <f t="shared" si="473"/>
        <v>53.9</v>
      </c>
      <c r="S240">
        <f t="shared" si="474"/>
        <v>64.7</v>
      </c>
      <c r="V240" s="6">
        <f t="shared" si="475"/>
        <v>45423.083333333336</v>
      </c>
      <c r="W240">
        <f t="shared" si="476"/>
        <v>20</v>
      </c>
      <c r="X240">
        <f t="shared" si="477"/>
        <v>22.5</v>
      </c>
      <c r="Y240">
        <f t="shared" si="478"/>
        <v>17.100000000000001</v>
      </c>
      <c r="Z240">
        <f t="shared" si="479"/>
        <v>21</v>
      </c>
      <c r="BA240" t="s">
        <v>6</v>
      </c>
    </row>
    <row r="241" spans="1:53" x14ac:dyDescent="0.2">
      <c r="A241" s="1">
        <v>45423</v>
      </c>
      <c r="B241" s="2">
        <v>0.125</v>
      </c>
      <c r="C241" s="6">
        <v>45423.125</v>
      </c>
      <c r="D241">
        <v>64.2</v>
      </c>
      <c r="E241">
        <v>67.7</v>
      </c>
      <c r="F241">
        <v>57.8</v>
      </c>
      <c r="G241" t="s">
        <v>6</v>
      </c>
      <c r="H241">
        <v>20.8</v>
      </c>
      <c r="I241">
        <v>24.9</v>
      </c>
      <c r="J241">
        <v>14.6</v>
      </c>
      <c r="K241" t="s">
        <v>6</v>
      </c>
      <c r="L241">
        <v>226</v>
      </c>
      <c r="M241" t="s">
        <v>6</v>
      </c>
      <c r="O241" s="6">
        <f t="shared" si="470"/>
        <v>45423.125</v>
      </c>
      <c r="P241">
        <f t="shared" si="471"/>
        <v>64.2</v>
      </c>
      <c r="Q241">
        <f t="shared" si="472"/>
        <v>67.7</v>
      </c>
      <c r="R241">
        <f t="shared" si="473"/>
        <v>57.8</v>
      </c>
      <c r="S241">
        <f t="shared" si="474"/>
        <v>65.2</v>
      </c>
      <c r="V241" s="6">
        <f t="shared" si="475"/>
        <v>45423.125</v>
      </c>
      <c r="W241">
        <f t="shared" si="476"/>
        <v>20.8</v>
      </c>
      <c r="X241">
        <f t="shared" si="477"/>
        <v>24.9</v>
      </c>
      <c r="Y241">
        <f t="shared" si="478"/>
        <v>14.6</v>
      </c>
      <c r="Z241">
        <f t="shared" si="479"/>
        <v>21.8</v>
      </c>
      <c r="BA241" t="s">
        <v>6</v>
      </c>
    </row>
    <row r="242" spans="1:53" x14ac:dyDescent="0.2">
      <c r="A242" s="1">
        <v>45423</v>
      </c>
      <c r="B242" s="2">
        <v>0.16666666666666666</v>
      </c>
      <c r="C242" s="6">
        <v>45423.166666666664</v>
      </c>
      <c r="D242">
        <v>67</v>
      </c>
      <c r="E242">
        <v>74.599999999999994</v>
      </c>
      <c r="F242">
        <v>60.9</v>
      </c>
      <c r="G242" t="s">
        <v>6</v>
      </c>
      <c r="H242">
        <v>21.2</v>
      </c>
      <c r="I242">
        <v>26.1</v>
      </c>
      <c r="J242">
        <v>17.600000000000001</v>
      </c>
      <c r="K242" t="s">
        <v>6</v>
      </c>
      <c r="L242">
        <v>228</v>
      </c>
      <c r="M242" t="s">
        <v>6</v>
      </c>
      <c r="O242" s="6">
        <f t="shared" si="470"/>
        <v>45423.166666666664</v>
      </c>
      <c r="P242">
        <f t="shared" si="471"/>
        <v>67</v>
      </c>
      <c r="Q242">
        <f t="shared" si="472"/>
        <v>74.599999999999994</v>
      </c>
      <c r="R242">
        <f t="shared" si="473"/>
        <v>60.9</v>
      </c>
      <c r="S242">
        <f t="shared" si="474"/>
        <v>68</v>
      </c>
      <c r="V242" s="6">
        <f t="shared" si="475"/>
        <v>45423.166666666664</v>
      </c>
      <c r="W242">
        <f t="shared" si="476"/>
        <v>21.2</v>
      </c>
      <c r="X242">
        <f t="shared" si="477"/>
        <v>26.1</v>
      </c>
      <c r="Y242">
        <f t="shared" si="478"/>
        <v>17.600000000000001</v>
      </c>
      <c r="Z242">
        <f t="shared" si="479"/>
        <v>22.2</v>
      </c>
      <c r="BA242" t="s">
        <v>6</v>
      </c>
    </row>
    <row r="243" spans="1:53" x14ac:dyDescent="0.2">
      <c r="A243" s="1">
        <v>45423</v>
      </c>
      <c r="B243" s="2">
        <v>0.20833333333333334</v>
      </c>
      <c r="C243" s="6">
        <v>45423.208333333336</v>
      </c>
      <c r="D243">
        <v>63.1</v>
      </c>
      <c r="E243">
        <v>68.5</v>
      </c>
      <c r="F243">
        <v>57.1</v>
      </c>
      <c r="G243" t="s">
        <v>6</v>
      </c>
      <c r="H243">
        <v>20.9</v>
      </c>
      <c r="I243">
        <v>29.7</v>
      </c>
      <c r="J243">
        <v>17.100000000000001</v>
      </c>
      <c r="K243" t="s">
        <v>6</v>
      </c>
      <c r="L243">
        <v>220</v>
      </c>
      <c r="M243" t="s">
        <v>6</v>
      </c>
      <c r="O243" s="6">
        <f t="shared" si="470"/>
        <v>45423.208333333336</v>
      </c>
      <c r="P243">
        <f t="shared" si="471"/>
        <v>63.1</v>
      </c>
      <c r="Q243">
        <f t="shared" si="472"/>
        <v>68.5</v>
      </c>
      <c r="R243">
        <f t="shared" si="473"/>
        <v>57.1</v>
      </c>
      <c r="S243">
        <f t="shared" si="474"/>
        <v>64.099999999999994</v>
      </c>
      <c r="V243" s="6">
        <f t="shared" si="475"/>
        <v>45423.208333333336</v>
      </c>
      <c r="W243">
        <f t="shared" si="476"/>
        <v>20.9</v>
      </c>
      <c r="X243">
        <f t="shared" si="477"/>
        <v>29.7</v>
      </c>
      <c r="Y243">
        <f t="shared" si="478"/>
        <v>17.100000000000001</v>
      </c>
      <c r="Z243">
        <f t="shared" si="479"/>
        <v>21.9</v>
      </c>
      <c r="BA243" t="s">
        <v>6</v>
      </c>
    </row>
    <row r="244" spans="1:53" x14ac:dyDescent="0.2">
      <c r="A244" s="1">
        <v>45423</v>
      </c>
      <c r="B244" s="2">
        <v>0.25</v>
      </c>
      <c r="C244" s="6">
        <v>45423.25</v>
      </c>
      <c r="D244">
        <v>65.099999999999994</v>
      </c>
      <c r="E244">
        <v>77.599999999999994</v>
      </c>
      <c r="F244">
        <v>57.3</v>
      </c>
      <c r="G244" t="s">
        <v>6</v>
      </c>
      <c r="H244">
        <v>18.5</v>
      </c>
      <c r="I244">
        <v>21.6</v>
      </c>
      <c r="J244">
        <v>16.2</v>
      </c>
      <c r="K244" t="s">
        <v>6</v>
      </c>
      <c r="L244">
        <v>227</v>
      </c>
      <c r="M244" t="s">
        <v>6</v>
      </c>
      <c r="O244" s="6">
        <f t="shared" si="470"/>
        <v>45423.25</v>
      </c>
      <c r="P244">
        <f t="shared" si="471"/>
        <v>65.099999999999994</v>
      </c>
      <c r="Q244">
        <f t="shared" si="472"/>
        <v>77.599999999999994</v>
      </c>
      <c r="R244">
        <f t="shared" si="473"/>
        <v>57.3</v>
      </c>
      <c r="S244">
        <f t="shared" si="474"/>
        <v>66.099999999999994</v>
      </c>
      <c r="V244" s="6">
        <f t="shared" si="475"/>
        <v>45423.25</v>
      </c>
      <c r="W244">
        <f t="shared" si="476"/>
        <v>18.5</v>
      </c>
      <c r="X244">
        <f t="shared" si="477"/>
        <v>21.6</v>
      </c>
      <c r="Y244">
        <f t="shared" si="478"/>
        <v>16.2</v>
      </c>
      <c r="Z244">
        <f t="shared" si="479"/>
        <v>19.5</v>
      </c>
      <c r="BA244" t="s">
        <v>6</v>
      </c>
    </row>
    <row r="245" spans="1:53" x14ac:dyDescent="0.2">
      <c r="A245" s="1">
        <v>45423</v>
      </c>
      <c r="B245" s="2">
        <v>0.29166666666666669</v>
      </c>
      <c r="C245" s="6">
        <v>45423.291666666664</v>
      </c>
      <c r="D245">
        <v>63.3</v>
      </c>
      <c r="E245">
        <v>68.8</v>
      </c>
      <c r="F245">
        <v>56.6</v>
      </c>
      <c r="G245" t="s">
        <v>6</v>
      </c>
      <c r="H245">
        <v>17.7</v>
      </c>
      <c r="I245">
        <v>23.7</v>
      </c>
      <c r="J245">
        <v>13.2</v>
      </c>
      <c r="K245" t="s">
        <v>6</v>
      </c>
      <c r="L245">
        <v>196</v>
      </c>
      <c r="M245" t="s">
        <v>6</v>
      </c>
      <c r="O245" s="6">
        <f t="shared" si="470"/>
        <v>45423.291666666664</v>
      </c>
      <c r="P245">
        <f t="shared" si="471"/>
        <v>63.3</v>
      </c>
      <c r="Q245">
        <f t="shared" si="472"/>
        <v>68.8</v>
      </c>
      <c r="R245">
        <f t="shared" si="473"/>
        <v>56.6</v>
      </c>
      <c r="S245">
        <f t="shared" si="474"/>
        <v>64.3</v>
      </c>
      <c r="V245" s="6">
        <f t="shared" si="475"/>
        <v>45423.291666666664</v>
      </c>
      <c r="W245">
        <f t="shared" si="476"/>
        <v>17.7</v>
      </c>
      <c r="X245">
        <f t="shared" si="477"/>
        <v>23.7</v>
      </c>
      <c r="Y245">
        <f t="shared" si="478"/>
        <v>13.2</v>
      </c>
      <c r="Z245">
        <f t="shared" si="479"/>
        <v>18.7</v>
      </c>
      <c r="BA245" t="s">
        <v>6</v>
      </c>
    </row>
    <row r="246" spans="1:53" x14ac:dyDescent="0.2">
      <c r="A246" s="14">
        <v>45423</v>
      </c>
      <c r="B246" s="7">
        <v>0.33333333333333331</v>
      </c>
      <c r="C246" s="8">
        <v>45423.333333333336</v>
      </c>
      <c r="D246" s="9">
        <v>74.2</v>
      </c>
      <c r="E246" s="9">
        <v>87.8</v>
      </c>
      <c r="F246" s="9">
        <v>62.4</v>
      </c>
      <c r="G246" s="9" t="s">
        <v>6</v>
      </c>
      <c r="H246" s="9">
        <v>20.7</v>
      </c>
      <c r="I246" s="9">
        <v>27.2</v>
      </c>
      <c r="J246" s="9">
        <v>17.7</v>
      </c>
      <c r="K246" s="9" t="s">
        <v>6</v>
      </c>
      <c r="L246" s="9">
        <v>225</v>
      </c>
      <c r="M246" t="s">
        <v>6</v>
      </c>
      <c r="O246" s="6">
        <f t="shared" si="470"/>
        <v>45423.333333333336</v>
      </c>
      <c r="P246">
        <f t="shared" si="471"/>
        <v>74.2</v>
      </c>
      <c r="Q246">
        <f t="shared" si="472"/>
        <v>87.8</v>
      </c>
      <c r="R246">
        <f t="shared" si="473"/>
        <v>62.4</v>
      </c>
      <c r="S246">
        <f t="shared" si="474"/>
        <v>75.2</v>
      </c>
      <c r="V246" s="6">
        <f t="shared" si="475"/>
        <v>45423.333333333336</v>
      </c>
      <c r="W246">
        <f t="shared" si="476"/>
        <v>20.7</v>
      </c>
      <c r="X246">
        <f t="shared" si="477"/>
        <v>27.2</v>
      </c>
      <c r="Y246">
        <f t="shared" si="478"/>
        <v>17.7</v>
      </c>
      <c r="Z246">
        <f t="shared" si="479"/>
        <v>21.7</v>
      </c>
      <c r="BA246" t="s">
        <v>6</v>
      </c>
    </row>
    <row r="247" spans="1:53" x14ac:dyDescent="0.2">
      <c r="A247" s="13">
        <v>45423</v>
      </c>
      <c r="B247" s="3">
        <v>0.375</v>
      </c>
      <c r="C247" s="4">
        <v>45423.375</v>
      </c>
      <c r="D247" s="5">
        <v>65.5</v>
      </c>
      <c r="E247" s="5">
        <v>72.7</v>
      </c>
      <c r="F247" s="5">
        <v>60.4</v>
      </c>
      <c r="G247" s="5" t="s">
        <v>6</v>
      </c>
      <c r="H247" s="5">
        <v>18.399999999999999</v>
      </c>
      <c r="I247" s="5">
        <v>20.399999999999999</v>
      </c>
      <c r="J247" s="5">
        <v>16.3</v>
      </c>
      <c r="K247" s="5" t="s">
        <v>6</v>
      </c>
      <c r="L247" s="5">
        <v>228</v>
      </c>
      <c r="M247" t="s">
        <v>6</v>
      </c>
      <c r="O247" s="6">
        <f t="shared" si="470"/>
        <v>45423.375</v>
      </c>
      <c r="P247">
        <f t="shared" si="471"/>
        <v>65.5</v>
      </c>
      <c r="Q247">
        <f t="shared" si="472"/>
        <v>72.7</v>
      </c>
      <c r="R247">
        <f t="shared" si="473"/>
        <v>60.4</v>
      </c>
      <c r="S247">
        <f t="shared" si="474"/>
        <v>66.5</v>
      </c>
      <c r="V247" s="6">
        <f t="shared" si="475"/>
        <v>45423.375</v>
      </c>
      <c r="W247">
        <f t="shared" si="476"/>
        <v>18.399999999999999</v>
      </c>
      <c r="X247">
        <f t="shared" si="477"/>
        <v>20.399999999999999</v>
      </c>
      <c r="Y247">
        <f t="shared" si="478"/>
        <v>16.3</v>
      </c>
      <c r="Z247">
        <f t="shared" si="479"/>
        <v>19.399999999999999</v>
      </c>
      <c r="BA247" t="s">
        <v>6</v>
      </c>
    </row>
    <row r="248" spans="1:53" x14ac:dyDescent="0.2">
      <c r="A248" s="1">
        <v>45423</v>
      </c>
      <c r="B248" s="2">
        <v>0.41666666666666669</v>
      </c>
      <c r="C248" s="6">
        <v>45423.416666666664</v>
      </c>
      <c r="D248">
        <v>61.7</v>
      </c>
      <c r="E248">
        <v>69</v>
      </c>
      <c r="F248">
        <v>57.7</v>
      </c>
      <c r="G248" t="s">
        <v>6</v>
      </c>
      <c r="H248">
        <v>18.5</v>
      </c>
      <c r="I248">
        <v>23.4</v>
      </c>
      <c r="J248">
        <v>15.9</v>
      </c>
      <c r="K248" t="s">
        <v>6</v>
      </c>
      <c r="L248">
        <v>228</v>
      </c>
      <c r="M248" t="s">
        <v>6</v>
      </c>
      <c r="O248" s="6">
        <f t="shared" si="470"/>
        <v>45423.416666666664</v>
      </c>
      <c r="P248">
        <f t="shared" si="471"/>
        <v>61.7</v>
      </c>
      <c r="Q248">
        <f t="shared" si="472"/>
        <v>69</v>
      </c>
      <c r="R248">
        <f t="shared" si="473"/>
        <v>57.7</v>
      </c>
      <c r="S248">
        <f t="shared" si="474"/>
        <v>62.7</v>
      </c>
      <c r="V248" s="6">
        <f t="shared" si="475"/>
        <v>45423.416666666664</v>
      </c>
      <c r="W248">
        <f t="shared" si="476"/>
        <v>18.5</v>
      </c>
      <c r="X248">
        <f t="shared" si="477"/>
        <v>23.4</v>
      </c>
      <c r="Y248">
        <f t="shared" si="478"/>
        <v>15.9</v>
      </c>
      <c r="Z248">
        <f t="shared" si="479"/>
        <v>19.5</v>
      </c>
      <c r="BA248" t="s">
        <v>6</v>
      </c>
    </row>
    <row r="249" spans="1:53" x14ac:dyDescent="0.2">
      <c r="A249" s="1">
        <v>45423</v>
      </c>
      <c r="B249" s="2">
        <v>0.45833333333333331</v>
      </c>
      <c r="C249" s="6">
        <v>45423.458333333336</v>
      </c>
      <c r="D249">
        <v>61.7</v>
      </c>
      <c r="E249">
        <v>66.8</v>
      </c>
      <c r="F249">
        <v>54.7</v>
      </c>
      <c r="G249" t="s">
        <v>6</v>
      </c>
      <c r="H249">
        <v>18.100000000000001</v>
      </c>
      <c r="I249">
        <v>21.6</v>
      </c>
      <c r="J249">
        <v>15</v>
      </c>
      <c r="K249" t="s">
        <v>6</v>
      </c>
      <c r="L249">
        <v>222</v>
      </c>
      <c r="M249" t="s">
        <v>6</v>
      </c>
      <c r="O249" s="6">
        <f t="shared" si="470"/>
        <v>45423.458333333336</v>
      </c>
      <c r="P249">
        <f t="shared" si="471"/>
        <v>61.7</v>
      </c>
      <c r="Q249">
        <f t="shared" si="472"/>
        <v>66.8</v>
      </c>
      <c r="R249">
        <f t="shared" si="473"/>
        <v>54.7</v>
      </c>
      <c r="S249">
        <f t="shared" si="474"/>
        <v>62.7</v>
      </c>
      <c r="V249" s="6">
        <f t="shared" si="475"/>
        <v>45423.458333333336</v>
      </c>
      <c r="W249">
        <f t="shared" si="476"/>
        <v>18.100000000000001</v>
      </c>
      <c r="X249">
        <f t="shared" si="477"/>
        <v>21.6</v>
      </c>
      <c r="Y249">
        <f t="shared" si="478"/>
        <v>15</v>
      </c>
      <c r="Z249">
        <f t="shared" si="479"/>
        <v>19.100000000000001</v>
      </c>
      <c r="BA249" t="s">
        <v>6</v>
      </c>
    </row>
    <row r="250" spans="1:53" x14ac:dyDescent="0.2">
      <c r="A250" s="1">
        <v>45423</v>
      </c>
      <c r="B250" s="2">
        <v>0.5</v>
      </c>
      <c r="C250" s="6">
        <v>45423.5</v>
      </c>
      <c r="D250">
        <v>55</v>
      </c>
      <c r="E250">
        <v>62.5</v>
      </c>
      <c r="F250">
        <v>49.1</v>
      </c>
      <c r="G250" t="s">
        <v>6</v>
      </c>
      <c r="H250">
        <v>20.8</v>
      </c>
      <c r="I250">
        <v>23.8</v>
      </c>
      <c r="J250">
        <v>16.399999999999999</v>
      </c>
      <c r="K250" t="s">
        <v>6</v>
      </c>
      <c r="L250">
        <v>223</v>
      </c>
      <c r="M250" t="s">
        <v>6</v>
      </c>
      <c r="O250" s="6">
        <f t="shared" si="470"/>
        <v>45423.5</v>
      </c>
      <c r="P250">
        <f t="shared" si="471"/>
        <v>55</v>
      </c>
      <c r="Q250">
        <f t="shared" si="472"/>
        <v>62.5</v>
      </c>
      <c r="R250">
        <f t="shared" si="473"/>
        <v>49.1</v>
      </c>
      <c r="S250">
        <f t="shared" si="474"/>
        <v>56</v>
      </c>
      <c r="V250" s="6">
        <f t="shared" si="475"/>
        <v>45423.5</v>
      </c>
      <c r="W250">
        <f t="shared" si="476"/>
        <v>20.8</v>
      </c>
      <c r="X250">
        <f t="shared" si="477"/>
        <v>23.8</v>
      </c>
      <c r="Y250">
        <f t="shared" si="478"/>
        <v>16.399999999999999</v>
      </c>
      <c r="Z250">
        <f t="shared" si="479"/>
        <v>21.8</v>
      </c>
      <c r="BA250" t="s">
        <v>6</v>
      </c>
    </row>
    <row r="251" spans="1:53" x14ac:dyDescent="0.2">
      <c r="A251" s="1">
        <v>45423</v>
      </c>
      <c r="B251" s="2">
        <v>0.54166666666666663</v>
      </c>
      <c r="C251" s="6">
        <v>45423.541666666664</v>
      </c>
      <c r="D251">
        <v>65.7</v>
      </c>
      <c r="E251">
        <v>74.599999999999994</v>
      </c>
      <c r="F251">
        <v>58.4</v>
      </c>
      <c r="G251" t="s">
        <v>6</v>
      </c>
      <c r="H251">
        <v>19.8</v>
      </c>
      <c r="I251">
        <v>25.4</v>
      </c>
      <c r="J251">
        <v>16.100000000000001</v>
      </c>
      <c r="K251" t="s">
        <v>6</v>
      </c>
      <c r="L251">
        <v>208</v>
      </c>
      <c r="M251" t="s">
        <v>6</v>
      </c>
      <c r="O251" s="6">
        <f t="shared" si="470"/>
        <v>45423.541666666664</v>
      </c>
      <c r="P251">
        <f t="shared" si="471"/>
        <v>65.7</v>
      </c>
      <c r="Q251">
        <f t="shared" si="472"/>
        <v>74.599999999999994</v>
      </c>
      <c r="R251">
        <f t="shared" si="473"/>
        <v>58.4</v>
      </c>
      <c r="S251">
        <f t="shared" si="474"/>
        <v>66.7</v>
      </c>
      <c r="V251" s="6">
        <f t="shared" si="475"/>
        <v>45423.541666666664</v>
      </c>
      <c r="W251">
        <f t="shared" si="476"/>
        <v>19.8</v>
      </c>
      <c r="X251">
        <f t="shared" si="477"/>
        <v>25.4</v>
      </c>
      <c r="Y251">
        <f t="shared" si="478"/>
        <v>16.100000000000001</v>
      </c>
      <c r="Z251">
        <f t="shared" si="479"/>
        <v>20.8</v>
      </c>
      <c r="BA251" t="s">
        <v>6</v>
      </c>
    </row>
    <row r="252" spans="1:53" x14ac:dyDescent="0.2">
      <c r="A252" s="1">
        <v>45423</v>
      </c>
      <c r="B252" s="2">
        <v>0.58333333333333337</v>
      </c>
      <c r="C252" s="6">
        <v>45423.583333333336</v>
      </c>
      <c r="D252">
        <v>63.7</v>
      </c>
      <c r="E252">
        <v>70.2</v>
      </c>
      <c r="F252">
        <v>57.5</v>
      </c>
      <c r="G252" t="s">
        <v>6</v>
      </c>
      <c r="H252">
        <v>18.399999999999999</v>
      </c>
      <c r="I252">
        <v>26.3</v>
      </c>
      <c r="J252">
        <v>13.9</v>
      </c>
      <c r="K252" t="s">
        <v>6</v>
      </c>
      <c r="L252">
        <v>223</v>
      </c>
      <c r="M252" t="s">
        <v>6</v>
      </c>
      <c r="O252" s="6">
        <f t="shared" si="470"/>
        <v>45423.583333333336</v>
      </c>
      <c r="P252">
        <f t="shared" si="471"/>
        <v>63.7</v>
      </c>
      <c r="Q252">
        <f t="shared" si="472"/>
        <v>70.2</v>
      </c>
      <c r="R252">
        <f t="shared" si="473"/>
        <v>57.5</v>
      </c>
      <c r="S252">
        <f t="shared" si="474"/>
        <v>64.7</v>
      </c>
      <c r="V252" s="6">
        <f t="shared" si="475"/>
        <v>45423.583333333336</v>
      </c>
      <c r="W252">
        <f t="shared" si="476"/>
        <v>18.399999999999999</v>
      </c>
      <c r="X252">
        <f t="shared" si="477"/>
        <v>26.3</v>
      </c>
      <c r="Y252">
        <f t="shared" si="478"/>
        <v>13.9</v>
      </c>
      <c r="Z252">
        <f t="shared" si="479"/>
        <v>19.399999999999999</v>
      </c>
      <c r="BA252" t="s">
        <v>6</v>
      </c>
    </row>
    <row r="253" spans="1:53" x14ac:dyDescent="0.2">
      <c r="A253" s="1">
        <v>45423</v>
      </c>
      <c r="B253" s="2">
        <v>0.625</v>
      </c>
      <c r="C253" s="6">
        <v>45423.625</v>
      </c>
      <c r="D253">
        <v>62.6</v>
      </c>
      <c r="E253">
        <v>70.599999999999994</v>
      </c>
      <c r="F253">
        <v>56.7</v>
      </c>
      <c r="G253" t="s">
        <v>6</v>
      </c>
      <c r="H253">
        <v>19.8</v>
      </c>
      <c r="I253">
        <v>25.8</v>
      </c>
      <c r="J253">
        <v>16.3</v>
      </c>
      <c r="K253" t="s">
        <v>6</v>
      </c>
      <c r="L253">
        <v>227</v>
      </c>
      <c r="M253" t="s">
        <v>6</v>
      </c>
      <c r="O253" s="6">
        <f t="shared" si="470"/>
        <v>45423.625</v>
      </c>
      <c r="P253">
        <f t="shared" si="471"/>
        <v>62.6</v>
      </c>
      <c r="Q253">
        <f t="shared" si="472"/>
        <v>70.599999999999994</v>
      </c>
      <c r="R253">
        <f t="shared" si="473"/>
        <v>56.7</v>
      </c>
      <c r="S253">
        <f t="shared" si="474"/>
        <v>63.6</v>
      </c>
      <c r="V253" s="6">
        <f t="shared" si="475"/>
        <v>45423.625</v>
      </c>
      <c r="W253">
        <f t="shared" si="476"/>
        <v>19.8</v>
      </c>
      <c r="X253">
        <f t="shared" si="477"/>
        <v>25.8</v>
      </c>
      <c r="Y253">
        <f t="shared" si="478"/>
        <v>16.3</v>
      </c>
      <c r="Z253">
        <f t="shared" si="479"/>
        <v>20.8</v>
      </c>
      <c r="BA253" t="s">
        <v>6</v>
      </c>
    </row>
    <row r="254" spans="1:53" x14ac:dyDescent="0.2">
      <c r="A254" s="1">
        <v>45423</v>
      </c>
      <c r="B254" s="2">
        <v>0.66666666666666663</v>
      </c>
      <c r="C254" s="6">
        <v>45423.666666666664</v>
      </c>
      <c r="D254">
        <v>59.6</v>
      </c>
      <c r="E254">
        <v>66.400000000000006</v>
      </c>
      <c r="F254">
        <v>53.6</v>
      </c>
      <c r="G254" t="s">
        <v>6</v>
      </c>
      <c r="H254">
        <v>19.7</v>
      </c>
      <c r="I254">
        <v>24.7</v>
      </c>
      <c r="J254">
        <v>15</v>
      </c>
      <c r="K254" t="s">
        <v>6</v>
      </c>
      <c r="L254">
        <v>218</v>
      </c>
      <c r="M254" t="s">
        <v>6</v>
      </c>
      <c r="O254" s="6">
        <f t="shared" si="470"/>
        <v>45423.666666666664</v>
      </c>
      <c r="P254">
        <f t="shared" si="471"/>
        <v>59.6</v>
      </c>
      <c r="Q254">
        <f t="shared" si="472"/>
        <v>66.400000000000006</v>
      </c>
      <c r="R254">
        <f t="shared" si="473"/>
        <v>53.6</v>
      </c>
      <c r="S254">
        <f t="shared" si="474"/>
        <v>60.6</v>
      </c>
      <c r="V254" s="6">
        <f t="shared" si="475"/>
        <v>45423.666666666664</v>
      </c>
      <c r="W254">
        <f t="shared" si="476"/>
        <v>19.7</v>
      </c>
      <c r="X254">
        <f t="shared" si="477"/>
        <v>24.7</v>
      </c>
      <c r="Y254">
        <f t="shared" si="478"/>
        <v>15</v>
      </c>
      <c r="Z254">
        <f t="shared" si="479"/>
        <v>20.7</v>
      </c>
      <c r="BA254" t="s">
        <v>6</v>
      </c>
    </row>
    <row r="255" spans="1:53" x14ac:dyDescent="0.2">
      <c r="A255" s="1">
        <v>45423</v>
      </c>
      <c r="B255" s="2">
        <v>0.70833333333333337</v>
      </c>
      <c r="C255" s="6">
        <v>45423.708333333336</v>
      </c>
      <c r="D255">
        <v>59.5</v>
      </c>
      <c r="E255">
        <v>64.3</v>
      </c>
      <c r="F255">
        <v>52.6</v>
      </c>
      <c r="G255" t="s">
        <v>6</v>
      </c>
      <c r="H255">
        <v>22.2</v>
      </c>
      <c r="I255">
        <v>24.9</v>
      </c>
      <c r="J255">
        <v>17.7</v>
      </c>
      <c r="K255" t="s">
        <v>6</v>
      </c>
      <c r="L255">
        <v>223</v>
      </c>
      <c r="M255" t="s">
        <v>6</v>
      </c>
      <c r="O255" s="6">
        <f t="shared" si="470"/>
        <v>45423.708333333336</v>
      </c>
      <c r="P255">
        <f t="shared" si="471"/>
        <v>59.5</v>
      </c>
      <c r="Q255">
        <f t="shared" si="472"/>
        <v>64.3</v>
      </c>
      <c r="R255">
        <f t="shared" si="473"/>
        <v>52.6</v>
      </c>
      <c r="S255">
        <f t="shared" si="474"/>
        <v>60.5</v>
      </c>
      <c r="V255" s="6">
        <f t="shared" si="475"/>
        <v>45423.708333333336</v>
      </c>
      <c r="W255">
        <f t="shared" si="476"/>
        <v>22.2</v>
      </c>
      <c r="X255">
        <f t="shared" si="477"/>
        <v>24.9</v>
      </c>
      <c r="Y255">
        <f t="shared" si="478"/>
        <v>17.7</v>
      </c>
      <c r="Z255">
        <f t="shared" si="479"/>
        <v>23.2</v>
      </c>
      <c r="BA255" t="s">
        <v>6</v>
      </c>
    </row>
    <row r="256" spans="1:53" x14ac:dyDescent="0.2">
      <c r="A256" s="1">
        <v>45423</v>
      </c>
      <c r="B256" s="2">
        <v>0.75</v>
      </c>
      <c r="C256" s="6">
        <v>45423.75</v>
      </c>
      <c r="D256">
        <v>62.9</v>
      </c>
      <c r="E256">
        <v>67.8</v>
      </c>
      <c r="F256">
        <v>56.5</v>
      </c>
      <c r="G256" t="s">
        <v>6</v>
      </c>
      <c r="H256">
        <v>21.3</v>
      </c>
      <c r="I256">
        <v>25.2</v>
      </c>
      <c r="J256">
        <v>16.899999999999999</v>
      </c>
      <c r="K256" t="s">
        <v>6</v>
      </c>
      <c r="L256">
        <v>202</v>
      </c>
      <c r="M256" t="s">
        <v>6</v>
      </c>
      <c r="O256" s="6">
        <f t="shared" ref="O256:O319" si="480">C256</f>
        <v>45423.75</v>
      </c>
      <c r="P256">
        <f t="shared" ref="P256:P319" si="481">D256</f>
        <v>62.9</v>
      </c>
      <c r="Q256">
        <f t="shared" ref="Q256:Q319" si="482">E256</f>
        <v>67.8</v>
      </c>
      <c r="R256">
        <f t="shared" ref="R256:R319" si="483">F256</f>
        <v>56.5</v>
      </c>
      <c r="S256">
        <f t="shared" ref="S256:S319" si="484">P256+1</f>
        <v>63.9</v>
      </c>
      <c r="V256" s="6">
        <f t="shared" ref="V256:V319" si="485">O256</f>
        <v>45423.75</v>
      </c>
      <c r="W256">
        <f t="shared" ref="W256:W319" si="486">H256</f>
        <v>21.3</v>
      </c>
      <c r="X256">
        <f t="shared" ref="X256:X319" si="487">I256</f>
        <v>25.2</v>
      </c>
      <c r="Y256">
        <f t="shared" ref="Y256:Y319" si="488">J256</f>
        <v>16.899999999999999</v>
      </c>
      <c r="Z256">
        <f t="shared" ref="Z256:Z319" si="489">W256+1</f>
        <v>22.3</v>
      </c>
      <c r="BA256" t="s">
        <v>6</v>
      </c>
    </row>
    <row r="257" spans="1:53" x14ac:dyDescent="0.2">
      <c r="A257" s="1">
        <v>45423</v>
      </c>
      <c r="B257" s="2">
        <v>0.79166666666666663</v>
      </c>
      <c r="C257" s="6">
        <v>45423.791666666664</v>
      </c>
      <c r="D257">
        <v>54</v>
      </c>
      <c r="E257">
        <v>61.6</v>
      </c>
      <c r="F257">
        <v>48.6</v>
      </c>
      <c r="G257" t="s">
        <v>6</v>
      </c>
      <c r="H257">
        <v>20.399999999999999</v>
      </c>
      <c r="I257">
        <v>25.9</v>
      </c>
      <c r="J257">
        <v>15.4</v>
      </c>
      <c r="K257" t="s">
        <v>6</v>
      </c>
      <c r="L257">
        <v>217</v>
      </c>
      <c r="M257" t="s">
        <v>6</v>
      </c>
      <c r="O257" s="6">
        <f t="shared" si="480"/>
        <v>45423.791666666664</v>
      </c>
      <c r="P257">
        <f t="shared" si="481"/>
        <v>54</v>
      </c>
      <c r="Q257">
        <f t="shared" si="482"/>
        <v>61.6</v>
      </c>
      <c r="R257">
        <f t="shared" si="483"/>
        <v>48.6</v>
      </c>
      <c r="S257">
        <f t="shared" si="484"/>
        <v>55</v>
      </c>
      <c r="V257" s="6">
        <f t="shared" si="485"/>
        <v>45423.791666666664</v>
      </c>
      <c r="W257">
        <f t="shared" si="486"/>
        <v>20.399999999999999</v>
      </c>
      <c r="X257">
        <f t="shared" si="487"/>
        <v>25.9</v>
      </c>
      <c r="Y257">
        <f t="shared" si="488"/>
        <v>15.4</v>
      </c>
      <c r="Z257">
        <f t="shared" si="489"/>
        <v>21.4</v>
      </c>
      <c r="BA257" t="s">
        <v>6</v>
      </c>
    </row>
    <row r="258" spans="1:53" x14ac:dyDescent="0.2">
      <c r="A258" s="1">
        <v>45423</v>
      </c>
      <c r="B258" s="2">
        <v>0.83333333333333337</v>
      </c>
      <c r="C258" s="6">
        <v>45423.833333333336</v>
      </c>
      <c r="D258">
        <v>59.7</v>
      </c>
      <c r="E258">
        <v>67.5</v>
      </c>
      <c r="F258">
        <v>45.8</v>
      </c>
      <c r="G258" t="s">
        <v>6</v>
      </c>
      <c r="H258">
        <v>20.5</v>
      </c>
      <c r="I258">
        <v>24.2</v>
      </c>
      <c r="J258">
        <v>16.399999999999999</v>
      </c>
      <c r="K258" t="s">
        <v>6</v>
      </c>
      <c r="L258">
        <v>230</v>
      </c>
      <c r="M258" t="s">
        <v>6</v>
      </c>
      <c r="O258" s="6">
        <f t="shared" si="480"/>
        <v>45423.833333333336</v>
      </c>
      <c r="P258">
        <f t="shared" si="481"/>
        <v>59.7</v>
      </c>
      <c r="Q258">
        <f t="shared" si="482"/>
        <v>67.5</v>
      </c>
      <c r="R258">
        <f t="shared" si="483"/>
        <v>45.8</v>
      </c>
      <c r="S258">
        <f t="shared" si="484"/>
        <v>60.7</v>
      </c>
      <c r="V258" s="6">
        <f t="shared" si="485"/>
        <v>45423.833333333336</v>
      </c>
      <c r="W258">
        <f t="shared" si="486"/>
        <v>20.5</v>
      </c>
      <c r="X258">
        <f t="shared" si="487"/>
        <v>24.2</v>
      </c>
      <c r="Y258">
        <f t="shared" si="488"/>
        <v>16.399999999999999</v>
      </c>
      <c r="Z258">
        <f t="shared" si="489"/>
        <v>21.5</v>
      </c>
      <c r="BA258" t="s">
        <v>6</v>
      </c>
    </row>
    <row r="259" spans="1:53" x14ac:dyDescent="0.2">
      <c r="A259" s="1">
        <v>45423</v>
      </c>
      <c r="B259" s="2">
        <v>0.875</v>
      </c>
      <c r="C259" s="6">
        <v>45423.875</v>
      </c>
      <c r="D259">
        <v>61.9</v>
      </c>
      <c r="E259">
        <v>66.8</v>
      </c>
      <c r="F259">
        <v>57.4</v>
      </c>
      <c r="G259" t="s">
        <v>6</v>
      </c>
      <c r="H259">
        <v>19.100000000000001</v>
      </c>
      <c r="I259">
        <v>25.7</v>
      </c>
      <c r="J259">
        <v>15.3</v>
      </c>
      <c r="K259" t="s">
        <v>6</v>
      </c>
      <c r="L259">
        <v>229</v>
      </c>
      <c r="M259" t="s">
        <v>6</v>
      </c>
      <c r="O259" s="6">
        <f t="shared" si="480"/>
        <v>45423.875</v>
      </c>
      <c r="P259">
        <f t="shared" si="481"/>
        <v>61.9</v>
      </c>
      <c r="Q259">
        <f t="shared" si="482"/>
        <v>66.8</v>
      </c>
      <c r="R259">
        <f t="shared" si="483"/>
        <v>57.4</v>
      </c>
      <c r="S259">
        <f t="shared" si="484"/>
        <v>62.9</v>
      </c>
      <c r="V259" s="6">
        <f t="shared" si="485"/>
        <v>45423.875</v>
      </c>
      <c r="W259">
        <f t="shared" si="486"/>
        <v>19.100000000000001</v>
      </c>
      <c r="X259">
        <f t="shared" si="487"/>
        <v>25.7</v>
      </c>
      <c r="Y259">
        <f t="shared" si="488"/>
        <v>15.3</v>
      </c>
      <c r="Z259">
        <f t="shared" si="489"/>
        <v>20.100000000000001</v>
      </c>
      <c r="BA259" t="s">
        <v>6</v>
      </c>
    </row>
    <row r="260" spans="1:53" x14ac:dyDescent="0.2">
      <c r="A260" s="1">
        <v>45423</v>
      </c>
      <c r="B260" s="2">
        <v>0.91666666666666663</v>
      </c>
      <c r="C260" s="6">
        <v>45423.916666666664</v>
      </c>
      <c r="D260">
        <v>61.3</v>
      </c>
      <c r="E260">
        <v>68.900000000000006</v>
      </c>
      <c r="F260">
        <v>54.8</v>
      </c>
      <c r="G260" t="s">
        <v>6</v>
      </c>
      <c r="H260">
        <v>20</v>
      </c>
      <c r="I260">
        <v>25.5</v>
      </c>
      <c r="J260">
        <v>15</v>
      </c>
      <c r="K260" t="s">
        <v>6</v>
      </c>
      <c r="L260">
        <v>224</v>
      </c>
      <c r="M260" t="s">
        <v>6</v>
      </c>
      <c r="O260" s="6">
        <f t="shared" si="480"/>
        <v>45423.916666666664</v>
      </c>
      <c r="P260">
        <f t="shared" si="481"/>
        <v>61.3</v>
      </c>
      <c r="Q260">
        <f t="shared" si="482"/>
        <v>68.900000000000006</v>
      </c>
      <c r="R260">
        <f t="shared" si="483"/>
        <v>54.8</v>
      </c>
      <c r="S260">
        <f t="shared" si="484"/>
        <v>62.3</v>
      </c>
      <c r="V260" s="6">
        <f t="shared" si="485"/>
        <v>45423.916666666664</v>
      </c>
      <c r="W260">
        <f t="shared" si="486"/>
        <v>20</v>
      </c>
      <c r="X260">
        <f t="shared" si="487"/>
        <v>25.5</v>
      </c>
      <c r="Y260">
        <f t="shared" si="488"/>
        <v>15</v>
      </c>
      <c r="Z260">
        <f t="shared" si="489"/>
        <v>21</v>
      </c>
      <c r="BA260" t="s">
        <v>6</v>
      </c>
    </row>
    <row r="261" spans="1:53" x14ac:dyDescent="0.2">
      <c r="A261" s="1">
        <v>45423</v>
      </c>
      <c r="B261" s="2">
        <v>0.95833333333333337</v>
      </c>
      <c r="C261" s="6">
        <v>45423.958333333336</v>
      </c>
      <c r="D261">
        <v>63.5</v>
      </c>
      <c r="E261">
        <v>68.900000000000006</v>
      </c>
      <c r="F261">
        <v>56</v>
      </c>
      <c r="G261" t="s">
        <v>6</v>
      </c>
      <c r="H261">
        <v>23.4</v>
      </c>
      <c r="I261">
        <v>27.3</v>
      </c>
      <c r="J261">
        <v>14.1</v>
      </c>
      <c r="K261" t="s">
        <v>6</v>
      </c>
      <c r="L261">
        <v>196</v>
      </c>
      <c r="M261" t="s">
        <v>6</v>
      </c>
      <c r="O261" s="6">
        <f t="shared" si="480"/>
        <v>45423.958333333336</v>
      </c>
      <c r="P261">
        <f t="shared" si="481"/>
        <v>63.5</v>
      </c>
      <c r="Q261">
        <f t="shared" si="482"/>
        <v>68.900000000000006</v>
      </c>
      <c r="R261">
        <f t="shared" si="483"/>
        <v>56</v>
      </c>
      <c r="S261">
        <f t="shared" si="484"/>
        <v>64.5</v>
      </c>
      <c r="V261" s="6">
        <f t="shared" si="485"/>
        <v>45423.958333333336</v>
      </c>
      <c r="W261">
        <f t="shared" si="486"/>
        <v>23.4</v>
      </c>
      <c r="X261">
        <f t="shared" si="487"/>
        <v>27.3</v>
      </c>
      <c r="Y261">
        <f t="shared" si="488"/>
        <v>14.1</v>
      </c>
      <c r="Z261">
        <f t="shared" si="489"/>
        <v>24.4</v>
      </c>
      <c r="BA261" t="s">
        <v>6</v>
      </c>
    </row>
    <row r="262" spans="1:53" x14ac:dyDescent="0.2">
      <c r="A262" s="1">
        <v>45424</v>
      </c>
      <c r="B262" s="2">
        <v>0</v>
      </c>
      <c r="C262" s="6">
        <v>45424</v>
      </c>
      <c r="D262">
        <v>63.1</v>
      </c>
      <c r="E262">
        <v>69.400000000000006</v>
      </c>
      <c r="F262">
        <v>56.7</v>
      </c>
      <c r="G262" t="s">
        <v>6</v>
      </c>
      <c r="H262">
        <v>24.2</v>
      </c>
      <c r="I262">
        <v>27.8</v>
      </c>
      <c r="J262">
        <v>17.600000000000001</v>
      </c>
      <c r="K262" t="s">
        <v>6</v>
      </c>
      <c r="L262">
        <v>200</v>
      </c>
      <c r="M262" t="s">
        <v>6</v>
      </c>
      <c r="O262" s="6">
        <f t="shared" si="480"/>
        <v>45424</v>
      </c>
      <c r="P262">
        <f t="shared" si="481"/>
        <v>63.1</v>
      </c>
      <c r="Q262">
        <f t="shared" si="482"/>
        <v>69.400000000000006</v>
      </c>
      <c r="R262">
        <f t="shared" si="483"/>
        <v>56.7</v>
      </c>
      <c r="S262">
        <f t="shared" si="484"/>
        <v>64.099999999999994</v>
      </c>
      <c r="V262" s="6">
        <f t="shared" si="485"/>
        <v>45424</v>
      </c>
      <c r="W262">
        <f t="shared" si="486"/>
        <v>24.2</v>
      </c>
      <c r="X262">
        <f t="shared" si="487"/>
        <v>27.8</v>
      </c>
      <c r="Y262">
        <f t="shared" si="488"/>
        <v>17.600000000000001</v>
      </c>
      <c r="Z262">
        <f t="shared" si="489"/>
        <v>25.2</v>
      </c>
      <c r="BA262" t="s">
        <v>6</v>
      </c>
    </row>
    <row r="263" spans="1:53" x14ac:dyDescent="0.2">
      <c r="A263" s="1">
        <v>45424</v>
      </c>
      <c r="B263" s="2">
        <v>4.1666666666666664E-2</v>
      </c>
      <c r="C263" s="6">
        <v>45424.041666666664</v>
      </c>
      <c r="D263">
        <v>64.2</v>
      </c>
      <c r="E263">
        <v>70.3</v>
      </c>
      <c r="F263">
        <v>55.6</v>
      </c>
      <c r="G263" t="s">
        <v>6</v>
      </c>
      <c r="H263">
        <v>24</v>
      </c>
      <c r="I263">
        <v>26.5</v>
      </c>
      <c r="J263">
        <v>18.600000000000001</v>
      </c>
      <c r="K263" t="s">
        <v>6</v>
      </c>
      <c r="L263">
        <v>218</v>
      </c>
      <c r="M263" t="s">
        <v>6</v>
      </c>
      <c r="O263" s="6">
        <f t="shared" si="480"/>
        <v>45424.041666666664</v>
      </c>
      <c r="P263">
        <f t="shared" si="481"/>
        <v>64.2</v>
      </c>
      <c r="Q263">
        <f t="shared" si="482"/>
        <v>70.3</v>
      </c>
      <c r="R263">
        <f t="shared" si="483"/>
        <v>55.6</v>
      </c>
      <c r="S263">
        <f t="shared" si="484"/>
        <v>65.2</v>
      </c>
      <c r="V263" s="6">
        <f t="shared" si="485"/>
        <v>45424.041666666664</v>
      </c>
      <c r="W263">
        <f t="shared" si="486"/>
        <v>24</v>
      </c>
      <c r="X263">
        <f t="shared" si="487"/>
        <v>26.5</v>
      </c>
      <c r="Y263">
        <f t="shared" si="488"/>
        <v>18.600000000000001</v>
      </c>
      <c r="Z263">
        <f t="shared" si="489"/>
        <v>25</v>
      </c>
      <c r="BA263" t="s">
        <v>6</v>
      </c>
    </row>
    <row r="264" spans="1:53" x14ac:dyDescent="0.2">
      <c r="A264" s="1">
        <v>45424</v>
      </c>
      <c r="B264" s="2">
        <v>8.3333333333333329E-2</v>
      </c>
      <c r="C264" s="6">
        <v>45424.083333333336</v>
      </c>
      <c r="D264">
        <v>60.6</v>
      </c>
      <c r="E264">
        <v>68.599999999999994</v>
      </c>
      <c r="F264">
        <v>54</v>
      </c>
      <c r="G264" t="s">
        <v>6</v>
      </c>
      <c r="H264">
        <v>23.5</v>
      </c>
      <c r="I264">
        <v>26.9</v>
      </c>
      <c r="J264">
        <v>16.8</v>
      </c>
      <c r="K264" t="s">
        <v>6</v>
      </c>
      <c r="L264">
        <v>212</v>
      </c>
      <c r="M264" t="s">
        <v>6</v>
      </c>
      <c r="O264" s="6">
        <f t="shared" si="480"/>
        <v>45424.083333333336</v>
      </c>
      <c r="P264">
        <f t="shared" si="481"/>
        <v>60.6</v>
      </c>
      <c r="Q264">
        <f t="shared" si="482"/>
        <v>68.599999999999994</v>
      </c>
      <c r="R264">
        <f t="shared" si="483"/>
        <v>54</v>
      </c>
      <c r="S264">
        <f t="shared" si="484"/>
        <v>61.6</v>
      </c>
      <c r="V264" s="6">
        <f t="shared" si="485"/>
        <v>45424.083333333336</v>
      </c>
      <c r="W264">
        <f t="shared" si="486"/>
        <v>23.5</v>
      </c>
      <c r="X264">
        <f t="shared" si="487"/>
        <v>26.9</v>
      </c>
      <c r="Y264">
        <f t="shared" si="488"/>
        <v>16.8</v>
      </c>
      <c r="Z264">
        <f t="shared" si="489"/>
        <v>24.5</v>
      </c>
      <c r="BA264" t="s">
        <v>6</v>
      </c>
    </row>
    <row r="265" spans="1:53" x14ac:dyDescent="0.2">
      <c r="A265" s="1">
        <v>45424</v>
      </c>
      <c r="B265" s="2">
        <v>0.125</v>
      </c>
      <c r="C265" s="6">
        <v>45424.125</v>
      </c>
      <c r="D265">
        <v>63.8</v>
      </c>
      <c r="E265">
        <v>69.400000000000006</v>
      </c>
      <c r="F265">
        <v>55.6</v>
      </c>
      <c r="G265" t="s">
        <v>6</v>
      </c>
      <c r="H265">
        <v>21.8</v>
      </c>
      <c r="I265">
        <v>25.7</v>
      </c>
      <c r="J265">
        <v>15.4</v>
      </c>
      <c r="K265" t="s">
        <v>6</v>
      </c>
      <c r="L265">
        <v>219</v>
      </c>
      <c r="M265" t="s">
        <v>6</v>
      </c>
      <c r="O265" s="6">
        <f t="shared" si="480"/>
        <v>45424.125</v>
      </c>
      <c r="P265">
        <f t="shared" si="481"/>
        <v>63.8</v>
      </c>
      <c r="Q265">
        <f t="shared" si="482"/>
        <v>69.400000000000006</v>
      </c>
      <c r="R265">
        <f t="shared" si="483"/>
        <v>55.6</v>
      </c>
      <c r="S265">
        <f t="shared" si="484"/>
        <v>64.8</v>
      </c>
      <c r="V265" s="6">
        <f t="shared" si="485"/>
        <v>45424.125</v>
      </c>
      <c r="W265">
        <f t="shared" si="486"/>
        <v>21.8</v>
      </c>
      <c r="X265">
        <f t="shared" si="487"/>
        <v>25.7</v>
      </c>
      <c r="Y265">
        <f t="shared" si="488"/>
        <v>15.4</v>
      </c>
      <c r="Z265">
        <f t="shared" si="489"/>
        <v>22.8</v>
      </c>
      <c r="BA265" t="s">
        <v>6</v>
      </c>
    </row>
    <row r="266" spans="1:53" x14ac:dyDescent="0.2">
      <c r="A266" s="1">
        <v>45424</v>
      </c>
      <c r="B266" s="2">
        <v>0.16666666666666666</v>
      </c>
      <c r="C266" s="6">
        <v>45424.166666666664</v>
      </c>
      <c r="D266">
        <v>62.1</v>
      </c>
      <c r="E266">
        <v>69.599999999999994</v>
      </c>
      <c r="F266">
        <v>54.3</v>
      </c>
      <c r="G266" t="s">
        <v>6</v>
      </c>
      <c r="H266">
        <v>22.1</v>
      </c>
      <c r="I266">
        <v>25.5</v>
      </c>
      <c r="J266">
        <v>17.100000000000001</v>
      </c>
      <c r="K266" t="s">
        <v>6</v>
      </c>
      <c r="L266">
        <v>214</v>
      </c>
      <c r="M266" t="s">
        <v>6</v>
      </c>
      <c r="O266" s="6">
        <f t="shared" si="480"/>
        <v>45424.166666666664</v>
      </c>
      <c r="P266">
        <f t="shared" si="481"/>
        <v>62.1</v>
      </c>
      <c r="Q266">
        <f t="shared" si="482"/>
        <v>69.599999999999994</v>
      </c>
      <c r="R266">
        <f t="shared" si="483"/>
        <v>54.3</v>
      </c>
      <c r="S266">
        <f t="shared" si="484"/>
        <v>63.1</v>
      </c>
      <c r="V266" s="6">
        <f t="shared" si="485"/>
        <v>45424.166666666664</v>
      </c>
      <c r="W266">
        <f t="shared" si="486"/>
        <v>22.1</v>
      </c>
      <c r="X266">
        <f t="shared" si="487"/>
        <v>25.5</v>
      </c>
      <c r="Y266">
        <f t="shared" si="488"/>
        <v>17.100000000000001</v>
      </c>
      <c r="Z266">
        <f t="shared" si="489"/>
        <v>23.1</v>
      </c>
      <c r="BA266" t="s">
        <v>6</v>
      </c>
    </row>
    <row r="267" spans="1:53" x14ac:dyDescent="0.2">
      <c r="A267" s="1">
        <v>45424</v>
      </c>
      <c r="B267" s="2">
        <v>0.20833333333333334</v>
      </c>
      <c r="C267" s="6">
        <v>45424.208333333336</v>
      </c>
      <c r="D267">
        <v>60</v>
      </c>
      <c r="E267">
        <v>66.400000000000006</v>
      </c>
      <c r="F267">
        <v>52.9</v>
      </c>
      <c r="G267" t="s">
        <v>6</v>
      </c>
      <c r="H267">
        <v>18.5</v>
      </c>
      <c r="I267">
        <v>22.4</v>
      </c>
      <c r="J267">
        <v>16.100000000000001</v>
      </c>
      <c r="K267" t="s">
        <v>6</v>
      </c>
      <c r="L267">
        <v>225</v>
      </c>
      <c r="M267" t="s">
        <v>6</v>
      </c>
      <c r="O267" s="6">
        <f t="shared" si="480"/>
        <v>45424.208333333336</v>
      </c>
      <c r="P267">
        <f t="shared" si="481"/>
        <v>60</v>
      </c>
      <c r="Q267">
        <f t="shared" si="482"/>
        <v>66.400000000000006</v>
      </c>
      <c r="R267">
        <f t="shared" si="483"/>
        <v>52.9</v>
      </c>
      <c r="S267">
        <f t="shared" si="484"/>
        <v>61</v>
      </c>
      <c r="V267" s="6">
        <f t="shared" si="485"/>
        <v>45424.208333333336</v>
      </c>
      <c r="W267">
        <f t="shared" si="486"/>
        <v>18.5</v>
      </c>
      <c r="X267">
        <f t="shared" si="487"/>
        <v>22.4</v>
      </c>
      <c r="Y267">
        <f t="shared" si="488"/>
        <v>16.100000000000001</v>
      </c>
      <c r="Z267">
        <f t="shared" si="489"/>
        <v>19.5</v>
      </c>
      <c r="BA267" t="s">
        <v>6</v>
      </c>
    </row>
    <row r="268" spans="1:53" x14ac:dyDescent="0.2">
      <c r="A268" s="1">
        <v>45424</v>
      </c>
      <c r="B268" s="2">
        <v>0.25</v>
      </c>
      <c r="C268" s="6">
        <v>45424.25</v>
      </c>
      <c r="D268">
        <v>60.6</v>
      </c>
      <c r="E268">
        <v>64.7</v>
      </c>
      <c r="F268">
        <v>57.3</v>
      </c>
      <c r="G268" t="s">
        <v>6</v>
      </c>
      <c r="H268">
        <v>19.899999999999999</v>
      </c>
      <c r="I268">
        <v>25.5</v>
      </c>
      <c r="J268">
        <v>16</v>
      </c>
      <c r="K268" t="s">
        <v>6</v>
      </c>
      <c r="L268">
        <v>226</v>
      </c>
      <c r="M268" t="s">
        <v>6</v>
      </c>
      <c r="O268" s="6">
        <f t="shared" si="480"/>
        <v>45424.25</v>
      </c>
      <c r="P268">
        <f t="shared" si="481"/>
        <v>60.6</v>
      </c>
      <c r="Q268">
        <f t="shared" si="482"/>
        <v>64.7</v>
      </c>
      <c r="R268">
        <f t="shared" si="483"/>
        <v>57.3</v>
      </c>
      <c r="S268">
        <f t="shared" si="484"/>
        <v>61.6</v>
      </c>
      <c r="V268" s="6">
        <f t="shared" si="485"/>
        <v>45424.25</v>
      </c>
      <c r="W268">
        <f t="shared" si="486"/>
        <v>19.899999999999999</v>
      </c>
      <c r="X268">
        <f t="shared" si="487"/>
        <v>25.5</v>
      </c>
      <c r="Y268">
        <f t="shared" si="488"/>
        <v>16</v>
      </c>
      <c r="Z268">
        <f t="shared" si="489"/>
        <v>20.9</v>
      </c>
      <c r="BA268" t="s">
        <v>6</v>
      </c>
    </row>
    <row r="269" spans="1:53" x14ac:dyDescent="0.2">
      <c r="A269" s="1">
        <v>45424</v>
      </c>
      <c r="B269" s="2">
        <v>0.29166666666666669</v>
      </c>
      <c r="C269" s="6">
        <v>45424.291666666664</v>
      </c>
      <c r="D269">
        <v>60.3</v>
      </c>
      <c r="E269">
        <v>66</v>
      </c>
      <c r="F269">
        <v>54.4</v>
      </c>
      <c r="G269" t="s">
        <v>6</v>
      </c>
      <c r="H269">
        <v>22.4</v>
      </c>
      <c r="I269">
        <v>26.4</v>
      </c>
      <c r="J269">
        <v>14.2</v>
      </c>
      <c r="K269" t="s">
        <v>6</v>
      </c>
      <c r="L269">
        <v>170</v>
      </c>
      <c r="M269" t="s">
        <v>6</v>
      </c>
      <c r="O269" s="6">
        <f t="shared" si="480"/>
        <v>45424.291666666664</v>
      </c>
      <c r="P269">
        <f t="shared" si="481"/>
        <v>60.3</v>
      </c>
      <c r="Q269">
        <f t="shared" si="482"/>
        <v>66</v>
      </c>
      <c r="R269">
        <f t="shared" si="483"/>
        <v>54.4</v>
      </c>
      <c r="S269">
        <f t="shared" si="484"/>
        <v>61.3</v>
      </c>
      <c r="V269" s="6">
        <f t="shared" si="485"/>
        <v>45424.291666666664</v>
      </c>
      <c r="W269">
        <f t="shared" si="486"/>
        <v>22.4</v>
      </c>
      <c r="X269">
        <f t="shared" si="487"/>
        <v>26.4</v>
      </c>
      <c r="Y269">
        <f t="shared" si="488"/>
        <v>14.2</v>
      </c>
      <c r="Z269">
        <f t="shared" si="489"/>
        <v>23.4</v>
      </c>
      <c r="BA269" t="s">
        <v>6</v>
      </c>
    </row>
    <row r="270" spans="1:53" x14ac:dyDescent="0.2">
      <c r="A270" s="14">
        <v>45424</v>
      </c>
      <c r="B270" s="7">
        <v>0.33333333333333331</v>
      </c>
      <c r="C270" s="8">
        <v>45424.333333333336</v>
      </c>
      <c r="D270" s="9">
        <v>63.2</v>
      </c>
      <c r="E270" s="9">
        <v>79</v>
      </c>
      <c r="F270" s="9">
        <v>54.1</v>
      </c>
      <c r="G270" s="9" t="s">
        <v>6</v>
      </c>
      <c r="H270" s="9">
        <v>19.3</v>
      </c>
      <c r="I270" s="9">
        <v>24.3</v>
      </c>
      <c r="J270" s="9">
        <v>13.8</v>
      </c>
      <c r="K270" s="9" t="s">
        <v>6</v>
      </c>
      <c r="L270" s="9">
        <v>215</v>
      </c>
      <c r="M270" t="s">
        <v>6</v>
      </c>
      <c r="O270" s="6">
        <f t="shared" si="480"/>
        <v>45424.333333333336</v>
      </c>
      <c r="P270">
        <f t="shared" si="481"/>
        <v>63.2</v>
      </c>
      <c r="Q270">
        <f t="shared" si="482"/>
        <v>79</v>
      </c>
      <c r="R270">
        <f t="shared" si="483"/>
        <v>54.1</v>
      </c>
      <c r="S270">
        <f t="shared" si="484"/>
        <v>64.2</v>
      </c>
      <c r="V270" s="6">
        <f t="shared" si="485"/>
        <v>45424.333333333336</v>
      </c>
      <c r="W270">
        <f t="shared" si="486"/>
        <v>19.3</v>
      </c>
      <c r="X270">
        <f t="shared" si="487"/>
        <v>24.3</v>
      </c>
      <c r="Y270">
        <f t="shared" si="488"/>
        <v>13.8</v>
      </c>
      <c r="Z270">
        <f t="shared" si="489"/>
        <v>20.3</v>
      </c>
      <c r="BA270" t="s">
        <v>6</v>
      </c>
    </row>
    <row r="271" spans="1:53" x14ac:dyDescent="0.2">
      <c r="A271" s="13">
        <v>45424</v>
      </c>
      <c r="B271" s="3">
        <v>0.375</v>
      </c>
      <c r="C271" s="4">
        <v>45424.375</v>
      </c>
      <c r="D271" s="5">
        <v>64.7</v>
      </c>
      <c r="E271" s="5">
        <v>71.8</v>
      </c>
      <c r="F271" s="5">
        <v>57.1</v>
      </c>
      <c r="G271" s="5" t="s">
        <v>6</v>
      </c>
      <c r="H271" s="5">
        <v>18.399999999999999</v>
      </c>
      <c r="I271" s="5">
        <v>25.1</v>
      </c>
      <c r="J271" s="5">
        <v>15.7</v>
      </c>
      <c r="K271" s="5" t="s">
        <v>6</v>
      </c>
      <c r="L271" s="5">
        <v>226</v>
      </c>
      <c r="M271" t="s">
        <v>6</v>
      </c>
      <c r="O271" s="6">
        <f t="shared" si="480"/>
        <v>45424.375</v>
      </c>
      <c r="P271">
        <f t="shared" si="481"/>
        <v>64.7</v>
      </c>
      <c r="Q271">
        <f t="shared" si="482"/>
        <v>71.8</v>
      </c>
      <c r="R271">
        <f t="shared" si="483"/>
        <v>57.1</v>
      </c>
      <c r="S271">
        <f t="shared" si="484"/>
        <v>65.7</v>
      </c>
      <c r="V271" s="6">
        <f t="shared" si="485"/>
        <v>45424.375</v>
      </c>
      <c r="W271">
        <f t="shared" si="486"/>
        <v>18.399999999999999</v>
      </c>
      <c r="X271">
        <f t="shared" si="487"/>
        <v>25.1</v>
      </c>
      <c r="Y271">
        <f t="shared" si="488"/>
        <v>15.7</v>
      </c>
      <c r="Z271">
        <f t="shared" si="489"/>
        <v>19.399999999999999</v>
      </c>
      <c r="BA271" t="s">
        <v>6</v>
      </c>
    </row>
    <row r="272" spans="1:53" x14ac:dyDescent="0.2">
      <c r="A272" s="1">
        <v>45424</v>
      </c>
      <c r="B272" s="2">
        <v>0.41666666666666669</v>
      </c>
      <c r="C272" s="6">
        <v>45424.416666666664</v>
      </c>
      <c r="D272">
        <v>62</v>
      </c>
      <c r="E272">
        <v>69.8</v>
      </c>
      <c r="F272">
        <v>58.1</v>
      </c>
      <c r="G272" t="s">
        <v>6</v>
      </c>
      <c r="H272">
        <v>19.600000000000001</v>
      </c>
      <c r="I272">
        <v>24.5</v>
      </c>
      <c r="J272">
        <v>16.2</v>
      </c>
      <c r="K272" t="s">
        <v>6</v>
      </c>
      <c r="L272">
        <v>227</v>
      </c>
      <c r="M272" t="s">
        <v>6</v>
      </c>
      <c r="O272" s="6">
        <f t="shared" si="480"/>
        <v>45424.416666666664</v>
      </c>
      <c r="P272">
        <f t="shared" si="481"/>
        <v>62</v>
      </c>
      <c r="Q272">
        <f t="shared" si="482"/>
        <v>69.8</v>
      </c>
      <c r="R272">
        <f t="shared" si="483"/>
        <v>58.1</v>
      </c>
      <c r="S272">
        <f t="shared" si="484"/>
        <v>63</v>
      </c>
      <c r="V272" s="6">
        <f t="shared" si="485"/>
        <v>45424.416666666664</v>
      </c>
      <c r="W272">
        <f t="shared" si="486"/>
        <v>19.600000000000001</v>
      </c>
      <c r="X272">
        <f t="shared" si="487"/>
        <v>24.5</v>
      </c>
      <c r="Y272">
        <f t="shared" si="488"/>
        <v>16.2</v>
      </c>
      <c r="Z272">
        <f t="shared" si="489"/>
        <v>20.6</v>
      </c>
      <c r="BA272" t="s">
        <v>6</v>
      </c>
    </row>
    <row r="273" spans="1:53" x14ac:dyDescent="0.2">
      <c r="A273" s="1">
        <v>45424</v>
      </c>
      <c r="B273" s="2">
        <v>0.45833333333333331</v>
      </c>
      <c r="C273" s="6">
        <v>45424.458333333336</v>
      </c>
      <c r="D273">
        <v>60.5</v>
      </c>
      <c r="E273">
        <v>67.2</v>
      </c>
      <c r="F273">
        <v>56.5</v>
      </c>
      <c r="G273" t="s">
        <v>6</v>
      </c>
      <c r="H273">
        <v>20</v>
      </c>
      <c r="I273">
        <v>23.4</v>
      </c>
      <c r="J273">
        <v>14.2</v>
      </c>
      <c r="K273" t="s">
        <v>6</v>
      </c>
      <c r="L273">
        <v>217</v>
      </c>
      <c r="M273" t="s">
        <v>6</v>
      </c>
      <c r="O273" s="6">
        <f t="shared" si="480"/>
        <v>45424.458333333336</v>
      </c>
      <c r="P273">
        <f t="shared" si="481"/>
        <v>60.5</v>
      </c>
      <c r="Q273">
        <f t="shared" si="482"/>
        <v>67.2</v>
      </c>
      <c r="R273">
        <f t="shared" si="483"/>
        <v>56.5</v>
      </c>
      <c r="S273">
        <f t="shared" si="484"/>
        <v>61.5</v>
      </c>
      <c r="V273" s="6">
        <f t="shared" si="485"/>
        <v>45424.458333333336</v>
      </c>
      <c r="W273">
        <f t="shared" si="486"/>
        <v>20</v>
      </c>
      <c r="X273">
        <f t="shared" si="487"/>
        <v>23.4</v>
      </c>
      <c r="Y273">
        <f t="shared" si="488"/>
        <v>14.2</v>
      </c>
      <c r="Z273">
        <f t="shared" si="489"/>
        <v>21</v>
      </c>
      <c r="BA273" t="s">
        <v>6</v>
      </c>
    </row>
    <row r="274" spans="1:53" x14ac:dyDescent="0.2">
      <c r="A274" s="1">
        <v>45424</v>
      </c>
      <c r="B274" s="2">
        <v>0.5</v>
      </c>
      <c r="C274" s="6">
        <v>45424.5</v>
      </c>
      <c r="D274">
        <v>58.2</v>
      </c>
      <c r="E274">
        <v>62.1</v>
      </c>
      <c r="F274">
        <v>53.2</v>
      </c>
      <c r="G274" t="s">
        <v>6</v>
      </c>
      <c r="H274">
        <v>20.8</v>
      </c>
      <c r="I274">
        <v>25.1</v>
      </c>
      <c r="J274">
        <v>17</v>
      </c>
      <c r="K274" t="s">
        <v>6</v>
      </c>
      <c r="L274">
        <v>192</v>
      </c>
      <c r="M274" t="s">
        <v>6</v>
      </c>
      <c r="O274" s="6">
        <f t="shared" si="480"/>
        <v>45424.5</v>
      </c>
      <c r="P274">
        <f t="shared" si="481"/>
        <v>58.2</v>
      </c>
      <c r="Q274">
        <f t="shared" si="482"/>
        <v>62.1</v>
      </c>
      <c r="R274">
        <f t="shared" si="483"/>
        <v>53.2</v>
      </c>
      <c r="S274">
        <f t="shared" si="484"/>
        <v>59.2</v>
      </c>
      <c r="V274" s="6">
        <f t="shared" si="485"/>
        <v>45424.5</v>
      </c>
      <c r="W274">
        <f t="shared" si="486"/>
        <v>20.8</v>
      </c>
      <c r="X274">
        <f t="shared" si="487"/>
        <v>25.1</v>
      </c>
      <c r="Y274">
        <f t="shared" si="488"/>
        <v>17</v>
      </c>
      <c r="Z274">
        <f t="shared" si="489"/>
        <v>21.8</v>
      </c>
      <c r="BA274" t="s">
        <v>6</v>
      </c>
    </row>
    <row r="275" spans="1:53" x14ac:dyDescent="0.2">
      <c r="A275" s="1">
        <v>45424</v>
      </c>
      <c r="B275" s="2">
        <v>0.54166666666666663</v>
      </c>
      <c r="C275" s="6">
        <v>45424.541666666664</v>
      </c>
      <c r="D275">
        <v>59</v>
      </c>
      <c r="E275">
        <v>66.8</v>
      </c>
      <c r="F275">
        <v>54.7</v>
      </c>
      <c r="G275" t="s">
        <v>6</v>
      </c>
      <c r="H275">
        <v>20.3</v>
      </c>
      <c r="I275">
        <v>24.3</v>
      </c>
      <c r="J275">
        <v>13.8</v>
      </c>
      <c r="K275" t="s">
        <v>6</v>
      </c>
      <c r="L275">
        <v>222</v>
      </c>
      <c r="M275" t="s">
        <v>6</v>
      </c>
      <c r="O275" s="6">
        <f t="shared" si="480"/>
        <v>45424.541666666664</v>
      </c>
      <c r="P275">
        <f t="shared" si="481"/>
        <v>59</v>
      </c>
      <c r="Q275">
        <f t="shared" si="482"/>
        <v>66.8</v>
      </c>
      <c r="R275">
        <f t="shared" si="483"/>
        <v>54.7</v>
      </c>
      <c r="S275">
        <f t="shared" si="484"/>
        <v>60</v>
      </c>
      <c r="V275" s="6">
        <f t="shared" si="485"/>
        <v>45424.541666666664</v>
      </c>
      <c r="W275">
        <f t="shared" si="486"/>
        <v>20.3</v>
      </c>
      <c r="X275">
        <f t="shared" si="487"/>
        <v>24.3</v>
      </c>
      <c r="Y275">
        <f t="shared" si="488"/>
        <v>13.8</v>
      </c>
      <c r="Z275">
        <f t="shared" si="489"/>
        <v>21.3</v>
      </c>
      <c r="BA275" t="s">
        <v>6</v>
      </c>
    </row>
    <row r="276" spans="1:53" x14ac:dyDescent="0.2">
      <c r="A276" s="1">
        <v>45424</v>
      </c>
      <c r="B276" s="2">
        <v>0.58333333333333337</v>
      </c>
      <c r="C276" s="6">
        <v>45424.583333333336</v>
      </c>
      <c r="D276">
        <v>59.8</v>
      </c>
      <c r="E276">
        <v>69.099999999999994</v>
      </c>
      <c r="F276">
        <v>55.2</v>
      </c>
      <c r="G276" t="s">
        <v>6</v>
      </c>
      <c r="H276">
        <v>18.8</v>
      </c>
      <c r="I276">
        <v>22.5</v>
      </c>
      <c r="J276">
        <v>13.9</v>
      </c>
      <c r="K276" t="s">
        <v>6</v>
      </c>
      <c r="L276">
        <v>216</v>
      </c>
      <c r="M276" t="s">
        <v>6</v>
      </c>
      <c r="O276" s="6">
        <f t="shared" si="480"/>
        <v>45424.583333333336</v>
      </c>
      <c r="P276">
        <f t="shared" si="481"/>
        <v>59.8</v>
      </c>
      <c r="Q276">
        <f t="shared" si="482"/>
        <v>69.099999999999994</v>
      </c>
      <c r="R276">
        <f t="shared" si="483"/>
        <v>55.2</v>
      </c>
      <c r="S276">
        <f t="shared" si="484"/>
        <v>60.8</v>
      </c>
      <c r="V276" s="6">
        <f t="shared" si="485"/>
        <v>45424.583333333336</v>
      </c>
      <c r="W276">
        <f t="shared" si="486"/>
        <v>18.8</v>
      </c>
      <c r="X276">
        <f t="shared" si="487"/>
        <v>22.5</v>
      </c>
      <c r="Y276">
        <f t="shared" si="488"/>
        <v>13.9</v>
      </c>
      <c r="Z276">
        <f t="shared" si="489"/>
        <v>19.8</v>
      </c>
      <c r="BA276" t="s">
        <v>6</v>
      </c>
    </row>
    <row r="277" spans="1:53" x14ac:dyDescent="0.2">
      <c r="A277" s="1">
        <v>45424</v>
      </c>
      <c r="B277" s="2">
        <v>0.625</v>
      </c>
      <c r="C277" s="6">
        <v>45424.625</v>
      </c>
      <c r="D277">
        <v>61</v>
      </c>
      <c r="E277">
        <v>65.7</v>
      </c>
      <c r="F277">
        <v>54.2</v>
      </c>
      <c r="G277" t="s">
        <v>6</v>
      </c>
      <c r="H277">
        <v>20.100000000000001</v>
      </c>
      <c r="I277">
        <v>25.1</v>
      </c>
      <c r="J277">
        <v>16.600000000000001</v>
      </c>
      <c r="K277" t="s">
        <v>6</v>
      </c>
      <c r="L277">
        <v>179</v>
      </c>
      <c r="M277" t="s">
        <v>6</v>
      </c>
      <c r="O277" s="6">
        <f t="shared" si="480"/>
        <v>45424.625</v>
      </c>
      <c r="P277">
        <f t="shared" si="481"/>
        <v>61</v>
      </c>
      <c r="Q277">
        <f t="shared" si="482"/>
        <v>65.7</v>
      </c>
      <c r="R277">
        <f t="shared" si="483"/>
        <v>54.2</v>
      </c>
      <c r="S277">
        <f t="shared" si="484"/>
        <v>62</v>
      </c>
      <c r="V277" s="6">
        <f t="shared" si="485"/>
        <v>45424.625</v>
      </c>
      <c r="W277">
        <f t="shared" si="486"/>
        <v>20.100000000000001</v>
      </c>
      <c r="X277">
        <f t="shared" si="487"/>
        <v>25.1</v>
      </c>
      <c r="Y277">
        <f t="shared" si="488"/>
        <v>16.600000000000001</v>
      </c>
      <c r="Z277">
        <f t="shared" si="489"/>
        <v>21.1</v>
      </c>
      <c r="BA277" t="s">
        <v>6</v>
      </c>
    </row>
    <row r="278" spans="1:53" x14ac:dyDescent="0.2">
      <c r="A278" s="1">
        <v>45424</v>
      </c>
      <c r="B278" s="2">
        <v>0.66666666666666663</v>
      </c>
      <c r="C278" s="6">
        <v>45424.666666666664</v>
      </c>
      <c r="D278">
        <v>57.5</v>
      </c>
      <c r="E278">
        <v>63.5</v>
      </c>
      <c r="F278">
        <v>52.5</v>
      </c>
      <c r="G278" t="s">
        <v>6</v>
      </c>
      <c r="H278">
        <v>19.5</v>
      </c>
      <c r="I278">
        <v>23.9</v>
      </c>
      <c r="J278">
        <v>16.5</v>
      </c>
      <c r="K278" t="s">
        <v>6</v>
      </c>
      <c r="L278">
        <v>227</v>
      </c>
      <c r="M278" t="s">
        <v>6</v>
      </c>
      <c r="O278" s="6">
        <f t="shared" si="480"/>
        <v>45424.666666666664</v>
      </c>
      <c r="P278">
        <f t="shared" si="481"/>
        <v>57.5</v>
      </c>
      <c r="Q278">
        <f t="shared" si="482"/>
        <v>63.5</v>
      </c>
      <c r="R278">
        <f t="shared" si="483"/>
        <v>52.5</v>
      </c>
      <c r="S278">
        <f t="shared" si="484"/>
        <v>58.5</v>
      </c>
      <c r="V278" s="6">
        <f t="shared" si="485"/>
        <v>45424.666666666664</v>
      </c>
      <c r="W278">
        <f t="shared" si="486"/>
        <v>19.5</v>
      </c>
      <c r="X278">
        <f t="shared" si="487"/>
        <v>23.9</v>
      </c>
      <c r="Y278">
        <f t="shared" si="488"/>
        <v>16.5</v>
      </c>
      <c r="Z278">
        <f t="shared" si="489"/>
        <v>20.5</v>
      </c>
      <c r="BA278" t="s">
        <v>6</v>
      </c>
    </row>
    <row r="279" spans="1:53" x14ac:dyDescent="0.2">
      <c r="A279" s="1">
        <v>45424</v>
      </c>
      <c r="B279" s="2">
        <v>0.70833333333333337</v>
      </c>
      <c r="C279" s="6">
        <v>45424.708333333336</v>
      </c>
      <c r="D279">
        <v>55.1</v>
      </c>
      <c r="E279">
        <v>59.8</v>
      </c>
      <c r="F279">
        <v>49</v>
      </c>
      <c r="G279" t="s">
        <v>6</v>
      </c>
      <c r="H279">
        <v>19.5</v>
      </c>
      <c r="I279">
        <v>23.3</v>
      </c>
      <c r="J279">
        <v>14.1</v>
      </c>
      <c r="K279" t="s">
        <v>6</v>
      </c>
      <c r="L279">
        <v>217</v>
      </c>
      <c r="M279" t="s">
        <v>6</v>
      </c>
      <c r="O279" s="6">
        <f t="shared" si="480"/>
        <v>45424.708333333336</v>
      </c>
      <c r="P279">
        <f t="shared" si="481"/>
        <v>55.1</v>
      </c>
      <c r="Q279">
        <f t="shared" si="482"/>
        <v>59.8</v>
      </c>
      <c r="R279">
        <f t="shared" si="483"/>
        <v>49</v>
      </c>
      <c r="S279">
        <f t="shared" si="484"/>
        <v>56.1</v>
      </c>
      <c r="V279" s="6">
        <f t="shared" si="485"/>
        <v>45424.708333333336</v>
      </c>
      <c r="W279">
        <f t="shared" si="486"/>
        <v>19.5</v>
      </c>
      <c r="X279">
        <f t="shared" si="487"/>
        <v>23.3</v>
      </c>
      <c r="Y279">
        <f t="shared" si="488"/>
        <v>14.1</v>
      </c>
      <c r="Z279">
        <f t="shared" si="489"/>
        <v>20.5</v>
      </c>
      <c r="BA279" t="s">
        <v>6</v>
      </c>
    </row>
    <row r="280" spans="1:53" x14ac:dyDescent="0.2">
      <c r="A280" s="1">
        <v>45424</v>
      </c>
      <c r="B280" s="2">
        <v>0.75</v>
      </c>
      <c r="C280" s="6">
        <v>45424.75</v>
      </c>
      <c r="D280">
        <v>54.3</v>
      </c>
      <c r="E280">
        <v>58</v>
      </c>
      <c r="F280">
        <v>48.6</v>
      </c>
      <c r="G280" t="s">
        <v>6</v>
      </c>
      <c r="H280">
        <v>19.8</v>
      </c>
      <c r="I280">
        <v>22.8</v>
      </c>
      <c r="J280">
        <v>13.8</v>
      </c>
      <c r="K280" t="s">
        <v>6</v>
      </c>
      <c r="L280">
        <v>214</v>
      </c>
      <c r="M280" t="s">
        <v>6</v>
      </c>
      <c r="O280" s="6">
        <f t="shared" si="480"/>
        <v>45424.75</v>
      </c>
      <c r="P280">
        <f t="shared" si="481"/>
        <v>54.3</v>
      </c>
      <c r="Q280">
        <f t="shared" si="482"/>
        <v>58</v>
      </c>
      <c r="R280">
        <f t="shared" si="483"/>
        <v>48.6</v>
      </c>
      <c r="S280">
        <f t="shared" si="484"/>
        <v>55.3</v>
      </c>
      <c r="V280" s="6">
        <f t="shared" si="485"/>
        <v>45424.75</v>
      </c>
      <c r="W280">
        <f t="shared" si="486"/>
        <v>19.8</v>
      </c>
      <c r="X280">
        <f t="shared" si="487"/>
        <v>22.8</v>
      </c>
      <c r="Y280">
        <f t="shared" si="488"/>
        <v>13.8</v>
      </c>
      <c r="Z280">
        <f t="shared" si="489"/>
        <v>20.8</v>
      </c>
      <c r="BA280" t="s">
        <v>6</v>
      </c>
    </row>
    <row r="281" spans="1:53" x14ac:dyDescent="0.2">
      <c r="A281" s="1">
        <v>45424</v>
      </c>
      <c r="B281" s="2">
        <v>0.79166666666666663</v>
      </c>
      <c r="C281" s="6">
        <v>45424.791666666664</v>
      </c>
      <c r="D281">
        <v>51.8</v>
      </c>
      <c r="E281">
        <v>57.9</v>
      </c>
      <c r="F281">
        <v>48</v>
      </c>
      <c r="G281" t="s">
        <v>6</v>
      </c>
      <c r="H281">
        <v>19.5</v>
      </c>
      <c r="I281">
        <v>23.4</v>
      </c>
      <c r="J281">
        <v>14.6</v>
      </c>
      <c r="K281" t="s">
        <v>6</v>
      </c>
      <c r="L281">
        <v>207</v>
      </c>
      <c r="M281" t="s">
        <v>6</v>
      </c>
      <c r="O281" s="6">
        <f t="shared" si="480"/>
        <v>45424.791666666664</v>
      </c>
      <c r="P281">
        <f t="shared" si="481"/>
        <v>51.8</v>
      </c>
      <c r="Q281">
        <f t="shared" si="482"/>
        <v>57.9</v>
      </c>
      <c r="R281">
        <f t="shared" si="483"/>
        <v>48</v>
      </c>
      <c r="S281">
        <f t="shared" si="484"/>
        <v>52.8</v>
      </c>
      <c r="V281" s="6">
        <f t="shared" si="485"/>
        <v>45424.791666666664</v>
      </c>
      <c r="W281">
        <f t="shared" si="486"/>
        <v>19.5</v>
      </c>
      <c r="X281">
        <f t="shared" si="487"/>
        <v>23.4</v>
      </c>
      <c r="Y281">
        <f t="shared" si="488"/>
        <v>14.6</v>
      </c>
      <c r="Z281">
        <f t="shared" si="489"/>
        <v>20.5</v>
      </c>
      <c r="BA281" t="s">
        <v>6</v>
      </c>
    </row>
    <row r="282" spans="1:53" x14ac:dyDescent="0.2">
      <c r="A282" s="1">
        <v>45424</v>
      </c>
      <c r="B282" s="2">
        <v>0.83333333333333337</v>
      </c>
      <c r="C282" s="6">
        <v>45424.833333333336</v>
      </c>
      <c r="D282">
        <v>57.1</v>
      </c>
      <c r="E282">
        <v>62</v>
      </c>
      <c r="F282">
        <v>52.3</v>
      </c>
      <c r="G282" t="s">
        <v>6</v>
      </c>
      <c r="H282">
        <v>18.600000000000001</v>
      </c>
      <c r="I282">
        <v>21.7</v>
      </c>
      <c r="J282">
        <v>13.7</v>
      </c>
      <c r="K282" t="s">
        <v>6</v>
      </c>
      <c r="L282">
        <v>215</v>
      </c>
      <c r="M282" t="s">
        <v>6</v>
      </c>
      <c r="O282" s="6">
        <f t="shared" si="480"/>
        <v>45424.833333333336</v>
      </c>
      <c r="P282">
        <f t="shared" si="481"/>
        <v>57.1</v>
      </c>
      <c r="Q282">
        <f t="shared" si="482"/>
        <v>62</v>
      </c>
      <c r="R282">
        <f t="shared" si="483"/>
        <v>52.3</v>
      </c>
      <c r="S282">
        <f t="shared" si="484"/>
        <v>58.1</v>
      </c>
      <c r="V282" s="6">
        <f t="shared" si="485"/>
        <v>45424.833333333336</v>
      </c>
      <c r="W282">
        <f t="shared" si="486"/>
        <v>18.600000000000001</v>
      </c>
      <c r="X282">
        <f t="shared" si="487"/>
        <v>21.7</v>
      </c>
      <c r="Y282">
        <f t="shared" si="488"/>
        <v>13.7</v>
      </c>
      <c r="Z282">
        <f t="shared" si="489"/>
        <v>19.600000000000001</v>
      </c>
      <c r="BA282" t="s">
        <v>6</v>
      </c>
    </row>
    <row r="283" spans="1:53" x14ac:dyDescent="0.2">
      <c r="A283" s="1">
        <v>45424</v>
      </c>
      <c r="B283" s="2">
        <v>0.875</v>
      </c>
      <c r="C283" s="6">
        <v>45424.875</v>
      </c>
      <c r="D283">
        <v>57</v>
      </c>
      <c r="E283">
        <v>63.2</v>
      </c>
      <c r="F283">
        <v>48.2</v>
      </c>
      <c r="G283" t="s">
        <v>6</v>
      </c>
      <c r="H283">
        <v>22.5</v>
      </c>
      <c r="I283">
        <v>48.8</v>
      </c>
      <c r="J283">
        <v>18.399999999999999</v>
      </c>
      <c r="K283" t="s">
        <v>6</v>
      </c>
      <c r="L283">
        <v>165</v>
      </c>
      <c r="M283" t="s">
        <v>6</v>
      </c>
      <c r="O283" s="6">
        <f t="shared" si="480"/>
        <v>45424.875</v>
      </c>
      <c r="P283">
        <f t="shared" si="481"/>
        <v>57</v>
      </c>
      <c r="Q283">
        <f t="shared" si="482"/>
        <v>63.2</v>
      </c>
      <c r="R283">
        <f t="shared" si="483"/>
        <v>48.2</v>
      </c>
      <c r="S283">
        <f t="shared" si="484"/>
        <v>58</v>
      </c>
      <c r="V283" s="6">
        <f t="shared" si="485"/>
        <v>45424.875</v>
      </c>
      <c r="W283">
        <f t="shared" si="486"/>
        <v>22.5</v>
      </c>
      <c r="X283">
        <f t="shared" si="487"/>
        <v>48.8</v>
      </c>
      <c r="Y283">
        <f t="shared" si="488"/>
        <v>18.399999999999999</v>
      </c>
      <c r="Z283">
        <f t="shared" si="489"/>
        <v>23.5</v>
      </c>
      <c r="BA283" t="s">
        <v>6</v>
      </c>
    </row>
    <row r="284" spans="1:53" x14ac:dyDescent="0.2">
      <c r="A284" s="1">
        <v>45424</v>
      </c>
      <c r="B284" s="2">
        <v>0.91666666666666663</v>
      </c>
      <c r="C284" s="6">
        <v>45424.916666666664</v>
      </c>
      <c r="D284">
        <v>57.7</v>
      </c>
      <c r="E284">
        <v>69.900000000000006</v>
      </c>
      <c r="F284">
        <v>47.1</v>
      </c>
      <c r="G284" t="s">
        <v>6</v>
      </c>
      <c r="H284">
        <v>21.1</v>
      </c>
      <c r="I284">
        <v>24.4</v>
      </c>
      <c r="J284">
        <v>17.100000000000001</v>
      </c>
      <c r="K284" t="s">
        <v>6</v>
      </c>
      <c r="L284">
        <v>201</v>
      </c>
      <c r="M284" t="s">
        <v>6</v>
      </c>
      <c r="O284" s="6">
        <f t="shared" si="480"/>
        <v>45424.916666666664</v>
      </c>
      <c r="P284">
        <f t="shared" si="481"/>
        <v>57.7</v>
      </c>
      <c r="Q284">
        <f t="shared" si="482"/>
        <v>69.900000000000006</v>
      </c>
      <c r="R284">
        <f t="shared" si="483"/>
        <v>47.1</v>
      </c>
      <c r="S284">
        <f t="shared" si="484"/>
        <v>58.7</v>
      </c>
      <c r="V284" s="6">
        <f t="shared" si="485"/>
        <v>45424.916666666664</v>
      </c>
      <c r="W284">
        <f t="shared" si="486"/>
        <v>21.1</v>
      </c>
      <c r="X284">
        <f t="shared" si="487"/>
        <v>24.4</v>
      </c>
      <c r="Y284">
        <f t="shared" si="488"/>
        <v>17.100000000000001</v>
      </c>
      <c r="Z284">
        <f t="shared" si="489"/>
        <v>22.1</v>
      </c>
      <c r="BA284" t="s">
        <v>6</v>
      </c>
    </row>
    <row r="285" spans="1:53" x14ac:dyDescent="0.2">
      <c r="A285" s="1">
        <v>45424</v>
      </c>
      <c r="B285" s="2">
        <v>0.95833333333333337</v>
      </c>
      <c r="C285" s="6">
        <v>45424.958333333336</v>
      </c>
      <c r="D285">
        <v>61.6</v>
      </c>
      <c r="E285">
        <v>65.900000000000006</v>
      </c>
      <c r="F285">
        <v>57.6</v>
      </c>
      <c r="G285" t="s">
        <v>6</v>
      </c>
      <c r="H285">
        <v>20.8</v>
      </c>
      <c r="I285">
        <v>24.7</v>
      </c>
      <c r="J285">
        <v>17.5</v>
      </c>
      <c r="K285" t="s">
        <v>6</v>
      </c>
      <c r="L285">
        <v>213</v>
      </c>
      <c r="M285" t="s">
        <v>6</v>
      </c>
      <c r="O285" s="6">
        <f t="shared" si="480"/>
        <v>45424.958333333336</v>
      </c>
      <c r="P285">
        <f t="shared" si="481"/>
        <v>61.6</v>
      </c>
      <c r="Q285">
        <f t="shared" si="482"/>
        <v>65.900000000000006</v>
      </c>
      <c r="R285">
        <f t="shared" si="483"/>
        <v>57.6</v>
      </c>
      <c r="S285">
        <f t="shared" si="484"/>
        <v>62.6</v>
      </c>
      <c r="V285" s="6">
        <f t="shared" si="485"/>
        <v>45424.958333333336</v>
      </c>
      <c r="W285">
        <f t="shared" si="486"/>
        <v>20.8</v>
      </c>
      <c r="X285">
        <f t="shared" si="487"/>
        <v>24.7</v>
      </c>
      <c r="Y285">
        <f t="shared" si="488"/>
        <v>17.5</v>
      </c>
      <c r="Z285">
        <f t="shared" si="489"/>
        <v>21.8</v>
      </c>
      <c r="BA285" t="s">
        <v>6</v>
      </c>
    </row>
    <row r="286" spans="1:53" x14ac:dyDescent="0.2">
      <c r="A286" s="1">
        <v>45425</v>
      </c>
      <c r="B286" s="2">
        <v>0</v>
      </c>
      <c r="C286" s="6">
        <v>45425</v>
      </c>
      <c r="D286">
        <v>59.4</v>
      </c>
      <c r="E286">
        <v>64.5</v>
      </c>
      <c r="F286">
        <v>54.1</v>
      </c>
      <c r="G286" t="s">
        <v>6</v>
      </c>
      <c r="H286">
        <v>19.5</v>
      </c>
      <c r="I286">
        <v>23.8</v>
      </c>
      <c r="J286">
        <v>16</v>
      </c>
      <c r="K286" t="s">
        <v>6</v>
      </c>
      <c r="L286">
        <v>207</v>
      </c>
      <c r="M286" t="s">
        <v>6</v>
      </c>
      <c r="O286" s="6">
        <f t="shared" si="480"/>
        <v>45425</v>
      </c>
      <c r="P286">
        <f t="shared" si="481"/>
        <v>59.4</v>
      </c>
      <c r="Q286">
        <f t="shared" si="482"/>
        <v>64.5</v>
      </c>
      <c r="R286">
        <f t="shared" si="483"/>
        <v>54.1</v>
      </c>
      <c r="S286">
        <f t="shared" si="484"/>
        <v>60.4</v>
      </c>
      <c r="V286" s="6">
        <f t="shared" si="485"/>
        <v>45425</v>
      </c>
      <c r="W286">
        <f t="shared" si="486"/>
        <v>19.5</v>
      </c>
      <c r="X286">
        <f t="shared" si="487"/>
        <v>23.8</v>
      </c>
      <c r="Y286">
        <f t="shared" si="488"/>
        <v>16</v>
      </c>
      <c r="Z286">
        <f t="shared" si="489"/>
        <v>20.5</v>
      </c>
      <c r="BA286" t="s">
        <v>6</v>
      </c>
    </row>
    <row r="287" spans="1:53" x14ac:dyDescent="0.2">
      <c r="A287" s="1">
        <v>45425</v>
      </c>
      <c r="B287" s="2">
        <v>4.1666666666666664E-2</v>
      </c>
      <c r="C287" s="6">
        <v>45425.041666666664</v>
      </c>
      <c r="D287">
        <v>59.7</v>
      </c>
      <c r="E287">
        <v>63.5</v>
      </c>
      <c r="F287">
        <v>53.7</v>
      </c>
      <c r="G287" t="s">
        <v>6</v>
      </c>
      <c r="H287">
        <v>18.899999999999999</v>
      </c>
      <c r="I287">
        <v>25.5</v>
      </c>
      <c r="J287">
        <v>16.2</v>
      </c>
      <c r="K287" t="s">
        <v>6</v>
      </c>
      <c r="L287">
        <v>213</v>
      </c>
      <c r="M287" t="s">
        <v>6</v>
      </c>
      <c r="O287" s="6">
        <f t="shared" si="480"/>
        <v>45425.041666666664</v>
      </c>
      <c r="P287">
        <f t="shared" si="481"/>
        <v>59.7</v>
      </c>
      <c r="Q287">
        <f t="shared" si="482"/>
        <v>63.5</v>
      </c>
      <c r="R287">
        <f t="shared" si="483"/>
        <v>53.7</v>
      </c>
      <c r="S287">
        <f t="shared" si="484"/>
        <v>60.7</v>
      </c>
      <c r="V287" s="6">
        <f t="shared" si="485"/>
        <v>45425.041666666664</v>
      </c>
      <c r="W287">
        <f t="shared" si="486"/>
        <v>18.899999999999999</v>
      </c>
      <c r="X287">
        <f t="shared" si="487"/>
        <v>25.5</v>
      </c>
      <c r="Y287">
        <f t="shared" si="488"/>
        <v>16.2</v>
      </c>
      <c r="Z287">
        <f t="shared" si="489"/>
        <v>19.899999999999999</v>
      </c>
      <c r="BA287" t="s">
        <v>6</v>
      </c>
    </row>
    <row r="288" spans="1:53" x14ac:dyDescent="0.2">
      <c r="A288" s="1">
        <v>45425</v>
      </c>
      <c r="B288" s="2">
        <v>8.3333333333333329E-2</v>
      </c>
      <c r="C288" s="6">
        <v>45425.083333333336</v>
      </c>
      <c r="D288">
        <v>59.9</v>
      </c>
      <c r="E288">
        <v>64.400000000000006</v>
      </c>
      <c r="F288">
        <v>56.1</v>
      </c>
      <c r="G288" t="s">
        <v>6</v>
      </c>
      <c r="H288">
        <v>17.899999999999999</v>
      </c>
      <c r="I288">
        <v>22.9</v>
      </c>
      <c r="J288">
        <v>13.8</v>
      </c>
      <c r="K288" t="s">
        <v>6</v>
      </c>
      <c r="L288">
        <v>216</v>
      </c>
      <c r="M288" t="s">
        <v>6</v>
      </c>
      <c r="O288" s="6">
        <f t="shared" si="480"/>
        <v>45425.083333333336</v>
      </c>
      <c r="P288">
        <f t="shared" si="481"/>
        <v>59.9</v>
      </c>
      <c r="Q288">
        <f t="shared" si="482"/>
        <v>64.400000000000006</v>
      </c>
      <c r="R288">
        <f t="shared" si="483"/>
        <v>56.1</v>
      </c>
      <c r="S288">
        <f t="shared" si="484"/>
        <v>60.9</v>
      </c>
      <c r="V288" s="6">
        <f t="shared" si="485"/>
        <v>45425.083333333336</v>
      </c>
      <c r="W288">
        <f t="shared" si="486"/>
        <v>17.899999999999999</v>
      </c>
      <c r="X288">
        <f t="shared" si="487"/>
        <v>22.9</v>
      </c>
      <c r="Y288">
        <f t="shared" si="488"/>
        <v>13.8</v>
      </c>
      <c r="Z288">
        <f t="shared" si="489"/>
        <v>18.899999999999999</v>
      </c>
      <c r="BA288" t="s">
        <v>6</v>
      </c>
    </row>
    <row r="289" spans="1:53" x14ac:dyDescent="0.2">
      <c r="A289" s="1">
        <v>45425</v>
      </c>
      <c r="B289" s="2">
        <v>0.125</v>
      </c>
      <c r="C289" s="6">
        <v>45425.125</v>
      </c>
      <c r="D289">
        <v>60.3</v>
      </c>
      <c r="E289">
        <v>63.6</v>
      </c>
      <c r="F289">
        <v>56.7</v>
      </c>
      <c r="G289" t="s">
        <v>6</v>
      </c>
      <c r="H289">
        <v>17.399999999999999</v>
      </c>
      <c r="I289">
        <v>20.8</v>
      </c>
      <c r="J289">
        <v>13.3</v>
      </c>
      <c r="K289" t="s">
        <v>6</v>
      </c>
      <c r="L289">
        <v>202</v>
      </c>
      <c r="M289" t="s">
        <v>6</v>
      </c>
      <c r="O289" s="6">
        <f t="shared" si="480"/>
        <v>45425.125</v>
      </c>
      <c r="P289">
        <f t="shared" si="481"/>
        <v>60.3</v>
      </c>
      <c r="Q289">
        <f t="shared" si="482"/>
        <v>63.6</v>
      </c>
      <c r="R289">
        <f t="shared" si="483"/>
        <v>56.7</v>
      </c>
      <c r="S289">
        <f t="shared" si="484"/>
        <v>61.3</v>
      </c>
      <c r="V289" s="6">
        <f t="shared" si="485"/>
        <v>45425.125</v>
      </c>
      <c r="W289">
        <f t="shared" si="486"/>
        <v>17.399999999999999</v>
      </c>
      <c r="X289">
        <f t="shared" si="487"/>
        <v>20.8</v>
      </c>
      <c r="Y289">
        <f t="shared" si="488"/>
        <v>13.3</v>
      </c>
      <c r="Z289">
        <f t="shared" si="489"/>
        <v>18.399999999999999</v>
      </c>
      <c r="BA289" t="s">
        <v>6</v>
      </c>
    </row>
    <row r="290" spans="1:53" x14ac:dyDescent="0.2">
      <c r="A290" s="1">
        <v>45425</v>
      </c>
      <c r="B290" s="2">
        <v>0.16666666666666666</v>
      </c>
      <c r="C290" s="6">
        <v>45425.166666666664</v>
      </c>
      <c r="D290">
        <v>59.1</v>
      </c>
      <c r="E290">
        <v>64</v>
      </c>
      <c r="F290">
        <v>54.8</v>
      </c>
      <c r="G290" t="s">
        <v>6</v>
      </c>
      <c r="H290">
        <v>17.399999999999999</v>
      </c>
      <c r="I290">
        <v>20.8</v>
      </c>
      <c r="J290">
        <v>12.9</v>
      </c>
      <c r="K290" t="s">
        <v>6</v>
      </c>
      <c r="L290">
        <v>221</v>
      </c>
      <c r="M290" t="s">
        <v>6</v>
      </c>
      <c r="O290" s="6">
        <f t="shared" si="480"/>
        <v>45425.166666666664</v>
      </c>
      <c r="P290">
        <f t="shared" si="481"/>
        <v>59.1</v>
      </c>
      <c r="Q290">
        <f t="shared" si="482"/>
        <v>64</v>
      </c>
      <c r="R290">
        <f t="shared" si="483"/>
        <v>54.8</v>
      </c>
      <c r="S290">
        <f t="shared" si="484"/>
        <v>60.1</v>
      </c>
      <c r="V290" s="6">
        <f t="shared" si="485"/>
        <v>45425.166666666664</v>
      </c>
      <c r="W290">
        <f t="shared" si="486"/>
        <v>17.399999999999999</v>
      </c>
      <c r="X290">
        <f t="shared" si="487"/>
        <v>20.8</v>
      </c>
      <c r="Y290">
        <f t="shared" si="488"/>
        <v>12.9</v>
      </c>
      <c r="Z290">
        <f t="shared" si="489"/>
        <v>18.399999999999999</v>
      </c>
      <c r="BA290" t="s">
        <v>6</v>
      </c>
    </row>
    <row r="291" spans="1:53" x14ac:dyDescent="0.2">
      <c r="A291" s="1">
        <v>45425</v>
      </c>
      <c r="B291" s="2">
        <v>0.20833333333333334</v>
      </c>
      <c r="C291" s="6">
        <v>45425.208333333336</v>
      </c>
      <c r="D291">
        <v>54.1</v>
      </c>
      <c r="E291">
        <v>58.6</v>
      </c>
      <c r="F291">
        <v>46.9</v>
      </c>
      <c r="G291" t="s">
        <v>6</v>
      </c>
      <c r="H291">
        <v>17.7</v>
      </c>
      <c r="I291">
        <v>23.3</v>
      </c>
      <c r="J291">
        <v>14.9</v>
      </c>
      <c r="K291" t="s">
        <v>6</v>
      </c>
      <c r="L291">
        <v>224</v>
      </c>
      <c r="M291" t="s">
        <v>6</v>
      </c>
      <c r="O291" s="6">
        <f t="shared" si="480"/>
        <v>45425.208333333336</v>
      </c>
      <c r="P291">
        <f t="shared" si="481"/>
        <v>54.1</v>
      </c>
      <c r="Q291">
        <f t="shared" si="482"/>
        <v>58.6</v>
      </c>
      <c r="R291">
        <f t="shared" si="483"/>
        <v>46.9</v>
      </c>
      <c r="S291">
        <f t="shared" si="484"/>
        <v>55.1</v>
      </c>
      <c r="V291" s="6">
        <f t="shared" si="485"/>
        <v>45425.208333333336</v>
      </c>
      <c r="W291">
        <f t="shared" si="486"/>
        <v>17.7</v>
      </c>
      <c r="X291">
        <f t="shared" si="487"/>
        <v>23.3</v>
      </c>
      <c r="Y291">
        <f t="shared" si="488"/>
        <v>14.9</v>
      </c>
      <c r="Z291">
        <f t="shared" si="489"/>
        <v>18.7</v>
      </c>
      <c r="BA291" t="s">
        <v>6</v>
      </c>
    </row>
    <row r="292" spans="1:53" x14ac:dyDescent="0.2">
      <c r="A292" s="1">
        <v>45425</v>
      </c>
      <c r="B292" s="2">
        <v>0.25</v>
      </c>
      <c r="C292" s="6">
        <v>45425.25</v>
      </c>
      <c r="D292">
        <v>56.7</v>
      </c>
      <c r="E292">
        <v>61.4</v>
      </c>
      <c r="F292">
        <v>52.5</v>
      </c>
      <c r="G292" t="s">
        <v>6</v>
      </c>
      <c r="H292">
        <v>17.899999999999999</v>
      </c>
      <c r="I292">
        <v>22.6</v>
      </c>
      <c r="J292">
        <v>15.6</v>
      </c>
      <c r="K292" t="s">
        <v>6</v>
      </c>
      <c r="L292">
        <v>219</v>
      </c>
      <c r="M292" t="s">
        <v>6</v>
      </c>
      <c r="O292" s="6">
        <f t="shared" si="480"/>
        <v>45425.25</v>
      </c>
      <c r="P292">
        <f t="shared" si="481"/>
        <v>56.7</v>
      </c>
      <c r="Q292">
        <f t="shared" si="482"/>
        <v>61.4</v>
      </c>
      <c r="R292">
        <f t="shared" si="483"/>
        <v>52.5</v>
      </c>
      <c r="S292">
        <f t="shared" si="484"/>
        <v>57.7</v>
      </c>
      <c r="V292" s="6">
        <f t="shared" si="485"/>
        <v>45425.25</v>
      </c>
      <c r="W292">
        <f t="shared" si="486"/>
        <v>17.899999999999999</v>
      </c>
      <c r="X292">
        <f t="shared" si="487"/>
        <v>22.6</v>
      </c>
      <c r="Y292">
        <f t="shared" si="488"/>
        <v>15.6</v>
      </c>
      <c r="Z292">
        <f t="shared" si="489"/>
        <v>18.899999999999999</v>
      </c>
      <c r="BA292" t="s">
        <v>6</v>
      </c>
    </row>
    <row r="293" spans="1:53" x14ac:dyDescent="0.2">
      <c r="A293" s="1">
        <v>45425</v>
      </c>
      <c r="B293" s="2">
        <v>0.29166666666666669</v>
      </c>
      <c r="C293" s="6">
        <v>45425.291666666664</v>
      </c>
      <c r="D293">
        <v>65.099999999999994</v>
      </c>
      <c r="E293">
        <v>75.2</v>
      </c>
      <c r="F293">
        <v>53.9</v>
      </c>
      <c r="G293" t="s">
        <v>6</v>
      </c>
      <c r="H293">
        <v>18.399999999999999</v>
      </c>
      <c r="I293">
        <v>21.7</v>
      </c>
      <c r="J293">
        <v>12.8</v>
      </c>
      <c r="K293" t="s">
        <v>6</v>
      </c>
      <c r="L293">
        <v>214</v>
      </c>
      <c r="M293" t="s">
        <v>6</v>
      </c>
      <c r="O293" s="6">
        <f t="shared" si="480"/>
        <v>45425.291666666664</v>
      </c>
      <c r="P293">
        <f t="shared" si="481"/>
        <v>65.099999999999994</v>
      </c>
      <c r="Q293">
        <f t="shared" si="482"/>
        <v>75.2</v>
      </c>
      <c r="R293">
        <f t="shared" si="483"/>
        <v>53.9</v>
      </c>
      <c r="S293">
        <f t="shared" si="484"/>
        <v>66.099999999999994</v>
      </c>
      <c r="V293" s="6">
        <f t="shared" si="485"/>
        <v>45425.291666666664</v>
      </c>
      <c r="W293">
        <f t="shared" si="486"/>
        <v>18.399999999999999</v>
      </c>
      <c r="X293">
        <f t="shared" si="487"/>
        <v>21.7</v>
      </c>
      <c r="Y293">
        <f t="shared" si="488"/>
        <v>12.8</v>
      </c>
      <c r="Z293">
        <f t="shared" si="489"/>
        <v>19.399999999999999</v>
      </c>
      <c r="BA293" t="s">
        <v>6</v>
      </c>
    </row>
    <row r="294" spans="1:53" x14ac:dyDescent="0.2">
      <c r="A294" s="14">
        <v>45425</v>
      </c>
      <c r="B294" s="7">
        <v>0.33333333333333331</v>
      </c>
      <c r="C294" s="8">
        <v>45425.333333333336</v>
      </c>
      <c r="D294" s="9">
        <v>63.6</v>
      </c>
      <c r="E294" s="9">
        <v>73</v>
      </c>
      <c r="F294" s="9">
        <v>58.2</v>
      </c>
      <c r="G294" s="9" t="s">
        <v>6</v>
      </c>
      <c r="H294" s="9">
        <v>18.7</v>
      </c>
      <c r="I294" s="9">
        <v>25.4</v>
      </c>
      <c r="J294" s="9">
        <v>13.3</v>
      </c>
      <c r="K294" s="9" t="s">
        <v>6</v>
      </c>
      <c r="L294" s="9">
        <v>171</v>
      </c>
      <c r="M294" t="s">
        <v>6</v>
      </c>
      <c r="O294" s="6">
        <f t="shared" si="480"/>
        <v>45425.333333333336</v>
      </c>
      <c r="P294">
        <f t="shared" si="481"/>
        <v>63.6</v>
      </c>
      <c r="Q294">
        <f t="shared" si="482"/>
        <v>73</v>
      </c>
      <c r="R294">
        <f t="shared" si="483"/>
        <v>58.2</v>
      </c>
      <c r="S294">
        <f t="shared" si="484"/>
        <v>64.599999999999994</v>
      </c>
      <c r="V294" s="6">
        <f t="shared" si="485"/>
        <v>45425.333333333336</v>
      </c>
      <c r="W294">
        <f t="shared" si="486"/>
        <v>18.7</v>
      </c>
      <c r="X294">
        <f t="shared" si="487"/>
        <v>25.4</v>
      </c>
      <c r="Y294">
        <f t="shared" si="488"/>
        <v>13.3</v>
      </c>
      <c r="Z294">
        <f t="shared" si="489"/>
        <v>19.7</v>
      </c>
      <c r="BA294" t="s">
        <v>6</v>
      </c>
    </row>
    <row r="295" spans="1:53" x14ac:dyDescent="0.2">
      <c r="A295" s="13">
        <v>45425</v>
      </c>
      <c r="B295" s="3">
        <v>0.375</v>
      </c>
      <c r="C295" s="4">
        <v>45425.375</v>
      </c>
      <c r="D295" s="5">
        <v>60.9</v>
      </c>
      <c r="E295" s="5">
        <v>67.5</v>
      </c>
      <c r="F295" s="5">
        <v>54.2</v>
      </c>
      <c r="G295" s="5" t="s">
        <v>6</v>
      </c>
      <c r="H295" s="5">
        <v>17.399999999999999</v>
      </c>
      <c r="I295" s="5">
        <v>20.7</v>
      </c>
      <c r="J295" s="5">
        <v>15.3</v>
      </c>
      <c r="K295" s="5" t="s">
        <v>6</v>
      </c>
      <c r="L295" s="5">
        <v>224</v>
      </c>
      <c r="M295" t="s">
        <v>6</v>
      </c>
      <c r="O295" s="6">
        <f t="shared" si="480"/>
        <v>45425.375</v>
      </c>
      <c r="P295">
        <f t="shared" si="481"/>
        <v>60.9</v>
      </c>
      <c r="Q295">
        <f t="shared" si="482"/>
        <v>67.5</v>
      </c>
      <c r="R295">
        <f t="shared" si="483"/>
        <v>54.2</v>
      </c>
      <c r="S295">
        <f t="shared" si="484"/>
        <v>61.9</v>
      </c>
      <c r="V295" s="6">
        <f t="shared" si="485"/>
        <v>45425.375</v>
      </c>
      <c r="W295">
        <f t="shared" si="486"/>
        <v>17.399999999999999</v>
      </c>
      <c r="X295">
        <f t="shared" si="487"/>
        <v>20.7</v>
      </c>
      <c r="Y295">
        <f t="shared" si="488"/>
        <v>15.3</v>
      </c>
      <c r="Z295">
        <f t="shared" si="489"/>
        <v>18.399999999999999</v>
      </c>
      <c r="BA295" t="s">
        <v>6</v>
      </c>
    </row>
    <row r="296" spans="1:53" x14ac:dyDescent="0.2">
      <c r="A296" s="1">
        <v>45425</v>
      </c>
      <c r="B296" s="2">
        <v>0.41666666666666669</v>
      </c>
      <c r="C296" s="6">
        <v>45425.416666666664</v>
      </c>
      <c r="D296">
        <v>56.4</v>
      </c>
      <c r="E296">
        <v>64.400000000000006</v>
      </c>
      <c r="F296">
        <v>51.8</v>
      </c>
      <c r="G296" t="s">
        <v>6</v>
      </c>
      <c r="H296">
        <v>18.399999999999999</v>
      </c>
      <c r="I296">
        <v>24.3</v>
      </c>
      <c r="J296">
        <v>15.2</v>
      </c>
      <c r="K296" t="s">
        <v>6</v>
      </c>
      <c r="L296">
        <v>224</v>
      </c>
      <c r="M296" t="s">
        <v>6</v>
      </c>
      <c r="O296" s="6">
        <f t="shared" si="480"/>
        <v>45425.416666666664</v>
      </c>
      <c r="P296">
        <f t="shared" si="481"/>
        <v>56.4</v>
      </c>
      <c r="Q296">
        <f t="shared" si="482"/>
        <v>64.400000000000006</v>
      </c>
      <c r="R296">
        <f t="shared" si="483"/>
        <v>51.8</v>
      </c>
      <c r="S296">
        <f t="shared" si="484"/>
        <v>57.4</v>
      </c>
      <c r="V296" s="6">
        <f t="shared" si="485"/>
        <v>45425.416666666664</v>
      </c>
      <c r="W296">
        <f t="shared" si="486"/>
        <v>18.399999999999999</v>
      </c>
      <c r="X296">
        <f t="shared" si="487"/>
        <v>24.3</v>
      </c>
      <c r="Y296">
        <f t="shared" si="488"/>
        <v>15.2</v>
      </c>
      <c r="Z296">
        <f t="shared" si="489"/>
        <v>19.399999999999999</v>
      </c>
      <c r="BA296" t="s">
        <v>6</v>
      </c>
    </row>
    <row r="297" spans="1:53" x14ac:dyDescent="0.2">
      <c r="A297" s="1">
        <v>45425</v>
      </c>
      <c r="B297" s="2">
        <v>0.45833333333333331</v>
      </c>
      <c r="C297" s="6">
        <v>45425.458333333336</v>
      </c>
      <c r="D297">
        <v>56.5</v>
      </c>
      <c r="E297">
        <v>62.5</v>
      </c>
      <c r="F297">
        <v>52.7</v>
      </c>
      <c r="G297" t="s">
        <v>6</v>
      </c>
      <c r="H297">
        <v>21.2</v>
      </c>
      <c r="I297">
        <v>25.8</v>
      </c>
      <c r="J297">
        <v>17.899999999999999</v>
      </c>
      <c r="K297" t="s">
        <v>6</v>
      </c>
      <c r="L297">
        <v>134</v>
      </c>
      <c r="M297" t="s">
        <v>6</v>
      </c>
      <c r="O297" s="6">
        <f t="shared" si="480"/>
        <v>45425.458333333336</v>
      </c>
      <c r="P297">
        <f t="shared" si="481"/>
        <v>56.5</v>
      </c>
      <c r="Q297">
        <f t="shared" si="482"/>
        <v>62.5</v>
      </c>
      <c r="R297">
        <f t="shared" si="483"/>
        <v>52.7</v>
      </c>
      <c r="S297">
        <f t="shared" si="484"/>
        <v>57.5</v>
      </c>
      <c r="V297" s="6">
        <f t="shared" si="485"/>
        <v>45425.458333333336</v>
      </c>
      <c r="W297">
        <f t="shared" si="486"/>
        <v>21.2</v>
      </c>
      <c r="X297">
        <f t="shared" si="487"/>
        <v>25.8</v>
      </c>
      <c r="Y297">
        <f t="shared" si="488"/>
        <v>17.899999999999999</v>
      </c>
      <c r="Z297">
        <f t="shared" si="489"/>
        <v>22.2</v>
      </c>
      <c r="BA297" t="s">
        <v>6</v>
      </c>
    </row>
    <row r="298" spans="1:53" x14ac:dyDescent="0.2">
      <c r="A298" s="1">
        <v>45425</v>
      </c>
      <c r="B298" s="2">
        <v>0.5</v>
      </c>
      <c r="C298" s="6">
        <v>45425.5</v>
      </c>
      <c r="D298">
        <v>57.3</v>
      </c>
      <c r="E298">
        <v>65.900000000000006</v>
      </c>
      <c r="F298">
        <v>51.7</v>
      </c>
      <c r="G298" t="s">
        <v>6</v>
      </c>
      <c r="H298">
        <v>19</v>
      </c>
      <c r="I298">
        <v>22.9</v>
      </c>
      <c r="J298">
        <v>13.9</v>
      </c>
      <c r="K298" t="s">
        <v>6</v>
      </c>
      <c r="L298">
        <v>210</v>
      </c>
      <c r="M298" t="s">
        <v>6</v>
      </c>
      <c r="O298" s="6">
        <f t="shared" si="480"/>
        <v>45425.5</v>
      </c>
      <c r="P298">
        <f t="shared" si="481"/>
        <v>57.3</v>
      </c>
      <c r="Q298">
        <f t="shared" si="482"/>
        <v>65.900000000000006</v>
      </c>
      <c r="R298">
        <f t="shared" si="483"/>
        <v>51.7</v>
      </c>
      <c r="S298">
        <f t="shared" si="484"/>
        <v>58.3</v>
      </c>
      <c r="V298" s="6">
        <f t="shared" si="485"/>
        <v>45425.5</v>
      </c>
      <c r="W298">
        <f t="shared" si="486"/>
        <v>19</v>
      </c>
      <c r="X298">
        <f t="shared" si="487"/>
        <v>22.9</v>
      </c>
      <c r="Y298">
        <f t="shared" si="488"/>
        <v>13.9</v>
      </c>
      <c r="Z298">
        <f t="shared" si="489"/>
        <v>20</v>
      </c>
      <c r="BA298" t="s">
        <v>6</v>
      </c>
    </row>
    <row r="299" spans="1:53" x14ac:dyDescent="0.2">
      <c r="A299" s="1">
        <v>45425</v>
      </c>
      <c r="B299" s="2">
        <v>0.54166666666666663</v>
      </c>
      <c r="C299" s="6">
        <v>45425.541666666664</v>
      </c>
      <c r="D299">
        <v>58.9</v>
      </c>
      <c r="E299">
        <v>69</v>
      </c>
      <c r="F299">
        <v>52.2</v>
      </c>
      <c r="G299" t="s">
        <v>6</v>
      </c>
      <c r="H299">
        <v>18.899999999999999</v>
      </c>
      <c r="I299">
        <v>21.3</v>
      </c>
      <c r="J299">
        <v>16.5</v>
      </c>
      <c r="K299" t="s">
        <v>6</v>
      </c>
      <c r="L299">
        <v>220</v>
      </c>
      <c r="M299" t="s">
        <v>6</v>
      </c>
      <c r="O299" s="6">
        <f t="shared" si="480"/>
        <v>45425.541666666664</v>
      </c>
      <c r="P299">
        <f t="shared" si="481"/>
        <v>58.9</v>
      </c>
      <c r="Q299">
        <f t="shared" si="482"/>
        <v>69</v>
      </c>
      <c r="R299">
        <f t="shared" si="483"/>
        <v>52.2</v>
      </c>
      <c r="S299">
        <f t="shared" si="484"/>
        <v>59.9</v>
      </c>
      <c r="V299" s="6">
        <f t="shared" si="485"/>
        <v>45425.541666666664</v>
      </c>
      <c r="W299">
        <f t="shared" si="486"/>
        <v>18.899999999999999</v>
      </c>
      <c r="X299">
        <f t="shared" si="487"/>
        <v>21.3</v>
      </c>
      <c r="Y299">
        <f t="shared" si="488"/>
        <v>16.5</v>
      </c>
      <c r="Z299">
        <f t="shared" si="489"/>
        <v>19.899999999999999</v>
      </c>
      <c r="BA299" t="s">
        <v>6</v>
      </c>
    </row>
    <row r="300" spans="1:53" x14ac:dyDescent="0.2">
      <c r="A300" s="1">
        <v>45425</v>
      </c>
      <c r="B300" s="2">
        <v>0.58333333333333337</v>
      </c>
      <c r="C300" s="6">
        <v>45425.583333333336</v>
      </c>
      <c r="D300">
        <v>55.4</v>
      </c>
      <c r="E300">
        <v>62.6</v>
      </c>
      <c r="F300">
        <v>47.2</v>
      </c>
      <c r="G300" t="s">
        <v>6</v>
      </c>
      <c r="H300">
        <v>18.899999999999999</v>
      </c>
      <c r="I300">
        <v>24.1</v>
      </c>
      <c r="J300">
        <v>14.3</v>
      </c>
      <c r="K300" t="s">
        <v>6</v>
      </c>
      <c r="L300">
        <v>222</v>
      </c>
      <c r="M300" t="s">
        <v>6</v>
      </c>
      <c r="O300" s="6">
        <f t="shared" si="480"/>
        <v>45425.583333333336</v>
      </c>
      <c r="P300">
        <f t="shared" si="481"/>
        <v>55.4</v>
      </c>
      <c r="Q300">
        <f t="shared" si="482"/>
        <v>62.6</v>
      </c>
      <c r="R300">
        <f t="shared" si="483"/>
        <v>47.2</v>
      </c>
      <c r="S300">
        <f t="shared" si="484"/>
        <v>56.4</v>
      </c>
      <c r="V300" s="6">
        <f t="shared" si="485"/>
        <v>45425.583333333336</v>
      </c>
      <c r="W300">
        <f t="shared" si="486"/>
        <v>18.899999999999999</v>
      </c>
      <c r="X300">
        <f t="shared" si="487"/>
        <v>24.1</v>
      </c>
      <c r="Y300">
        <f t="shared" si="488"/>
        <v>14.3</v>
      </c>
      <c r="Z300">
        <f t="shared" si="489"/>
        <v>19.899999999999999</v>
      </c>
      <c r="BA300" t="s">
        <v>6</v>
      </c>
    </row>
    <row r="301" spans="1:53" x14ac:dyDescent="0.2">
      <c r="A301" s="1">
        <v>45425</v>
      </c>
      <c r="B301" s="2">
        <v>0.625</v>
      </c>
      <c r="C301" s="6">
        <v>45425.625</v>
      </c>
      <c r="D301">
        <v>56.5</v>
      </c>
      <c r="E301">
        <v>61.3</v>
      </c>
      <c r="F301">
        <v>51.5</v>
      </c>
      <c r="G301" t="s">
        <v>6</v>
      </c>
      <c r="H301">
        <v>18.2</v>
      </c>
      <c r="I301">
        <v>25.1</v>
      </c>
      <c r="J301">
        <v>13.8</v>
      </c>
      <c r="K301" t="s">
        <v>6</v>
      </c>
      <c r="L301">
        <v>209</v>
      </c>
      <c r="M301" t="s">
        <v>6</v>
      </c>
      <c r="O301" s="6">
        <f t="shared" si="480"/>
        <v>45425.625</v>
      </c>
      <c r="P301">
        <f t="shared" si="481"/>
        <v>56.5</v>
      </c>
      <c r="Q301">
        <f t="shared" si="482"/>
        <v>61.3</v>
      </c>
      <c r="R301">
        <f t="shared" si="483"/>
        <v>51.5</v>
      </c>
      <c r="S301">
        <f t="shared" si="484"/>
        <v>57.5</v>
      </c>
      <c r="V301" s="6">
        <f t="shared" si="485"/>
        <v>45425.625</v>
      </c>
      <c r="W301">
        <f t="shared" si="486"/>
        <v>18.2</v>
      </c>
      <c r="X301">
        <f t="shared" si="487"/>
        <v>25.1</v>
      </c>
      <c r="Y301">
        <f t="shared" si="488"/>
        <v>13.8</v>
      </c>
      <c r="Z301">
        <f t="shared" si="489"/>
        <v>19.2</v>
      </c>
      <c r="BA301" t="s">
        <v>6</v>
      </c>
    </row>
    <row r="302" spans="1:53" x14ac:dyDescent="0.2">
      <c r="A302" s="1">
        <v>45425</v>
      </c>
      <c r="B302" s="2">
        <v>0.66666666666666663</v>
      </c>
      <c r="C302" s="6">
        <v>45425.666666666664</v>
      </c>
      <c r="D302">
        <v>54</v>
      </c>
      <c r="E302">
        <v>58.3</v>
      </c>
      <c r="F302">
        <v>51.2</v>
      </c>
      <c r="G302" t="s">
        <v>6</v>
      </c>
      <c r="H302">
        <v>18.3</v>
      </c>
      <c r="I302">
        <v>22.9</v>
      </c>
      <c r="J302">
        <v>14</v>
      </c>
      <c r="K302" t="s">
        <v>6</v>
      </c>
      <c r="L302">
        <v>213</v>
      </c>
      <c r="M302" t="s">
        <v>6</v>
      </c>
      <c r="O302" s="6">
        <f t="shared" si="480"/>
        <v>45425.666666666664</v>
      </c>
      <c r="P302">
        <f t="shared" si="481"/>
        <v>54</v>
      </c>
      <c r="Q302">
        <f t="shared" si="482"/>
        <v>58.3</v>
      </c>
      <c r="R302">
        <f t="shared" si="483"/>
        <v>51.2</v>
      </c>
      <c r="S302">
        <f t="shared" si="484"/>
        <v>55</v>
      </c>
      <c r="V302" s="6">
        <f t="shared" si="485"/>
        <v>45425.666666666664</v>
      </c>
      <c r="W302">
        <f t="shared" si="486"/>
        <v>18.3</v>
      </c>
      <c r="X302">
        <f t="shared" si="487"/>
        <v>22.9</v>
      </c>
      <c r="Y302">
        <f t="shared" si="488"/>
        <v>14</v>
      </c>
      <c r="Z302">
        <f t="shared" si="489"/>
        <v>19.3</v>
      </c>
      <c r="BA302" t="s">
        <v>6</v>
      </c>
    </row>
    <row r="303" spans="1:53" x14ac:dyDescent="0.2">
      <c r="A303" s="1">
        <v>45425</v>
      </c>
      <c r="B303" s="2">
        <v>0.70833333333333337</v>
      </c>
      <c r="C303" s="6">
        <v>45425.708333333336</v>
      </c>
      <c r="D303">
        <v>52.6</v>
      </c>
      <c r="E303">
        <v>56.8</v>
      </c>
      <c r="F303">
        <v>48.8</v>
      </c>
      <c r="G303" t="s">
        <v>6</v>
      </c>
      <c r="H303">
        <v>19.8</v>
      </c>
      <c r="I303">
        <v>24.3</v>
      </c>
      <c r="J303">
        <v>12.3</v>
      </c>
      <c r="K303" t="s">
        <v>6</v>
      </c>
      <c r="L303">
        <v>211</v>
      </c>
      <c r="M303" t="s">
        <v>6</v>
      </c>
      <c r="O303" s="6">
        <f t="shared" si="480"/>
        <v>45425.708333333336</v>
      </c>
      <c r="P303">
        <f t="shared" si="481"/>
        <v>52.6</v>
      </c>
      <c r="Q303">
        <f t="shared" si="482"/>
        <v>56.8</v>
      </c>
      <c r="R303">
        <f t="shared" si="483"/>
        <v>48.8</v>
      </c>
      <c r="S303">
        <f t="shared" si="484"/>
        <v>53.6</v>
      </c>
      <c r="V303" s="6">
        <f t="shared" si="485"/>
        <v>45425.708333333336</v>
      </c>
      <c r="W303">
        <f t="shared" si="486"/>
        <v>19.8</v>
      </c>
      <c r="X303">
        <f t="shared" si="487"/>
        <v>24.3</v>
      </c>
      <c r="Y303">
        <f t="shared" si="488"/>
        <v>12.3</v>
      </c>
      <c r="Z303">
        <f t="shared" si="489"/>
        <v>20.8</v>
      </c>
      <c r="BA303" t="s">
        <v>6</v>
      </c>
    </row>
    <row r="304" spans="1:53" x14ac:dyDescent="0.2">
      <c r="A304" s="1">
        <v>45425</v>
      </c>
      <c r="B304" s="2">
        <v>0.75</v>
      </c>
      <c r="C304" s="6">
        <v>45425.75</v>
      </c>
      <c r="D304">
        <v>52.7</v>
      </c>
      <c r="E304">
        <v>55.6</v>
      </c>
      <c r="F304">
        <v>49.6</v>
      </c>
      <c r="G304" t="s">
        <v>6</v>
      </c>
      <c r="H304">
        <v>18.399999999999999</v>
      </c>
      <c r="I304">
        <v>23.1</v>
      </c>
      <c r="J304">
        <v>14.5</v>
      </c>
      <c r="K304" t="s">
        <v>6</v>
      </c>
      <c r="L304">
        <v>181</v>
      </c>
      <c r="M304" t="s">
        <v>6</v>
      </c>
      <c r="O304" s="6">
        <f t="shared" si="480"/>
        <v>45425.75</v>
      </c>
      <c r="P304">
        <f t="shared" si="481"/>
        <v>52.7</v>
      </c>
      <c r="Q304">
        <f t="shared" si="482"/>
        <v>55.6</v>
      </c>
      <c r="R304">
        <f t="shared" si="483"/>
        <v>49.6</v>
      </c>
      <c r="S304">
        <f t="shared" si="484"/>
        <v>53.7</v>
      </c>
      <c r="V304" s="6">
        <f t="shared" si="485"/>
        <v>45425.75</v>
      </c>
      <c r="W304">
        <f t="shared" si="486"/>
        <v>18.399999999999999</v>
      </c>
      <c r="X304">
        <f t="shared" si="487"/>
        <v>23.1</v>
      </c>
      <c r="Y304">
        <f t="shared" si="488"/>
        <v>14.5</v>
      </c>
      <c r="Z304">
        <f t="shared" si="489"/>
        <v>19.399999999999999</v>
      </c>
      <c r="BA304" t="s">
        <v>6</v>
      </c>
    </row>
    <row r="305" spans="1:53" x14ac:dyDescent="0.2">
      <c r="A305" s="1">
        <v>45425</v>
      </c>
      <c r="B305" s="2">
        <v>0.79166666666666663</v>
      </c>
      <c r="C305" s="6">
        <v>45425.791666666664</v>
      </c>
      <c r="D305">
        <v>55</v>
      </c>
      <c r="E305">
        <v>66.099999999999994</v>
      </c>
      <c r="F305">
        <v>48.2</v>
      </c>
      <c r="G305" t="s">
        <v>6</v>
      </c>
      <c r="H305">
        <v>18.8</v>
      </c>
      <c r="I305">
        <v>23.1</v>
      </c>
      <c r="J305">
        <v>14.9</v>
      </c>
      <c r="K305" t="s">
        <v>6</v>
      </c>
      <c r="L305">
        <v>218</v>
      </c>
      <c r="M305" t="s">
        <v>6</v>
      </c>
      <c r="O305" s="6">
        <f t="shared" si="480"/>
        <v>45425.791666666664</v>
      </c>
      <c r="P305">
        <f t="shared" si="481"/>
        <v>55</v>
      </c>
      <c r="Q305">
        <f t="shared" si="482"/>
        <v>66.099999999999994</v>
      </c>
      <c r="R305">
        <f t="shared" si="483"/>
        <v>48.2</v>
      </c>
      <c r="S305">
        <f t="shared" si="484"/>
        <v>56</v>
      </c>
      <c r="V305" s="6">
        <f t="shared" si="485"/>
        <v>45425.791666666664</v>
      </c>
      <c r="W305">
        <f t="shared" si="486"/>
        <v>18.8</v>
      </c>
      <c r="X305">
        <f t="shared" si="487"/>
        <v>23.1</v>
      </c>
      <c r="Y305">
        <f t="shared" si="488"/>
        <v>14.9</v>
      </c>
      <c r="Z305">
        <f t="shared" si="489"/>
        <v>19.8</v>
      </c>
      <c r="BA305" t="s">
        <v>6</v>
      </c>
    </row>
    <row r="306" spans="1:53" x14ac:dyDescent="0.2">
      <c r="A306" s="1">
        <v>45425</v>
      </c>
      <c r="B306" s="2">
        <v>0.83333333333333337</v>
      </c>
      <c r="C306" s="6">
        <v>45425.833333333336</v>
      </c>
      <c r="D306">
        <v>58</v>
      </c>
      <c r="E306">
        <v>65.8</v>
      </c>
      <c r="F306">
        <v>53.5</v>
      </c>
      <c r="G306" t="s">
        <v>6</v>
      </c>
      <c r="H306">
        <v>18</v>
      </c>
      <c r="I306">
        <v>21.4</v>
      </c>
      <c r="J306">
        <v>15.1</v>
      </c>
      <c r="K306" t="s">
        <v>6</v>
      </c>
      <c r="L306">
        <v>195</v>
      </c>
      <c r="M306" t="s">
        <v>6</v>
      </c>
      <c r="O306" s="6">
        <f t="shared" si="480"/>
        <v>45425.833333333336</v>
      </c>
      <c r="P306">
        <f t="shared" si="481"/>
        <v>58</v>
      </c>
      <c r="Q306">
        <f t="shared" si="482"/>
        <v>65.8</v>
      </c>
      <c r="R306">
        <f t="shared" si="483"/>
        <v>53.5</v>
      </c>
      <c r="S306">
        <f t="shared" si="484"/>
        <v>59</v>
      </c>
      <c r="V306" s="6">
        <f t="shared" si="485"/>
        <v>45425.833333333336</v>
      </c>
      <c r="W306">
        <f t="shared" si="486"/>
        <v>18</v>
      </c>
      <c r="X306">
        <f t="shared" si="487"/>
        <v>21.4</v>
      </c>
      <c r="Y306">
        <f t="shared" si="488"/>
        <v>15.1</v>
      </c>
      <c r="Z306">
        <f t="shared" si="489"/>
        <v>19</v>
      </c>
      <c r="BA306" t="s">
        <v>6</v>
      </c>
    </row>
    <row r="307" spans="1:53" x14ac:dyDescent="0.2">
      <c r="A307" s="1">
        <v>45425</v>
      </c>
      <c r="B307" s="2">
        <v>0.875</v>
      </c>
      <c r="C307" s="6">
        <v>45425.875</v>
      </c>
      <c r="D307">
        <v>57.9</v>
      </c>
      <c r="E307">
        <v>65.5</v>
      </c>
      <c r="F307">
        <v>51.7</v>
      </c>
      <c r="G307" t="s">
        <v>6</v>
      </c>
      <c r="H307">
        <v>18.2</v>
      </c>
      <c r="I307">
        <v>27.2</v>
      </c>
      <c r="J307">
        <v>15.8</v>
      </c>
      <c r="K307" t="s">
        <v>6</v>
      </c>
      <c r="L307">
        <v>224</v>
      </c>
      <c r="M307" t="s">
        <v>6</v>
      </c>
      <c r="O307" s="6">
        <f t="shared" si="480"/>
        <v>45425.875</v>
      </c>
      <c r="P307">
        <f t="shared" si="481"/>
        <v>57.9</v>
      </c>
      <c r="Q307">
        <f t="shared" si="482"/>
        <v>65.5</v>
      </c>
      <c r="R307">
        <f t="shared" si="483"/>
        <v>51.7</v>
      </c>
      <c r="S307">
        <f t="shared" si="484"/>
        <v>58.9</v>
      </c>
      <c r="V307" s="6">
        <f t="shared" si="485"/>
        <v>45425.875</v>
      </c>
      <c r="W307">
        <f t="shared" si="486"/>
        <v>18.2</v>
      </c>
      <c r="X307">
        <f t="shared" si="487"/>
        <v>27.2</v>
      </c>
      <c r="Y307">
        <f t="shared" si="488"/>
        <v>15.8</v>
      </c>
      <c r="Z307">
        <f t="shared" si="489"/>
        <v>19.2</v>
      </c>
      <c r="BA307" t="s">
        <v>6</v>
      </c>
    </row>
    <row r="308" spans="1:53" x14ac:dyDescent="0.2">
      <c r="A308" s="1">
        <v>45425</v>
      </c>
      <c r="B308" s="2">
        <v>0.91666666666666663</v>
      </c>
      <c r="C308" s="6">
        <v>45425.916666666664</v>
      </c>
      <c r="D308">
        <v>56.4</v>
      </c>
      <c r="E308">
        <v>61.7</v>
      </c>
      <c r="F308">
        <v>49.8</v>
      </c>
      <c r="G308" t="s">
        <v>6</v>
      </c>
      <c r="H308">
        <v>18</v>
      </c>
      <c r="I308">
        <v>23.7</v>
      </c>
      <c r="J308">
        <v>15</v>
      </c>
      <c r="K308" t="s">
        <v>6</v>
      </c>
      <c r="L308">
        <v>216</v>
      </c>
      <c r="M308" t="s">
        <v>6</v>
      </c>
      <c r="O308" s="6">
        <f t="shared" si="480"/>
        <v>45425.916666666664</v>
      </c>
      <c r="P308">
        <f t="shared" si="481"/>
        <v>56.4</v>
      </c>
      <c r="Q308">
        <f t="shared" si="482"/>
        <v>61.7</v>
      </c>
      <c r="R308">
        <f t="shared" si="483"/>
        <v>49.8</v>
      </c>
      <c r="S308">
        <f t="shared" si="484"/>
        <v>57.4</v>
      </c>
      <c r="V308" s="6">
        <f t="shared" si="485"/>
        <v>45425.916666666664</v>
      </c>
      <c r="W308">
        <f t="shared" si="486"/>
        <v>18</v>
      </c>
      <c r="X308">
        <f t="shared" si="487"/>
        <v>23.7</v>
      </c>
      <c r="Y308">
        <f t="shared" si="488"/>
        <v>15</v>
      </c>
      <c r="Z308">
        <f t="shared" si="489"/>
        <v>19</v>
      </c>
      <c r="BA308" t="s">
        <v>6</v>
      </c>
    </row>
    <row r="309" spans="1:53" x14ac:dyDescent="0.2">
      <c r="A309" s="1">
        <v>45425</v>
      </c>
      <c r="B309" s="2">
        <v>0.95833333333333337</v>
      </c>
      <c r="C309" s="6">
        <v>45425.958333333336</v>
      </c>
      <c r="D309">
        <v>54.8</v>
      </c>
      <c r="E309">
        <v>60.3</v>
      </c>
      <c r="F309">
        <v>51.7</v>
      </c>
      <c r="G309" t="s">
        <v>6</v>
      </c>
      <c r="H309">
        <v>18.3</v>
      </c>
      <c r="I309">
        <v>22.5</v>
      </c>
      <c r="J309">
        <v>14.6</v>
      </c>
      <c r="K309" t="s">
        <v>6</v>
      </c>
      <c r="L309">
        <v>220</v>
      </c>
      <c r="M309" t="s">
        <v>6</v>
      </c>
      <c r="O309" s="6">
        <f t="shared" si="480"/>
        <v>45425.958333333336</v>
      </c>
      <c r="P309">
        <f t="shared" si="481"/>
        <v>54.8</v>
      </c>
      <c r="Q309">
        <f t="shared" si="482"/>
        <v>60.3</v>
      </c>
      <c r="R309">
        <f t="shared" si="483"/>
        <v>51.7</v>
      </c>
      <c r="S309">
        <f t="shared" si="484"/>
        <v>55.8</v>
      </c>
      <c r="V309" s="6">
        <f t="shared" si="485"/>
        <v>45425.958333333336</v>
      </c>
      <c r="W309">
        <f t="shared" si="486"/>
        <v>18.3</v>
      </c>
      <c r="X309">
        <f t="shared" si="487"/>
        <v>22.5</v>
      </c>
      <c r="Y309">
        <f t="shared" si="488"/>
        <v>14.6</v>
      </c>
      <c r="Z309">
        <f t="shared" si="489"/>
        <v>19.3</v>
      </c>
      <c r="BA309" t="s">
        <v>6</v>
      </c>
    </row>
    <row r="310" spans="1:53" x14ac:dyDescent="0.2">
      <c r="A310" s="1">
        <v>45426</v>
      </c>
      <c r="B310" s="2">
        <v>0</v>
      </c>
      <c r="C310" s="6">
        <v>45426</v>
      </c>
      <c r="D310">
        <v>56.6</v>
      </c>
      <c r="E310">
        <v>63.2</v>
      </c>
      <c r="F310">
        <v>51.3</v>
      </c>
      <c r="G310" t="s">
        <v>6</v>
      </c>
      <c r="H310">
        <v>18.5</v>
      </c>
      <c r="I310">
        <v>25.9</v>
      </c>
      <c r="J310">
        <v>15.7</v>
      </c>
      <c r="K310" t="s">
        <v>6</v>
      </c>
      <c r="L310">
        <v>216</v>
      </c>
      <c r="M310" t="s">
        <v>6</v>
      </c>
      <c r="O310" s="6">
        <f t="shared" si="480"/>
        <v>45426</v>
      </c>
      <c r="P310">
        <f t="shared" si="481"/>
        <v>56.6</v>
      </c>
      <c r="Q310">
        <f t="shared" si="482"/>
        <v>63.2</v>
      </c>
      <c r="R310">
        <f t="shared" si="483"/>
        <v>51.3</v>
      </c>
      <c r="S310">
        <f t="shared" si="484"/>
        <v>57.6</v>
      </c>
      <c r="V310" s="6">
        <f t="shared" si="485"/>
        <v>45426</v>
      </c>
      <c r="W310">
        <f t="shared" si="486"/>
        <v>18.5</v>
      </c>
      <c r="X310">
        <f t="shared" si="487"/>
        <v>25.9</v>
      </c>
      <c r="Y310">
        <f t="shared" si="488"/>
        <v>15.7</v>
      </c>
      <c r="Z310">
        <f t="shared" si="489"/>
        <v>19.5</v>
      </c>
      <c r="BA310" t="s">
        <v>6</v>
      </c>
    </row>
    <row r="311" spans="1:53" x14ac:dyDescent="0.2">
      <c r="A311" s="1">
        <v>45426</v>
      </c>
      <c r="B311" s="2">
        <v>4.1666666666666664E-2</v>
      </c>
      <c r="C311" s="6">
        <v>45426.041666666664</v>
      </c>
      <c r="D311">
        <v>54.4</v>
      </c>
      <c r="E311">
        <v>59.4</v>
      </c>
      <c r="F311">
        <v>49.4</v>
      </c>
      <c r="G311" t="s">
        <v>6</v>
      </c>
      <c r="H311">
        <v>17.899999999999999</v>
      </c>
      <c r="I311">
        <v>26.4</v>
      </c>
      <c r="J311">
        <v>14.1</v>
      </c>
      <c r="K311" t="s">
        <v>6</v>
      </c>
      <c r="L311">
        <v>225</v>
      </c>
      <c r="M311" t="s">
        <v>6</v>
      </c>
      <c r="O311" s="6">
        <f t="shared" si="480"/>
        <v>45426.041666666664</v>
      </c>
      <c r="P311">
        <f t="shared" si="481"/>
        <v>54.4</v>
      </c>
      <c r="Q311">
        <f t="shared" si="482"/>
        <v>59.4</v>
      </c>
      <c r="R311">
        <f t="shared" si="483"/>
        <v>49.4</v>
      </c>
      <c r="S311">
        <f t="shared" si="484"/>
        <v>55.4</v>
      </c>
      <c r="V311" s="6">
        <f t="shared" si="485"/>
        <v>45426.041666666664</v>
      </c>
      <c r="W311">
        <f t="shared" si="486"/>
        <v>17.899999999999999</v>
      </c>
      <c r="X311">
        <f t="shared" si="487"/>
        <v>26.4</v>
      </c>
      <c r="Y311">
        <f t="shared" si="488"/>
        <v>14.1</v>
      </c>
      <c r="Z311">
        <f t="shared" si="489"/>
        <v>18.899999999999999</v>
      </c>
      <c r="BA311" t="s">
        <v>6</v>
      </c>
    </row>
    <row r="312" spans="1:53" x14ac:dyDescent="0.2">
      <c r="A312" s="1">
        <v>45426</v>
      </c>
      <c r="B312" s="2">
        <v>8.3333333333333329E-2</v>
      </c>
      <c r="C312" s="6">
        <v>45426.083333333336</v>
      </c>
      <c r="D312">
        <v>57.1</v>
      </c>
      <c r="E312">
        <v>60.9</v>
      </c>
      <c r="F312">
        <v>53.5</v>
      </c>
      <c r="G312" t="s">
        <v>6</v>
      </c>
      <c r="H312">
        <v>17.899999999999999</v>
      </c>
      <c r="I312">
        <v>22.5</v>
      </c>
      <c r="J312">
        <v>14.7</v>
      </c>
      <c r="K312" t="s">
        <v>6</v>
      </c>
      <c r="L312">
        <v>220</v>
      </c>
      <c r="M312" t="s">
        <v>6</v>
      </c>
      <c r="O312" s="6">
        <f t="shared" si="480"/>
        <v>45426.083333333336</v>
      </c>
      <c r="P312">
        <f t="shared" si="481"/>
        <v>57.1</v>
      </c>
      <c r="Q312">
        <f t="shared" si="482"/>
        <v>60.9</v>
      </c>
      <c r="R312">
        <f t="shared" si="483"/>
        <v>53.5</v>
      </c>
      <c r="S312">
        <f t="shared" si="484"/>
        <v>58.1</v>
      </c>
      <c r="V312" s="6">
        <f t="shared" si="485"/>
        <v>45426.083333333336</v>
      </c>
      <c r="W312">
        <f t="shared" si="486"/>
        <v>17.899999999999999</v>
      </c>
      <c r="X312">
        <f t="shared" si="487"/>
        <v>22.5</v>
      </c>
      <c r="Y312">
        <f t="shared" si="488"/>
        <v>14.7</v>
      </c>
      <c r="Z312">
        <f t="shared" si="489"/>
        <v>18.899999999999999</v>
      </c>
      <c r="BA312" t="s">
        <v>6</v>
      </c>
    </row>
    <row r="313" spans="1:53" x14ac:dyDescent="0.2">
      <c r="A313" s="1">
        <v>45426</v>
      </c>
      <c r="B313" s="2">
        <v>0.125</v>
      </c>
      <c r="C313" s="6">
        <v>45426.125</v>
      </c>
      <c r="D313">
        <v>58.6</v>
      </c>
      <c r="E313">
        <v>63.4</v>
      </c>
      <c r="F313">
        <v>53.6</v>
      </c>
      <c r="G313" t="s">
        <v>6</v>
      </c>
      <c r="H313">
        <v>18</v>
      </c>
      <c r="I313">
        <v>23.6</v>
      </c>
      <c r="J313">
        <v>15</v>
      </c>
      <c r="K313" t="s">
        <v>6</v>
      </c>
      <c r="L313">
        <v>211</v>
      </c>
      <c r="M313" t="s">
        <v>6</v>
      </c>
      <c r="O313" s="6">
        <f t="shared" si="480"/>
        <v>45426.125</v>
      </c>
      <c r="P313">
        <f t="shared" si="481"/>
        <v>58.6</v>
      </c>
      <c r="Q313">
        <f t="shared" si="482"/>
        <v>63.4</v>
      </c>
      <c r="R313">
        <f t="shared" si="483"/>
        <v>53.6</v>
      </c>
      <c r="S313">
        <f t="shared" si="484"/>
        <v>59.6</v>
      </c>
      <c r="V313" s="6">
        <f t="shared" si="485"/>
        <v>45426.125</v>
      </c>
      <c r="W313">
        <f t="shared" si="486"/>
        <v>18</v>
      </c>
      <c r="X313">
        <f t="shared" si="487"/>
        <v>23.6</v>
      </c>
      <c r="Y313">
        <f t="shared" si="488"/>
        <v>15</v>
      </c>
      <c r="Z313">
        <f t="shared" si="489"/>
        <v>19</v>
      </c>
      <c r="BA313" t="s">
        <v>6</v>
      </c>
    </row>
    <row r="314" spans="1:53" x14ac:dyDescent="0.2">
      <c r="A314" s="1">
        <v>45426</v>
      </c>
      <c r="B314" s="2">
        <v>0.16666666666666666</v>
      </c>
      <c r="C314" s="6">
        <v>45426.166666666664</v>
      </c>
      <c r="D314">
        <v>58.3</v>
      </c>
      <c r="E314">
        <v>63.4</v>
      </c>
      <c r="F314">
        <v>52.7</v>
      </c>
      <c r="G314" t="s">
        <v>6</v>
      </c>
      <c r="H314">
        <v>17.100000000000001</v>
      </c>
      <c r="I314">
        <v>26.8</v>
      </c>
      <c r="J314">
        <v>14.5</v>
      </c>
      <c r="K314" t="s">
        <v>6</v>
      </c>
      <c r="L314">
        <v>215</v>
      </c>
      <c r="M314" t="s">
        <v>6</v>
      </c>
      <c r="O314" s="6">
        <f t="shared" si="480"/>
        <v>45426.166666666664</v>
      </c>
      <c r="P314">
        <f t="shared" si="481"/>
        <v>58.3</v>
      </c>
      <c r="Q314">
        <f t="shared" si="482"/>
        <v>63.4</v>
      </c>
      <c r="R314">
        <f t="shared" si="483"/>
        <v>52.7</v>
      </c>
      <c r="S314">
        <f t="shared" si="484"/>
        <v>59.3</v>
      </c>
      <c r="V314" s="6">
        <f t="shared" si="485"/>
        <v>45426.166666666664</v>
      </c>
      <c r="W314">
        <f t="shared" si="486"/>
        <v>17.100000000000001</v>
      </c>
      <c r="X314">
        <f t="shared" si="487"/>
        <v>26.8</v>
      </c>
      <c r="Y314">
        <f t="shared" si="488"/>
        <v>14.5</v>
      </c>
      <c r="Z314">
        <f t="shared" si="489"/>
        <v>18.100000000000001</v>
      </c>
      <c r="BA314" t="s">
        <v>6</v>
      </c>
    </row>
    <row r="315" spans="1:53" x14ac:dyDescent="0.2">
      <c r="A315" s="1">
        <v>45426</v>
      </c>
      <c r="B315" s="2">
        <v>0.20833333333333334</v>
      </c>
      <c r="C315" s="6">
        <v>45426.208333333336</v>
      </c>
      <c r="D315">
        <v>57.2</v>
      </c>
      <c r="E315">
        <v>63.2</v>
      </c>
      <c r="F315">
        <v>53.2</v>
      </c>
      <c r="G315" t="s">
        <v>6</v>
      </c>
      <c r="H315">
        <v>17.8</v>
      </c>
      <c r="I315">
        <v>22.8</v>
      </c>
      <c r="J315">
        <v>14</v>
      </c>
      <c r="K315" t="s">
        <v>6</v>
      </c>
      <c r="L315">
        <v>212</v>
      </c>
      <c r="M315" t="s">
        <v>6</v>
      </c>
      <c r="O315" s="6">
        <f t="shared" si="480"/>
        <v>45426.208333333336</v>
      </c>
      <c r="P315">
        <f t="shared" si="481"/>
        <v>57.2</v>
      </c>
      <c r="Q315">
        <f t="shared" si="482"/>
        <v>63.2</v>
      </c>
      <c r="R315">
        <f t="shared" si="483"/>
        <v>53.2</v>
      </c>
      <c r="S315">
        <f t="shared" si="484"/>
        <v>58.2</v>
      </c>
      <c r="V315" s="6">
        <f t="shared" si="485"/>
        <v>45426.208333333336</v>
      </c>
      <c r="W315">
        <f t="shared" si="486"/>
        <v>17.8</v>
      </c>
      <c r="X315">
        <f t="shared" si="487"/>
        <v>22.8</v>
      </c>
      <c r="Y315">
        <f t="shared" si="488"/>
        <v>14</v>
      </c>
      <c r="Z315">
        <f t="shared" si="489"/>
        <v>18.8</v>
      </c>
      <c r="BA315" t="s">
        <v>6</v>
      </c>
    </row>
    <row r="316" spans="1:53" x14ac:dyDescent="0.2">
      <c r="A316" s="1">
        <v>45426</v>
      </c>
      <c r="B316" s="2">
        <v>0.25</v>
      </c>
      <c r="C316" s="6">
        <v>45426.25</v>
      </c>
      <c r="D316">
        <v>57.3</v>
      </c>
      <c r="E316">
        <v>62.8</v>
      </c>
      <c r="F316">
        <v>51.4</v>
      </c>
      <c r="G316" t="s">
        <v>6</v>
      </c>
      <c r="H316">
        <v>20.100000000000001</v>
      </c>
      <c r="I316">
        <v>24.4</v>
      </c>
      <c r="J316">
        <v>16</v>
      </c>
      <c r="K316" t="s">
        <v>6</v>
      </c>
      <c r="L316">
        <v>212</v>
      </c>
      <c r="M316" t="s">
        <v>6</v>
      </c>
      <c r="O316" s="6">
        <f t="shared" si="480"/>
        <v>45426.25</v>
      </c>
      <c r="P316">
        <f t="shared" si="481"/>
        <v>57.3</v>
      </c>
      <c r="Q316">
        <f t="shared" si="482"/>
        <v>62.8</v>
      </c>
      <c r="R316">
        <f t="shared" si="483"/>
        <v>51.4</v>
      </c>
      <c r="S316">
        <f t="shared" si="484"/>
        <v>58.3</v>
      </c>
      <c r="V316" s="6">
        <f t="shared" si="485"/>
        <v>45426.25</v>
      </c>
      <c r="W316">
        <f t="shared" si="486"/>
        <v>20.100000000000001</v>
      </c>
      <c r="X316">
        <f t="shared" si="487"/>
        <v>24.4</v>
      </c>
      <c r="Y316">
        <f t="shared" si="488"/>
        <v>16</v>
      </c>
      <c r="Z316">
        <f t="shared" si="489"/>
        <v>21.1</v>
      </c>
      <c r="BA316" t="s">
        <v>6</v>
      </c>
    </row>
    <row r="317" spans="1:53" x14ac:dyDescent="0.2">
      <c r="A317" s="1">
        <v>45426</v>
      </c>
      <c r="B317" s="2">
        <v>0.29166666666666669</v>
      </c>
      <c r="C317" s="6">
        <v>45426.291666666664</v>
      </c>
      <c r="D317">
        <v>57.9</v>
      </c>
      <c r="E317">
        <v>78.5</v>
      </c>
      <c r="F317">
        <v>52.1</v>
      </c>
      <c r="G317" t="s">
        <v>6</v>
      </c>
      <c r="H317">
        <v>19.899999999999999</v>
      </c>
      <c r="I317">
        <v>23.7</v>
      </c>
      <c r="J317">
        <v>15.6</v>
      </c>
      <c r="K317" t="s">
        <v>6</v>
      </c>
      <c r="L317">
        <v>204</v>
      </c>
      <c r="M317" t="s">
        <v>6</v>
      </c>
      <c r="O317" s="6">
        <f t="shared" si="480"/>
        <v>45426.291666666664</v>
      </c>
      <c r="P317">
        <f t="shared" si="481"/>
        <v>57.9</v>
      </c>
      <c r="Q317">
        <f t="shared" si="482"/>
        <v>78.5</v>
      </c>
      <c r="R317">
        <f t="shared" si="483"/>
        <v>52.1</v>
      </c>
      <c r="S317">
        <f t="shared" si="484"/>
        <v>58.9</v>
      </c>
      <c r="V317" s="6">
        <f t="shared" si="485"/>
        <v>45426.291666666664</v>
      </c>
      <c r="W317">
        <f t="shared" si="486"/>
        <v>19.899999999999999</v>
      </c>
      <c r="X317">
        <f t="shared" si="487"/>
        <v>23.7</v>
      </c>
      <c r="Y317">
        <f t="shared" si="488"/>
        <v>15.6</v>
      </c>
      <c r="Z317">
        <f t="shared" si="489"/>
        <v>20.9</v>
      </c>
      <c r="BA317" t="s">
        <v>6</v>
      </c>
    </row>
    <row r="318" spans="1:53" x14ac:dyDescent="0.2">
      <c r="A318" s="14">
        <v>45426</v>
      </c>
      <c r="B318" s="7">
        <v>0.33333333333333331</v>
      </c>
      <c r="C318" s="8">
        <v>45426.333333333336</v>
      </c>
      <c r="D318" s="9">
        <v>66.5</v>
      </c>
      <c r="E318" s="9">
        <v>79.7</v>
      </c>
      <c r="F318" s="9">
        <v>58.5</v>
      </c>
      <c r="G318" s="9" t="s">
        <v>6</v>
      </c>
      <c r="H318" s="9">
        <v>18.5</v>
      </c>
      <c r="I318" s="9">
        <v>21.7</v>
      </c>
      <c r="J318" s="9">
        <v>14.5</v>
      </c>
      <c r="K318" s="9" t="s">
        <v>6</v>
      </c>
      <c r="L318" s="9">
        <v>221</v>
      </c>
      <c r="M318" t="s">
        <v>6</v>
      </c>
      <c r="O318" s="6">
        <f t="shared" si="480"/>
        <v>45426.333333333336</v>
      </c>
      <c r="P318">
        <f t="shared" si="481"/>
        <v>66.5</v>
      </c>
      <c r="Q318">
        <f t="shared" si="482"/>
        <v>79.7</v>
      </c>
      <c r="R318">
        <f t="shared" si="483"/>
        <v>58.5</v>
      </c>
      <c r="S318">
        <f t="shared" si="484"/>
        <v>67.5</v>
      </c>
      <c r="V318" s="6">
        <f t="shared" si="485"/>
        <v>45426.333333333336</v>
      </c>
      <c r="W318">
        <f t="shared" si="486"/>
        <v>18.5</v>
      </c>
      <c r="X318">
        <f t="shared" si="487"/>
        <v>21.7</v>
      </c>
      <c r="Y318">
        <f t="shared" si="488"/>
        <v>14.5</v>
      </c>
      <c r="Z318">
        <f t="shared" si="489"/>
        <v>19.5</v>
      </c>
      <c r="BA318" t="s">
        <v>6</v>
      </c>
    </row>
    <row r="319" spans="1:53" x14ac:dyDescent="0.2">
      <c r="A319" s="13">
        <v>45426</v>
      </c>
      <c r="B319" s="3">
        <v>0.375</v>
      </c>
      <c r="C319" s="4">
        <v>45426.375</v>
      </c>
      <c r="D319" s="5">
        <v>60.6</v>
      </c>
      <c r="E319" s="5">
        <v>64.2</v>
      </c>
      <c r="F319" s="5">
        <v>57.2</v>
      </c>
      <c r="G319" s="5" t="s">
        <v>6</v>
      </c>
      <c r="H319" s="5">
        <v>17.7</v>
      </c>
      <c r="I319" s="5">
        <v>26.4</v>
      </c>
      <c r="J319" s="5">
        <v>14.8</v>
      </c>
      <c r="K319" s="5" t="s">
        <v>6</v>
      </c>
      <c r="L319" s="5">
        <v>221</v>
      </c>
      <c r="M319" t="s">
        <v>6</v>
      </c>
      <c r="O319" s="6">
        <f t="shared" si="480"/>
        <v>45426.375</v>
      </c>
      <c r="P319">
        <f t="shared" si="481"/>
        <v>60.6</v>
      </c>
      <c r="Q319">
        <f t="shared" si="482"/>
        <v>64.2</v>
      </c>
      <c r="R319">
        <f t="shared" si="483"/>
        <v>57.2</v>
      </c>
      <c r="S319">
        <f t="shared" si="484"/>
        <v>61.6</v>
      </c>
      <c r="V319" s="6">
        <f t="shared" si="485"/>
        <v>45426.375</v>
      </c>
      <c r="W319">
        <f t="shared" si="486"/>
        <v>17.7</v>
      </c>
      <c r="X319">
        <f t="shared" si="487"/>
        <v>26.4</v>
      </c>
      <c r="Y319">
        <f t="shared" si="488"/>
        <v>14.8</v>
      </c>
      <c r="Z319">
        <f t="shared" si="489"/>
        <v>18.7</v>
      </c>
      <c r="BA319" t="s">
        <v>6</v>
      </c>
    </row>
    <row r="320" spans="1:53" x14ac:dyDescent="0.2">
      <c r="A320" s="1">
        <v>45426</v>
      </c>
      <c r="B320" s="2">
        <v>0.41666666666666669</v>
      </c>
      <c r="C320" s="6">
        <v>45426.416666666664</v>
      </c>
      <c r="D320">
        <v>61.2</v>
      </c>
      <c r="E320">
        <v>66.8</v>
      </c>
      <c r="F320">
        <v>56.1</v>
      </c>
      <c r="G320" t="s">
        <v>6</v>
      </c>
      <c r="H320">
        <v>17.7</v>
      </c>
      <c r="I320">
        <v>26.1</v>
      </c>
      <c r="J320">
        <v>15.2</v>
      </c>
      <c r="K320" t="s">
        <v>6</v>
      </c>
      <c r="L320">
        <v>221</v>
      </c>
      <c r="M320" t="s">
        <v>6</v>
      </c>
      <c r="O320" s="6">
        <f t="shared" ref="O320:O383" si="490">C320</f>
        <v>45426.416666666664</v>
      </c>
      <c r="P320">
        <f t="shared" ref="P320:P383" si="491">D320</f>
        <v>61.2</v>
      </c>
      <c r="Q320">
        <f t="shared" ref="Q320:Q383" si="492">E320</f>
        <v>66.8</v>
      </c>
      <c r="R320">
        <f t="shared" ref="R320:R383" si="493">F320</f>
        <v>56.1</v>
      </c>
      <c r="S320">
        <f t="shared" ref="S320:S383" si="494">P320+1</f>
        <v>62.2</v>
      </c>
      <c r="V320" s="6">
        <f t="shared" ref="V320:V383" si="495">O320</f>
        <v>45426.416666666664</v>
      </c>
      <c r="W320">
        <f t="shared" ref="W320:W383" si="496">H320</f>
        <v>17.7</v>
      </c>
      <c r="X320">
        <f t="shared" ref="X320:X383" si="497">I320</f>
        <v>26.1</v>
      </c>
      <c r="Y320">
        <f t="shared" ref="Y320:Y383" si="498">J320</f>
        <v>15.2</v>
      </c>
      <c r="Z320">
        <f t="shared" ref="Z320:Z383" si="499">W320+1</f>
        <v>18.7</v>
      </c>
      <c r="BA320" t="s">
        <v>6</v>
      </c>
    </row>
    <row r="321" spans="1:53" x14ac:dyDescent="0.2">
      <c r="A321" s="1">
        <v>45426</v>
      </c>
      <c r="B321" s="2">
        <v>0.45833333333333331</v>
      </c>
      <c r="C321" s="6">
        <v>45426.458333333336</v>
      </c>
      <c r="D321">
        <v>57.5</v>
      </c>
      <c r="E321">
        <v>61.5</v>
      </c>
      <c r="F321">
        <v>53.1</v>
      </c>
      <c r="G321" t="s">
        <v>6</v>
      </c>
      <c r="H321">
        <v>19.100000000000001</v>
      </c>
      <c r="I321">
        <v>26.5</v>
      </c>
      <c r="J321">
        <v>15.5</v>
      </c>
      <c r="K321" t="s">
        <v>6</v>
      </c>
      <c r="L321">
        <v>203</v>
      </c>
      <c r="M321" t="s">
        <v>6</v>
      </c>
      <c r="O321" s="6">
        <f t="shared" si="490"/>
        <v>45426.458333333336</v>
      </c>
      <c r="P321">
        <f t="shared" si="491"/>
        <v>57.5</v>
      </c>
      <c r="Q321">
        <f t="shared" si="492"/>
        <v>61.5</v>
      </c>
      <c r="R321">
        <f t="shared" si="493"/>
        <v>53.1</v>
      </c>
      <c r="S321">
        <f t="shared" si="494"/>
        <v>58.5</v>
      </c>
      <c r="V321" s="6">
        <f t="shared" si="495"/>
        <v>45426.458333333336</v>
      </c>
      <c r="W321">
        <f t="shared" si="496"/>
        <v>19.100000000000001</v>
      </c>
      <c r="X321">
        <f t="shared" si="497"/>
        <v>26.5</v>
      </c>
      <c r="Y321">
        <f t="shared" si="498"/>
        <v>15.5</v>
      </c>
      <c r="Z321">
        <f t="shared" si="499"/>
        <v>20.100000000000001</v>
      </c>
      <c r="BA321" t="s">
        <v>6</v>
      </c>
    </row>
    <row r="322" spans="1:53" x14ac:dyDescent="0.2">
      <c r="A322" s="1">
        <v>45426</v>
      </c>
      <c r="B322" s="2">
        <v>0.5</v>
      </c>
      <c r="C322" s="6">
        <v>45426.5</v>
      </c>
      <c r="D322">
        <v>56</v>
      </c>
      <c r="E322">
        <v>65.7</v>
      </c>
      <c r="F322">
        <v>47.8</v>
      </c>
      <c r="G322" t="s">
        <v>6</v>
      </c>
      <c r="H322">
        <v>19</v>
      </c>
      <c r="I322">
        <v>22.4</v>
      </c>
      <c r="J322">
        <v>13.6</v>
      </c>
      <c r="K322" t="s">
        <v>6</v>
      </c>
      <c r="L322">
        <v>208</v>
      </c>
      <c r="M322" t="s">
        <v>6</v>
      </c>
      <c r="O322" s="6">
        <f t="shared" si="490"/>
        <v>45426.5</v>
      </c>
      <c r="P322">
        <f t="shared" si="491"/>
        <v>56</v>
      </c>
      <c r="Q322">
        <f t="shared" si="492"/>
        <v>65.7</v>
      </c>
      <c r="R322">
        <f t="shared" si="493"/>
        <v>47.8</v>
      </c>
      <c r="S322">
        <f t="shared" si="494"/>
        <v>57</v>
      </c>
      <c r="V322" s="6">
        <f t="shared" si="495"/>
        <v>45426.5</v>
      </c>
      <c r="W322">
        <f t="shared" si="496"/>
        <v>19</v>
      </c>
      <c r="X322">
        <f t="shared" si="497"/>
        <v>22.4</v>
      </c>
      <c r="Y322">
        <f t="shared" si="498"/>
        <v>13.6</v>
      </c>
      <c r="Z322">
        <f t="shared" si="499"/>
        <v>20</v>
      </c>
      <c r="BA322" t="s">
        <v>6</v>
      </c>
    </row>
    <row r="323" spans="1:53" x14ac:dyDescent="0.2">
      <c r="A323" s="1">
        <v>45426</v>
      </c>
      <c r="B323" s="2">
        <v>0.54166666666666663</v>
      </c>
      <c r="C323" s="6">
        <v>45426.541666666664</v>
      </c>
      <c r="D323">
        <v>76.5</v>
      </c>
      <c r="E323">
        <v>88.4</v>
      </c>
      <c r="F323">
        <v>60</v>
      </c>
      <c r="G323" t="s">
        <v>6</v>
      </c>
      <c r="H323">
        <v>20.6</v>
      </c>
      <c r="I323">
        <v>26.7</v>
      </c>
      <c r="J323">
        <v>15.7</v>
      </c>
      <c r="K323" t="s">
        <v>6</v>
      </c>
      <c r="L323">
        <v>128</v>
      </c>
      <c r="M323" t="s">
        <v>6</v>
      </c>
      <c r="O323" s="6">
        <f t="shared" si="490"/>
        <v>45426.541666666664</v>
      </c>
      <c r="P323">
        <f t="shared" si="491"/>
        <v>76.5</v>
      </c>
      <c r="Q323">
        <f t="shared" si="492"/>
        <v>88.4</v>
      </c>
      <c r="R323">
        <f t="shared" si="493"/>
        <v>60</v>
      </c>
      <c r="S323">
        <f t="shared" si="494"/>
        <v>77.5</v>
      </c>
      <c r="V323" s="6">
        <f t="shared" si="495"/>
        <v>45426.541666666664</v>
      </c>
      <c r="W323">
        <f t="shared" si="496"/>
        <v>20.6</v>
      </c>
      <c r="X323">
        <f t="shared" si="497"/>
        <v>26.7</v>
      </c>
      <c r="Y323">
        <f t="shared" si="498"/>
        <v>15.7</v>
      </c>
      <c r="Z323">
        <f t="shared" si="499"/>
        <v>21.6</v>
      </c>
      <c r="BA323" t="s">
        <v>6</v>
      </c>
    </row>
    <row r="324" spans="1:53" x14ac:dyDescent="0.2">
      <c r="A324" s="1">
        <v>45426</v>
      </c>
      <c r="B324" s="2">
        <v>0.58333333333333337</v>
      </c>
      <c r="C324" s="6">
        <v>45426.583333333336</v>
      </c>
      <c r="D324">
        <v>71.099999999999994</v>
      </c>
      <c r="E324">
        <v>77</v>
      </c>
      <c r="F324">
        <v>62.2</v>
      </c>
      <c r="G324" t="s">
        <v>6</v>
      </c>
      <c r="H324">
        <v>17.8</v>
      </c>
      <c r="I324">
        <v>24.4</v>
      </c>
      <c r="J324">
        <v>15.3</v>
      </c>
      <c r="K324" t="s">
        <v>6</v>
      </c>
      <c r="L324">
        <v>229</v>
      </c>
      <c r="M324" t="s">
        <v>6</v>
      </c>
      <c r="O324" s="6">
        <f t="shared" si="490"/>
        <v>45426.583333333336</v>
      </c>
      <c r="P324">
        <f t="shared" si="491"/>
        <v>71.099999999999994</v>
      </c>
      <c r="Q324">
        <f t="shared" si="492"/>
        <v>77</v>
      </c>
      <c r="R324">
        <f t="shared" si="493"/>
        <v>62.2</v>
      </c>
      <c r="S324">
        <f t="shared" si="494"/>
        <v>72.099999999999994</v>
      </c>
      <c r="V324" s="6">
        <f t="shared" si="495"/>
        <v>45426.583333333336</v>
      </c>
      <c r="W324">
        <f t="shared" si="496"/>
        <v>17.8</v>
      </c>
      <c r="X324">
        <f t="shared" si="497"/>
        <v>24.4</v>
      </c>
      <c r="Y324">
        <f t="shared" si="498"/>
        <v>15.3</v>
      </c>
      <c r="Z324">
        <f t="shared" si="499"/>
        <v>18.8</v>
      </c>
      <c r="BA324" t="s">
        <v>6</v>
      </c>
    </row>
    <row r="325" spans="1:53" x14ac:dyDescent="0.2">
      <c r="A325" s="1">
        <v>45426</v>
      </c>
      <c r="B325" s="2">
        <v>0.625</v>
      </c>
      <c r="C325" s="6">
        <v>45426.625</v>
      </c>
      <c r="D325">
        <v>64.3</v>
      </c>
      <c r="E325">
        <v>74.400000000000006</v>
      </c>
      <c r="F325">
        <v>56</v>
      </c>
      <c r="G325" t="s">
        <v>6</v>
      </c>
      <c r="H325">
        <v>18.899999999999999</v>
      </c>
      <c r="I325">
        <v>23.5</v>
      </c>
      <c r="J325">
        <v>14</v>
      </c>
      <c r="K325" t="s">
        <v>6</v>
      </c>
      <c r="L325">
        <v>222</v>
      </c>
      <c r="M325" t="s">
        <v>6</v>
      </c>
      <c r="O325" s="6">
        <f t="shared" si="490"/>
        <v>45426.625</v>
      </c>
      <c r="P325">
        <f t="shared" si="491"/>
        <v>64.3</v>
      </c>
      <c r="Q325">
        <f t="shared" si="492"/>
        <v>74.400000000000006</v>
      </c>
      <c r="R325">
        <f t="shared" si="493"/>
        <v>56</v>
      </c>
      <c r="S325">
        <f t="shared" si="494"/>
        <v>65.3</v>
      </c>
      <c r="V325" s="6">
        <f t="shared" si="495"/>
        <v>45426.625</v>
      </c>
      <c r="W325">
        <f t="shared" si="496"/>
        <v>18.899999999999999</v>
      </c>
      <c r="X325">
        <f t="shared" si="497"/>
        <v>23.5</v>
      </c>
      <c r="Y325">
        <f t="shared" si="498"/>
        <v>14</v>
      </c>
      <c r="Z325">
        <f t="shared" si="499"/>
        <v>19.899999999999999</v>
      </c>
      <c r="BA325" t="s">
        <v>6</v>
      </c>
    </row>
    <row r="326" spans="1:53" x14ac:dyDescent="0.2">
      <c r="A326" s="1">
        <v>45426</v>
      </c>
      <c r="B326" s="2">
        <v>0.66666666666666663</v>
      </c>
      <c r="C326" s="6">
        <v>45426.666666666664</v>
      </c>
      <c r="D326">
        <v>67.5</v>
      </c>
      <c r="E326">
        <v>77.900000000000006</v>
      </c>
      <c r="F326">
        <v>55.3</v>
      </c>
      <c r="G326" t="s">
        <v>6</v>
      </c>
      <c r="H326">
        <v>19.100000000000001</v>
      </c>
      <c r="I326">
        <v>22.6</v>
      </c>
      <c r="J326">
        <v>15.6</v>
      </c>
      <c r="K326" t="s">
        <v>6</v>
      </c>
      <c r="L326">
        <v>223</v>
      </c>
      <c r="M326" t="s">
        <v>6</v>
      </c>
      <c r="O326" s="6">
        <f t="shared" si="490"/>
        <v>45426.666666666664</v>
      </c>
      <c r="P326">
        <f t="shared" si="491"/>
        <v>67.5</v>
      </c>
      <c r="Q326">
        <f t="shared" si="492"/>
        <v>77.900000000000006</v>
      </c>
      <c r="R326">
        <f t="shared" si="493"/>
        <v>55.3</v>
      </c>
      <c r="S326">
        <f t="shared" si="494"/>
        <v>68.5</v>
      </c>
      <c r="V326" s="6">
        <f t="shared" si="495"/>
        <v>45426.666666666664</v>
      </c>
      <c r="W326">
        <f t="shared" si="496"/>
        <v>19.100000000000001</v>
      </c>
      <c r="X326">
        <f t="shared" si="497"/>
        <v>22.6</v>
      </c>
      <c r="Y326">
        <f t="shared" si="498"/>
        <v>15.6</v>
      </c>
      <c r="Z326">
        <f t="shared" si="499"/>
        <v>20.100000000000001</v>
      </c>
      <c r="BA326" t="s">
        <v>6</v>
      </c>
    </row>
    <row r="327" spans="1:53" x14ac:dyDescent="0.2">
      <c r="A327" s="1">
        <v>45426</v>
      </c>
      <c r="B327" s="2">
        <v>0.70833333333333337</v>
      </c>
      <c r="C327" s="6">
        <v>45426.708333333336</v>
      </c>
      <c r="D327">
        <v>55.8</v>
      </c>
      <c r="E327">
        <v>61.5</v>
      </c>
      <c r="F327">
        <v>49.9</v>
      </c>
      <c r="G327" t="s">
        <v>6</v>
      </c>
      <c r="H327">
        <v>17.8</v>
      </c>
      <c r="I327">
        <v>22.3</v>
      </c>
      <c r="J327">
        <v>12.3</v>
      </c>
      <c r="K327" t="s">
        <v>6</v>
      </c>
      <c r="L327">
        <v>182</v>
      </c>
      <c r="M327" t="s">
        <v>6</v>
      </c>
      <c r="O327" s="6">
        <f t="shared" si="490"/>
        <v>45426.708333333336</v>
      </c>
      <c r="P327">
        <f t="shared" si="491"/>
        <v>55.8</v>
      </c>
      <c r="Q327">
        <f t="shared" si="492"/>
        <v>61.5</v>
      </c>
      <c r="R327">
        <f t="shared" si="493"/>
        <v>49.9</v>
      </c>
      <c r="S327">
        <f t="shared" si="494"/>
        <v>56.8</v>
      </c>
      <c r="V327" s="6">
        <f t="shared" si="495"/>
        <v>45426.708333333336</v>
      </c>
      <c r="W327">
        <f t="shared" si="496"/>
        <v>17.8</v>
      </c>
      <c r="X327">
        <f t="shared" si="497"/>
        <v>22.3</v>
      </c>
      <c r="Y327">
        <f t="shared" si="498"/>
        <v>12.3</v>
      </c>
      <c r="Z327">
        <f t="shared" si="499"/>
        <v>18.8</v>
      </c>
      <c r="BA327" t="s">
        <v>6</v>
      </c>
    </row>
    <row r="328" spans="1:53" x14ac:dyDescent="0.2">
      <c r="A328" s="1">
        <v>45426</v>
      </c>
      <c r="B328" s="2">
        <v>0.75</v>
      </c>
      <c r="C328" s="6">
        <v>45426.75</v>
      </c>
      <c r="D328">
        <v>58.3</v>
      </c>
      <c r="E328">
        <v>66.5</v>
      </c>
      <c r="F328">
        <v>53.6</v>
      </c>
      <c r="G328" t="s">
        <v>6</v>
      </c>
      <c r="H328">
        <v>17.8</v>
      </c>
      <c r="I328">
        <v>22.1</v>
      </c>
      <c r="J328">
        <v>11.2</v>
      </c>
      <c r="K328" t="s">
        <v>6</v>
      </c>
      <c r="L328">
        <v>208</v>
      </c>
      <c r="M328" t="s">
        <v>6</v>
      </c>
      <c r="O328" s="6">
        <f t="shared" si="490"/>
        <v>45426.75</v>
      </c>
      <c r="P328">
        <f t="shared" si="491"/>
        <v>58.3</v>
      </c>
      <c r="Q328">
        <f t="shared" si="492"/>
        <v>66.5</v>
      </c>
      <c r="R328">
        <f t="shared" si="493"/>
        <v>53.6</v>
      </c>
      <c r="S328">
        <f t="shared" si="494"/>
        <v>59.3</v>
      </c>
      <c r="V328" s="6">
        <f t="shared" si="495"/>
        <v>45426.75</v>
      </c>
      <c r="W328">
        <f t="shared" si="496"/>
        <v>17.8</v>
      </c>
      <c r="X328">
        <f t="shared" si="497"/>
        <v>22.1</v>
      </c>
      <c r="Y328">
        <f t="shared" si="498"/>
        <v>11.2</v>
      </c>
      <c r="Z328">
        <f t="shared" si="499"/>
        <v>18.8</v>
      </c>
      <c r="BA328" t="s">
        <v>6</v>
      </c>
    </row>
    <row r="329" spans="1:53" x14ac:dyDescent="0.2">
      <c r="A329" s="1">
        <v>45426</v>
      </c>
      <c r="B329" s="2">
        <v>0.79166666666666663</v>
      </c>
      <c r="C329" s="6">
        <v>45426.791666666664</v>
      </c>
      <c r="D329">
        <v>62.9</v>
      </c>
      <c r="E329">
        <v>74.5</v>
      </c>
      <c r="F329">
        <v>57.9</v>
      </c>
      <c r="G329" t="s">
        <v>6</v>
      </c>
      <c r="H329">
        <v>20</v>
      </c>
      <c r="I329">
        <v>23</v>
      </c>
      <c r="J329">
        <v>17.100000000000001</v>
      </c>
      <c r="K329" t="s">
        <v>6</v>
      </c>
      <c r="L329">
        <v>207</v>
      </c>
      <c r="M329" t="s">
        <v>6</v>
      </c>
      <c r="O329" s="6">
        <f t="shared" si="490"/>
        <v>45426.791666666664</v>
      </c>
      <c r="P329">
        <f t="shared" si="491"/>
        <v>62.9</v>
      </c>
      <c r="Q329">
        <f t="shared" si="492"/>
        <v>74.5</v>
      </c>
      <c r="R329">
        <f t="shared" si="493"/>
        <v>57.9</v>
      </c>
      <c r="S329">
        <f t="shared" si="494"/>
        <v>63.9</v>
      </c>
      <c r="V329" s="6">
        <f t="shared" si="495"/>
        <v>45426.791666666664</v>
      </c>
      <c r="W329">
        <f t="shared" si="496"/>
        <v>20</v>
      </c>
      <c r="X329">
        <f t="shared" si="497"/>
        <v>23</v>
      </c>
      <c r="Y329">
        <f t="shared" si="498"/>
        <v>17.100000000000001</v>
      </c>
      <c r="Z329">
        <f t="shared" si="499"/>
        <v>21</v>
      </c>
      <c r="BA329" t="s">
        <v>6</v>
      </c>
    </row>
    <row r="330" spans="1:53" x14ac:dyDescent="0.2">
      <c r="A330" s="1">
        <v>45426</v>
      </c>
      <c r="B330" s="2">
        <v>0.83333333333333337</v>
      </c>
      <c r="C330" s="6">
        <v>45426.833333333336</v>
      </c>
      <c r="D330">
        <v>67.2</v>
      </c>
      <c r="E330">
        <v>75.599999999999994</v>
      </c>
      <c r="F330">
        <v>59.3</v>
      </c>
      <c r="G330" t="s">
        <v>6</v>
      </c>
      <c r="H330">
        <v>18.399999999999999</v>
      </c>
      <c r="I330">
        <v>25.1</v>
      </c>
      <c r="J330">
        <v>14.2</v>
      </c>
      <c r="K330" t="s">
        <v>6</v>
      </c>
      <c r="L330">
        <v>194</v>
      </c>
      <c r="M330" t="s">
        <v>6</v>
      </c>
      <c r="O330" s="6">
        <f t="shared" si="490"/>
        <v>45426.833333333336</v>
      </c>
      <c r="P330">
        <f t="shared" si="491"/>
        <v>67.2</v>
      </c>
      <c r="Q330">
        <f t="shared" si="492"/>
        <v>75.599999999999994</v>
      </c>
      <c r="R330">
        <f t="shared" si="493"/>
        <v>59.3</v>
      </c>
      <c r="S330">
        <f t="shared" si="494"/>
        <v>68.2</v>
      </c>
      <c r="V330" s="6">
        <f t="shared" si="495"/>
        <v>45426.833333333336</v>
      </c>
      <c r="W330">
        <f t="shared" si="496"/>
        <v>18.399999999999999</v>
      </c>
      <c r="X330">
        <f t="shared" si="497"/>
        <v>25.1</v>
      </c>
      <c r="Y330">
        <f t="shared" si="498"/>
        <v>14.2</v>
      </c>
      <c r="Z330">
        <f t="shared" si="499"/>
        <v>19.399999999999999</v>
      </c>
      <c r="BA330" t="s">
        <v>6</v>
      </c>
    </row>
    <row r="331" spans="1:53" x14ac:dyDescent="0.2">
      <c r="A331" s="1">
        <v>45426</v>
      </c>
      <c r="B331" s="2">
        <v>0.875</v>
      </c>
      <c r="C331" s="6">
        <v>45426.875</v>
      </c>
      <c r="D331">
        <v>62</v>
      </c>
      <c r="E331">
        <v>79.7</v>
      </c>
      <c r="F331">
        <v>50.8</v>
      </c>
      <c r="G331" t="s">
        <v>6</v>
      </c>
      <c r="H331">
        <v>18.399999999999999</v>
      </c>
      <c r="I331">
        <v>23.3</v>
      </c>
      <c r="J331">
        <v>12.7</v>
      </c>
      <c r="K331" t="s">
        <v>6</v>
      </c>
      <c r="L331">
        <v>223</v>
      </c>
      <c r="M331" t="s">
        <v>6</v>
      </c>
      <c r="O331" s="6">
        <f t="shared" si="490"/>
        <v>45426.875</v>
      </c>
      <c r="P331">
        <f t="shared" si="491"/>
        <v>62</v>
      </c>
      <c r="Q331">
        <f t="shared" si="492"/>
        <v>79.7</v>
      </c>
      <c r="R331">
        <f t="shared" si="493"/>
        <v>50.8</v>
      </c>
      <c r="S331">
        <f t="shared" si="494"/>
        <v>63</v>
      </c>
      <c r="V331" s="6">
        <f t="shared" si="495"/>
        <v>45426.875</v>
      </c>
      <c r="W331">
        <f t="shared" si="496"/>
        <v>18.399999999999999</v>
      </c>
      <c r="X331">
        <f t="shared" si="497"/>
        <v>23.3</v>
      </c>
      <c r="Y331">
        <f t="shared" si="498"/>
        <v>12.7</v>
      </c>
      <c r="Z331">
        <f t="shared" si="499"/>
        <v>19.399999999999999</v>
      </c>
      <c r="BA331" t="s">
        <v>6</v>
      </c>
    </row>
    <row r="332" spans="1:53" x14ac:dyDescent="0.2">
      <c r="A332" s="1">
        <v>45426</v>
      </c>
      <c r="B332" s="2">
        <v>0.91666666666666663</v>
      </c>
      <c r="C332" s="6">
        <v>45426.916666666664</v>
      </c>
      <c r="D332">
        <v>61.8</v>
      </c>
      <c r="E332">
        <v>69.2</v>
      </c>
      <c r="F332">
        <v>51.5</v>
      </c>
      <c r="G332" t="s">
        <v>6</v>
      </c>
      <c r="H332">
        <v>19.399999999999999</v>
      </c>
      <c r="I332">
        <v>22.9</v>
      </c>
      <c r="J332">
        <v>15.1</v>
      </c>
      <c r="K332" t="s">
        <v>6</v>
      </c>
      <c r="L332">
        <v>213</v>
      </c>
      <c r="M332" t="s">
        <v>6</v>
      </c>
      <c r="O332" s="6">
        <f t="shared" si="490"/>
        <v>45426.916666666664</v>
      </c>
      <c r="P332">
        <f t="shared" si="491"/>
        <v>61.8</v>
      </c>
      <c r="Q332">
        <f t="shared" si="492"/>
        <v>69.2</v>
      </c>
      <c r="R332">
        <f t="shared" si="493"/>
        <v>51.5</v>
      </c>
      <c r="S332">
        <f t="shared" si="494"/>
        <v>62.8</v>
      </c>
      <c r="V332" s="6">
        <f t="shared" si="495"/>
        <v>45426.916666666664</v>
      </c>
      <c r="W332">
        <f t="shared" si="496"/>
        <v>19.399999999999999</v>
      </c>
      <c r="X332">
        <f t="shared" si="497"/>
        <v>22.9</v>
      </c>
      <c r="Y332">
        <f t="shared" si="498"/>
        <v>15.1</v>
      </c>
      <c r="Z332">
        <f t="shared" si="499"/>
        <v>20.399999999999999</v>
      </c>
      <c r="BA332" t="s">
        <v>6</v>
      </c>
    </row>
    <row r="333" spans="1:53" x14ac:dyDescent="0.2">
      <c r="A333" s="1">
        <v>45426</v>
      </c>
      <c r="B333" s="2">
        <v>0.95833333333333337</v>
      </c>
      <c r="C333" s="6">
        <v>45426.958333333336</v>
      </c>
      <c r="D333">
        <v>62.7</v>
      </c>
      <c r="E333">
        <v>68.3</v>
      </c>
      <c r="F333">
        <v>58.5</v>
      </c>
      <c r="G333" t="s">
        <v>6</v>
      </c>
      <c r="H333">
        <v>18.600000000000001</v>
      </c>
      <c r="I333">
        <v>22.5</v>
      </c>
      <c r="J333">
        <v>15.5</v>
      </c>
      <c r="K333" t="s">
        <v>6</v>
      </c>
      <c r="L333">
        <v>218</v>
      </c>
      <c r="M333" t="s">
        <v>6</v>
      </c>
      <c r="O333" s="6">
        <f t="shared" si="490"/>
        <v>45426.958333333336</v>
      </c>
      <c r="P333">
        <f t="shared" si="491"/>
        <v>62.7</v>
      </c>
      <c r="Q333">
        <f t="shared" si="492"/>
        <v>68.3</v>
      </c>
      <c r="R333">
        <f t="shared" si="493"/>
        <v>58.5</v>
      </c>
      <c r="S333">
        <f t="shared" si="494"/>
        <v>63.7</v>
      </c>
      <c r="V333" s="6">
        <f t="shared" si="495"/>
        <v>45426.958333333336</v>
      </c>
      <c r="W333">
        <f t="shared" si="496"/>
        <v>18.600000000000001</v>
      </c>
      <c r="X333">
        <f t="shared" si="497"/>
        <v>22.5</v>
      </c>
      <c r="Y333">
        <f t="shared" si="498"/>
        <v>15.5</v>
      </c>
      <c r="Z333">
        <f t="shared" si="499"/>
        <v>19.600000000000001</v>
      </c>
      <c r="BA333" t="s">
        <v>6</v>
      </c>
    </row>
    <row r="334" spans="1:53" x14ac:dyDescent="0.2">
      <c r="A334" s="1">
        <v>45427</v>
      </c>
      <c r="B334" s="2">
        <v>0</v>
      </c>
      <c r="C334" s="6">
        <v>45427</v>
      </c>
      <c r="D334">
        <v>61.9</v>
      </c>
      <c r="E334">
        <v>65.7</v>
      </c>
      <c r="F334">
        <v>58</v>
      </c>
      <c r="G334" t="s">
        <v>6</v>
      </c>
      <c r="H334">
        <v>17.600000000000001</v>
      </c>
      <c r="I334">
        <v>20.2</v>
      </c>
      <c r="J334">
        <v>16.399999999999999</v>
      </c>
      <c r="K334" t="s">
        <v>6</v>
      </c>
      <c r="L334">
        <v>57</v>
      </c>
      <c r="M334" t="s">
        <v>6</v>
      </c>
      <c r="O334" s="6">
        <f t="shared" si="490"/>
        <v>45427</v>
      </c>
      <c r="P334">
        <f t="shared" si="491"/>
        <v>61.9</v>
      </c>
      <c r="Q334">
        <f t="shared" si="492"/>
        <v>65.7</v>
      </c>
      <c r="R334">
        <f t="shared" si="493"/>
        <v>58</v>
      </c>
      <c r="S334">
        <f t="shared" si="494"/>
        <v>62.9</v>
      </c>
      <c r="V334" s="6">
        <f t="shared" si="495"/>
        <v>45427</v>
      </c>
      <c r="W334">
        <f t="shared" si="496"/>
        <v>17.600000000000001</v>
      </c>
      <c r="X334">
        <f t="shared" si="497"/>
        <v>20.2</v>
      </c>
      <c r="Y334">
        <f t="shared" si="498"/>
        <v>16.399999999999999</v>
      </c>
      <c r="Z334">
        <f t="shared" si="499"/>
        <v>18.600000000000001</v>
      </c>
      <c r="BA334" t="s">
        <v>6</v>
      </c>
    </row>
    <row r="335" spans="1:53" x14ac:dyDescent="0.2">
      <c r="A335" s="1">
        <v>45427</v>
      </c>
      <c r="B335" s="2">
        <v>0.16666666666666666</v>
      </c>
      <c r="C335" s="6">
        <v>45427.166666666664</v>
      </c>
      <c r="D335">
        <v>63</v>
      </c>
      <c r="E335">
        <v>68.5</v>
      </c>
      <c r="F335">
        <v>57.4</v>
      </c>
      <c r="G335" t="s">
        <v>6</v>
      </c>
      <c r="H335">
        <v>18.100000000000001</v>
      </c>
      <c r="I335">
        <v>24.8</v>
      </c>
      <c r="J335">
        <v>15.4</v>
      </c>
      <c r="K335" t="s">
        <v>6</v>
      </c>
      <c r="L335">
        <v>194</v>
      </c>
      <c r="M335" t="s">
        <v>6</v>
      </c>
      <c r="O335" s="6">
        <f t="shared" si="490"/>
        <v>45427.166666666664</v>
      </c>
      <c r="P335">
        <f t="shared" si="491"/>
        <v>63</v>
      </c>
      <c r="Q335">
        <f t="shared" si="492"/>
        <v>68.5</v>
      </c>
      <c r="R335">
        <f t="shared" si="493"/>
        <v>57.4</v>
      </c>
      <c r="S335">
        <f t="shared" si="494"/>
        <v>64</v>
      </c>
      <c r="V335" s="6">
        <f t="shared" si="495"/>
        <v>45427.166666666664</v>
      </c>
      <c r="W335">
        <f t="shared" si="496"/>
        <v>18.100000000000001</v>
      </c>
      <c r="X335">
        <f t="shared" si="497"/>
        <v>24.8</v>
      </c>
      <c r="Y335">
        <f t="shared" si="498"/>
        <v>15.4</v>
      </c>
      <c r="Z335">
        <f t="shared" si="499"/>
        <v>19.100000000000001</v>
      </c>
      <c r="BA335" t="s">
        <v>6</v>
      </c>
    </row>
    <row r="336" spans="1:53" x14ac:dyDescent="0.2">
      <c r="A336" s="1">
        <v>45427</v>
      </c>
      <c r="B336" s="2">
        <v>0.20833333333333334</v>
      </c>
      <c r="C336" s="6">
        <v>45427.208333333336</v>
      </c>
      <c r="D336">
        <v>65.400000000000006</v>
      </c>
      <c r="E336">
        <v>70.3</v>
      </c>
      <c r="F336">
        <v>59.9</v>
      </c>
      <c r="G336" t="s">
        <v>6</v>
      </c>
      <c r="H336">
        <v>19.100000000000001</v>
      </c>
      <c r="I336">
        <v>24.2</v>
      </c>
      <c r="J336">
        <v>16</v>
      </c>
      <c r="K336" t="s">
        <v>6</v>
      </c>
      <c r="L336">
        <v>226</v>
      </c>
      <c r="M336" t="s">
        <v>6</v>
      </c>
      <c r="O336" s="6">
        <f t="shared" si="490"/>
        <v>45427.208333333336</v>
      </c>
      <c r="P336">
        <f t="shared" si="491"/>
        <v>65.400000000000006</v>
      </c>
      <c r="Q336">
        <f t="shared" si="492"/>
        <v>70.3</v>
      </c>
      <c r="R336">
        <f t="shared" si="493"/>
        <v>59.9</v>
      </c>
      <c r="S336">
        <f t="shared" si="494"/>
        <v>66.400000000000006</v>
      </c>
      <c r="V336" s="6">
        <f t="shared" si="495"/>
        <v>45427.208333333336</v>
      </c>
      <c r="W336">
        <f t="shared" si="496"/>
        <v>19.100000000000001</v>
      </c>
      <c r="X336">
        <f t="shared" si="497"/>
        <v>24.2</v>
      </c>
      <c r="Y336">
        <f t="shared" si="498"/>
        <v>16</v>
      </c>
      <c r="Z336">
        <f t="shared" si="499"/>
        <v>20.100000000000001</v>
      </c>
      <c r="BA336" t="s">
        <v>6</v>
      </c>
    </row>
    <row r="337" spans="1:53" x14ac:dyDescent="0.2">
      <c r="A337" s="1">
        <v>45427</v>
      </c>
      <c r="B337" s="2">
        <v>0.25</v>
      </c>
      <c r="C337" s="6">
        <v>45427.25</v>
      </c>
      <c r="D337">
        <v>64.099999999999994</v>
      </c>
      <c r="E337">
        <v>71</v>
      </c>
      <c r="F337">
        <v>59.2</v>
      </c>
      <c r="G337" t="s">
        <v>6</v>
      </c>
      <c r="H337">
        <v>18.8</v>
      </c>
      <c r="I337">
        <v>23.8</v>
      </c>
      <c r="J337">
        <v>16.100000000000001</v>
      </c>
      <c r="K337" t="s">
        <v>6</v>
      </c>
      <c r="L337">
        <v>224</v>
      </c>
      <c r="M337" t="s">
        <v>6</v>
      </c>
      <c r="O337" s="6">
        <f t="shared" si="490"/>
        <v>45427.25</v>
      </c>
      <c r="P337">
        <f t="shared" si="491"/>
        <v>64.099999999999994</v>
      </c>
      <c r="Q337">
        <f t="shared" si="492"/>
        <v>71</v>
      </c>
      <c r="R337">
        <f t="shared" si="493"/>
        <v>59.2</v>
      </c>
      <c r="S337">
        <f t="shared" si="494"/>
        <v>65.099999999999994</v>
      </c>
      <c r="V337" s="6">
        <f t="shared" si="495"/>
        <v>45427.25</v>
      </c>
      <c r="W337">
        <f t="shared" si="496"/>
        <v>18.8</v>
      </c>
      <c r="X337">
        <f t="shared" si="497"/>
        <v>23.8</v>
      </c>
      <c r="Y337">
        <f t="shared" si="498"/>
        <v>16.100000000000001</v>
      </c>
      <c r="Z337">
        <f t="shared" si="499"/>
        <v>19.8</v>
      </c>
      <c r="BA337" t="s">
        <v>6</v>
      </c>
    </row>
    <row r="338" spans="1:53" x14ac:dyDescent="0.2">
      <c r="A338" s="1">
        <v>45427</v>
      </c>
      <c r="B338" s="2">
        <v>0.29166666666666669</v>
      </c>
      <c r="C338" s="6">
        <v>45427.291666666664</v>
      </c>
      <c r="D338">
        <v>61.5</v>
      </c>
      <c r="E338">
        <v>67.2</v>
      </c>
      <c r="F338">
        <v>57.8</v>
      </c>
      <c r="G338" t="s">
        <v>6</v>
      </c>
      <c r="H338">
        <v>18</v>
      </c>
      <c r="I338">
        <v>25.5</v>
      </c>
      <c r="J338">
        <v>15.4</v>
      </c>
      <c r="K338" t="s">
        <v>6</v>
      </c>
      <c r="L338">
        <v>224</v>
      </c>
      <c r="M338" t="s">
        <v>6</v>
      </c>
      <c r="O338" s="6">
        <f t="shared" si="490"/>
        <v>45427.291666666664</v>
      </c>
      <c r="P338">
        <f t="shared" si="491"/>
        <v>61.5</v>
      </c>
      <c r="Q338">
        <f t="shared" si="492"/>
        <v>67.2</v>
      </c>
      <c r="R338">
        <f t="shared" si="493"/>
        <v>57.8</v>
      </c>
      <c r="S338">
        <f t="shared" si="494"/>
        <v>62.5</v>
      </c>
      <c r="V338" s="6">
        <f t="shared" si="495"/>
        <v>45427.291666666664</v>
      </c>
      <c r="W338">
        <f t="shared" si="496"/>
        <v>18</v>
      </c>
      <c r="X338">
        <f t="shared" si="497"/>
        <v>25.5</v>
      </c>
      <c r="Y338">
        <f t="shared" si="498"/>
        <v>15.4</v>
      </c>
      <c r="Z338">
        <f t="shared" si="499"/>
        <v>19</v>
      </c>
      <c r="BA338" t="s">
        <v>6</v>
      </c>
    </row>
    <row r="339" spans="1:53" x14ac:dyDescent="0.2">
      <c r="A339" s="14">
        <v>45427</v>
      </c>
      <c r="B339" s="7">
        <v>0.33333333333333331</v>
      </c>
      <c r="C339" s="8">
        <v>45427.333333333336</v>
      </c>
      <c r="D339" s="9">
        <v>61.5</v>
      </c>
      <c r="E339" s="9">
        <v>82.2</v>
      </c>
      <c r="F339" s="9">
        <v>48.6</v>
      </c>
      <c r="G339" s="9" t="s">
        <v>6</v>
      </c>
      <c r="H339" s="9">
        <v>18.899999999999999</v>
      </c>
      <c r="I339" s="9">
        <v>22.5</v>
      </c>
      <c r="J339" s="9">
        <v>14.7</v>
      </c>
      <c r="K339" s="9" t="s">
        <v>6</v>
      </c>
      <c r="L339" s="9">
        <v>182</v>
      </c>
      <c r="M339" t="s">
        <v>6</v>
      </c>
      <c r="O339" s="6">
        <f t="shared" si="490"/>
        <v>45427.333333333336</v>
      </c>
      <c r="P339">
        <f t="shared" si="491"/>
        <v>61.5</v>
      </c>
      <c r="Q339">
        <f t="shared" si="492"/>
        <v>82.2</v>
      </c>
      <c r="R339">
        <f t="shared" si="493"/>
        <v>48.6</v>
      </c>
      <c r="S339">
        <f t="shared" si="494"/>
        <v>62.5</v>
      </c>
      <c r="V339" s="6">
        <f t="shared" si="495"/>
        <v>45427.333333333336</v>
      </c>
      <c r="W339">
        <f t="shared" si="496"/>
        <v>18.899999999999999</v>
      </c>
      <c r="X339">
        <f t="shared" si="497"/>
        <v>22.5</v>
      </c>
      <c r="Y339">
        <f t="shared" si="498"/>
        <v>14.7</v>
      </c>
      <c r="Z339">
        <f t="shared" si="499"/>
        <v>19.899999999999999</v>
      </c>
      <c r="BA339" t="s">
        <v>6</v>
      </c>
    </row>
    <row r="340" spans="1:53" x14ac:dyDescent="0.2">
      <c r="A340" s="13">
        <v>45427</v>
      </c>
      <c r="B340" s="3">
        <v>0.375</v>
      </c>
      <c r="C340" s="4">
        <v>45427.375</v>
      </c>
      <c r="D340" s="5">
        <v>74.900000000000006</v>
      </c>
      <c r="E340" s="5">
        <v>83.9</v>
      </c>
      <c r="F340" s="5">
        <v>64.599999999999994</v>
      </c>
      <c r="G340" s="5" t="s">
        <v>6</v>
      </c>
      <c r="H340" s="5">
        <v>18.899999999999999</v>
      </c>
      <c r="I340" s="5">
        <v>26.8</v>
      </c>
      <c r="J340" s="5">
        <v>16.2</v>
      </c>
      <c r="K340" s="5" t="s">
        <v>6</v>
      </c>
      <c r="L340" s="5">
        <v>227</v>
      </c>
      <c r="M340" t="s">
        <v>6</v>
      </c>
      <c r="O340" s="6">
        <f t="shared" si="490"/>
        <v>45427.375</v>
      </c>
      <c r="P340">
        <f t="shared" si="491"/>
        <v>74.900000000000006</v>
      </c>
      <c r="Q340">
        <f t="shared" si="492"/>
        <v>83.9</v>
      </c>
      <c r="R340">
        <f t="shared" si="493"/>
        <v>64.599999999999994</v>
      </c>
      <c r="S340">
        <f t="shared" si="494"/>
        <v>75.900000000000006</v>
      </c>
      <c r="V340" s="6">
        <f t="shared" si="495"/>
        <v>45427.375</v>
      </c>
      <c r="W340">
        <f t="shared" si="496"/>
        <v>18.899999999999999</v>
      </c>
      <c r="X340">
        <f t="shared" si="497"/>
        <v>26.8</v>
      </c>
      <c r="Y340">
        <f t="shared" si="498"/>
        <v>16.2</v>
      </c>
      <c r="Z340">
        <f t="shared" si="499"/>
        <v>19.899999999999999</v>
      </c>
      <c r="BA340" t="s">
        <v>6</v>
      </c>
    </row>
    <row r="341" spans="1:53" x14ac:dyDescent="0.2">
      <c r="A341" s="1">
        <v>45427</v>
      </c>
      <c r="B341" s="2">
        <v>0.41666666666666669</v>
      </c>
      <c r="C341" s="6">
        <v>45427.416666666664</v>
      </c>
      <c r="D341">
        <v>65.900000000000006</v>
      </c>
      <c r="E341">
        <v>74.2</v>
      </c>
      <c r="F341">
        <v>57.5</v>
      </c>
      <c r="G341" t="s">
        <v>6</v>
      </c>
      <c r="H341">
        <v>18.8</v>
      </c>
      <c r="I341">
        <v>25</v>
      </c>
      <c r="J341">
        <v>15.5</v>
      </c>
      <c r="K341" t="s">
        <v>6</v>
      </c>
      <c r="L341">
        <v>228</v>
      </c>
      <c r="M341" t="s">
        <v>6</v>
      </c>
      <c r="O341" s="6">
        <f t="shared" si="490"/>
        <v>45427.416666666664</v>
      </c>
      <c r="P341">
        <f t="shared" si="491"/>
        <v>65.900000000000006</v>
      </c>
      <c r="Q341">
        <f t="shared" si="492"/>
        <v>74.2</v>
      </c>
      <c r="R341">
        <f t="shared" si="493"/>
        <v>57.5</v>
      </c>
      <c r="S341">
        <f t="shared" si="494"/>
        <v>66.900000000000006</v>
      </c>
      <c r="V341" s="6">
        <f t="shared" si="495"/>
        <v>45427.416666666664</v>
      </c>
      <c r="W341">
        <f t="shared" si="496"/>
        <v>18.8</v>
      </c>
      <c r="X341">
        <f t="shared" si="497"/>
        <v>25</v>
      </c>
      <c r="Y341">
        <f t="shared" si="498"/>
        <v>15.5</v>
      </c>
      <c r="Z341">
        <f t="shared" si="499"/>
        <v>19.8</v>
      </c>
      <c r="BA341" t="s">
        <v>6</v>
      </c>
    </row>
    <row r="342" spans="1:53" x14ac:dyDescent="0.2">
      <c r="A342" s="1">
        <v>45427</v>
      </c>
      <c r="B342" s="2">
        <v>0.45833333333333331</v>
      </c>
      <c r="C342" s="6">
        <v>45427.458333333336</v>
      </c>
      <c r="D342">
        <v>62.6</v>
      </c>
      <c r="E342">
        <v>67.8</v>
      </c>
      <c r="F342">
        <v>59.2</v>
      </c>
      <c r="G342" t="s">
        <v>6</v>
      </c>
      <c r="H342">
        <v>19</v>
      </c>
      <c r="I342">
        <v>22.9</v>
      </c>
      <c r="J342">
        <v>15.5</v>
      </c>
      <c r="K342" t="s">
        <v>6</v>
      </c>
      <c r="L342">
        <v>227</v>
      </c>
      <c r="M342" t="s">
        <v>6</v>
      </c>
      <c r="O342" s="6">
        <f t="shared" si="490"/>
        <v>45427.458333333336</v>
      </c>
      <c r="P342">
        <f t="shared" si="491"/>
        <v>62.6</v>
      </c>
      <c r="Q342">
        <f t="shared" si="492"/>
        <v>67.8</v>
      </c>
      <c r="R342">
        <f t="shared" si="493"/>
        <v>59.2</v>
      </c>
      <c r="S342">
        <f t="shared" si="494"/>
        <v>63.6</v>
      </c>
      <c r="V342" s="6">
        <f t="shared" si="495"/>
        <v>45427.458333333336</v>
      </c>
      <c r="W342">
        <f t="shared" si="496"/>
        <v>19</v>
      </c>
      <c r="X342">
        <f t="shared" si="497"/>
        <v>22.9</v>
      </c>
      <c r="Y342">
        <f t="shared" si="498"/>
        <v>15.5</v>
      </c>
      <c r="Z342">
        <f t="shared" si="499"/>
        <v>20</v>
      </c>
      <c r="BA342" t="s">
        <v>6</v>
      </c>
    </row>
    <row r="343" spans="1:53" x14ac:dyDescent="0.2">
      <c r="A343" s="1">
        <v>45427</v>
      </c>
      <c r="B343" s="2">
        <v>0.5</v>
      </c>
      <c r="C343" s="6">
        <v>45427.5</v>
      </c>
      <c r="D343">
        <v>57.1</v>
      </c>
      <c r="E343">
        <v>62.5</v>
      </c>
      <c r="F343">
        <v>54.2</v>
      </c>
      <c r="G343" t="s">
        <v>6</v>
      </c>
      <c r="H343">
        <v>19.7</v>
      </c>
      <c r="I343">
        <v>23.6</v>
      </c>
      <c r="J343">
        <v>14.5</v>
      </c>
      <c r="K343" t="s">
        <v>6</v>
      </c>
      <c r="L343">
        <v>176</v>
      </c>
      <c r="M343" t="s">
        <v>6</v>
      </c>
      <c r="O343" s="6">
        <f t="shared" si="490"/>
        <v>45427.5</v>
      </c>
      <c r="P343">
        <f t="shared" si="491"/>
        <v>57.1</v>
      </c>
      <c r="Q343">
        <f t="shared" si="492"/>
        <v>62.5</v>
      </c>
      <c r="R343">
        <f t="shared" si="493"/>
        <v>54.2</v>
      </c>
      <c r="S343">
        <f t="shared" si="494"/>
        <v>58.1</v>
      </c>
      <c r="V343" s="6">
        <f t="shared" si="495"/>
        <v>45427.5</v>
      </c>
      <c r="W343">
        <f t="shared" si="496"/>
        <v>19.7</v>
      </c>
      <c r="X343">
        <f t="shared" si="497"/>
        <v>23.6</v>
      </c>
      <c r="Y343">
        <f t="shared" si="498"/>
        <v>14.5</v>
      </c>
      <c r="Z343">
        <f t="shared" si="499"/>
        <v>20.7</v>
      </c>
      <c r="BA343" t="s">
        <v>6</v>
      </c>
    </row>
    <row r="344" spans="1:53" x14ac:dyDescent="0.2">
      <c r="A344" s="1">
        <v>45427</v>
      </c>
      <c r="B344" s="2">
        <v>0.54166666666666663</v>
      </c>
      <c r="C344" s="6">
        <v>45427.541666666664</v>
      </c>
      <c r="D344">
        <v>59.1</v>
      </c>
      <c r="E344">
        <v>66.900000000000006</v>
      </c>
      <c r="F344">
        <v>52.7</v>
      </c>
      <c r="G344" t="s">
        <v>6</v>
      </c>
      <c r="H344">
        <v>19.3</v>
      </c>
      <c r="I344">
        <v>22.3</v>
      </c>
      <c r="J344">
        <v>16</v>
      </c>
      <c r="K344" t="s">
        <v>6</v>
      </c>
      <c r="L344">
        <v>214</v>
      </c>
      <c r="M344" t="s">
        <v>6</v>
      </c>
      <c r="O344" s="6">
        <f t="shared" si="490"/>
        <v>45427.541666666664</v>
      </c>
      <c r="P344">
        <f t="shared" si="491"/>
        <v>59.1</v>
      </c>
      <c r="Q344">
        <f t="shared" si="492"/>
        <v>66.900000000000006</v>
      </c>
      <c r="R344">
        <f t="shared" si="493"/>
        <v>52.7</v>
      </c>
      <c r="S344">
        <f t="shared" si="494"/>
        <v>60.1</v>
      </c>
      <c r="V344" s="6">
        <f t="shared" si="495"/>
        <v>45427.541666666664</v>
      </c>
      <c r="W344">
        <f t="shared" si="496"/>
        <v>19.3</v>
      </c>
      <c r="X344">
        <f t="shared" si="497"/>
        <v>22.3</v>
      </c>
      <c r="Y344">
        <f t="shared" si="498"/>
        <v>16</v>
      </c>
      <c r="Z344">
        <f t="shared" si="499"/>
        <v>20.3</v>
      </c>
      <c r="BA344" t="s">
        <v>6</v>
      </c>
    </row>
    <row r="345" spans="1:53" x14ac:dyDescent="0.2">
      <c r="A345" s="1">
        <v>45427</v>
      </c>
      <c r="B345" s="2">
        <v>0.58333333333333337</v>
      </c>
      <c r="C345" s="6">
        <v>45427.583333333336</v>
      </c>
      <c r="D345">
        <v>63.4</v>
      </c>
      <c r="E345">
        <v>69.2</v>
      </c>
      <c r="F345">
        <v>56.4</v>
      </c>
      <c r="G345" t="s">
        <v>6</v>
      </c>
      <c r="H345">
        <v>20.399999999999999</v>
      </c>
      <c r="I345">
        <v>23.6</v>
      </c>
      <c r="J345">
        <v>14.8</v>
      </c>
      <c r="K345" t="s">
        <v>6</v>
      </c>
      <c r="L345">
        <v>220</v>
      </c>
      <c r="M345" t="s">
        <v>6</v>
      </c>
      <c r="O345" s="6">
        <f t="shared" si="490"/>
        <v>45427.583333333336</v>
      </c>
      <c r="P345">
        <f t="shared" si="491"/>
        <v>63.4</v>
      </c>
      <c r="Q345">
        <f t="shared" si="492"/>
        <v>69.2</v>
      </c>
      <c r="R345">
        <f t="shared" si="493"/>
        <v>56.4</v>
      </c>
      <c r="S345">
        <f t="shared" si="494"/>
        <v>64.400000000000006</v>
      </c>
      <c r="V345" s="6">
        <f t="shared" si="495"/>
        <v>45427.583333333336</v>
      </c>
      <c r="W345">
        <f t="shared" si="496"/>
        <v>20.399999999999999</v>
      </c>
      <c r="X345">
        <f t="shared" si="497"/>
        <v>23.6</v>
      </c>
      <c r="Y345">
        <f t="shared" si="498"/>
        <v>14.8</v>
      </c>
      <c r="Z345">
        <f t="shared" si="499"/>
        <v>21.4</v>
      </c>
      <c r="BA345" t="s">
        <v>6</v>
      </c>
    </row>
    <row r="346" spans="1:53" x14ac:dyDescent="0.2">
      <c r="A346" s="1">
        <v>45427</v>
      </c>
      <c r="B346" s="2">
        <v>0.625</v>
      </c>
      <c r="C346" s="6">
        <v>45427.625</v>
      </c>
      <c r="D346">
        <v>59.4</v>
      </c>
      <c r="E346">
        <v>65</v>
      </c>
      <c r="F346">
        <v>53.7</v>
      </c>
      <c r="G346" t="s">
        <v>6</v>
      </c>
      <c r="H346">
        <v>20</v>
      </c>
      <c r="I346">
        <v>23.7</v>
      </c>
      <c r="J346">
        <v>17.7</v>
      </c>
      <c r="K346" t="s">
        <v>6</v>
      </c>
      <c r="L346">
        <v>211</v>
      </c>
      <c r="M346" t="s">
        <v>6</v>
      </c>
      <c r="O346" s="6">
        <f t="shared" si="490"/>
        <v>45427.625</v>
      </c>
      <c r="P346">
        <f t="shared" si="491"/>
        <v>59.4</v>
      </c>
      <c r="Q346">
        <f t="shared" si="492"/>
        <v>65</v>
      </c>
      <c r="R346">
        <f t="shared" si="493"/>
        <v>53.7</v>
      </c>
      <c r="S346">
        <f t="shared" si="494"/>
        <v>60.4</v>
      </c>
      <c r="V346" s="6">
        <f t="shared" si="495"/>
        <v>45427.625</v>
      </c>
      <c r="W346">
        <f t="shared" si="496"/>
        <v>20</v>
      </c>
      <c r="X346">
        <f t="shared" si="497"/>
        <v>23.7</v>
      </c>
      <c r="Y346">
        <f t="shared" si="498"/>
        <v>17.7</v>
      </c>
      <c r="Z346">
        <f t="shared" si="499"/>
        <v>21</v>
      </c>
      <c r="BA346" t="s">
        <v>6</v>
      </c>
    </row>
    <row r="347" spans="1:53" x14ac:dyDescent="0.2">
      <c r="A347" s="1">
        <v>45427</v>
      </c>
      <c r="B347" s="2">
        <v>0.66666666666666663</v>
      </c>
      <c r="C347" s="6">
        <v>45427.666666666664</v>
      </c>
      <c r="D347">
        <v>56.5</v>
      </c>
      <c r="E347">
        <v>59.8</v>
      </c>
      <c r="F347">
        <v>54.1</v>
      </c>
      <c r="G347" t="s">
        <v>6</v>
      </c>
      <c r="H347">
        <v>20.7</v>
      </c>
      <c r="I347">
        <v>23.9</v>
      </c>
      <c r="J347">
        <v>15.9</v>
      </c>
      <c r="K347" t="s">
        <v>6</v>
      </c>
      <c r="L347">
        <v>210</v>
      </c>
      <c r="M347" t="s">
        <v>6</v>
      </c>
      <c r="O347" s="6">
        <f t="shared" si="490"/>
        <v>45427.666666666664</v>
      </c>
      <c r="P347">
        <f t="shared" si="491"/>
        <v>56.5</v>
      </c>
      <c r="Q347">
        <f t="shared" si="492"/>
        <v>59.8</v>
      </c>
      <c r="R347">
        <f t="shared" si="493"/>
        <v>54.1</v>
      </c>
      <c r="S347">
        <f t="shared" si="494"/>
        <v>57.5</v>
      </c>
      <c r="V347" s="6">
        <f t="shared" si="495"/>
        <v>45427.666666666664</v>
      </c>
      <c r="W347">
        <f t="shared" si="496"/>
        <v>20.7</v>
      </c>
      <c r="X347">
        <f t="shared" si="497"/>
        <v>23.9</v>
      </c>
      <c r="Y347">
        <f t="shared" si="498"/>
        <v>15.9</v>
      </c>
      <c r="Z347">
        <f t="shared" si="499"/>
        <v>21.7</v>
      </c>
      <c r="BA347" t="s">
        <v>6</v>
      </c>
    </row>
    <row r="348" spans="1:53" x14ac:dyDescent="0.2">
      <c r="A348" s="1">
        <v>45427</v>
      </c>
      <c r="B348" s="2">
        <v>0.70833333333333337</v>
      </c>
      <c r="C348" s="6">
        <v>45427.708333333336</v>
      </c>
      <c r="D348">
        <v>53.5</v>
      </c>
      <c r="E348">
        <v>57.6</v>
      </c>
      <c r="F348">
        <v>48.5</v>
      </c>
      <c r="G348" t="s">
        <v>6</v>
      </c>
      <c r="H348">
        <v>22.1</v>
      </c>
      <c r="I348">
        <v>26.7</v>
      </c>
      <c r="J348">
        <v>17.8</v>
      </c>
      <c r="K348" t="s">
        <v>6</v>
      </c>
      <c r="L348">
        <v>189</v>
      </c>
      <c r="M348" t="s">
        <v>6</v>
      </c>
      <c r="O348" s="6">
        <f t="shared" si="490"/>
        <v>45427.708333333336</v>
      </c>
      <c r="P348">
        <f t="shared" si="491"/>
        <v>53.5</v>
      </c>
      <c r="Q348">
        <f t="shared" si="492"/>
        <v>57.6</v>
      </c>
      <c r="R348">
        <f t="shared" si="493"/>
        <v>48.5</v>
      </c>
      <c r="S348">
        <f t="shared" si="494"/>
        <v>54.5</v>
      </c>
      <c r="V348" s="6">
        <f t="shared" si="495"/>
        <v>45427.708333333336</v>
      </c>
      <c r="W348">
        <f t="shared" si="496"/>
        <v>22.1</v>
      </c>
      <c r="X348">
        <f t="shared" si="497"/>
        <v>26.7</v>
      </c>
      <c r="Y348">
        <f t="shared" si="498"/>
        <v>17.8</v>
      </c>
      <c r="Z348">
        <f t="shared" si="499"/>
        <v>23.1</v>
      </c>
      <c r="BA348" t="s">
        <v>6</v>
      </c>
    </row>
    <row r="349" spans="1:53" x14ac:dyDescent="0.2">
      <c r="A349" s="1">
        <v>45427</v>
      </c>
      <c r="B349" s="2">
        <v>0.75</v>
      </c>
      <c r="C349" s="6">
        <v>45427.75</v>
      </c>
      <c r="D349">
        <v>51.4</v>
      </c>
      <c r="E349">
        <v>56.3</v>
      </c>
      <c r="F349">
        <v>46.8</v>
      </c>
      <c r="G349" t="s">
        <v>6</v>
      </c>
      <c r="H349">
        <v>21.4</v>
      </c>
      <c r="I349">
        <v>26.5</v>
      </c>
      <c r="J349">
        <v>15.7</v>
      </c>
      <c r="K349" t="s">
        <v>6</v>
      </c>
      <c r="L349">
        <v>205</v>
      </c>
      <c r="M349" t="s">
        <v>6</v>
      </c>
      <c r="O349" s="6">
        <f t="shared" si="490"/>
        <v>45427.75</v>
      </c>
      <c r="P349">
        <f t="shared" si="491"/>
        <v>51.4</v>
      </c>
      <c r="Q349">
        <f t="shared" si="492"/>
        <v>56.3</v>
      </c>
      <c r="R349">
        <f t="shared" si="493"/>
        <v>46.8</v>
      </c>
      <c r="S349">
        <f t="shared" si="494"/>
        <v>52.4</v>
      </c>
      <c r="V349" s="6">
        <f t="shared" si="495"/>
        <v>45427.75</v>
      </c>
      <c r="W349">
        <f t="shared" si="496"/>
        <v>21.4</v>
      </c>
      <c r="X349">
        <f t="shared" si="497"/>
        <v>26.5</v>
      </c>
      <c r="Y349">
        <f t="shared" si="498"/>
        <v>15.7</v>
      </c>
      <c r="Z349">
        <f t="shared" si="499"/>
        <v>22.4</v>
      </c>
      <c r="BA349" t="s">
        <v>6</v>
      </c>
    </row>
    <row r="350" spans="1:53" x14ac:dyDescent="0.2">
      <c r="A350" s="1">
        <v>45427</v>
      </c>
      <c r="B350" s="2">
        <v>0.79166666666666663</v>
      </c>
      <c r="C350" s="6">
        <v>45427.791666666664</v>
      </c>
      <c r="D350">
        <v>58.6</v>
      </c>
      <c r="E350">
        <v>64.400000000000006</v>
      </c>
      <c r="F350">
        <v>52.8</v>
      </c>
      <c r="G350" t="s">
        <v>6</v>
      </c>
      <c r="H350">
        <v>20.7</v>
      </c>
      <c r="I350">
        <v>23.2</v>
      </c>
      <c r="J350">
        <v>17.7</v>
      </c>
      <c r="K350" t="s">
        <v>6</v>
      </c>
      <c r="L350">
        <v>220</v>
      </c>
      <c r="M350" t="s">
        <v>6</v>
      </c>
      <c r="O350" s="6">
        <f t="shared" si="490"/>
        <v>45427.791666666664</v>
      </c>
      <c r="P350">
        <f t="shared" si="491"/>
        <v>58.6</v>
      </c>
      <c r="Q350">
        <f t="shared" si="492"/>
        <v>64.400000000000006</v>
      </c>
      <c r="R350">
        <f t="shared" si="493"/>
        <v>52.8</v>
      </c>
      <c r="S350">
        <f t="shared" si="494"/>
        <v>59.6</v>
      </c>
      <c r="V350" s="6">
        <f t="shared" si="495"/>
        <v>45427.791666666664</v>
      </c>
      <c r="W350">
        <f t="shared" si="496"/>
        <v>20.7</v>
      </c>
      <c r="X350">
        <f t="shared" si="497"/>
        <v>23.2</v>
      </c>
      <c r="Y350">
        <f t="shared" si="498"/>
        <v>17.7</v>
      </c>
      <c r="Z350">
        <f t="shared" si="499"/>
        <v>21.7</v>
      </c>
      <c r="BA350" t="s">
        <v>6</v>
      </c>
    </row>
    <row r="351" spans="1:53" x14ac:dyDescent="0.2">
      <c r="A351" s="1">
        <v>45427</v>
      </c>
      <c r="B351" s="2">
        <v>0.83333333333333337</v>
      </c>
      <c r="C351" s="6">
        <v>45427.833333333336</v>
      </c>
      <c r="D351">
        <v>58.9</v>
      </c>
      <c r="E351">
        <v>64.099999999999994</v>
      </c>
      <c r="F351">
        <v>54.5</v>
      </c>
      <c r="G351" t="s">
        <v>6</v>
      </c>
      <c r="H351">
        <v>21.5</v>
      </c>
      <c r="I351">
        <v>26</v>
      </c>
      <c r="J351">
        <v>17</v>
      </c>
      <c r="K351" t="s">
        <v>6</v>
      </c>
      <c r="L351">
        <v>215</v>
      </c>
      <c r="M351" t="s">
        <v>6</v>
      </c>
      <c r="O351" s="6">
        <f t="shared" si="490"/>
        <v>45427.833333333336</v>
      </c>
      <c r="P351">
        <f t="shared" si="491"/>
        <v>58.9</v>
      </c>
      <c r="Q351">
        <f t="shared" si="492"/>
        <v>64.099999999999994</v>
      </c>
      <c r="R351">
        <f t="shared" si="493"/>
        <v>54.5</v>
      </c>
      <c r="S351">
        <f t="shared" si="494"/>
        <v>59.9</v>
      </c>
      <c r="V351" s="6">
        <f t="shared" si="495"/>
        <v>45427.833333333336</v>
      </c>
      <c r="W351">
        <f t="shared" si="496"/>
        <v>21.5</v>
      </c>
      <c r="X351">
        <f t="shared" si="497"/>
        <v>26</v>
      </c>
      <c r="Y351">
        <f t="shared" si="498"/>
        <v>17</v>
      </c>
      <c r="Z351">
        <f t="shared" si="499"/>
        <v>22.5</v>
      </c>
      <c r="BA351" t="s">
        <v>6</v>
      </c>
    </row>
    <row r="352" spans="1:53" x14ac:dyDescent="0.2">
      <c r="A352" s="1">
        <v>45427</v>
      </c>
      <c r="B352" s="2">
        <v>0.875</v>
      </c>
      <c r="C352" s="6">
        <v>45427.875</v>
      </c>
      <c r="D352">
        <v>58.4</v>
      </c>
      <c r="E352">
        <v>65.8</v>
      </c>
      <c r="F352">
        <v>53.5</v>
      </c>
      <c r="G352" t="s">
        <v>6</v>
      </c>
      <c r="H352">
        <v>22</v>
      </c>
      <c r="I352">
        <v>25.5</v>
      </c>
      <c r="J352">
        <v>16.100000000000001</v>
      </c>
      <c r="K352" t="s">
        <v>6</v>
      </c>
      <c r="L352">
        <v>183</v>
      </c>
      <c r="M352" t="s">
        <v>6</v>
      </c>
      <c r="O352" s="6">
        <f t="shared" si="490"/>
        <v>45427.875</v>
      </c>
      <c r="P352">
        <f t="shared" si="491"/>
        <v>58.4</v>
      </c>
      <c r="Q352">
        <f t="shared" si="492"/>
        <v>65.8</v>
      </c>
      <c r="R352">
        <f t="shared" si="493"/>
        <v>53.5</v>
      </c>
      <c r="S352">
        <f t="shared" si="494"/>
        <v>59.4</v>
      </c>
      <c r="V352" s="6">
        <f t="shared" si="495"/>
        <v>45427.875</v>
      </c>
      <c r="W352">
        <f t="shared" si="496"/>
        <v>22</v>
      </c>
      <c r="X352">
        <f t="shared" si="497"/>
        <v>25.5</v>
      </c>
      <c r="Y352">
        <f t="shared" si="498"/>
        <v>16.100000000000001</v>
      </c>
      <c r="Z352">
        <f t="shared" si="499"/>
        <v>23</v>
      </c>
      <c r="BA352" t="s">
        <v>6</v>
      </c>
    </row>
    <row r="353" spans="1:53" x14ac:dyDescent="0.2">
      <c r="A353" s="1">
        <v>45427</v>
      </c>
      <c r="B353" s="2">
        <v>0.91666666666666663</v>
      </c>
      <c r="C353" s="6">
        <v>45427.916666666664</v>
      </c>
      <c r="D353">
        <v>63.2</v>
      </c>
      <c r="E353">
        <v>69.5</v>
      </c>
      <c r="F353">
        <v>56.4</v>
      </c>
      <c r="G353" t="s">
        <v>6</v>
      </c>
      <c r="H353">
        <v>22.6</v>
      </c>
      <c r="I353">
        <v>25.7</v>
      </c>
      <c r="J353">
        <v>19.5</v>
      </c>
      <c r="K353" t="s">
        <v>6</v>
      </c>
      <c r="L353">
        <v>210</v>
      </c>
      <c r="M353" t="s">
        <v>6</v>
      </c>
      <c r="O353" s="6">
        <f t="shared" si="490"/>
        <v>45427.916666666664</v>
      </c>
      <c r="P353">
        <f t="shared" si="491"/>
        <v>63.2</v>
      </c>
      <c r="Q353">
        <f t="shared" si="492"/>
        <v>69.5</v>
      </c>
      <c r="R353">
        <f t="shared" si="493"/>
        <v>56.4</v>
      </c>
      <c r="S353">
        <f t="shared" si="494"/>
        <v>64.2</v>
      </c>
      <c r="V353" s="6">
        <f t="shared" si="495"/>
        <v>45427.916666666664</v>
      </c>
      <c r="W353">
        <f t="shared" si="496"/>
        <v>22.6</v>
      </c>
      <c r="X353">
        <f t="shared" si="497"/>
        <v>25.7</v>
      </c>
      <c r="Y353">
        <f t="shared" si="498"/>
        <v>19.5</v>
      </c>
      <c r="Z353">
        <f t="shared" si="499"/>
        <v>23.6</v>
      </c>
      <c r="BA353" t="s">
        <v>6</v>
      </c>
    </row>
    <row r="354" spans="1:53" x14ac:dyDescent="0.2">
      <c r="A354" s="1">
        <v>45427</v>
      </c>
      <c r="B354" s="2">
        <v>0.95833333333333337</v>
      </c>
      <c r="C354" s="6">
        <v>45427.958333333336</v>
      </c>
      <c r="D354">
        <v>60.1</v>
      </c>
      <c r="E354">
        <v>66.599999999999994</v>
      </c>
      <c r="F354">
        <v>52.2</v>
      </c>
      <c r="G354" t="s">
        <v>6</v>
      </c>
      <c r="H354">
        <v>22.4</v>
      </c>
      <c r="I354">
        <v>25.1</v>
      </c>
      <c r="J354">
        <v>16.5</v>
      </c>
      <c r="K354" t="s">
        <v>6</v>
      </c>
      <c r="L354">
        <v>195</v>
      </c>
      <c r="M354" t="s">
        <v>6</v>
      </c>
      <c r="O354" s="6">
        <f t="shared" si="490"/>
        <v>45427.958333333336</v>
      </c>
      <c r="P354">
        <f t="shared" si="491"/>
        <v>60.1</v>
      </c>
      <c r="Q354">
        <f t="shared" si="492"/>
        <v>66.599999999999994</v>
      </c>
      <c r="R354">
        <f t="shared" si="493"/>
        <v>52.2</v>
      </c>
      <c r="S354">
        <f t="shared" si="494"/>
        <v>61.1</v>
      </c>
      <c r="V354" s="6">
        <f t="shared" si="495"/>
        <v>45427.958333333336</v>
      </c>
      <c r="W354">
        <f t="shared" si="496"/>
        <v>22.4</v>
      </c>
      <c r="X354">
        <f t="shared" si="497"/>
        <v>25.1</v>
      </c>
      <c r="Y354">
        <f t="shared" si="498"/>
        <v>16.5</v>
      </c>
      <c r="Z354">
        <f t="shared" si="499"/>
        <v>23.4</v>
      </c>
      <c r="BA354" t="s">
        <v>6</v>
      </c>
    </row>
    <row r="355" spans="1:53" x14ac:dyDescent="0.2">
      <c r="A355" s="1">
        <v>45428</v>
      </c>
      <c r="B355" s="2">
        <v>0</v>
      </c>
      <c r="C355" s="6">
        <v>45428</v>
      </c>
      <c r="D355">
        <v>58.3</v>
      </c>
      <c r="E355">
        <v>66.099999999999994</v>
      </c>
      <c r="F355">
        <v>51.3</v>
      </c>
      <c r="G355" t="s">
        <v>6</v>
      </c>
      <c r="H355">
        <v>23.1</v>
      </c>
      <c r="I355">
        <v>28</v>
      </c>
      <c r="J355">
        <v>17.600000000000001</v>
      </c>
      <c r="K355" t="s">
        <v>6</v>
      </c>
      <c r="L355">
        <v>216</v>
      </c>
      <c r="M355" t="s">
        <v>6</v>
      </c>
      <c r="O355" s="6">
        <f t="shared" si="490"/>
        <v>45428</v>
      </c>
      <c r="P355">
        <f t="shared" si="491"/>
        <v>58.3</v>
      </c>
      <c r="Q355">
        <f t="shared" si="492"/>
        <v>66.099999999999994</v>
      </c>
      <c r="R355">
        <f t="shared" si="493"/>
        <v>51.3</v>
      </c>
      <c r="S355">
        <f t="shared" si="494"/>
        <v>59.3</v>
      </c>
      <c r="V355" s="6">
        <f t="shared" si="495"/>
        <v>45428</v>
      </c>
      <c r="W355">
        <f t="shared" si="496"/>
        <v>23.1</v>
      </c>
      <c r="X355">
        <f t="shared" si="497"/>
        <v>28</v>
      </c>
      <c r="Y355">
        <f t="shared" si="498"/>
        <v>17.600000000000001</v>
      </c>
      <c r="Z355">
        <f t="shared" si="499"/>
        <v>24.1</v>
      </c>
      <c r="BA355" t="s">
        <v>6</v>
      </c>
    </row>
    <row r="356" spans="1:53" x14ac:dyDescent="0.2">
      <c r="A356" s="1">
        <v>45428</v>
      </c>
      <c r="B356" s="2">
        <v>4.1666666666666664E-2</v>
      </c>
      <c r="C356" s="6">
        <v>45428.041666666664</v>
      </c>
      <c r="D356">
        <v>60.9</v>
      </c>
      <c r="E356">
        <v>65.099999999999994</v>
      </c>
      <c r="F356">
        <v>56.3</v>
      </c>
      <c r="G356" t="s">
        <v>6</v>
      </c>
      <c r="H356">
        <v>20.7</v>
      </c>
      <c r="I356">
        <v>24.4</v>
      </c>
      <c r="J356">
        <v>14.7</v>
      </c>
      <c r="K356" t="s">
        <v>6</v>
      </c>
      <c r="L356">
        <v>219</v>
      </c>
      <c r="M356" t="s">
        <v>6</v>
      </c>
      <c r="O356" s="6">
        <f t="shared" si="490"/>
        <v>45428.041666666664</v>
      </c>
      <c r="P356">
        <f t="shared" si="491"/>
        <v>60.9</v>
      </c>
      <c r="Q356">
        <f t="shared" si="492"/>
        <v>65.099999999999994</v>
      </c>
      <c r="R356">
        <f t="shared" si="493"/>
        <v>56.3</v>
      </c>
      <c r="S356">
        <f t="shared" si="494"/>
        <v>61.9</v>
      </c>
      <c r="V356" s="6">
        <f t="shared" si="495"/>
        <v>45428.041666666664</v>
      </c>
      <c r="W356">
        <f t="shared" si="496"/>
        <v>20.7</v>
      </c>
      <c r="X356">
        <f t="shared" si="497"/>
        <v>24.4</v>
      </c>
      <c r="Y356">
        <f t="shared" si="498"/>
        <v>14.7</v>
      </c>
      <c r="Z356">
        <f t="shared" si="499"/>
        <v>21.7</v>
      </c>
      <c r="BA356" t="s">
        <v>6</v>
      </c>
    </row>
    <row r="357" spans="1:53" x14ac:dyDescent="0.2">
      <c r="A357" s="1">
        <v>45428</v>
      </c>
      <c r="B357" s="2">
        <v>8.3333333333333329E-2</v>
      </c>
      <c r="C357" s="6">
        <v>45428.083333333336</v>
      </c>
      <c r="D357">
        <v>58.6</v>
      </c>
      <c r="E357">
        <v>64.3</v>
      </c>
      <c r="F357">
        <v>49</v>
      </c>
      <c r="G357" t="s">
        <v>6</v>
      </c>
      <c r="H357">
        <v>19.899999999999999</v>
      </c>
      <c r="I357">
        <v>23.1</v>
      </c>
      <c r="J357">
        <v>16.2</v>
      </c>
      <c r="K357" t="s">
        <v>6</v>
      </c>
      <c r="L357">
        <v>213</v>
      </c>
      <c r="M357" t="s">
        <v>6</v>
      </c>
      <c r="O357" s="6">
        <f t="shared" si="490"/>
        <v>45428.083333333336</v>
      </c>
      <c r="P357">
        <f t="shared" si="491"/>
        <v>58.6</v>
      </c>
      <c r="Q357">
        <f t="shared" si="492"/>
        <v>64.3</v>
      </c>
      <c r="R357">
        <f t="shared" si="493"/>
        <v>49</v>
      </c>
      <c r="S357">
        <f t="shared" si="494"/>
        <v>59.6</v>
      </c>
      <c r="V357" s="6">
        <f t="shared" si="495"/>
        <v>45428.083333333336</v>
      </c>
      <c r="W357">
        <f t="shared" si="496"/>
        <v>19.899999999999999</v>
      </c>
      <c r="X357">
        <f t="shared" si="497"/>
        <v>23.1</v>
      </c>
      <c r="Y357">
        <f t="shared" si="498"/>
        <v>16.2</v>
      </c>
      <c r="Z357">
        <f t="shared" si="499"/>
        <v>20.9</v>
      </c>
      <c r="BA357" t="s">
        <v>6</v>
      </c>
    </row>
    <row r="358" spans="1:53" x14ac:dyDescent="0.2">
      <c r="A358" s="1">
        <v>45428</v>
      </c>
      <c r="B358" s="2">
        <v>0.125</v>
      </c>
      <c r="C358" s="6">
        <v>45428.125</v>
      </c>
      <c r="D358">
        <v>54.2</v>
      </c>
      <c r="E358">
        <v>60</v>
      </c>
      <c r="F358">
        <v>46.8</v>
      </c>
      <c r="G358" t="s">
        <v>6</v>
      </c>
      <c r="H358">
        <v>18.7</v>
      </c>
      <c r="I358">
        <v>24</v>
      </c>
      <c r="J358">
        <v>13</v>
      </c>
      <c r="K358" t="s">
        <v>6</v>
      </c>
      <c r="L358">
        <v>221</v>
      </c>
      <c r="M358" t="s">
        <v>6</v>
      </c>
      <c r="O358" s="6">
        <f t="shared" si="490"/>
        <v>45428.125</v>
      </c>
      <c r="P358">
        <f t="shared" si="491"/>
        <v>54.2</v>
      </c>
      <c r="Q358">
        <f t="shared" si="492"/>
        <v>60</v>
      </c>
      <c r="R358">
        <f t="shared" si="493"/>
        <v>46.8</v>
      </c>
      <c r="S358">
        <f t="shared" si="494"/>
        <v>55.2</v>
      </c>
      <c r="V358" s="6">
        <f t="shared" si="495"/>
        <v>45428.125</v>
      </c>
      <c r="W358">
        <f t="shared" si="496"/>
        <v>18.7</v>
      </c>
      <c r="X358">
        <f t="shared" si="497"/>
        <v>24</v>
      </c>
      <c r="Y358">
        <f t="shared" si="498"/>
        <v>13</v>
      </c>
      <c r="Z358">
        <f t="shared" si="499"/>
        <v>19.7</v>
      </c>
      <c r="BA358" t="s">
        <v>6</v>
      </c>
    </row>
    <row r="359" spans="1:53" x14ac:dyDescent="0.2">
      <c r="A359" s="1">
        <v>45428</v>
      </c>
      <c r="B359" s="2">
        <v>0.16666666666666666</v>
      </c>
      <c r="C359" s="6">
        <v>45428.166666666664</v>
      </c>
      <c r="D359">
        <v>56.3</v>
      </c>
      <c r="E359">
        <v>61.3</v>
      </c>
      <c r="F359">
        <v>49.9</v>
      </c>
      <c r="G359" t="s">
        <v>6</v>
      </c>
      <c r="H359">
        <v>19.3</v>
      </c>
      <c r="I359">
        <v>26.4</v>
      </c>
      <c r="J359">
        <v>16.3</v>
      </c>
      <c r="K359" t="s">
        <v>6</v>
      </c>
      <c r="L359">
        <v>188</v>
      </c>
      <c r="M359" t="s">
        <v>6</v>
      </c>
      <c r="O359" s="6">
        <f t="shared" si="490"/>
        <v>45428.166666666664</v>
      </c>
      <c r="P359">
        <f t="shared" si="491"/>
        <v>56.3</v>
      </c>
      <c r="Q359">
        <f t="shared" si="492"/>
        <v>61.3</v>
      </c>
      <c r="R359">
        <f t="shared" si="493"/>
        <v>49.9</v>
      </c>
      <c r="S359">
        <f t="shared" si="494"/>
        <v>57.3</v>
      </c>
      <c r="V359" s="6">
        <f t="shared" si="495"/>
        <v>45428.166666666664</v>
      </c>
      <c r="W359">
        <f t="shared" si="496"/>
        <v>19.3</v>
      </c>
      <c r="X359">
        <f t="shared" si="497"/>
        <v>26.4</v>
      </c>
      <c r="Y359">
        <f t="shared" si="498"/>
        <v>16.3</v>
      </c>
      <c r="Z359">
        <f t="shared" si="499"/>
        <v>20.3</v>
      </c>
      <c r="BA359" t="s">
        <v>6</v>
      </c>
    </row>
    <row r="360" spans="1:53" x14ac:dyDescent="0.2">
      <c r="A360" s="1">
        <v>45428</v>
      </c>
      <c r="B360" s="2">
        <v>0.20833333333333334</v>
      </c>
      <c r="C360" s="6">
        <v>45428.208333333336</v>
      </c>
      <c r="D360">
        <v>57.5</v>
      </c>
      <c r="E360">
        <v>62.5</v>
      </c>
      <c r="F360">
        <v>52.6</v>
      </c>
      <c r="G360" t="s">
        <v>6</v>
      </c>
      <c r="H360">
        <v>17.399999999999999</v>
      </c>
      <c r="I360">
        <v>22</v>
      </c>
      <c r="J360">
        <v>14.5</v>
      </c>
      <c r="K360" t="s">
        <v>6</v>
      </c>
      <c r="L360">
        <v>228</v>
      </c>
      <c r="M360" t="s">
        <v>6</v>
      </c>
      <c r="O360" s="6">
        <f t="shared" si="490"/>
        <v>45428.208333333336</v>
      </c>
      <c r="P360">
        <f t="shared" si="491"/>
        <v>57.5</v>
      </c>
      <c r="Q360">
        <f t="shared" si="492"/>
        <v>62.5</v>
      </c>
      <c r="R360">
        <f t="shared" si="493"/>
        <v>52.6</v>
      </c>
      <c r="S360">
        <f t="shared" si="494"/>
        <v>58.5</v>
      </c>
      <c r="V360" s="6">
        <f t="shared" si="495"/>
        <v>45428.208333333336</v>
      </c>
      <c r="W360">
        <f t="shared" si="496"/>
        <v>17.399999999999999</v>
      </c>
      <c r="X360">
        <f t="shared" si="497"/>
        <v>22</v>
      </c>
      <c r="Y360">
        <f t="shared" si="498"/>
        <v>14.5</v>
      </c>
      <c r="Z360">
        <f t="shared" si="499"/>
        <v>18.399999999999999</v>
      </c>
      <c r="BA360" t="s">
        <v>6</v>
      </c>
    </row>
    <row r="361" spans="1:53" x14ac:dyDescent="0.2">
      <c r="A361" s="1">
        <v>45428</v>
      </c>
      <c r="B361" s="2">
        <v>0.25</v>
      </c>
      <c r="C361" s="6">
        <v>45428.25</v>
      </c>
      <c r="D361">
        <v>59.4</v>
      </c>
      <c r="E361">
        <v>65.8</v>
      </c>
      <c r="F361">
        <v>52.8</v>
      </c>
      <c r="G361" t="s">
        <v>6</v>
      </c>
      <c r="H361">
        <v>17.2</v>
      </c>
      <c r="I361">
        <v>24.4</v>
      </c>
      <c r="J361">
        <v>15.1</v>
      </c>
      <c r="K361" t="s">
        <v>6</v>
      </c>
      <c r="L361">
        <v>220</v>
      </c>
      <c r="M361" t="s">
        <v>6</v>
      </c>
      <c r="O361" s="6">
        <f t="shared" si="490"/>
        <v>45428.25</v>
      </c>
      <c r="P361">
        <f t="shared" si="491"/>
        <v>59.4</v>
      </c>
      <c r="Q361">
        <f t="shared" si="492"/>
        <v>65.8</v>
      </c>
      <c r="R361">
        <f t="shared" si="493"/>
        <v>52.8</v>
      </c>
      <c r="S361">
        <f t="shared" si="494"/>
        <v>60.4</v>
      </c>
      <c r="V361" s="6">
        <f t="shared" si="495"/>
        <v>45428.25</v>
      </c>
      <c r="W361">
        <f t="shared" si="496"/>
        <v>17.2</v>
      </c>
      <c r="X361">
        <f t="shared" si="497"/>
        <v>24.4</v>
      </c>
      <c r="Y361">
        <f t="shared" si="498"/>
        <v>15.1</v>
      </c>
      <c r="Z361">
        <f t="shared" si="499"/>
        <v>18.2</v>
      </c>
      <c r="BA361" t="s">
        <v>6</v>
      </c>
    </row>
    <row r="362" spans="1:53" x14ac:dyDescent="0.2">
      <c r="A362" s="1">
        <v>45428</v>
      </c>
      <c r="B362" s="2">
        <v>0.29166666666666669</v>
      </c>
      <c r="C362" s="6">
        <v>45428.291666666664</v>
      </c>
      <c r="D362">
        <v>55.8</v>
      </c>
      <c r="E362">
        <v>61</v>
      </c>
      <c r="F362">
        <v>51</v>
      </c>
      <c r="G362" t="s">
        <v>6</v>
      </c>
      <c r="H362">
        <v>18.7</v>
      </c>
      <c r="I362">
        <v>21.8</v>
      </c>
      <c r="J362">
        <v>13.9</v>
      </c>
      <c r="K362" t="s">
        <v>6</v>
      </c>
      <c r="L362">
        <v>205</v>
      </c>
      <c r="M362" t="s">
        <v>6</v>
      </c>
      <c r="O362" s="6">
        <f t="shared" si="490"/>
        <v>45428.291666666664</v>
      </c>
      <c r="P362">
        <f t="shared" si="491"/>
        <v>55.8</v>
      </c>
      <c r="Q362">
        <f t="shared" si="492"/>
        <v>61</v>
      </c>
      <c r="R362">
        <f t="shared" si="493"/>
        <v>51</v>
      </c>
      <c r="S362">
        <f t="shared" si="494"/>
        <v>56.8</v>
      </c>
      <c r="V362" s="6">
        <f t="shared" si="495"/>
        <v>45428.291666666664</v>
      </c>
      <c r="W362">
        <f t="shared" si="496"/>
        <v>18.7</v>
      </c>
      <c r="X362">
        <f t="shared" si="497"/>
        <v>21.8</v>
      </c>
      <c r="Y362">
        <f t="shared" si="498"/>
        <v>13.9</v>
      </c>
      <c r="Z362">
        <f t="shared" si="499"/>
        <v>19.7</v>
      </c>
      <c r="BA362" t="s">
        <v>6</v>
      </c>
    </row>
    <row r="363" spans="1:53" x14ac:dyDescent="0.2">
      <c r="A363" s="14">
        <v>45428</v>
      </c>
      <c r="B363" s="7">
        <v>0.33333333333333331</v>
      </c>
      <c r="C363" s="8">
        <v>45428.333333333336</v>
      </c>
      <c r="D363" s="9">
        <v>59</v>
      </c>
      <c r="E363" s="9">
        <v>69.599999999999994</v>
      </c>
      <c r="F363" s="9">
        <v>51.8</v>
      </c>
      <c r="G363" s="9" t="s">
        <v>6</v>
      </c>
      <c r="H363" s="9">
        <v>17.8</v>
      </c>
      <c r="I363" s="9">
        <v>20.8</v>
      </c>
      <c r="J363" s="9">
        <v>13.8</v>
      </c>
      <c r="K363" s="9" t="s">
        <v>6</v>
      </c>
      <c r="L363" s="9">
        <v>221</v>
      </c>
      <c r="M363" t="s">
        <v>6</v>
      </c>
      <c r="O363" s="6">
        <f t="shared" si="490"/>
        <v>45428.333333333336</v>
      </c>
      <c r="P363">
        <f t="shared" si="491"/>
        <v>59</v>
      </c>
      <c r="Q363">
        <f t="shared" si="492"/>
        <v>69.599999999999994</v>
      </c>
      <c r="R363">
        <f t="shared" si="493"/>
        <v>51.8</v>
      </c>
      <c r="S363">
        <f t="shared" si="494"/>
        <v>60</v>
      </c>
      <c r="V363" s="6">
        <f t="shared" si="495"/>
        <v>45428.333333333336</v>
      </c>
      <c r="W363">
        <f t="shared" si="496"/>
        <v>17.8</v>
      </c>
      <c r="X363">
        <f t="shared" si="497"/>
        <v>20.8</v>
      </c>
      <c r="Y363">
        <f t="shared" si="498"/>
        <v>13.8</v>
      </c>
      <c r="Z363">
        <f t="shared" si="499"/>
        <v>18.8</v>
      </c>
      <c r="BA363" t="s">
        <v>6</v>
      </c>
    </row>
    <row r="364" spans="1:53" x14ac:dyDescent="0.2">
      <c r="A364" s="13">
        <v>45428</v>
      </c>
      <c r="B364" s="3">
        <v>0.375</v>
      </c>
      <c r="C364" s="4">
        <v>45428.375</v>
      </c>
      <c r="D364" s="5">
        <v>59.5</v>
      </c>
      <c r="E364" s="5">
        <v>64.3</v>
      </c>
      <c r="F364" s="5">
        <v>54.8</v>
      </c>
      <c r="G364" s="5" t="s">
        <v>6</v>
      </c>
      <c r="H364" s="5">
        <v>18</v>
      </c>
      <c r="I364" s="5">
        <v>24.5</v>
      </c>
      <c r="J364" s="5">
        <v>13.8</v>
      </c>
      <c r="K364" s="5" t="s">
        <v>6</v>
      </c>
      <c r="L364" s="5">
        <v>223</v>
      </c>
      <c r="M364" t="s">
        <v>6</v>
      </c>
      <c r="O364" s="6">
        <f t="shared" si="490"/>
        <v>45428.375</v>
      </c>
      <c r="P364">
        <f t="shared" si="491"/>
        <v>59.5</v>
      </c>
      <c r="Q364">
        <f t="shared" si="492"/>
        <v>64.3</v>
      </c>
      <c r="R364">
        <f t="shared" si="493"/>
        <v>54.8</v>
      </c>
      <c r="S364">
        <f t="shared" si="494"/>
        <v>60.5</v>
      </c>
      <c r="V364" s="6">
        <f t="shared" si="495"/>
        <v>45428.375</v>
      </c>
      <c r="W364">
        <f t="shared" si="496"/>
        <v>18</v>
      </c>
      <c r="X364">
        <f t="shared" si="497"/>
        <v>24.5</v>
      </c>
      <c r="Y364">
        <f t="shared" si="498"/>
        <v>13.8</v>
      </c>
      <c r="Z364">
        <f t="shared" si="499"/>
        <v>19</v>
      </c>
      <c r="BA364" t="s">
        <v>6</v>
      </c>
    </row>
    <row r="365" spans="1:53" x14ac:dyDescent="0.2">
      <c r="A365" s="1">
        <v>45428</v>
      </c>
      <c r="B365" s="2">
        <v>0.41666666666666669</v>
      </c>
      <c r="C365" s="6">
        <v>45428.416666666664</v>
      </c>
      <c r="D365">
        <v>59.2</v>
      </c>
      <c r="E365">
        <v>64.2</v>
      </c>
      <c r="F365">
        <v>54.5</v>
      </c>
      <c r="G365" t="s">
        <v>6</v>
      </c>
      <c r="H365">
        <v>18.899999999999999</v>
      </c>
      <c r="I365">
        <v>29.4</v>
      </c>
      <c r="J365">
        <v>15.1</v>
      </c>
      <c r="K365" t="s">
        <v>6</v>
      </c>
      <c r="L365">
        <v>217</v>
      </c>
      <c r="M365" t="s">
        <v>6</v>
      </c>
      <c r="O365" s="6">
        <f t="shared" si="490"/>
        <v>45428.416666666664</v>
      </c>
      <c r="P365">
        <f t="shared" si="491"/>
        <v>59.2</v>
      </c>
      <c r="Q365">
        <f t="shared" si="492"/>
        <v>64.2</v>
      </c>
      <c r="R365">
        <f t="shared" si="493"/>
        <v>54.5</v>
      </c>
      <c r="S365">
        <f t="shared" si="494"/>
        <v>60.2</v>
      </c>
      <c r="V365" s="6">
        <f t="shared" si="495"/>
        <v>45428.416666666664</v>
      </c>
      <c r="W365">
        <f t="shared" si="496"/>
        <v>18.899999999999999</v>
      </c>
      <c r="X365">
        <f t="shared" si="497"/>
        <v>29.4</v>
      </c>
      <c r="Y365">
        <f t="shared" si="498"/>
        <v>15.1</v>
      </c>
      <c r="Z365">
        <f t="shared" si="499"/>
        <v>19.899999999999999</v>
      </c>
      <c r="BA365" t="s">
        <v>6</v>
      </c>
    </row>
    <row r="366" spans="1:53" x14ac:dyDescent="0.2">
      <c r="A366" s="1">
        <v>45428</v>
      </c>
      <c r="B366" s="2">
        <v>0.45833333333333331</v>
      </c>
      <c r="C366" s="6">
        <v>45428.458333333336</v>
      </c>
      <c r="D366">
        <v>56.1</v>
      </c>
      <c r="E366">
        <v>59.5</v>
      </c>
      <c r="F366">
        <v>53.7</v>
      </c>
      <c r="G366" t="s">
        <v>6</v>
      </c>
      <c r="H366">
        <v>16.899999999999999</v>
      </c>
      <c r="I366">
        <v>21.7</v>
      </c>
      <c r="J366">
        <v>12.5</v>
      </c>
      <c r="K366" t="s">
        <v>6</v>
      </c>
      <c r="L366">
        <v>125</v>
      </c>
      <c r="M366" t="s">
        <v>6</v>
      </c>
      <c r="O366" s="6">
        <f t="shared" si="490"/>
        <v>45428.458333333336</v>
      </c>
      <c r="P366">
        <f t="shared" si="491"/>
        <v>56.1</v>
      </c>
      <c r="Q366">
        <f t="shared" si="492"/>
        <v>59.5</v>
      </c>
      <c r="R366">
        <f t="shared" si="493"/>
        <v>53.7</v>
      </c>
      <c r="S366">
        <f t="shared" si="494"/>
        <v>57.1</v>
      </c>
      <c r="V366" s="6">
        <f t="shared" si="495"/>
        <v>45428.458333333336</v>
      </c>
      <c r="W366">
        <f t="shared" si="496"/>
        <v>16.899999999999999</v>
      </c>
      <c r="X366">
        <f t="shared" si="497"/>
        <v>21.7</v>
      </c>
      <c r="Y366">
        <f t="shared" si="498"/>
        <v>12.5</v>
      </c>
      <c r="Z366">
        <f t="shared" si="499"/>
        <v>17.899999999999999</v>
      </c>
      <c r="BA366" t="s">
        <v>6</v>
      </c>
    </row>
    <row r="367" spans="1:53" x14ac:dyDescent="0.2">
      <c r="A367" s="1">
        <v>45428</v>
      </c>
      <c r="B367" s="2">
        <v>0.5</v>
      </c>
      <c r="C367" s="6">
        <v>45428.5</v>
      </c>
      <c r="D367">
        <v>57.2</v>
      </c>
      <c r="E367">
        <v>63.9</v>
      </c>
      <c r="F367">
        <v>54.1</v>
      </c>
      <c r="G367" t="s">
        <v>6</v>
      </c>
      <c r="H367">
        <v>18.399999999999999</v>
      </c>
      <c r="I367">
        <v>21.2</v>
      </c>
      <c r="J367">
        <v>14.9</v>
      </c>
      <c r="K367" t="s">
        <v>6</v>
      </c>
      <c r="L367">
        <v>178</v>
      </c>
      <c r="M367" t="s">
        <v>6</v>
      </c>
      <c r="O367" s="6">
        <f t="shared" si="490"/>
        <v>45428.5</v>
      </c>
      <c r="P367">
        <f t="shared" si="491"/>
        <v>57.2</v>
      </c>
      <c r="Q367">
        <f t="shared" si="492"/>
        <v>63.9</v>
      </c>
      <c r="R367">
        <f t="shared" si="493"/>
        <v>54.1</v>
      </c>
      <c r="S367">
        <f t="shared" si="494"/>
        <v>58.2</v>
      </c>
      <c r="V367" s="6">
        <f t="shared" si="495"/>
        <v>45428.5</v>
      </c>
      <c r="W367">
        <f t="shared" si="496"/>
        <v>18.399999999999999</v>
      </c>
      <c r="X367">
        <f t="shared" si="497"/>
        <v>21.2</v>
      </c>
      <c r="Y367">
        <f t="shared" si="498"/>
        <v>14.9</v>
      </c>
      <c r="Z367">
        <f t="shared" si="499"/>
        <v>19.399999999999999</v>
      </c>
      <c r="BA367" t="s">
        <v>6</v>
      </c>
    </row>
    <row r="368" spans="1:53" x14ac:dyDescent="0.2">
      <c r="A368" s="1">
        <v>45428</v>
      </c>
      <c r="B368" s="2">
        <v>0.54166666666666663</v>
      </c>
      <c r="C368" s="6">
        <v>45428.541666666664</v>
      </c>
      <c r="D368">
        <v>57.4</v>
      </c>
      <c r="E368">
        <v>62.7</v>
      </c>
      <c r="F368">
        <v>52.5</v>
      </c>
      <c r="G368" t="s">
        <v>6</v>
      </c>
      <c r="H368">
        <v>17.899999999999999</v>
      </c>
      <c r="I368">
        <v>24.8</v>
      </c>
      <c r="J368">
        <v>14.6</v>
      </c>
      <c r="K368" t="s">
        <v>6</v>
      </c>
      <c r="L368">
        <v>205</v>
      </c>
      <c r="M368" t="s">
        <v>6</v>
      </c>
      <c r="O368" s="6">
        <f t="shared" si="490"/>
        <v>45428.541666666664</v>
      </c>
      <c r="P368">
        <f t="shared" si="491"/>
        <v>57.4</v>
      </c>
      <c r="Q368">
        <f t="shared" si="492"/>
        <v>62.7</v>
      </c>
      <c r="R368">
        <f t="shared" si="493"/>
        <v>52.5</v>
      </c>
      <c r="S368">
        <f t="shared" si="494"/>
        <v>58.4</v>
      </c>
      <c r="V368" s="6">
        <f t="shared" si="495"/>
        <v>45428.541666666664</v>
      </c>
      <c r="W368">
        <f t="shared" si="496"/>
        <v>17.899999999999999</v>
      </c>
      <c r="X368">
        <f t="shared" si="497"/>
        <v>24.8</v>
      </c>
      <c r="Y368">
        <f t="shared" si="498"/>
        <v>14.6</v>
      </c>
      <c r="Z368">
        <f t="shared" si="499"/>
        <v>18.899999999999999</v>
      </c>
      <c r="BA368" t="s">
        <v>6</v>
      </c>
    </row>
    <row r="369" spans="1:53" x14ac:dyDescent="0.2">
      <c r="A369" s="1">
        <v>45428</v>
      </c>
      <c r="B369" s="2">
        <v>0.58333333333333337</v>
      </c>
      <c r="C369" s="6">
        <v>45428.583333333336</v>
      </c>
      <c r="D369">
        <v>54.8</v>
      </c>
      <c r="E369">
        <v>58.5</v>
      </c>
      <c r="F369">
        <v>50.6</v>
      </c>
      <c r="G369" t="s">
        <v>6</v>
      </c>
      <c r="H369">
        <v>19.399999999999999</v>
      </c>
      <c r="I369">
        <v>26.9</v>
      </c>
      <c r="J369">
        <v>16.100000000000001</v>
      </c>
      <c r="K369" t="s">
        <v>6</v>
      </c>
      <c r="L369">
        <v>144</v>
      </c>
      <c r="M369" t="s">
        <v>6</v>
      </c>
      <c r="O369" s="6">
        <f t="shared" si="490"/>
        <v>45428.583333333336</v>
      </c>
      <c r="P369">
        <f t="shared" si="491"/>
        <v>54.8</v>
      </c>
      <c r="Q369">
        <f t="shared" si="492"/>
        <v>58.5</v>
      </c>
      <c r="R369">
        <f t="shared" si="493"/>
        <v>50.6</v>
      </c>
      <c r="S369">
        <f t="shared" si="494"/>
        <v>55.8</v>
      </c>
      <c r="V369" s="6">
        <f t="shared" si="495"/>
        <v>45428.583333333336</v>
      </c>
      <c r="W369">
        <f t="shared" si="496"/>
        <v>19.399999999999999</v>
      </c>
      <c r="X369">
        <f t="shared" si="497"/>
        <v>26.9</v>
      </c>
      <c r="Y369">
        <f t="shared" si="498"/>
        <v>16.100000000000001</v>
      </c>
      <c r="Z369">
        <f t="shared" si="499"/>
        <v>20.399999999999999</v>
      </c>
      <c r="BA369" t="s">
        <v>6</v>
      </c>
    </row>
    <row r="370" spans="1:53" x14ac:dyDescent="0.2">
      <c r="A370" s="1">
        <v>45428</v>
      </c>
      <c r="B370" s="2">
        <v>0.625</v>
      </c>
      <c r="C370" s="6">
        <v>45428.625</v>
      </c>
      <c r="D370">
        <v>57.4</v>
      </c>
      <c r="E370">
        <v>66.599999999999994</v>
      </c>
      <c r="F370">
        <v>52.3</v>
      </c>
      <c r="G370" t="s">
        <v>6</v>
      </c>
      <c r="H370">
        <v>18.899999999999999</v>
      </c>
      <c r="I370">
        <v>23.7</v>
      </c>
      <c r="J370">
        <v>14</v>
      </c>
      <c r="K370" t="s">
        <v>6</v>
      </c>
      <c r="L370">
        <v>221</v>
      </c>
      <c r="M370" t="s">
        <v>6</v>
      </c>
      <c r="O370" s="6">
        <f t="shared" si="490"/>
        <v>45428.625</v>
      </c>
      <c r="P370">
        <f t="shared" si="491"/>
        <v>57.4</v>
      </c>
      <c r="Q370">
        <f t="shared" si="492"/>
        <v>66.599999999999994</v>
      </c>
      <c r="R370">
        <f t="shared" si="493"/>
        <v>52.3</v>
      </c>
      <c r="S370">
        <f t="shared" si="494"/>
        <v>58.4</v>
      </c>
      <c r="V370" s="6">
        <f t="shared" si="495"/>
        <v>45428.625</v>
      </c>
      <c r="W370">
        <f t="shared" si="496"/>
        <v>18.899999999999999</v>
      </c>
      <c r="X370">
        <f t="shared" si="497"/>
        <v>23.7</v>
      </c>
      <c r="Y370">
        <f t="shared" si="498"/>
        <v>14</v>
      </c>
      <c r="Z370">
        <f t="shared" si="499"/>
        <v>19.899999999999999</v>
      </c>
      <c r="BA370" t="s">
        <v>6</v>
      </c>
    </row>
    <row r="371" spans="1:53" x14ac:dyDescent="0.2">
      <c r="A371" s="1">
        <v>45428</v>
      </c>
      <c r="B371" s="2">
        <v>0.66666666666666663</v>
      </c>
      <c r="C371" s="6">
        <v>45428.666666666664</v>
      </c>
      <c r="D371">
        <v>60.7</v>
      </c>
      <c r="E371">
        <v>67.599999999999994</v>
      </c>
      <c r="F371">
        <v>56.6</v>
      </c>
      <c r="G371" t="s">
        <v>6</v>
      </c>
      <c r="H371">
        <v>18.899999999999999</v>
      </c>
      <c r="I371">
        <v>25.4</v>
      </c>
      <c r="J371">
        <v>15.3</v>
      </c>
      <c r="K371" t="s">
        <v>6</v>
      </c>
      <c r="L371">
        <v>225</v>
      </c>
      <c r="M371" t="s">
        <v>6</v>
      </c>
      <c r="O371" s="6">
        <f t="shared" si="490"/>
        <v>45428.666666666664</v>
      </c>
      <c r="P371">
        <f t="shared" si="491"/>
        <v>60.7</v>
      </c>
      <c r="Q371">
        <f t="shared" si="492"/>
        <v>67.599999999999994</v>
      </c>
      <c r="R371">
        <f t="shared" si="493"/>
        <v>56.6</v>
      </c>
      <c r="S371">
        <f t="shared" si="494"/>
        <v>61.7</v>
      </c>
      <c r="V371" s="6">
        <f t="shared" si="495"/>
        <v>45428.666666666664</v>
      </c>
      <c r="W371">
        <f t="shared" si="496"/>
        <v>18.899999999999999</v>
      </c>
      <c r="X371">
        <f t="shared" si="497"/>
        <v>25.4</v>
      </c>
      <c r="Y371">
        <f t="shared" si="498"/>
        <v>15.3</v>
      </c>
      <c r="Z371">
        <f t="shared" si="499"/>
        <v>19.899999999999999</v>
      </c>
      <c r="BA371" t="s">
        <v>6</v>
      </c>
    </row>
    <row r="372" spans="1:53" x14ac:dyDescent="0.2">
      <c r="A372" s="1">
        <v>45428</v>
      </c>
      <c r="B372" s="2">
        <v>0.70833333333333337</v>
      </c>
      <c r="C372" s="6">
        <v>45428.708333333336</v>
      </c>
      <c r="D372">
        <v>57.3</v>
      </c>
      <c r="E372">
        <v>60.3</v>
      </c>
      <c r="F372">
        <v>53.9</v>
      </c>
      <c r="G372" t="s">
        <v>6</v>
      </c>
      <c r="H372">
        <v>20</v>
      </c>
      <c r="I372">
        <v>34.700000000000003</v>
      </c>
      <c r="J372">
        <v>14.4</v>
      </c>
      <c r="K372" t="s">
        <v>6</v>
      </c>
      <c r="L372">
        <v>223</v>
      </c>
      <c r="M372" t="s">
        <v>6</v>
      </c>
      <c r="O372" s="6">
        <f t="shared" si="490"/>
        <v>45428.708333333336</v>
      </c>
      <c r="P372">
        <f t="shared" si="491"/>
        <v>57.3</v>
      </c>
      <c r="Q372">
        <f t="shared" si="492"/>
        <v>60.3</v>
      </c>
      <c r="R372">
        <f t="shared" si="493"/>
        <v>53.9</v>
      </c>
      <c r="S372">
        <f t="shared" si="494"/>
        <v>58.3</v>
      </c>
      <c r="V372" s="6">
        <f t="shared" si="495"/>
        <v>45428.708333333336</v>
      </c>
      <c r="W372">
        <f t="shared" si="496"/>
        <v>20</v>
      </c>
      <c r="X372">
        <f t="shared" si="497"/>
        <v>34.700000000000003</v>
      </c>
      <c r="Y372">
        <f t="shared" si="498"/>
        <v>14.4</v>
      </c>
      <c r="Z372">
        <f t="shared" si="499"/>
        <v>21</v>
      </c>
      <c r="BA372" t="s">
        <v>6</v>
      </c>
    </row>
    <row r="373" spans="1:53" x14ac:dyDescent="0.2">
      <c r="A373" s="1">
        <v>45428</v>
      </c>
      <c r="B373" s="2">
        <v>0.75</v>
      </c>
      <c r="C373" s="6">
        <v>45428.75</v>
      </c>
      <c r="D373">
        <v>56.9</v>
      </c>
      <c r="E373">
        <v>62.2</v>
      </c>
      <c r="F373">
        <v>51.5</v>
      </c>
      <c r="G373" t="s">
        <v>6</v>
      </c>
      <c r="H373">
        <v>19.600000000000001</v>
      </c>
      <c r="I373">
        <v>24.1</v>
      </c>
      <c r="J373">
        <v>15.8</v>
      </c>
      <c r="K373" t="s">
        <v>6</v>
      </c>
      <c r="L373">
        <v>221</v>
      </c>
      <c r="M373" t="s">
        <v>6</v>
      </c>
      <c r="O373" s="6">
        <f t="shared" si="490"/>
        <v>45428.75</v>
      </c>
      <c r="P373">
        <f t="shared" si="491"/>
        <v>56.9</v>
      </c>
      <c r="Q373">
        <f t="shared" si="492"/>
        <v>62.2</v>
      </c>
      <c r="R373">
        <f t="shared" si="493"/>
        <v>51.5</v>
      </c>
      <c r="S373">
        <f t="shared" si="494"/>
        <v>57.9</v>
      </c>
      <c r="V373" s="6">
        <f t="shared" si="495"/>
        <v>45428.75</v>
      </c>
      <c r="W373">
        <f t="shared" si="496"/>
        <v>19.600000000000001</v>
      </c>
      <c r="X373">
        <f t="shared" si="497"/>
        <v>24.1</v>
      </c>
      <c r="Y373">
        <f t="shared" si="498"/>
        <v>15.8</v>
      </c>
      <c r="Z373">
        <f t="shared" si="499"/>
        <v>20.6</v>
      </c>
      <c r="BA373" t="s">
        <v>6</v>
      </c>
    </row>
    <row r="374" spans="1:53" x14ac:dyDescent="0.2">
      <c r="A374" s="1">
        <v>45428</v>
      </c>
      <c r="B374" s="2">
        <v>0.79166666666666663</v>
      </c>
      <c r="C374" s="6">
        <v>45428.791666666664</v>
      </c>
      <c r="D374">
        <v>53.5</v>
      </c>
      <c r="E374">
        <v>60.5</v>
      </c>
      <c r="F374">
        <v>49.4</v>
      </c>
      <c r="G374" t="s">
        <v>6</v>
      </c>
      <c r="H374">
        <v>20.3</v>
      </c>
      <c r="I374">
        <v>25.6</v>
      </c>
      <c r="J374">
        <v>14.3</v>
      </c>
      <c r="K374" t="s">
        <v>6</v>
      </c>
      <c r="L374">
        <v>212</v>
      </c>
      <c r="M374" t="s">
        <v>6</v>
      </c>
      <c r="O374" s="6">
        <f t="shared" si="490"/>
        <v>45428.791666666664</v>
      </c>
      <c r="P374">
        <f t="shared" si="491"/>
        <v>53.5</v>
      </c>
      <c r="Q374">
        <f t="shared" si="492"/>
        <v>60.5</v>
      </c>
      <c r="R374">
        <f t="shared" si="493"/>
        <v>49.4</v>
      </c>
      <c r="S374">
        <f t="shared" si="494"/>
        <v>54.5</v>
      </c>
      <c r="V374" s="6">
        <f t="shared" si="495"/>
        <v>45428.791666666664</v>
      </c>
      <c r="W374">
        <f t="shared" si="496"/>
        <v>20.3</v>
      </c>
      <c r="X374">
        <f t="shared" si="497"/>
        <v>25.6</v>
      </c>
      <c r="Y374">
        <f t="shared" si="498"/>
        <v>14.3</v>
      </c>
      <c r="Z374">
        <f t="shared" si="499"/>
        <v>21.3</v>
      </c>
      <c r="BA374" t="s">
        <v>6</v>
      </c>
    </row>
    <row r="375" spans="1:53" x14ac:dyDescent="0.2">
      <c r="A375" s="1">
        <v>45428</v>
      </c>
      <c r="B375" s="2">
        <v>0.83333333333333337</v>
      </c>
      <c r="C375" s="6">
        <v>45428.833333333336</v>
      </c>
      <c r="D375">
        <v>58.4</v>
      </c>
      <c r="E375">
        <v>64.5</v>
      </c>
      <c r="F375">
        <v>53.6</v>
      </c>
      <c r="G375" t="s">
        <v>6</v>
      </c>
      <c r="H375">
        <v>21.4</v>
      </c>
      <c r="I375">
        <v>34.6</v>
      </c>
      <c r="J375">
        <v>15.6</v>
      </c>
      <c r="K375" t="s">
        <v>6</v>
      </c>
      <c r="L375">
        <v>197</v>
      </c>
      <c r="M375" t="s">
        <v>6</v>
      </c>
      <c r="O375" s="6">
        <f t="shared" si="490"/>
        <v>45428.833333333336</v>
      </c>
      <c r="P375">
        <f t="shared" si="491"/>
        <v>58.4</v>
      </c>
      <c r="Q375">
        <f t="shared" si="492"/>
        <v>64.5</v>
      </c>
      <c r="R375">
        <f t="shared" si="493"/>
        <v>53.6</v>
      </c>
      <c r="S375">
        <f t="shared" si="494"/>
        <v>59.4</v>
      </c>
      <c r="V375" s="6">
        <f t="shared" si="495"/>
        <v>45428.833333333336</v>
      </c>
      <c r="W375">
        <f t="shared" si="496"/>
        <v>21.4</v>
      </c>
      <c r="X375">
        <f t="shared" si="497"/>
        <v>34.6</v>
      </c>
      <c r="Y375">
        <f t="shared" si="498"/>
        <v>15.6</v>
      </c>
      <c r="Z375">
        <f t="shared" si="499"/>
        <v>22.4</v>
      </c>
      <c r="BA375" t="s">
        <v>6</v>
      </c>
    </row>
    <row r="376" spans="1:53" x14ac:dyDescent="0.2">
      <c r="A376" s="1">
        <v>45428</v>
      </c>
      <c r="B376" s="2">
        <v>0.875</v>
      </c>
      <c r="C376" s="6">
        <v>45428.875</v>
      </c>
      <c r="D376">
        <v>58.7</v>
      </c>
      <c r="E376">
        <v>67.900000000000006</v>
      </c>
      <c r="F376">
        <v>51.8</v>
      </c>
      <c r="G376" t="s">
        <v>6</v>
      </c>
      <c r="H376">
        <v>22</v>
      </c>
      <c r="I376">
        <v>24.3</v>
      </c>
      <c r="J376">
        <v>15.6</v>
      </c>
      <c r="K376" t="s">
        <v>6</v>
      </c>
      <c r="L376">
        <v>220</v>
      </c>
      <c r="M376" t="s">
        <v>6</v>
      </c>
      <c r="O376" s="6">
        <f t="shared" si="490"/>
        <v>45428.875</v>
      </c>
      <c r="P376">
        <f t="shared" si="491"/>
        <v>58.7</v>
      </c>
      <c r="Q376">
        <f t="shared" si="492"/>
        <v>67.900000000000006</v>
      </c>
      <c r="R376">
        <f t="shared" si="493"/>
        <v>51.8</v>
      </c>
      <c r="S376">
        <f t="shared" si="494"/>
        <v>59.7</v>
      </c>
      <c r="V376" s="6">
        <f t="shared" si="495"/>
        <v>45428.875</v>
      </c>
      <c r="W376">
        <f t="shared" si="496"/>
        <v>22</v>
      </c>
      <c r="X376">
        <f t="shared" si="497"/>
        <v>24.3</v>
      </c>
      <c r="Y376">
        <f t="shared" si="498"/>
        <v>15.6</v>
      </c>
      <c r="Z376">
        <f t="shared" si="499"/>
        <v>23</v>
      </c>
      <c r="BA376" t="s">
        <v>6</v>
      </c>
    </row>
    <row r="377" spans="1:53" x14ac:dyDescent="0.2">
      <c r="A377" s="1">
        <v>45428</v>
      </c>
      <c r="B377" s="2">
        <v>0.91666666666666663</v>
      </c>
      <c r="C377" s="6">
        <v>45428.916666666664</v>
      </c>
      <c r="D377">
        <v>62</v>
      </c>
      <c r="E377">
        <v>66.099999999999994</v>
      </c>
      <c r="F377">
        <v>58.4</v>
      </c>
      <c r="G377" t="s">
        <v>6</v>
      </c>
      <c r="H377">
        <v>20.9</v>
      </c>
      <c r="I377">
        <v>24.4</v>
      </c>
      <c r="J377">
        <v>15.9</v>
      </c>
      <c r="K377" t="s">
        <v>6</v>
      </c>
      <c r="L377">
        <v>205</v>
      </c>
      <c r="M377" t="s">
        <v>6</v>
      </c>
      <c r="O377" s="6">
        <f t="shared" si="490"/>
        <v>45428.916666666664</v>
      </c>
      <c r="P377">
        <f t="shared" si="491"/>
        <v>62</v>
      </c>
      <c r="Q377">
        <f t="shared" si="492"/>
        <v>66.099999999999994</v>
      </c>
      <c r="R377">
        <f t="shared" si="493"/>
        <v>58.4</v>
      </c>
      <c r="S377">
        <f t="shared" si="494"/>
        <v>63</v>
      </c>
      <c r="V377" s="6">
        <f t="shared" si="495"/>
        <v>45428.916666666664</v>
      </c>
      <c r="W377">
        <f t="shared" si="496"/>
        <v>20.9</v>
      </c>
      <c r="X377">
        <f t="shared" si="497"/>
        <v>24.4</v>
      </c>
      <c r="Y377">
        <f t="shared" si="498"/>
        <v>15.9</v>
      </c>
      <c r="Z377">
        <f t="shared" si="499"/>
        <v>21.9</v>
      </c>
      <c r="BA377" t="s">
        <v>6</v>
      </c>
    </row>
    <row r="378" spans="1:53" x14ac:dyDescent="0.2">
      <c r="A378" s="1">
        <v>45428</v>
      </c>
      <c r="B378" s="2">
        <v>0.95833333333333337</v>
      </c>
      <c r="C378" s="6">
        <v>45428.958333333336</v>
      </c>
      <c r="D378">
        <v>62.1</v>
      </c>
      <c r="E378">
        <v>69.400000000000006</v>
      </c>
      <c r="F378">
        <v>57.4</v>
      </c>
      <c r="G378" t="s">
        <v>6</v>
      </c>
      <c r="H378">
        <v>20.399999999999999</v>
      </c>
      <c r="I378">
        <v>23.4</v>
      </c>
      <c r="J378">
        <v>17.3</v>
      </c>
      <c r="K378" t="s">
        <v>6</v>
      </c>
      <c r="L378">
        <v>227</v>
      </c>
      <c r="M378" t="s">
        <v>6</v>
      </c>
      <c r="O378" s="6">
        <f t="shared" si="490"/>
        <v>45428.958333333336</v>
      </c>
      <c r="P378">
        <f t="shared" si="491"/>
        <v>62.1</v>
      </c>
      <c r="Q378">
        <f t="shared" si="492"/>
        <v>69.400000000000006</v>
      </c>
      <c r="R378">
        <f t="shared" si="493"/>
        <v>57.4</v>
      </c>
      <c r="S378">
        <f t="shared" si="494"/>
        <v>63.1</v>
      </c>
      <c r="V378" s="6">
        <f t="shared" si="495"/>
        <v>45428.958333333336</v>
      </c>
      <c r="W378">
        <f t="shared" si="496"/>
        <v>20.399999999999999</v>
      </c>
      <c r="X378">
        <f t="shared" si="497"/>
        <v>23.4</v>
      </c>
      <c r="Y378">
        <f t="shared" si="498"/>
        <v>17.3</v>
      </c>
      <c r="Z378">
        <f t="shared" si="499"/>
        <v>21.4</v>
      </c>
      <c r="BA378" t="s">
        <v>6</v>
      </c>
    </row>
    <row r="379" spans="1:53" x14ac:dyDescent="0.2">
      <c r="A379" s="1">
        <v>45429</v>
      </c>
      <c r="B379" s="2">
        <v>0</v>
      </c>
      <c r="C379" s="6">
        <v>45429</v>
      </c>
      <c r="D379">
        <v>64.2</v>
      </c>
      <c r="E379">
        <v>70.7</v>
      </c>
      <c r="F379">
        <v>59.4</v>
      </c>
      <c r="G379" t="s">
        <v>6</v>
      </c>
      <c r="H379">
        <v>19.600000000000001</v>
      </c>
      <c r="I379">
        <v>23.8</v>
      </c>
      <c r="J379">
        <v>16.399999999999999</v>
      </c>
      <c r="K379" t="s">
        <v>6</v>
      </c>
      <c r="L379">
        <v>216</v>
      </c>
      <c r="M379" t="s">
        <v>6</v>
      </c>
      <c r="O379" s="6">
        <f t="shared" si="490"/>
        <v>45429</v>
      </c>
      <c r="P379">
        <f t="shared" si="491"/>
        <v>64.2</v>
      </c>
      <c r="Q379">
        <f t="shared" si="492"/>
        <v>70.7</v>
      </c>
      <c r="R379">
        <f t="shared" si="493"/>
        <v>59.4</v>
      </c>
      <c r="S379">
        <f t="shared" si="494"/>
        <v>65.2</v>
      </c>
      <c r="V379" s="6">
        <f t="shared" si="495"/>
        <v>45429</v>
      </c>
      <c r="W379">
        <f t="shared" si="496"/>
        <v>19.600000000000001</v>
      </c>
      <c r="X379">
        <f t="shared" si="497"/>
        <v>23.8</v>
      </c>
      <c r="Y379">
        <f t="shared" si="498"/>
        <v>16.399999999999999</v>
      </c>
      <c r="Z379">
        <f t="shared" si="499"/>
        <v>20.6</v>
      </c>
      <c r="BA379" t="s">
        <v>6</v>
      </c>
    </row>
    <row r="380" spans="1:53" x14ac:dyDescent="0.2">
      <c r="A380" s="1">
        <v>45429</v>
      </c>
      <c r="B380" s="2">
        <v>4.1666666666666664E-2</v>
      </c>
      <c r="C380" s="6">
        <v>45429.041666666664</v>
      </c>
      <c r="D380">
        <v>60.6</v>
      </c>
      <c r="E380">
        <v>64.5</v>
      </c>
      <c r="F380">
        <v>55.7</v>
      </c>
      <c r="G380" t="s">
        <v>6</v>
      </c>
      <c r="H380">
        <v>18.600000000000001</v>
      </c>
      <c r="I380">
        <v>23.4</v>
      </c>
      <c r="J380">
        <v>16.100000000000001</v>
      </c>
      <c r="K380" t="s">
        <v>6</v>
      </c>
      <c r="L380">
        <v>230</v>
      </c>
      <c r="M380" t="s">
        <v>6</v>
      </c>
      <c r="O380" s="6">
        <f t="shared" si="490"/>
        <v>45429.041666666664</v>
      </c>
      <c r="P380">
        <f t="shared" si="491"/>
        <v>60.6</v>
      </c>
      <c r="Q380">
        <f t="shared" si="492"/>
        <v>64.5</v>
      </c>
      <c r="R380">
        <f t="shared" si="493"/>
        <v>55.7</v>
      </c>
      <c r="S380">
        <f t="shared" si="494"/>
        <v>61.6</v>
      </c>
      <c r="V380" s="6">
        <f t="shared" si="495"/>
        <v>45429.041666666664</v>
      </c>
      <c r="W380">
        <f t="shared" si="496"/>
        <v>18.600000000000001</v>
      </c>
      <c r="X380">
        <f t="shared" si="497"/>
        <v>23.4</v>
      </c>
      <c r="Y380">
        <f t="shared" si="498"/>
        <v>16.100000000000001</v>
      </c>
      <c r="Z380">
        <f t="shared" si="499"/>
        <v>19.600000000000001</v>
      </c>
      <c r="BA380" t="s">
        <v>6</v>
      </c>
    </row>
    <row r="381" spans="1:53" x14ac:dyDescent="0.2">
      <c r="A381" s="1">
        <v>45429</v>
      </c>
      <c r="B381" s="2">
        <v>8.3333333333333329E-2</v>
      </c>
      <c r="C381" s="6">
        <v>45429.083333333336</v>
      </c>
      <c r="D381">
        <v>59.4</v>
      </c>
      <c r="E381">
        <v>63.3</v>
      </c>
      <c r="F381">
        <v>55.1</v>
      </c>
      <c r="G381" t="s">
        <v>6</v>
      </c>
      <c r="H381">
        <v>19</v>
      </c>
      <c r="I381">
        <v>27.1</v>
      </c>
      <c r="J381">
        <v>15.3</v>
      </c>
      <c r="K381" t="s">
        <v>6</v>
      </c>
      <c r="L381">
        <v>214</v>
      </c>
      <c r="M381" t="s">
        <v>6</v>
      </c>
      <c r="O381" s="6">
        <f t="shared" si="490"/>
        <v>45429.083333333336</v>
      </c>
      <c r="P381">
        <f t="shared" si="491"/>
        <v>59.4</v>
      </c>
      <c r="Q381">
        <f t="shared" si="492"/>
        <v>63.3</v>
      </c>
      <c r="R381">
        <f t="shared" si="493"/>
        <v>55.1</v>
      </c>
      <c r="S381">
        <f t="shared" si="494"/>
        <v>60.4</v>
      </c>
      <c r="V381" s="6">
        <f t="shared" si="495"/>
        <v>45429.083333333336</v>
      </c>
      <c r="W381">
        <f t="shared" si="496"/>
        <v>19</v>
      </c>
      <c r="X381">
        <f t="shared" si="497"/>
        <v>27.1</v>
      </c>
      <c r="Y381">
        <f t="shared" si="498"/>
        <v>15.3</v>
      </c>
      <c r="Z381">
        <f t="shared" si="499"/>
        <v>20</v>
      </c>
      <c r="BA381" t="s">
        <v>6</v>
      </c>
    </row>
    <row r="382" spans="1:53" x14ac:dyDescent="0.2">
      <c r="A382" s="1">
        <v>45429</v>
      </c>
      <c r="B382" s="2">
        <v>0.125</v>
      </c>
      <c r="C382" s="6">
        <v>45429.125</v>
      </c>
      <c r="D382">
        <v>61.4</v>
      </c>
      <c r="E382">
        <v>69.099999999999994</v>
      </c>
      <c r="F382">
        <v>55.1</v>
      </c>
      <c r="G382" t="s">
        <v>6</v>
      </c>
      <c r="H382">
        <v>18.8</v>
      </c>
      <c r="I382">
        <v>23.7</v>
      </c>
      <c r="J382">
        <v>14.1</v>
      </c>
      <c r="K382" t="s">
        <v>6</v>
      </c>
      <c r="L382">
        <v>216</v>
      </c>
      <c r="M382" t="s">
        <v>6</v>
      </c>
      <c r="O382" s="6">
        <f t="shared" si="490"/>
        <v>45429.125</v>
      </c>
      <c r="P382">
        <f t="shared" si="491"/>
        <v>61.4</v>
      </c>
      <c r="Q382">
        <f t="shared" si="492"/>
        <v>69.099999999999994</v>
      </c>
      <c r="R382">
        <f t="shared" si="493"/>
        <v>55.1</v>
      </c>
      <c r="S382">
        <f t="shared" si="494"/>
        <v>62.4</v>
      </c>
      <c r="V382" s="6">
        <f t="shared" si="495"/>
        <v>45429.125</v>
      </c>
      <c r="W382">
        <f t="shared" si="496"/>
        <v>18.8</v>
      </c>
      <c r="X382">
        <f t="shared" si="497"/>
        <v>23.7</v>
      </c>
      <c r="Y382">
        <f t="shared" si="498"/>
        <v>14.1</v>
      </c>
      <c r="Z382">
        <f t="shared" si="499"/>
        <v>19.8</v>
      </c>
      <c r="BA382" t="s">
        <v>6</v>
      </c>
    </row>
    <row r="383" spans="1:53" x14ac:dyDescent="0.2">
      <c r="A383" s="1">
        <v>45429</v>
      </c>
      <c r="B383" s="2">
        <v>0.16666666666666666</v>
      </c>
      <c r="C383" s="6">
        <v>45429.166666666664</v>
      </c>
      <c r="D383">
        <v>63.8</v>
      </c>
      <c r="E383">
        <v>70.599999999999994</v>
      </c>
      <c r="F383">
        <v>56.9</v>
      </c>
      <c r="G383" t="s">
        <v>6</v>
      </c>
      <c r="H383">
        <v>20.5</v>
      </c>
      <c r="I383">
        <v>24.8</v>
      </c>
      <c r="J383">
        <v>16.5</v>
      </c>
      <c r="K383" t="s">
        <v>6</v>
      </c>
      <c r="L383">
        <v>217</v>
      </c>
      <c r="M383" t="s">
        <v>6</v>
      </c>
      <c r="O383" s="6">
        <f t="shared" si="490"/>
        <v>45429.166666666664</v>
      </c>
      <c r="P383">
        <f t="shared" si="491"/>
        <v>63.8</v>
      </c>
      <c r="Q383">
        <f t="shared" si="492"/>
        <v>70.599999999999994</v>
      </c>
      <c r="R383">
        <f t="shared" si="493"/>
        <v>56.9</v>
      </c>
      <c r="S383">
        <f t="shared" si="494"/>
        <v>64.8</v>
      </c>
      <c r="V383" s="6">
        <f t="shared" si="495"/>
        <v>45429.166666666664</v>
      </c>
      <c r="W383">
        <f t="shared" si="496"/>
        <v>20.5</v>
      </c>
      <c r="X383">
        <f t="shared" si="497"/>
        <v>24.8</v>
      </c>
      <c r="Y383">
        <f t="shared" si="498"/>
        <v>16.5</v>
      </c>
      <c r="Z383">
        <f t="shared" si="499"/>
        <v>21.5</v>
      </c>
      <c r="BA383" t="s">
        <v>6</v>
      </c>
    </row>
    <row r="384" spans="1:53" x14ac:dyDescent="0.2">
      <c r="A384" s="1">
        <v>45429</v>
      </c>
      <c r="B384" s="2">
        <v>0.20833333333333334</v>
      </c>
      <c r="C384" s="6">
        <v>45429.208333333336</v>
      </c>
      <c r="D384">
        <v>61.2</v>
      </c>
      <c r="E384">
        <v>68.8</v>
      </c>
      <c r="F384">
        <v>54.4</v>
      </c>
      <c r="G384" t="s">
        <v>6</v>
      </c>
      <c r="H384">
        <v>17.8</v>
      </c>
      <c r="I384">
        <v>29.4</v>
      </c>
      <c r="J384">
        <v>13.8</v>
      </c>
      <c r="K384" t="s">
        <v>6</v>
      </c>
      <c r="L384">
        <v>220</v>
      </c>
      <c r="M384" t="s">
        <v>6</v>
      </c>
      <c r="O384" s="6">
        <f t="shared" ref="O384:O447" si="500">C384</f>
        <v>45429.208333333336</v>
      </c>
      <c r="P384">
        <f t="shared" ref="P384:P447" si="501">D384</f>
        <v>61.2</v>
      </c>
      <c r="Q384">
        <f t="shared" ref="Q384:Q447" si="502">E384</f>
        <v>68.8</v>
      </c>
      <c r="R384">
        <f t="shared" ref="R384:R447" si="503">F384</f>
        <v>54.4</v>
      </c>
      <c r="S384">
        <f t="shared" ref="S384:S447" si="504">P384+1</f>
        <v>62.2</v>
      </c>
      <c r="V384" s="6">
        <f t="shared" ref="V384:V447" si="505">O384</f>
        <v>45429.208333333336</v>
      </c>
      <c r="W384">
        <f t="shared" ref="W384:W447" si="506">H384</f>
        <v>17.8</v>
      </c>
      <c r="X384">
        <f t="shared" ref="X384:X447" si="507">I384</f>
        <v>29.4</v>
      </c>
      <c r="Y384">
        <f t="shared" ref="Y384:Y447" si="508">J384</f>
        <v>13.8</v>
      </c>
      <c r="Z384">
        <f t="shared" ref="Z384:Z447" si="509">W384+1</f>
        <v>18.8</v>
      </c>
      <c r="BA384" t="s">
        <v>6</v>
      </c>
    </row>
    <row r="385" spans="1:53" x14ac:dyDescent="0.2">
      <c r="A385" s="1">
        <v>45429</v>
      </c>
      <c r="B385" s="2">
        <v>0.25</v>
      </c>
      <c r="C385" s="6">
        <v>45429.25</v>
      </c>
      <c r="D385">
        <v>58.7</v>
      </c>
      <c r="E385">
        <v>63</v>
      </c>
      <c r="F385">
        <v>53.3</v>
      </c>
      <c r="G385" t="s">
        <v>6</v>
      </c>
      <c r="H385">
        <v>18.2</v>
      </c>
      <c r="I385">
        <v>24.6</v>
      </c>
      <c r="J385">
        <v>15.6</v>
      </c>
      <c r="K385" t="s">
        <v>6</v>
      </c>
      <c r="L385">
        <v>221</v>
      </c>
      <c r="M385" t="s">
        <v>6</v>
      </c>
      <c r="O385" s="6">
        <f t="shared" si="500"/>
        <v>45429.25</v>
      </c>
      <c r="P385">
        <f t="shared" si="501"/>
        <v>58.7</v>
      </c>
      <c r="Q385">
        <f t="shared" si="502"/>
        <v>63</v>
      </c>
      <c r="R385">
        <f t="shared" si="503"/>
        <v>53.3</v>
      </c>
      <c r="S385">
        <f t="shared" si="504"/>
        <v>59.7</v>
      </c>
      <c r="V385" s="6">
        <f t="shared" si="505"/>
        <v>45429.25</v>
      </c>
      <c r="W385">
        <f t="shared" si="506"/>
        <v>18.2</v>
      </c>
      <c r="X385">
        <f t="shared" si="507"/>
        <v>24.6</v>
      </c>
      <c r="Y385">
        <f t="shared" si="508"/>
        <v>15.6</v>
      </c>
      <c r="Z385">
        <f t="shared" si="509"/>
        <v>19.2</v>
      </c>
      <c r="BA385" t="s">
        <v>6</v>
      </c>
    </row>
    <row r="386" spans="1:53" x14ac:dyDescent="0.2">
      <c r="A386" s="1">
        <v>45429</v>
      </c>
      <c r="B386" s="2">
        <v>0.29166666666666669</v>
      </c>
      <c r="C386" s="6">
        <v>45429.291666666664</v>
      </c>
      <c r="D386">
        <v>59.9</v>
      </c>
      <c r="E386">
        <v>64.400000000000006</v>
      </c>
      <c r="F386">
        <v>52.6</v>
      </c>
      <c r="G386" t="s">
        <v>6</v>
      </c>
      <c r="H386">
        <v>19.3</v>
      </c>
      <c r="I386">
        <v>32.9</v>
      </c>
      <c r="J386">
        <v>15</v>
      </c>
      <c r="K386" t="s">
        <v>6</v>
      </c>
      <c r="L386">
        <v>214</v>
      </c>
      <c r="M386" t="s">
        <v>6</v>
      </c>
      <c r="O386" s="6">
        <f t="shared" si="500"/>
        <v>45429.291666666664</v>
      </c>
      <c r="P386">
        <f t="shared" si="501"/>
        <v>59.9</v>
      </c>
      <c r="Q386">
        <f t="shared" si="502"/>
        <v>64.400000000000006</v>
      </c>
      <c r="R386">
        <f t="shared" si="503"/>
        <v>52.6</v>
      </c>
      <c r="S386">
        <f t="shared" si="504"/>
        <v>60.9</v>
      </c>
      <c r="V386" s="6">
        <f t="shared" si="505"/>
        <v>45429.291666666664</v>
      </c>
      <c r="W386">
        <f t="shared" si="506"/>
        <v>19.3</v>
      </c>
      <c r="X386">
        <f t="shared" si="507"/>
        <v>32.9</v>
      </c>
      <c r="Y386">
        <f t="shared" si="508"/>
        <v>15</v>
      </c>
      <c r="Z386">
        <f t="shared" si="509"/>
        <v>20.3</v>
      </c>
      <c r="BA386" t="s">
        <v>6</v>
      </c>
    </row>
    <row r="387" spans="1:53" x14ac:dyDescent="0.2">
      <c r="A387" s="14">
        <v>45429</v>
      </c>
      <c r="B387" s="7">
        <v>0.33333333333333331</v>
      </c>
      <c r="C387" s="8">
        <v>45429.333333333336</v>
      </c>
      <c r="D387" s="9">
        <v>63.4</v>
      </c>
      <c r="E387" s="9">
        <v>70.400000000000006</v>
      </c>
      <c r="F387" s="9">
        <v>56.6</v>
      </c>
      <c r="G387" s="9" t="s">
        <v>6</v>
      </c>
      <c r="H387" s="9">
        <v>18.399999999999999</v>
      </c>
      <c r="I387" s="9">
        <v>25.6</v>
      </c>
      <c r="J387" s="9">
        <v>15.3</v>
      </c>
      <c r="K387" s="9" t="s">
        <v>6</v>
      </c>
      <c r="L387" s="9">
        <v>198</v>
      </c>
      <c r="M387" t="s">
        <v>6</v>
      </c>
      <c r="O387" s="6">
        <f t="shared" si="500"/>
        <v>45429.333333333336</v>
      </c>
      <c r="P387">
        <f t="shared" si="501"/>
        <v>63.4</v>
      </c>
      <c r="Q387">
        <f t="shared" si="502"/>
        <v>70.400000000000006</v>
      </c>
      <c r="R387">
        <f t="shared" si="503"/>
        <v>56.6</v>
      </c>
      <c r="S387">
        <f t="shared" si="504"/>
        <v>64.400000000000006</v>
      </c>
      <c r="V387" s="6">
        <f t="shared" si="505"/>
        <v>45429.333333333336</v>
      </c>
      <c r="W387">
        <f t="shared" si="506"/>
        <v>18.399999999999999</v>
      </c>
      <c r="X387">
        <f t="shared" si="507"/>
        <v>25.6</v>
      </c>
      <c r="Y387">
        <f t="shared" si="508"/>
        <v>15.3</v>
      </c>
      <c r="Z387">
        <f t="shared" si="509"/>
        <v>19.399999999999999</v>
      </c>
      <c r="BA387" t="s">
        <v>6</v>
      </c>
    </row>
    <row r="388" spans="1:53" x14ac:dyDescent="0.2">
      <c r="A388" s="13">
        <v>45429</v>
      </c>
      <c r="B388" s="3">
        <v>0.375</v>
      </c>
      <c r="C388" s="4">
        <v>45429.375</v>
      </c>
      <c r="D388" s="5">
        <v>60.5</v>
      </c>
      <c r="E388" s="5">
        <v>66.400000000000006</v>
      </c>
      <c r="F388" s="5">
        <v>55.3</v>
      </c>
      <c r="G388" s="5" t="s">
        <v>6</v>
      </c>
      <c r="H388" s="5">
        <v>17.399999999999999</v>
      </c>
      <c r="I388" s="5">
        <v>21.2</v>
      </c>
      <c r="J388" s="5">
        <v>14.6</v>
      </c>
      <c r="K388" s="5" t="s">
        <v>6</v>
      </c>
      <c r="L388" s="5">
        <v>221</v>
      </c>
      <c r="M388" t="s">
        <v>6</v>
      </c>
      <c r="O388" s="6">
        <f t="shared" si="500"/>
        <v>45429.375</v>
      </c>
      <c r="P388">
        <f t="shared" si="501"/>
        <v>60.5</v>
      </c>
      <c r="Q388">
        <f t="shared" si="502"/>
        <v>66.400000000000006</v>
      </c>
      <c r="R388">
        <f t="shared" si="503"/>
        <v>55.3</v>
      </c>
      <c r="S388">
        <f t="shared" si="504"/>
        <v>61.5</v>
      </c>
      <c r="V388" s="6">
        <f t="shared" si="505"/>
        <v>45429.375</v>
      </c>
      <c r="W388">
        <f t="shared" si="506"/>
        <v>17.399999999999999</v>
      </c>
      <c r="X388">
        <f t="shared" si="507"/>
        <v>21.2</v>
      </c>
      <c r="Y388">
        <f t="shared" si="508"/>
        <v>14.6</v>
      </c>
      <c r="Z388">
        <f t="shared" si="509"/>
        <v>18.399999999999999</v>
      </c>
      <c r="BA388" t="s">
        <v>6</v>
      </c>
    </row>
    <row r="389" spans="1:53" x14ac:dyDescent="0.2">
      <c r="A389" s="1">
        <v>45429</v>
      </c>
      <c r="B389" s="2">
        <v>0.41666666666666669</v>
      </c>
      <c r="C389" s="6">
        <v>45429.416666666664</v>
      </c>
      <c r="D389">
        <v>58.4</v>
      </c>
      <c r="E389">
        <v>62.5</v>
      </c>
      <c r="F389">
        <v>53.6</v>
      </c>
      <c r="G389" t="s">
        <v>6</v>
      </c>
      <c r="H389">
        <v>19.399999999999999</v>
      </c>
      <c r="I389">
        <v>25.8</v>
      </c>
      <c r="J389">
        <v>16</v>
      </c>
      <c r="K389" t="s">
        <v>6</v>
      </c>
      <c r="L389">
        <v>219</v>
      </c>
      <c r="M389" t="s">
        <v>6</v>
      </c>
      <c r="O389" s="6">
        <f t="shared" si="500"/>
        <v>45429.416666666664</v>
      </c>
      <c r="P389">
        <f t="shared" si="501"/>
        <v>58.4</v>
      </c>
      <c r="Q389">
        <f t="shared" si="502"/>
        <v>62.5</v>
      </c>
      <c r="R389">
        <f t="shared" si="503"/>
        <v>53.6</v>
      </c>
      <c r="S389">
        <f t="shared" si="504"/>
        <v>59.4</v>
      </c>
      <c r="V389" s="6">
        <f t="shared" si="505"/>
        <v>45429.416666666664</v>
      </c>
      <c r="W389">
        <f t="shared" si="506"/>
        <v>19.399999999999999</v>
      </c>
      <c r="X389">
        <f t="shared" si="507"/>
        <v>25.8</v>
      </c>
      <c r="Y389">
        <f t="shared" si="508"/>
        <v>16</v>
      </c>
      <c r="Z389">
        <f t="shared" si="509"/>
        <v>20.399999999999999</v>
      </c>
      <c r="BA389" t="s">
        <v>6</v>
      </c>
    </row>
    <row r="390" spans="1:53" x14ac:dyDescent="0.2">
      <c r="A390" s="1">
        <v>45429</v>
      </c>
      <c r="B390" s="2">
        <v>0.45833333333333331</v>
      </c>
      <c r="C390" s="6">
        <v>45429.458333333336</v>
      </c>
      <c r="D390">
        <v>60.9</v>
      </c>
      <c r="E390">
        <v>67.2</v>
      </c>
      <c r="F390">
        <v>54</v>
      </c>
      <c r="G390" t="s">
        <v>6</v>
      </c>
      <c r="H390">
        <v>19.3</v>
      </c>
      <c r="I390">
        <v>23.5</v>
      </c>
      <c r="J390">
        <v>13.4</v>
      </c>
      <c r="K390" t="s">
        <v>6</v>
      </c>
      <c r="L390">
        <v>227</v>
      </c>
      <c r="M390" t="s">
        <v>6</v>
      </c>
      <c r="O390" s="6">
        <f t="shared" si="500"/>
        <v>45429.458333333336</v>
      </c>
      <c r="P390">
        <f t="shared" si="501"/>
        <v>60.9</v>
      </c>
      <c r="Q390">
        <f t="shared" si="502"/>
        <v>67.2</v>
      </c>
      <c r="R390">
        <f t="shared" si="503"/>
        <v>54</v>
      </c>
      <c r="S390">
        <f t="shared" si="504"/>
        <v>61.9</v>
      </c>
      <c r="V390" s="6">
        <f t="shared" si="505"/>
        <v>45429.458333333336</v>
      </c>
      <c r="W390">
        <f t="shared" si="506"/>
        <v>19.3</v>
      </c>
      <c r="X390">
        <f t="shared" si="507"/>
        <v>23.5</v>
      </c>
      <c r="Y390">
        <f t="shared" si="508"/>
        <v>13.4</v>
      </c>
      <c r="Z390">
        <f t="shared" si="509"/>
        <v>20.3</v>
      </c>
      <c r="BA390" t="s">
        <v>6</v>
      </c>
    </row>
    <row r="391" spans="1:53" x14ac:dyDescent="0.2">
      <c r="A391" s="1">
        <v>45429</v>
      </c>
      <c r="B391" s="2">
        <v>0.5</v>
      </c>
      <c r="C391" s="6">
        <v>45429.5</v>
      </c>
      <c r="D391">
        <v>59</v>
      </c>
      <c r="E391">
        <v>65</v>
      </c>
      <c r="F391">
        <v>53.6</v>
      </c>
      <c r="G391" t="s">
        <v>6</v>
      </c>
      <c r="H391">
        <v>19.2</v>
      </c>
      <c r="I391">
        <v>21.8</v>
      </c>
      <c r="J391">
        <v>15.8</v>
      </c>
      <c r="K391" t="s">
        <v>6</v>
      </c>
      <c r="L391">
        <v>203</v>
      </c>
      <c r="M391" t="s">
        <v>6</v>
      </c>
      <c r="O391" s="6">
        <f t="shared" si="500"/>
        <v>45429.5</v>
      </c>
      <c r="P391">
        <f t="shared" si="501"/>
        <v>59</v>
      </c>
      <c r="Q391">
        <f t="shared" si="502"/>
        <v>65</v>
      </c>
      <c r="R391">
        <f t="shared" si="503"/>
        <v>53.6</v>
      </c>
      <c r="S391">
        <f t="shared" si="504"/>
        <v>60</v>
      </c>
      <c r="V391" s="6">
        <f t="shared" si="505"/>
        <v>45429.5</v>
      </c>
      <c r="W391">
        <f t="shared" si="506"/>
        <v>19.2</v>
      </c>
      <c r="X391">
        <f t="shared" si="507"/>
        <v>21.8</v>
      </c>
      <c r="Y391">
        <f t="shared" si="508"/>
        <v>15.8</v>
      </c>
      <c r="Z391">
        <f t="shared" si="509"/>
        <v>20.2</v>
      </c>
      <c r="BA391" t="s">
        <v>6</v>
      </c>
    </row>
    <row r="392" spans="1:53" x14ac:dyDescent="0.2">
      <c r="A392" s="1">
        <v>45429</v>
      </c>
      <c r="B392" s="2">
        <v>0.54166666666666663</v>
      </c>
      <c r="C392" s="6">
        <v>45429.541666666664</v>
      </c>
      <c r="D392">
        <v>55</v>
      </c>
      <c r="E392">
        <v>61.6</v>
      </c>
      <c r="F392">
        <v>51.4</v>
      </c>
      <c r="G392" t="s">
        <v>6</v>
      </c>
      <c r="H392">
        <v>17.899999999999999</v>
      </c>
      <c r="I392">
        <v>24.5</v>
      </c>
      <c r="J392">
        <v>13.2</v>
      </c>
      <c r="K392" t="s">
        <v>6</v>
      </c>
      <c r="L392">
        <v>214</v>
      </c>
      <c r="M392" t="s">
        <v>6</v>
      </c>
      <c r="O392" s="6">
        <f t="shared" si="500"/>
        <v>45429.541666666664</v>
      </c>
      <c r="P392">
        <f t="shared" si="501"/>
        <v>55</v>
      </c>
      <c r="Q392">
        <f t="shared" si="502"/>
        <v>61.6</v>
      </c>
      <c r="R392">
        <f t="shared" si="503"/>
        <v>51.4</v>
      </c>
      <c r="S392">
        <f t="shared" si="504"/>
        <v>56</v>
      </c>
      <c r="V392" s="6">
        <f t="shared" si="505"/>
        <v>45429.541666666664</v>
      </c>
      <c r="W392">
        <f t="shared" si="506"/>
        <v>17.899999999999999</v>
      </c>
      <c r="X392">
        <f t="shared" si="507"/>
        <v>24.5</v>
      </c>
      <c r="Y392">
        <f t="shared" si="508"/>
        <v>13.2</v>
      </c>
      <c r="Z392">
        <f t="shared" si="509"/>
        <v>18.899999999999999</v>
      </c>
      <c r="BA392" t="s">
        <v>6</v>
      </c>
    </row>
    <row r="393" spans="1:53" x14ac:dyDescent="0.2">
      <c r="A393" s="1">
        <v>45429</v>
      </c>
      <c r="B393" s="2">
        <v>0.58333333333333337</v>
      </c>
      <c r="C393" s="6">
        <v>45429.583333333336</v>
      </c>
      <c r="D393">
        <v>54.3</v>
      </c>
      <c r="E393">
        <v>63.2</v>
      </c>
      <c r="F393">
        <v>49.9</v>
      </c>
      <c r="G393" t="s">
        <v>6</v>
      </c>
      <c r="H393">
        <v>19.899999999999999</v>
      </c>
      <c r="I393">
        <v>25.7</v>
      </c>
      <c r="J393">
        <v>13</v>
      </c>
      <c r="K393" t="s">
        <v>6</v>
      </c>
      <c r="L393">
        <v>192</v>
      </c>
      <c r="M393" t="s">
        <v>6</v>
      </c>
      <c r="O393" s="6">
        <f t="shared" si="500"/>
        <v>45429.583333333336</v>
      </c>
      <c r="P393">
        <f t="shared" si="501"/>
        <v>54.3</v>
      </c>
      <c r="Q393">
        <f t="shared" si="502"/>
        <v>63.2</v>
      </c>
      <c r="R393">
        <f t="shared" si="503"/>
        <v>49.9</v>
      </c>
      <c r="S393">
        <f t="shared" si="504"/>
        <v>55.3</v>
      </c>
      <c r="V393" s="6">
        <f t="shared" si="505"/>
        <v>45429.583333333336</v>
      </c>
      <c r="W393">
        <f t="shared" si="506"/>
        <v>19.899999999999999</v>
      </c>
      <c r="X393">
        <f t="shared" si="507"/>
        <v>25.7</v>
      </c>
      <c r="Y393">
        <f t="shared" si="508"/>
        <v>13</v>
      </c>
      <c r="Z393">
        <f t="shared" si="509"/>
        <v>20.9</v>
      </c>
      <c r="BA393" t="s">
        <v>6</v>
      </c>
    </row>
    <row r="394" spans="1:53" x14ac:dyDescent="0.2">
      <c r="A394" s="1">
        <v>45429</v>
      </c>
      <c r="B394" s="2">
        <v>0.625</v>
      </c>
      <c r="C394" s="6">
        <v>45429.625</v>
      </c>
      <c r="D394">
        <v>55.5</v>
      </c>
      <c r="E394">
        <v>59.5</v>
      </c>
      <c r="F394">
        <v>52.3</v>
      </c>
      <c r="G394" t="s">
        <v>6</v>
      </c>
      <c r="H394">
        <v>19.2</v>
      </c>
      <c r="I394">
        <v>23.4</v>
      </c>
      <c r="J394">
        <v>16.2</v>
      </c>
      <c r="K394" t="s">
        <v>6</v>
      </c>
      <c r="L394">
        <v>191</v>
      </c>
      <c r="M394" t="s">
        <v>6</v>
      </c>
      <c r="O394" s="6">
        <f t="shared" si="500"/>
        <v>45429.625</v>
      </c>
      <c r="P394">
        <f t="shared" si="501"/>
        <v>55.5</v>
      </c>
      <c r="Q394">
        <f t="shared" si="502"/>
        <v>59.5</v>
      </c>
      <c r="R394">
        <f t="shared" si="503"/>
        <v>52.3</v>
      </c>
      <c r="S394">
        <f t="shared" si="504"/>
        <v>56.5</v>
      </c>
      <c r="V394" s="6">
        <f t="shared" si="505"/>
        <v>45429.625</v>
      </c>
      <c r="W394">
        <f t="shared" si="506"/>
        <v>19.2</v>
      </c>
      <c r="X394">
        <f t="shared" si="507"/>
        <v>23.4</v>
      </c>
      <c r="Y394">
        <f t="shared" si="508"/>
        <v>16.2</v>
      </c>
      <c r="Z394">
        <f t="shared" si="509"/>
        <v>20.2</v>
      </c>
      <c r="BA394" t="s">
        <v>6</v>
      </c>
    </row>
    <row r="395" spans="1:53" x14ac:dyDescent="0.2">
      <c r="A395" s="1">
        <v>45429</v>
      </c>
      <c r="B395" s="2">
        <v>0.66666666666666663</v>
      </c>
      <c r="C395" s="6">
        <v>45429.666666666664</v>
      </c>
      <c r="D395">
        <v>57</v>
      </c>
      <c r="E395">
        <v>60.6</v>
      </c>
      <c r="F395">
        <v>52.3</v>
      </c>
      <c r="G395" t="s">
        <v>6</v>
      </c>
      <c r="H395">
        <v>21.4</v>
      </c>
      <c r="I395">
        <v>24.9</v>
      </c>
      <c r="J395">
        <v>15.9</v>
      </c>
      <c r="K395" t="s">
        <v>6</v>
      </c>
      <c r="L395">
        <v>213</v>
      </c>
      <c r="M395" t="s">
        <v>6</v>
      </c>
      <c r="O395" s="6">
        <f t="shared" si="500"/>
        <v>45429.666666666664</v>
      </c>
      <c r="P395">
        <f t="shared" si="501"/>
        <v>57</v>
      </c>
      <c r="Q395">
        <f t="shared" si="502"/>
        <v>60.6</v>
      </c>
      <c r="R395">
        <f t="shared" si="503"/>
        <v>52.3</v>
      </c>
      <c r="S395">
        <f t="shared" si="504"/>
        <v>58</v>
      </c>
      <c r="V395" s="6">
        <f t="shared" si="505"/>
        <v>45429.666666666664</v>
      </c>
      <c r="W395">
        <f t="shared" si="506"/>
        <v>21.4</v>
      </c>
      <c r="X395">
        <f t="shared" si="507"/>
        <v>24.9</v>
      </c>
      <c r="Y395">
        <f t="shared" si="508"/>
        <v>15.9</v>
      </c>
      <c r="Z395">
        <f t="shared" si="509"/>
        <v>22.4</v>
      </c>
      <c r="BA395" t="s">
        <v>6</v>
      </c>
    </row>
    <row r="396" spans="1:53" x14ac:dyDescent="0.2">
      <c r="A396" s="1">
        <v>45429</v>
      </c>
      <c r="B396" s="2">
        <v>0.70833333333333337</v>
      </c>
      <c r="C396" s="6">
        <v>45429.708333333336</v>
      </c>
      <c r="D396">
        <v>59.3</v>
      </c>
      <c r="E396">
        <v>66</v>
      </c>
      <c r="F396">
        <v>52.9</v>
      </c>
      <c r="G396" t="s">
        <v>6</v>
      </c>
      <c r="H396">
        <v>19.7</v>
      </c>
      <c r="I396">
        <v>24.5</v>
      </c>
      <c r="J396">
        <v>14.1</v>
      </c>
      <c r="K396" t="s">
        <v>6</v>
      </c>
      <c r="L396">
        <v>218</v>
      </c>
      <c r="M396" t="s">
        <v>6</v>
      </c>
      <c r="O396" s="6">
        <f t="shared" si="500"/>
        <v>45429.708333333336</v>
      </c>
      <c r="P396">
        <f t="shared" si="501"/>
        <v>59.3</v>
      </c>
      <c r="Q396">
        <f t="shared" si="502"/>
        <v>66</v>
      </c>
      <c r="R396">
        <f t="shared" si="503"/>
        <v>52.9</v>
      </c>
      <c r="S396">
        <f t="shared" si="504"/>
        <v>60.3</v>
      </c>
      <c r="V396" s="6">
        <f t="shared" si="505"/>
        <v>45429.708333333336</v>
      </c>
      <c r="W396">
        <f t="shared" si="506"/>
        <v>19.7</v>
      </c>
      <c r="X396">
        <f t="shared" si="507"/>
        <v>24.5</v>
      </c>
      <c r="Y396">
        <f t="shared" si="508"/>
        <v>14.1</v>
      </c>
      <c r="Z396">
        <f t="shared" si="509"/>
        <v>20.7</v>
      </c>
      <c r="BA396" t="s">
        <v>6</v>
      </c>
    </row>
    <row r="397" spans="1:53" x14ac:dyDescent="0.2">
      <c r="A397" s="1">
        <v>45429</v>
      </c>
      <c r="B397" s="2">
        <v>0.75</v>
      </c>
      <c r="C397" s="6">
        <v>45429.75</v>
      </c>
      <c r="D397">
        <v>58.7</v>
      </c>
      <c r="E397">
        <v>64.599999999999994</v>
      </c>
      <c r="F397">
        <v>52.9</v>
      </c>
      <c r="G397" t="s">
        <v>6</v>
      </c>
      <c r="H397">
        <v>20</v>
      </c>
      <c r="I397">
        <v>23.1</v>
      </c>
      <c r="J397">
        <v>16.3</v>
      </c>
      <c r="K397" t="s">
        <v>6</v>
      </c>
      <c r="L397">
        <v>194</v>
      </c>
      <c r="M397" t="s">
        <v>6</v>
      </c>
      <c r="O397" s="6">
        <f t="shared" si="500"/>
        <v>45429.75</v>
      </c>
      <c r="P397">
        <f t="shared" si="501"/>
        <v>58.7</v>
      </c>
      <c r="Q397">
        <f t="shared" si="502"/>
        <v>64.599999999999994</v>
      </c>
      <c r="R397">
        <f t="shared" si="503"/>
        <v>52.9</v>
      </c>
      <c r="S397">
        <f t="shared" si="504"/>
        <v>59.7</v>
      </c>
      <c r="V397" s="6">
        <f t="shared" si="505"/>
        <v>45429.75</v>
      </c>
      <c r="W397">
        <f t="shared" si="506"/>
        <v>20</v>
      </c>
      <c r="X397">
        <f t="shared" si="507"/>
        <v>23.1</v>
      </c>
      <c r="Y397">
        <f t="shared" si="508"/>
        <v>16.3</v>
      </c>
      <c r="Z397">
        <f t="shared" si="509"/>
        <v>21</v>
      </c>
      <c r="BA397" t="s">
        <v>6</v>
      </c>
    </row>
    <row r="398" spans="1:53" x14ac:dyDescent="0.2">
      <c r="A398" s="1">
        <v>45429</v>
      </c>
      <c r="B398" s="2">
        <v>0.79166666666666663</v>
      </c>
      <c r="C398" s="6">
        <v>45429.791666666664</v>
      </c>
      <c r="D398">
        <v>57.8</v>
      </c>
      <c r="E398">
        <v>63.9</v>
      </c>
      <c r="F398">
        <v>51.7</v>
      </c>
      <c r="G398" t="s">
        <v>6</v>
      </c>
      <c r="H398">
        <v>21.8</v>
      </c>
      <c r="I398">
        <v>23.7</v>
      </c>
      <c r="J398">
        <v>19</v>
      </c>
      <c r="K398" t="s">
        <v>6</v>
      </c>
      <c r="L398">
        <v>229</v>
      </c>
      <c r="M398" t="s">
        <v>6</v>
      </c>
      <c r="O398" s="6">
        <f t="shared" si="500"/>
        <v>45429.791666666664</v>
      </c>
      <c r="P398">
        <f t="shared" si="501"/>
        <v>57.8</v>
      </c>
      <c r="Q398">
        <f t="shared" si="502"/>
        <v>63.9</v>
      </c>
      <c r="R398">
        <f t="shared" si="503"/>
        <v>51.7</v>
      </c>
      <c r="S398">
        <f t="shared" si="504"/>
        <v>58.8</v>
      </c>
      <c r="V398" s="6">
        <f t="shared" si="505"/>
        <v>45429.791666666664</v>
      </c>
      <c r="W398">
        <f t="shared" si="506"/>
        <v>21.8</v>
      </c>
      <c r="X398">
        <f t="shared" si="507"/>
        <v>23.7</v>
      </c>
      <c r="Y398">
        <f t="shared" si="508"/>
        <v>19</v>
      </c>
      <c r="Z398">
        <f t="shared" si="509"/>
        <v>22.8</v>
      </c>
      <c r="BA398" t="s">
        <v>6</v>
      </c>
    </row>
    <row r="399" spans="1:53" x14ac:dyDescent="0.2">
      <c r="A399" s="1">
        <v>45429</v>
      </c>
      <c r="B399" s="2">
        <v>0.83333333333333337</v>
      </c>
      <c r="C399" s="6">
        <v>45429.833333333336</v>
      </c>
      <c r="D399">
        <v>58.5</v>
      </c>
      <c r="E399">
        <v>64.2</v>
      </c>
      <c r="F399">
        <v>51.8</v>
      </c>
      <c r="G399" t="s">
        <v>6</v>
      </c>
      <c r="H399">
        <v>21.5</v>
      </c>
      <c r="I399">
        <v>24.1</v>
      </c>
      <c r="J399">
        <v>17.899999999999999</v>
      </c>
      <c r="K399" t="s">
        <v>6</v>
      </c>
      <c r="L399">
        <v>207</v>
      </c>
      <c r="M399" t="s">
        <v>6</v>
      </c>
      <c r="O399" s="6">
        <f t="shared" si="500"/>
        <v>45429.833333333336</v>
      </c>
      <c r="P399">
        <f t="shared" si="501"/>
        <v>58.5</v>
      </c>
      <c r="Q399">
        <f t="shared" si="502"/>
        <v>64.2</v>
      </c>
      <c r="R399">
        <f t="shared" si="503"/>
        <v>51.8</v>
      </c>
      <c r="S399">
        <f t="shared" si="504"/>
        <v>59.5</v>
      </c>
      <c r="V399" s="6">
        <f t="shared" si="505"/>
        <v>45429.833333333336</v>
      </c>
      <c r="W399">
        <f t="shared" si="506"/>
        <v>21.5</v>
      </c>
      <c r="X399">
        <f t="shared" si="507"/>
        <v>24.1</v>
      </c>
      <c r="Y399">
        <f t="shared" si="508"/>
        <v>17.899999999999999</v>
      </c>
      <c r="Z399">
        <f t="shared" si="509"/>
        <v>22.5</v>
      </c>
      <c r="BA399" t="s">
        <v>6</v>
      </c>
    </row>
    <row r="400" spans="1:53" x14ac:dyDescent="0.2">
      <c r="A400" s="1">
        <v>45429</v>
      </c>
      <c r="B400" s="2">
        <v>0.875</v>
      </c>
      <c r="C400" s="6">
        <v>45429.875</v>
      </c>
      <c r="D400">
        <v>62.2</v>
      </c>
      <c r="E400">
        <v>68</v>
      </c>
      <c r="F400">
        <v>57.1</v>
      </c>
      <c r="G400" t="s">
        <v>6</v>
      </c>
      <c r="H400">
        <v>20.9</v>
      </c>
      <c r="I400">
        <v>23.9</v>
      </c>
      <c r="J400">
        <v>17.399999999999999</v>
      </c>
      <c r="K400" t="s">
        <v>6</v>
      </c>
      <c r="L400">
        <v>189</v>
      </c>
      <c r="M400" t="s">
        <v>6</v>
      </c>
      <c r="O400" s="6">
        <f t="shared" si="500"/>
        <v>45429.875</v>
      </c>
      <c r="P400">
        <f t="shared" si="501"/>
        <v>62.2</v>
      </c>
      <c r="Q400">
        <f t="shared" si="502"/>
        <v>68</v>
      </c>
      <c r="R400">
        <f t="shared" si="503"/>
        <v>57.1</v>
      </c>
      <c r="S400">
        <f t="shared" si="504"/>
        <v>63.2</v>
      </c>
      <c r="V400" s="6">
        <f t="shared" si="505"/>
        <v>45429.875</v>
      </c>
      <c r="W400">
        <f t="shared" si="506"/>
        <v>20.9</v>
      </c>
      <c r="X400">
        <f t="shared" si="507"/>
        <v>23.9</v>
      </c>
      <c r="Y400">
        <f t="shared" si="508"/>
        <v>17.399999999999999</v>
      </c>
      <c r="Z400">
        <f t="shared" si="509"/>
        <v>21.9</v>
      </c>
      <c r="BA400" t="s">
        <v>6</v>
      </c>
    </row>
    <row r="401" spans="1:53" x14ac:dyDescent="0.2">
      <c r="A401" s="1">
        <v>45429</v>
      </c>
      <c r="B401" s="2">
        <v>0.91666666666666663</v>
      </c>
      <c r="C401" s="6">
        <v>45429.916666666664</v>
      </c>
      <c r="D401">
        <v>60.8</v>
      </c>
      <c r="E401">
        <v>65.8</v>
      </c>
      <c r="F401">
        <v>57.7</v>
      </c>
      <c r="G401" t="s">
        <v>6</v>
      </c>
      <c r="H401">
        <v>21.5</v>
      </c>
      <c r="I401">
        <v>27.4</v>
      </c>
      <c r="J401">
        <v>14.7</v>
      </c>
      <c r="K401" t="s">
        <v>6</v>
      </c>
      <c r="L401">
        <v>211</v>
      </c>
      <c r="M401" t="s">
        <v>6</v>
      </c>
      <c r="O401" s="6">
        <f t="shared" si="500"/>
        <v>45429.916666666664</v>
      </c>
      <c r="P401">
        <f t="shared" si="501"/>
        <v>60.8</v>
      </c>
      <c r="Q401">
        <f t="shared" si="502"/>
        <v>65.8</v>
      </c>
      <c r="R401">
        <f t="shared" si="503"/>
        <v>57.7</v>
      </c>
      <c r="S401">
        <f t="shared" si="504"/>
        <v>61.8</v>
      </c>
      <c r="V401" s="6">
        <f t="shared" si="505"/>
        <v>45429.916666666664</v>
      </c>
      <c r="W401">
        <f t="shared" si="506"/>
        <v>21.5</v>
      </c>
      <c r="X401">
        <f t="shared" si="507"/>
        <v>27.4</v>
      </c>
      <c r="Y401">
        <f t="shared" si="508"/>
        <v>14.7</v>
      </c>
      <c r="Z401">
        <f t="shared" si="509"/>
        <v>22.5</v>
      </c>
      <c r="BA401" t="s">
        <v>6</v>
      </c>
    </row>
    <row r="402" spans="1:53" x14ac:dyDescent="0.2">
      <c r="A402" s="1">
        <v>45429</v>
      </c>
      <c r="B402" s="2">
        <v>0.95833333333333337</v>
      </c>
      <c r="C402" s="6">
        <v>45429.958333333336</v>
      </c>
      <c r="D402">
        <v>59.6</v>
      </c>
      <c r="E402">
        <v>65.3</v>
      </c>
      <c r="F402">
        <v>54.6</v>
      </c>
      <c r="G402" t="s">
        <v>6</v>
      </c>
      <c r="H402">
        <v>21.2</v>
      </c>
      <c r="I402">
        <v>30.5</v>
      </c>
      <c r="J402">
        <v>16.600000000000001</v>
      </c>
      <c r="K402" t="s">
        <v>6</v>
      </c>
      <c r="L402">
        <v>214</v>
      </c>
      <c r="M402" t="s">
        <v>6</v>
      </c>
      <c r="O402" s="6">
        <f t="shared" si="500"/>
        <v>45429.958333333336</v>
      </c>
      <c r="P402">
        <f t="shared" si="501"/>
        <v>59.6</v>
      </c>
      <c r="Q402">
        <f t="shared" si="502"/>
        <v>65.3</v>
      </c>
      <c r="R402">
        <f t="shared" si="503"/>
        <v>54.6</v>
      </c>
      <c r="S402">
        <f t="shared" si="504"/>
        <v>60.6</v>
      </c>
      <c r="V402" s="6">
        <f t="shared" si="505"/>
        <v>45429.958333333336</v>
      </c>
      <c r="W402">
        <f t="shared" si="506"/>
        <v>21.2</v>
      </c>
      <c r="X402">
        <f t="shared" si="507"/>
        <v>30.5</v>
      </c>
      <c r="Y402">
        <f t="shared" si="508"/>
        <v>16.600000000000001</v>
      </c>
      <c r="Z402">
        <f t="shared" si="509"/>
        <v>22.2</v>
      </c>
      <c r="BA402" t="s">
        <v>6</v>
      </c>
    </row>
    <row r="403" spans="1:53" x14ac:dyDescent="0.2">
      <c r="A403" s="1">
        <v>45430</v>
      </c>
      <c r="B403" s="2">
        <v>0</v>
      </c>
      <c r="C403" s="6">
        <v>45430</v>
      </c>
      <c r="D403">
        <v>59.6</v>
      </c>
      <c r="E403">
        <v>67.599999999999994</v>
      </c>
      <c r="F403">
        <v>55.2</v>
      </c>
      <c r="G403" t="s">
        <v>6</v>
      </c>
      <c r="H403">
        <v>19.5</v>
      </c>
      <c r="I403">
        <v>26.5</v>
      </c>
      <c r="J403">
        <v>17</v>
      </c>
      <c r="K403" t="s">
        <v>6</v>
      </c>
      <c r="L403">
        <v>207</v>
      </c>
      <c r="M403" t="s">
        <v>6</v>
      </c>
      <c r="O403" s="6">
        <f t="shared" si="500"/>
        <v>45430</v>
      </c>
      <c r="P403">
        <f t="shared" si="501"/>
        <v>59.6</v>
      </c>
      <c r="Q403">
        <f t="shared" si="502"/>
        <v>67.599999999999994</v>
      </c>
      <c r="R403">
        <f t="shared" si="503"/>
        <v>55.2</v>
      </c>
      <c r="S403">
        <f t="shared" si="504"/>
        <v>60.6</v>
      </c>
      <c r="V403" s="6">
        <f t="shared" si="505"/>
        <v>45430</v>
      </c>
      <c r="W403">
        <f t="shared" si="506"/>
        <v>19.5</v>
      </c>
      <c r="X403">
        <f t="shared" si="507"/>
        <v>26.5</v>
      </c>
      <c r="Y403">
        <f t="shared" si="508"/>
        <v>17</v>
      </c>
      <c r="Z403">
        <f t="shared" si="509"/>
        <v>20.5</v>
      </c>
      <c r="BA403" t="s">
        <v>6</v>
      </c>
    </row>
    <row r="404" spans="1:53" x14ac:dyDescent="0.2">
      <c r="A404" s="1">
        <v>45430</v>
      </c>
      <c r="B404" s="2">
        <v>4.1666666666666664E-2</v>
      </c>
      <c r="C404" s="6">
        <v>45430.041666666664</v>
      </c>
      <c r="D404">
        <v>61.1</v>
      </c>
      <c r="E404">
        <v>69.900000000000006</v>
      </c>
      <c r="F404">
        <v>56.3</v>
      </c>
      <c r="G404" t="s">
        <v>6</v>
      </c>
      <c r="H404">
        <v>18.7</v>
      </c>
      <c r="I404">
        <v>27.6</v>
      </c>
      <c r="J404">
        <v>15.1</v>
      </c>
      <c r="K404" t="s">
        <v>6</v>
      </c>
      <c r="L404">
        <v>227</v>
      </c>
      <c r="M404" t="s">
        <v>6</v>
      </c>
      <c r="O404" s="6">
        <f t="shared" si="500"/>
        <v>45430.041666666664</v>
      </c>
      <c r="P404">
        <f t="shared" si="501"/>
        <v>61.1</v>
      </c>
      <c r="Q404">
        <f t="shared" si="502"/>
        <v>69.900000000000006</v>
      </c>
      <c r="R404">
        <f t="shared" si="503"/>
        <v>56.3</v>
      </c>
      <c r="S404">
        <f t="shared" si="504"/>
        <v>62.1</v>
      </c>
      <c r="V404" s="6">
        <f t="shared" si="505"/>
        <v>45430.041666666664</v>
      </c>
      <c r="W404">
        <f t="shared" si="506"/>
        <v>18.7</v>
      </c>
      <c r="X404">
        <f t="shared" si="507"/>
        <v>27.6</v>
      </c>
      <c r="Y404">
        <f t="shared" si="508"/>
        <v>15.1</v>
      </c>
      <c r="Z404">
        <f t="shared" si="509"/>
        <v>19.7</v>
      </c>
      <c r="BA404" t="s">
        <v>6</v>
      </c>
    </row>
    <row r="405" spans="1:53" x14ac:dyDescent="0.2">
      <c r="A405" s="1">
        <v>45430</v>
      </c>
      <c r="B405" s="2">
        <v>8.3333333333333329E-2</v>
      </c>
      <c r="C405" s="6">
        <v>45430.083333333336</v>
      </c>
      <c r="D405">
        <v>58.8</v>
      </c>
      <c r="E405">
        <v>64</v>
      </c>
      <c r="F405">
        <v>54.6</v>
      </c>
      <c r="G405" t="s">
        <v>6</v>
      </c>
      <c r="H405">
        <v>20.6</v>
      </c>
      <c r="I405">
        <v>25.3</v>
      </c>
      <c r="J405">
        <v>18.100000000000001</v>
      </c>
      <c r="K405" t="s">
        <v>6</v>
      </c>
      <c r="L405">
        <v>207</v>
      </c>
      <c r="M405" t="s">
        <v>6</v>
      </c>
      <c r="O405" s="6">
        <f t="shared" si="500"/>
        <v>45430.083333333336</v>
      </c>
      <c r="P405">
        <f t="shared" si="501"/>
        <v>58.8</v>
      </c>
      <c r="Q405">
        <f t="shared" si="502"/>
        <v>64</v>
      </c>
      <c r="R405">
        <f t="shared" si="503"/>
        <v>54.6</v>
      </c>
      <c r="S405">
        <f t="shared" si="504"/>
        <v>59.8</v>
      </c>
      <c r="V405" s="6">
        <f t="shared" si="505"/>
        <v>45430.083333333336</v>
      </c>
      <c r="W405">
        <f t="shared" si="506"/>
        <v>20.6</v>
      </c>
      <c r="X405">
        <f t="shared" si="507"/>
        <v>25.3</v>
      </c>
      <c r="Y405">
        <f t="shared" si="508"/>
        <v>18.100000000000001</v>
      </c>
      <c r="Z405">
        <f t="shared" si="509"/>
        <v>21.6</v>
      </c>
      <c r="BA405" t="s">
        <v>6</v>
      </c>
    </row>
    <row r="406" spans="1:53" x14ac:dyDescent="0.2">
      <c r="A406" s="1">
        <v>45430</v>
      </c>
      <c r="B406" s="2">
        <v>0.125</v>
      </c>
      <c r="C406" s="6">
        <v>45430.125</v>
      </c>
      <c r="D406">
        <v>57</v>
      </c>
      <c r="E406">
        <v>61.4</v>
      </c>
      <c r="F406">
        <v>52.7</v>
      </c>
      <c r="G406" t="s">
        <v>6</v>
      </c>
      <c r="H406">
        <v>19.2</v>
      </c>
      <c r="I406">
        <v>22.9</v>
      </c>
      <c r="J406">
        <v>16.600000000000001</v>
      </c>
      <c r="K406" t="s">
        <v>6</v>
      </c>
      <c r="L406">
        <v>226</v>
      </c>
      <c r="M406" t="s">
        <v>6</v>
      </c>
      <c r="O406" s="6">
        <f t="shared" si="500"/>
        <v>45430.125</v>
      </c>
      <c r="P406">
        <f t="shared" si="501"/>
        <v>57</v>
      </c>
      <c r="Q406">
        <f t="shared" si="502"/>
        <v>61.4</v>
      </c>
      <c r="R406">
        <f t="shared" si="503"/>
        <v>52.7</v>
      </c>
      <c r="S406">
        <f t="shared" si="504"/>
        <v>58</v>
      </c>
      <c r="V406" s="6">
        <f t="shared" si="505"/>
        <v>45430.125</v>
      </c>
      <c r="W406">
        <f t="shared" si="506"/>
        <v>19.2</v>
      </c>
      <c r="X406">
        <f t="shared" si="507"/>
        <v>22.9</v>
      </c>
      <c r="Y406">
        <f t="shared" si="508"/>
        <v>16.600000000000001</v>
      </c>
      <c r="Z406">
        <f t="shared" si="509"/>
        <v>20.2</v>
      </c>
      <c r="BA406" t="s">
        <v>6</v>
      </c>
    </row>
    <row r="407" spans="1:53" x14ac:dyDescent="0.2">
      <c r="A407" s="1">
        <v>45430</v>
      </c>
      <c r="B407" s="2">
        <v>0.16666666666666666</v>
      </c>
      <c r="C407" s="6">
        <v>45430.166666666664</v>
      </c>
      <c r="D407">
        <v>55.9</v>
      </c>
      <c r="E407">
        <v>73.2</v>
      </c>
      <c r="F407">
        <v>49.4</v>
      </c>
      <c r="G407" t="s">
        <v>6</v>
      </c>
      <c r="H407">
        <v>18</v>
      </c>
      <c r="I407">
        <v>22.3</v>
      </c>
      <c r="J407">
        <v>15.3</v>
      </c>
      <c r="K407" t="s">
        <v>6</v>
      </c>
      <c r="L407">
        <v>218</v>
      </c>
      <c r="M407" t="s">
        <v>6</v>
      </c>
      <c r="O407" s="6">
        <f t="shared" si="500"/>
        <v>45430.166666666664</v>
      </c>
      <c r="P407">
        <f t="shared" si="501"/>
        <v>55.9</v>
      </c>
      <c r="Q407">
        <f t="shared" si="502"/>
        <v>73.2</v>
      </c>
      <c r="R407">
        <f t="shared" si="503"/>
        <v>49.4</v>
      </c>
      <c r="S407">
        <f t="shared" si="504"/>
        <v>56.9</v>
      </c>
      <c r="V407" s="6">
        <f t="shared" si="505"/>
        <v>45430.166666666664</v>
      </c>
      <c r="W407">
        <f t="shared" si="506"/>
        <v>18</v>
      </c>
      <c r="X407">
        <f t="shared" si="507"/>
        <v>22.3</v>
      </c>
      <c r="Y407">
        <f t="shared" si="508"/>
        <v>15.3</v>
      </c>
      <c r="Z407">
        <f t="shared" si="509"/>
        <v>19</v>
      </c>
      <c r="BA407" t="s">
        <v>6</v>
      </c>
    </row>
    <row r="408" spans="1:53" x14ac:dyDescent="0.2">
      <c r="A408" s="1">
        <v>45430</v>
      </c>
      <c r="B408" s="2">
        <v>0.20833333333333334</v>
      </c>
      <c r="C408" s="6">
        <v>45430.208333333336</v>
      </c>
      <c r="D408">
        <v>56.6</v>
      </c>
      <c r="E408">
        <v>61.8</v>
      </c>
      <c r="F408">
        <v>53</v>
      </c>
      <c r="G408" t="s">
        <v>6</v>
      </c>
      <c r="H408">
        <v>18.399999999999999</v>
      </c>
      <c r="I408">
        <v>30.3</v>
      </c>
      <c r="J408">
        <v>14.8</v>
      </c>
      <c r="K408" t="s">
        <v>6</v>
      </c>
      <c r="L408">
        <v>228</v>
      </c>
      <c r="M408" t="s">
        <v>6</v>
      </c>
      <c r="O408" s="6">
        <f t="shared" si="500"/>
        <v>45430.208333333336</v>
      </c>
      <c r="P408">
        <f t="shared" si="501"/>
        <v>56.6</v>
      </c>
      <c r="Q408">
        <f t="shared" si="502"/>
        <v>61.8</v>
      </c>
      <c r="R408">
        <f t="shared" si="503"/>
        <v>53</v>
      </c>
      <c r="S408">
        <f t="shared" si="504"/>
        <v>57.6</v>
      </c>
      <c r="V408" s="6">
        <f t="shared" si="505"/>
        <v>45430.208333333336</v>
      </c>
      <c r="W408">
        <f t="shared" si="506"/>
        <v>18.399999999999999</v>
      </c>
      <c r="X408">
        <f t="shared" si="507"/>
        <v>30.3</v>
      </c>
      <c r="Y408">
        <f t="shared" si="508"/>
        <v>14.8</v>
      </c>
      <c r="Z408">
        <f t="shared" si="509"/>
        <v>19.399999999999999</v>
      </c>
      <c r="BA408" t="s">
        <v>6</v>
      </c>
    </row>
    <row r="409" spans="1:53" x14ac:dyDescent="0.2">
      <c r="A409" s="1">
        <v>45430</v>
      </c>
      <c r="B409" s="2">
        <v>0.25</v>
      </c>
      <c r="C409" s="6">
        <v>45430.25</v>
      </c>
      <c r="D409">
        <v>57.9</v>
      </c>
      <c r="E409">
        <v>64.2</v>
      </c>
      <c r="F409">
        <v>54</v>
      </c>
      <c r="G409" t="s">
        <v>6</v>
      </c>
      <c r="H409">
        <v>19.3</v>
      </c>
      <c r="I409">
        <v>23.7</v>
      </c>
      <c r="J409">
        <v>15.5</v>
      </c>
      <c r="K409" t="s">
        <v>6</v>
      </c>
      <c r="L409">
        <v>212</v>
      </c>
      <c r="M409" t="s">
        <v>6</v>
      </c>
      <c r="O409" s="6">
        <f t="shared" si="500"/>
        <v>45430.25</v>
      </c>
      <c r="P409">
        <f t="shared" si="501"/>
        <v>57.9</v>
      </c>
      <c r="Q409">
        <f t="shared" si="502"/>
        <v>64.2</v>
      </c>
      <c r="R409">
        <f t="shared" si="503"/>
        <v>54</v>
      </c>
      <c r="S409">
        <f t="shared" si="504"/>
        <v>58.9</v>
      </c>
      <c r="V409" s="6">
        <f t="shared" si="505"/>
        <v>45430.25</v>
      </c>
      <c r="W409">
        <f t="shared" si="506"/>
        <v>19.3</v>
      </c>
      <c r="X409">
        <f t="shared" si="507"/>
        <v>23.7</v>
      </c>
      <c r="Y409">
        <f t="shared" si="508"/>
        <v>15.5</v>
      </c>
      <c r="Z409">
        <f t="shared" si="509"/>
        <v>20.3</v>
      </c>
      <c r="BA409" t="s">
        <v>6</v>
      </c>
    </row>
    <row r="410" spans="1:53" x14ac:dyDescent="0.2">
      <c r="A410" s="1">
        <v>45430</v>
      </c>
      <c r="B410" s="2">
        <v>0.29166666666666669</v>
      </c>
      <c r="C410" s="6">
        <v>45430.291666666664</v>
      </c>
      <c r="D410">
        <v>57.6</v>
      </c>
      <c r="E410">
        <v>62.8</v>
      </c>
      <c r="F410">
        <v>52.5</v>
      </c>
      <c r="G410" t="s">
        <v>6</v>
      </c>
      <c r="H410">
        <v>19.3</v>
      </c>
      <c r="I410">
        <v>26.6</v>
      </c>
      <c r="J410">
        <v>15.6</v>
      </c>
      <c r="K410" t="s">
        <v>6</v>
      </c>
      <c r="L410">
        <v>201</v>
      </c>
      <c r="M410" t="s">
        <v>6</v>
      </c>
      <c r="O410" s="6">
        <f t="shared" si="500"/>
        <v>45430.291666666664</v>
      </c>
      <c r="P410">
        <f t="shared" si="501"/>
        <v>57.6</v>
      </c>
      <c r="Q410">
        <f t="shared" si="502"/>
        <v>62.8</v>
      </c>
      <c r="R410">
        <f t="shared" si="503"/>
        <v>52.5</v>
      </c>
      <c r="S410">
        <f t="shared" si="504"/>
        <v>58.6</v>
      </c>
      <c r="V410" s="6">
        <f t="shared" si="505"/>
        <v>45430.291666666664</v>
      </c>
      <c r="W410">
        <f t="shared" si="506"/>
        <v>19.3</v>
      </c>
      <c r="X410">
        <f t="shared" si="507"/>
        <v>26.6</v>
      </c>
      <c r="Y410">
        <f t="shared" si="508"/>
        <v>15.6</v>
      </c>
      <c r="Z410">
        <f t="shared" si="509"/>
        <v>20.3</v>
      </c>
      <c r="BA410" t="s">
        <v>6</v>
      </c>
    </row>
    <row r="411" spans="1:53" x14ac:dyDescent="0.2">
      <c r="A411" s="14">
        <v>45430</v>
      </c>
      <c r="B411" s="7">
        <v>0.33333333333333331</v>
      </c>
      <c r="C411" s="8">
        <v>45430.333333333336</v>
      </c>
      <c r="D411" s="9">
        <v>56.7</v>
      </c>
      <c r="E411" s="9">
        <v>62.3</v>
      </c>
      <c r="F411" s="9">
        <v>51.5</v>
      </c>
      <c r="G411" s="9" t="s">
        <v>6</v>
      </c>
      <c r="H411" s="9">
        <v>18.5</v>
      </c>
      <c r="I411" s="9">
        <v>22.8</v>
      </c>
      <c r="J411" s="9">
        <v>15.5</v>
      </c>
      <c r="K411" s="9" t="s">
        <v>6</v>
      </c>
      <c r="L411" s="9">
        <v>175</v>
      </c>
      <c r="M411" t="s">
        <v>6</v>
      </c>
      <c r="O411" s="6">
        <f t="shared" si="500"/>
        <v>45430.333333333336</v>
      </c>
      <c r="P411">
        <f t="shared" si="501"/>
        <v>56.7</v>
      </c>
      <c r="Q411">
        <f t="shared" si="502"/>
        <v>62.3</v>
      </c>
      <c r="R411">
        <f t="shared" si="503"/>
        <v>51.5</v>
      </c>
      <c r="S411">
        <f t="shared" si="504"/>
        <v>57.7</v>
      </c>
      <c r="V411" s="6">
        <f t="shared" si="505"/>
        <v>45430.333333333336</v>
      </c>
      <c r="W411">
        <f t="shared" si="506"/>
        <v>18.5</v>
      </c>
      <c r="X411">
        <f t="shared" si="507"/>
        <v>22.8</v>
      </c>
      <c r="Y411">
        <f t="shared" si="508"/>
        <v>15.5</v>
      </c>
      <c r="Z411">
        <f t="shared" si="509"/>
        <v>19.5</v>
      </c>
      <c r="BA411" t="s">
        <v>6</v>
      </c>
    </row>
    <row r="412" spans="1:53" x14ac:dyDescent="0.2">
      <c r="A412" s="13">
        <v>45430</v>
      </c>
      <c r="B412" s="3">
        <v>0.375</v>
      </c>
      <c r="C412" s="4">
        <v>45430.375</v>
      </c>
      <c r="D412" s="5">
        <v>59</v>
      </c>
      <c r="E412" s="5">
        <v>73.400000000000006</v>
      </c>
      <c r="F412" s="5">
        <v>51.6</v>
      </c>
      <c r="G412" s="5" t="s">
        <v>6</v>
      </c>
      <c r="H412" s="5">
        <v>19.2</v>
      </c>
      <c r="I412" s="5">
        <v>26.1</v>
      </c>
      <c r="J412" s="5">
        <v>15.7</v>
      </c>
      <c r="K412" s="5" t="s">
        <v>6</v>
      </c>
      <c r="L412" s="5">
        <v>209</v>
      </c>
      <c r="M412" t="s">
        <v>6</v>
      </c>
      <c r="O412" s="6">
        <f t="shared" si="500"/>
        <v>45430.375</v>
      </c>
      <c r="P412">
        <f t="shared" si="501"/>
        <v>59</v>
      </c>
      <c r="Q412">
        <f t="shared" si="502"/>
        <v>73.400000000000006</v>
      </c>
      <c r="R412">
        <f t="shared" si="503"/>
        <v>51.6</v>
      </c>
      <c r="S412">
        <f t="shared" si="504"/>
        <v>60</v>
      </c>
      <c r="V412" s="6">
        <f t="shared" si="505"/>
        <v>45430.375</v>
      </c>
      <c r="W412">
        <f t="shared" si="506"/>
        <v>19.2</v>
      </c>
      <c r="X412">
        <f t="shared" si="507"/>
        <v>26.1</v>
      </c>
      <c r="Y412">
        <f t="shared" si="508"/>
        <v>15.7</v>
      </c>
      <c r="Z412">
        <f t="shared" si="509"/>
        <v>20.2</v>
      </c>
      <c r="BA412" t="s">
        <v>6</v>
      </c>
    </row>
    <row r="413" spans="1:53" x14ac:dyDescent="0.2">
      <c r="A413" s="1">
        <v>45430</v>
      </c>
      <c r="B413" s="2">
        <v>0.41666666666666669</v>
      </c>
      <c r="C413" s="6">
        <v>45430.416666666664</v>
      </c>
      <c r="D413">
        <v>57.9</v>
      </c>
      <c r="E413">
        <v>61.2</v>
      </c>
      <c r="F413">
        <v>53.3</v>
      </c>
      <c r="G413" t="s">
        <v>6</v>
      </c>
      <c r="H413">
        <v>17.2</v>
      </c>
      <c r="I413">
        <v>21</v>
      </c>
      <c r="J413">
        <v>14.8</v>
      </c>
      <c r="K413" t="s">
        <v>6</v>
      </c>
      <c r="L413">
        <v>220</v>
      </c>
      <c r="M413" t="s">
        <v>6</v>
      </c>
      <c r="O413" s="6">
        <f t="shared" si="500"/>
        <v>45430.416666666664</v>
      </c>
      <c r="P413">
        <f t="shared" si="501"/>
        <v>57.9</v>
      </c>
      <c r="Q413">
        <f t="shared" si="502"/>
        <v>61.2</v>
      </c>
      <c r="R413">
        <f t="shared" si="503"/>
        <v>53.3</v>
      </c>
      <c r="S413">
        <f t="shared" si="504"/>
        <v>58.9</v>
      </c>
      <c r="V413" s="6">
        <f t="shared" si="505"/>
        <v>45430.416666666664</v>
      </c>
      <c r="W413">
        <f t="shared" si="506"/>
        <v>17.2</v>
      </c>
      <c r="X413">
        <f t="shared" si="507"/>
        <v>21</v>
      </c>
      <c r="Y413">
        <f t="shared" si="508"/>
        <v>14.8</v>
      </c>
      <c r="Z413">
        <f t="shared" si="509"/>
        <v>18.2</v>
      </c>
      <c r="BA413" t="s">
        <v>6</v>
      </c>
    </row>
    <row r="414" spans="1:53" x14ac:dyDescent="0.2">
      <c r="A414" s="1">
        <v>45430</v>
      </c>
      <c r="B414" s="2">
        <v>0.45833333333333331</v>
      </c>
      <c r="C414" s="6">
        <v>45430.458333333336</v>
      </c>
      <c r="D414">
        <v>55.6</v>
      </c>
      <c r="E414">
        <v>60.4</v>
      </c>
      <c r="F414">
        <v>51.8</v>
      </c>
      <c r="G414" t="s">
        <v>6</v>
      </c>
      <c r="H414">
        <v>17.3</v>
      </c>
      <c r="I414">
        <v>27.9</v>
      </c>
      <c r="J414">
        <v>14.3</v>
      </c>
      <c r="K414" t="s">
        <v>6</v>
      </c>
      <c r="L414">
        <v>214</v>
      </c>
      <c r="M414" t="s">
        <v>6</v>
      </c>
      <c r="O414" s="6">
        <f t="shared" si="500"/>
        <v>45430.458333333336</v>
      </c>
      <c r="P414">
        <f t="shared" si="501"/>
        <v>55.6</v>
      </c>
      <c r="Q414">
        <f t="shared" si="502"/>
        <v>60.4</v>
      </c>
      <c r="R414">
        <f t="shared" si="503"/>
        <v>51.8</v>
      </c>
      <c r="S414">
        <f t="shared" si="504"/>
        <v>56.6</v>
      </c>
      <c r="V414" s="6">
        <f t="shared" si="505"/>
        <v>45430.458333333336</v>
      </c>
      <c r="W414">
        <f t="shared" si="506"/>
        <v>17.3</v>
      </c>
      <c r="X414">
        <f t="shared" si="507"/>
        <v>27.9</v>
      </c>
      <c r="Y414">
        <f t="shared" si="508"/>
        <v>14.3</v>
      </c>
      <c r="Z414">
        <f t="shared" si="509"/>
        <v>18.3</v>
      </c>
      <c r="BA414" t="s">
        <v>6</v>
      </c>
    </row>
    <row r="415" spans="1:53" x14ac:dyDescent="0.2">
      <c r="A415" s="1">
        <v>45430</v>
      </c>
      <c r="B415" s="2">
        <v>0.5</v>
      </c>
      <c r="C415" s="6">
        <v>45430.5</v>
      </c>
      <c r="D415">
        <v>53</v>
      </c>
      <c r="E415">
        <v>57.3</v>
      </c>
      <c r="F415">
        <v>49.2</v>
      </c>
      <c r="G415" t="s">
        <v>6</v>
      </c>
      <c r="H415">
        <v>19.3</v>
      </c>
      <c r="I415">
        <v>23.8</v>
      </c>
      <c r="J415">
        <v>15.4</v>
      </c>
      <c r="K415" t="s">
        <v>6</v>
      </c>
      <c r="L415">
        <v>201</v>
      </c>
      <c r="M415" t="s">
        <v>6</v>
      </c>
      <c r="O415" s="6">
        <f t="shared" si="500"/>
        <v>45430.5</v>
      </c>
      <c r="P415">
        <f t="shared" si="501"/>
        <v>53</v>
      </c>
      <c r="Q415">
        <f t="shared" si="502"/>
        <v>57.3</v>
      </c>
      <c r="R415">
        <f t="shared" si="503"/>
        <v>49.2</v>
      </c>
      <c r="S415">
        <f t="shared" si="504"/>
        <v>54</v>
      </c>
      <c r="V415" s="6">
        <f t="shared" si="505"/>
        <v>45430.5</v>
      </c>
      <c r="W415">
        <f t="shared" si="506"/>
        <v>19.3</v>
      </c>
      <c r="X415">
        <f t="shared" si="507"/>
        <v>23.8</v>
      </c>
      <c r="Y415">
        <f t="shared" si="508"/>
        <v>15.4</v>
      </c>
      <c r="Z415">
        <f t="shared" si="509"/>
        <v>20.3</v>
      </c>
      <c r="BA415" t="s">
        <v>6</v>
      </c>
    </row>
    <row r="416" spans="1:53" x14ac:dyDescent="0.2">
      <c r="A416" s="1">
        <v>45430</v>
      </c>
      <c r="B416" s="2">
        <v>0.54166666666666663</v>
      </c>
      <c r="C416" s="6">
        <v>45430.541666666664</v>
      </c>
      <c r="D416">
        <v>57.1</v>
      </c>
      <c r="E416">
        <v>61.8</v>
      </c>
      <c r="F416">
        <v>52.9</v>
      </c>
      <c r="G416" t="s">
        <v>6</v>
      </c>
      <c r="H416">
        <v>18.8</v>
      </c>
      <c r="I416">
        <v>22.1</v>
      </c>
      <c r="J416">
        <v>15.5</v>
      </c>
      <c r="K416" t="s">
        <v>6</v>
      </c>
      <c r="L416">
        <v>223</v>
      </c>
      <c r="M416" t="s">
        <v>6</v>
      </c>
      <c r="O416" s="6">
        <f t="shared" si="500"/>
        <v>45430.541666666664</v>
      </c>
      <c r="P416">
        <f t="shared" si="501"/>
        <v>57.1</v>
      </c>
      <c r="Q416">
        <f t="shared" si="502"/>
        <v>61.8</v>
      </c>
      <c r="R416">
        <f t="shared" si="503"/>
        <v>52.9</v>
      </c>
      <c r="S416">
        <f t="shared" si="504"/>
        <v>58.1</v>
      </c>
      <c r="V416" s="6">
        <f t="shared" si="505"/>
        <v>45430.541666666664</v>
      </c>
      <c r="W416">
        <f t="shared" si="506"/>
        <v>18.8</v>
      </c>
      <c r="X416">
        <f t="shared" si="507"/>
        <v>22.1</v>
      </c>
      <c r="Y416">
        <f t="shared" si="508"/>
        <v>15.5</v>
      </c>
      <c r="Z416">
        <f t="shared" si="509"/>
        <v>19.8</v>
      </c>
      <c r="BA416" t="s">
        <v>6</v>
      </c>
    </row>
    <row r="417" spans="1:53" x14ac:dyDescent="0.2">
      <c r="A417" s="1">
        <v>45430</v>
      </c>
      <c r="B417" s="2">
        <v>0.58333333333333337</v>
      </c>
      <c r="C417" s="6">
        <v>45430.583333333336</v>
      </c>
      <c r="D417">
        <v>56.9</v>
      </c>
      <c r="E417">
        <v>59.7</v>
      </c>
      <c r="F417">
        <v>53.8</v>
      </c>
      <c r="G417" t="s">
        <v>6</v>
      </c>
      <c r="H417">
        <v>18.3</v>
      </c>
      <c r="I417">
        <v>25.5</v>
      </c>
      <c r="J417">
        <v>14.6</v>
      </c>
      <c r="K417" t="s">
        <v>6</v>
      </c>
      <c r="L417">
        <v>166</v>
      </c>
      <c r="M417" t="s">
        <v>6</v>
      </c>
      <c r="O417" s="6">
        <f t="shared" si="500"/>
        <v>45430.583333333336</v>
      </c>
      <c r="P417">
        <f t="shared" si="501"/>
        <v>56.9</v>
      </c>
      <c r="Q417">
        <f t="shared" si="502"/>
        <v>59.7</v>
      </c>
      <c r="R417">
        <f t="shared" si="503"/>
        <v>53.8</v>
      </c>
      <c r="S417">
        <f t="shared" si="504"/>
        <v>57.9</v>
      </c>
      <c r="V417" s="6">
        <f t="shared" si="505"/>
        <v>45430.583333333336</v>
      </c>
      <c r="W417">
        <f t="shared" si="506"/>
        <v>18.3</v>
      </c>
      <c r="X417">
        <f t="shared" si="507"/>
        <v>25.5</v>
      </c>
      <c r="Y417">
        <f t="shared" si="508"/>
        <v>14.6</v>
      </c>
      <c r="Z417">
        <f t="shared" si="509"/>
        <v>19.3</v>
      </c>
      <c r="BA417" t="s">
        <v>6</v>
      </c>
    </row>
    <row r="418" spans="1:53" x14ac:dyDescent="0.2">
      <c r="A418" s="1">
        <v>45430</v>
      </c>
      <c r="B418" s="2">
        <v>0.625</v>
      </c>
      <c r="C418" s="6">
        <v>45430.625</v>
      </c>
      <c r="D418">
        <v>58</v>
      </c>
      <c r="E418">
        <v>65.599999999999994</v>
      </c>
      <c r="F418">
        <v>51.2</v>
      </c>
      <c r="G418" t="s">
        <v>6</v>
      </c>
      <c r="H418">
        <v>18.100000000000001</v>
      </c>
      <c r="I418">
        <v>25.5</v>
      </c>
      <c r="J418">
        <v>12.8</v>
      </c>
      <c r="K418" t="s">
        <v>6</v>
      </c>
      <c r="L418">
        <v>221</v>
      </c>
      <c r="M418" t="s">
        <v>6</v>
      </c>
      <c r="O418" s="6">
        <f t="shared" si="500"/>
        <v>45430.625</v>
      </c>
      <c r="P418">
        <f t="shared" si="501"/>
        <v>58</v>
      </c>
      <c r="Q418">
        <f t="shared" si="502"/>
        <v>65.599999999999994</v>
      </c>
      <c r="R418">
        <f t="shared" si="503"/>
        <v>51.2</v>
      </c>
      <c r="S418">
        <f t="shared" si="504"/>
        <v>59</v>
      </c>
      <c r="V418" s="6">
        <f t="shared" si="505"/>
        <v>45430.625</v>
      </c>
      <c r="W418">
        <f t="shared" si="506"/>
        <v>18.100000000000001</v>
      </c>
      <c r="X418">
        <f t="shared" si="507"/>
        <v>25.5</v>
      </c>
      <c r="Y418">
        <f t="shared" si="508"/>
        <v>12.8</v>
      </c>
      <c r="Z418">
        <f t="shared" si="509"/>
        <v>19.100000000000001</v>
      </c>
      <c r="BA418" t="s">
        <v>6</v>
      </c>
    </row>
    <row r="419" spans="1:53" x14ac:dyDescent="0.2">
      <c r="A419" s="1">
        <v>45430</v>
      </c>
      <c r="B419" s="2">
        <v>0.66666666666666663</v>
      </c>
      <c r="C419" s="6">
        <v>45430.666666666664</v>
      </c>
      <c r="D419">
        <v>56.6</v>
      </c>
      <c r="E419">
        <v>65.3</v>
      </c>
      <c r="F419">
        <v>50.9</v>
      </c>
      <c r="G419" t="s">
        <v>6</v>
      </c>
      <c r="H419">
        <v>19.3</v>
      </c>
      <c r="I419">
        <v>23.8</v>
      </c>
      <c r="J419">
        <v>14.8</v>
      </c>
      <c r="K419" t="s">
        <v>6</v>
      </c>
      <c r="L419">
        <v>195</v>
      </c>
      <c r="M419" t="s">
        <v>6</v>
      </c>
      <c r="O419" s="6">
        <f t="shared" si="500"/>
        <v>45430.666666666664</v>
      </c>
      <c r="P419">
        <f t="shared" si="501"/>
        <v>56.6</v>
      </c>
      <c r="Q419">
        <f t="shared" si="502"/>
        <v>65.3</v>
      </c>
      <c r="R419">
        <f t="shared" si="503"/>
        <v>50.9</v>
      </c>
      <c r="S419">
        <f t="shared" si="504"/>
        <v>57.6</v>
      </c>
      <c r="V419" s="6">
        <f t="shared" si="505"/>
        <v>45430.666666666664</v>
      </c>
      <c r="W419">
        <f t="shared" si="506"/>
        <v>19.3</v>
      </c>
      <c r="X419">
        <f t="shared" si="507"/>
        <v>23.8</v>
      </c>
      <c r="Y419">
        <f t="shared" si="508"/>
        <v>14.8</v>
      </c>
      <c r="Z419">
        <f t="shared" si="509"/>
        <v>20.3</v>
      </c>
      <c r="BA419" t="s">
        <v>6</v>
      </c>
    </row>
    <row r="420" spans="1:53" x14ac:dyDescent="0.2">
      <c r="A420" s="1">
        <v>45430</v>
      </c>
      <c r="B420" s="2">
        <v>0.70833333333333337</v>
      </c>
      <c r="C420" s="6">
        <v>45430.708333333336</v>
      </c>
      <c r="D420">
        <v>53.4</v>
      </c>
      <c r="E420">
        <v>57</v>
      </c>
      <c r="F420">
        <v>50.9</v>
      </c>
      <c r="G420" t="s">
        <v>6</v>
      </c>
      <c r="H420">
        <v>20.9</v>
      </c>
      <c r="I420">
        <v>24.8</v>
      </c>
      <c r="J420">
        <v>15</v>
      </c>
      <c r="K420" t="s">
        <v>6</v>
      </c>
      <c r="L420">
        <v>205</v>
      </c>
      <c r="M420" t="s">
        <v>6</v>
      </c>
      <c r="O420" s="6">
        <f t="shared" si="500"/>
        <v>45430.708333333336</v>
      </c>
      <c r="P420">
        <f t="shared" si="501"/>
        <v>53.4</v>
      </c>
      <c r="Q420">
        <f t="shared" si="502"/>
        <v>57</v>
      </c>
      <c r="R420">
        <f t="shared" si="503"/>
        <v>50.9</v>
      </c>
      <c r="S420">
        <f t="shared" si="504"/>
        <v>54.4</v>
      </c>
      <c r="V420" s="6">
        <f t="shared" si="505"/>
        <v>45430.708333333336</v>
      </c>
      <c r="W420">
        <f t="shared" si="506"/>
        <v>20.9</v>
      </c>
      <c r="X420">
        <f t="shared" si="507"/>
        <v>24.8</v>
      </c>
      <c r="Y420">
        <f t="shared" si="508"/>
        <v>15</v>
      </c>
      <c r="Z420">
        <f t="shared" si="509"/>
        <v>21.9</v>
      </c>
      <c r="BA420" t="s">
        <v>6</v>
      </c>
    </row>
    <row r="421" spans="1:53" x14ac:dyDescent="0.2">
      <c r="A421" s="1">
        <v>45430</v>
      </c>
      <c r="B421" s="2">
        <v>0.75</v>
      </c>
      <c r="C421" s="6">
        <v>45430.75</v>
      </c>
      <c r="D421">
        <v>61.3</v>
      </c>
      <c r="E421">
        <v>66.7</v>
      </c>
      <c r="F421">
        <v>52.5</v>
      </c>
      <c r="G421" t="s">
        <v>6</v>
      </c>
      <c r="H421">
        <v>20.3</v>
      </c>
      <c r="I421">
        <v>23.3</v>
      </c>
      <c r="J421">
        <v>15.6</v>
      </c>
      <c r="K421" t="s">
        <v>6</v>
      </c>
      <c r="L421">
        <v>205</v>
      </c>
      <c r="M421" t="s">
        <v>6</v>
      </c>
      <c r="O421" s="6">
        <f t="shared" si="500"/>
        <v>45430.75</v>
      </c>
      <c r="P421">
        <f t="shared" si="501"/>
        <v>61.3</v>
      </c>
      <c r="Q421">
        <f t="shared" si="502"/>
        <v>66.7</v>
      </c>
      <c r="R421">
        <f t="shared" si="503"/>
        <v>52.5</v>
      </c>
      <c r="S421">
        <f t="shared" si="504"/>
        <v>62.3</v>
      </c>
      <c r="V421" s="6">
        <f t="shared" si="505"/>
        <v>45430.75</v>
      </c>
      <c r="W421">
        <f t="shared" si="506"/>
        <v>20.3</v>
      </c>
      <c r="X421">
        <f t="shared" si="507"/>
        <v>23.3</v>
      </c>
      <c r="Y421">
        <f t="shared" si="508"/>
        <v>15.6</v>
      </c>
      <c r="Z421">
        <f t="shared" si="509"/>
        <v>21.3</v>
      </c>
      <c r="BA421" t="s">
        <v>6</v>
      </c>
    </row>
    <row r="422" spans="1:53" x14ac:dyDescent="0.2">
      <c r="A422" s="1">
        <v>45430</v>
      </c>
      <c r="B422" s="2">
        <v>0.79166666666666663</v>
      </c>
      <c r="C422" s="6">
        <v>45430.791666666664</v>
      </c>
      <c r="D422">
        <v>60.9</v>
      </c>
      <c r="E422">
        <v>74.900000000000006</v>
      </c>
      <c r="F422">
        <v>54.7</v>
      </c>
      <c r="G422" t="s">
        <v>6</v>
      </c>
      <c r="H422">
        <v>20.399999999999999</v>
      </c>
      <c r="I422">
        <v>24.2</v>
      </c>
      <c r="J422">
        <v>17.100000000000001</v>
      </c>
      <c r="K422" t="s">
        <v>6</v>
      </c>
      <c r="L422">
        <v>211</v>
      </c>
      <c r="M422" t="s">
        <v>6</v>
      </c>
      <c r="O422" s="6">
        <f t="shared" si="500"/>
        <v>45430.791666666664</v>
      </c>
      <c r="P422">
        <f t="shared" si="501"/>
        <v>60.9</v>
      </c>
      <c r="Q422">
        <f t="shared" si="502"/>
        <v>74.900000000000006</v>
      </c>
      <c r="R422">
        <f t="shared" si="503"/>
        <v>54.7</v>
      </c>
      <c r="S422">
        <f t="shared" si="504"/>
        <v>61.9</v>
      </c>
      <c r="V422" s="6">
        <f t="shared" si="505"/>
        <v>45430.791666666664</v>
      </c>
      <c r="W422">
        <f t="shared" si="506"/>
        <v>20.399999999999999</v>
      </c>
      <c r="X422">
        <f t="shared" si="507"/>
        <v>24.2</v>
      </c>
      <c r="Y422">
        <f t="shared" si="508"/>
        <v>17.100000000000001</v>
      </c>
      <c r="Z422">
        <f t="shared" si="509"/>
        <v>21.4</v>
      </c>
      <c r="BA422" t="s">
        <v>6</v>
      </c>
    </row>
    <row r="423" spans="1:53" x14ac:dyDescent="0.2">
      <c r="A423" s="1">
        <v>45430</v>
      </c>
      <c r="B423" s="2">
        <v>0.83333333333333337</v>
      </c>
      <c r="C423" s="6">
        <v>45430.833333333336</v>
      </c>
      <c r="D423">
        <v>56.6</v>
      </c>
      <c r="E423">
        <v>63.7</v>
      </c>
      <c r="F423">
        <v>50.9</v>
      </c>
      <c r="G423" t="s">
        <v>6</v>
      </c>
      <c r="H423">
        <v>20.5</v>
      </c>
      <c r="I423">
        <v>25.3</v>
      </c>
      <c r="J423">
        <v>15.4</v>
      </c>
      <c r="K423" t="s">
        <v>6</v>
      </c>
      <c r="L423">
        <v>203</v>
      </c>
      <c r="M423" t="s">
        <v>6</v>
      </c>
      <c r="O423" s="6">
        <f t="shared" si="500"/>
        <v>45430.833333333336</v>
      </c>
      <c r="P423">
        <f t="shared" si="501"/>
        <v>56.6</v>
      </c>
      <c r="Q423">
        <f t="shared" si="502"/>
        <v>63.7</v>
      </c>
      <c r="R423">
        <f t="shared" si="503"/>
        <v>50.9</v>
      </c>
      <c r="S423">
        <f t="shared" si="504"/>
        <v>57.6</v>
      </c>
      <c r="V423" s="6">
        <f t="shared" si="505"/>
        <v>45430.833333333336</v>
      </c>
      <c r="W423">
        <f t="shared" si="506"/>
        <v>20.5</v>
      </c>
      <c r="X423">
        <f t="shared" si="507"/>
        <v>25.3</v>
      </c>
      <c r="Y423">
        <f t="shared" si="508"/>
        <v>15.4</v>
      </c>
      <c r="Z423">
        <f t="shared" si="509"/>
        <v>21.5</v>
      </c>
      <c r="BA423" t="s">
        <v>6</v>
      </c>
    </row>
    <row r="424" spans="1:53" x14ac:dyDescent="0.2">
      <c r="A424" s="1">
        <v>45430</v>
      </c>
      <c r="B424" s="2">
        <v>0.875</v>
      </c>
      <c r="C424" s="6">
        <v>45430.875</v>
      </c>
      <c r="D424">
        <v>60.4</v>
      </c>
      <c r="E424">
        <v>66</v>
      </c>
      <c r="F424">
        <v>54.4</v>
      </c>
      <c r="G424" t="s">
        <v>6</v>
      </c>
      <c r="H424">
        <v>20.399999999999999</v>
      </c>
      <c r="I424">
        <v>26.2</v>
      </c>
      <c r="J424">
        <v>13.2</v>
      </c>
      <c r="K424" t="s">
        <v>6</v>
      </c>
      <c r="L424">
        <v>223</v>
      </c>
      <c r="M424" t="s">
        <v>6</v>
      </c>
      <c r="O424" s="6">
        <f t="shared" si="500"/>
        <v>45430.875</v>
      </c>
      <c r="P424">
        <f t="shared" si="501"/>
        <v>60.4</v>
      </c>
      <c r="Q424">
        <f t="shared" si="502"/>
        <v>66</v>
      </c>
      <c r="R424">
        <f t="shared" si="503"/>
        <v>54.4</v>
      </c>
      <c r="S424">
        <f t="shared" si="504"/>
        <v>61.4</v>
      </c>
      <c r="V424" s="6">
        <f t="shared" si="505"/>
        <v>45430.875</v>
      </c>
      <c r="W424">
        <f t="shared" si="506"/>
        <v>20.399999999999999</v>
      </c>
      <c r="X424">
        <f t="shared" si="507"/>
        <v>26.2</v>
      </c>
      <c r="Y424">
        <f t="shared" si="508"/>
        <v>13.2</v>
      </c>
      <c r="Z424">
        <f t="shared" si="509"/>
        <v>21.4</v>
      </c>
      <c r="BA424" t="s">
        <v>6</v>
      </c>
    </row>
    <row r="425" spans="1:53" x14ac:dyDescent="0.2">
      <c r="A425" s="1">
        <v>45430</v>
      </c>
      <c r="B425" s="2">
        <v>0.91666666666666663</v>
      </c>
      <c r="C425" s="6">
        <v>45430.916666666664</v>
      </c>
      <c r="D425">
        <v>57.5</v>
      </c>
      <c r="E425">
        <v>60.2</v>
      </c>
      <c r="F425">
        <v>52.7</v>
      </c>
      <c r="G425" t="s">
        <v>6</v>
      </c>
      <c r="H425">
        <v>19.8</v>
      </c>
      <c r="I425">
        <v>28.4</v>
      </c>
      <c r="J425">
        <v>16.5</v>
      </c>
      <c r="K425" t="s">
        <v>6</v>
      </c>
      <c r="L425">
        <v>198</v>
      </c>
      <c r="M425" t="s">
        <v>6</v>
      </c>
      <c r="O425" s="6">
        <f t="shared" si="500"/>
        <v>45430.916666666664</v>
      </c>
      <c r="P425">
        <f t="shared" si="501"/>
        <v>57.5</v>
      </c>
      <c r="Q425">
        <f t="shared" si="502"/>
        <v>60.2</v>
      </c>
      <c r="R425">
        <f t="shared" si="503"/>
        <v>52.7</v>
      </c>
      <c r="S425">
        <f t="shared" si="504"/>
        <v>58.5</v>
      </c>
      <c r="V425" s="6">
        <f t="shared" si="505"/>
        <v>45430.916666666664</v>
      </c>
      <c r="W425">
        <f t="shared" si="506"/>
        <v>19.8</v>
      </c>
      <c r="X425">
        <f t="shared" si="507"/>
        <v>28.4</v>
      </c>
      <c r="Y425">
        <f t="shared" si="508"/>
        <v>16.5</v>
      </c>
      <c r="Z425">
        <f t="shared" si="509"/>
        <v>20.8</v>
      </c>
      <c r="BA425" t="s">
        <v>6</v>
      </c>
    </row>
    <row r="426" spans="1:53" x14ac:dyDescent="0.2">
      <c r="A426" s="1">
        <v>45430</v>
      </c>
      <c r="B426" s="2">
        <v>0.95833333333333337</v>
      </c>
      <c r="C426" s="6">
        <v>45430.958333333336</v>
      </c>
      <c r="D426">
        <v>63.5</v>
      </c>
      <c r="E426">
        <v>70.2</v>
      </c>
      <c r="F426">
        <v>59.4</v>
      </c>
      <c r="G426" t="s">
        <v>6</v>
      </c>
      <c r="H426">
        <v>21</v>
      </c>
      <c r="I426">
        <v>26.2</v>
      </c>
      <c r="J426">
        <v>15.9</v>
      </c>
      <c r="K426" t="s">
        <v>6</v>
      </c>
      <c r="L426">
        <v>213</v>
      </c>
      <c r="M426" t="s">
        <v>6</v>
      </c>
      <c r="O426" s="6">
        <f t="shared" si="500"/>
        <v>45430.958333333336</v>
      </c>
      <c r="P426">
        <f t="shared" si="501"/>
        <v>63.5</v>
      </c>
      <c r="Q426">
        <f t="shared" si="502"/>
        <v>70.2</v>
      </c>
      <c r="R426">
        <f t="shared" si="503"/>
        <v>59.4</v>
      </c>
      <c r="S426">
        <f t="shared" si="504"/>
        <v>64.5</v>
      </c>
      <c r="V426" s="6">
        <f t="shared" si="505"/>
        <v>45430.958333333336</v>
      </c>
      <c r="W426">
        <f t="shared" si="506"/>
        <v>21</v>
      </c>
      <c r="X426">
        <f t="shared" si="507"/>
        <v>26.2</v>
      </c>
      <c r="Y426">
        <f t="shared" si="508"/>
        <v>15.9</v>
      </c>
      <c r="Z426">
        <f t="shared" si="509"/>
        <v>22</v>
      </c>
      <c r="BA426" t="s">
        <v>6</v>
      </c>
    </row>
    <row r="427" spans="1:53" x14ac:dyDescent="0.2">
      <c r="A427" s="1">
        <v>45431</v>
      </c>
      <c r="B427" s="2">
        <v>0</v>
      </c>
      <c r="C427" s="6">
        <v>45431</v>
      </c>
      <c r="D427">
        <v>59.4</v>
      </c>
      <c r="E427">
        <v>64</v>
      </c>
      <c r="F427">
        <v>53.2</v>
      </c>
      <c r="G427" t="s">
        <v>6</v>
      </c>
      <c r="H427">
        <v>18.899999999999999</v>
      </c>
      <c r="I427">
        <v>29</v>
      </c>
      <c r="J427">
        <v>16.5</v>
      </c>
      <c r="K427" t="s">
        <v>6</v>
      </c>
      <c r="L427">
        <v>213</v>
      </c>
      <c r="M427" t="s">
        <v>6</v>
      </c>
      <c r="O427" s="6">
        <f t="shared" si="500"/>
        <v>45431</v>
      </c>
      <c r="P427">
        <f t="shared" si="501"/>
        <v>59.4</v>
      </c>
      <c r="Q427">
        <f t="shared" si="502"/>
        <v>64</v>
      </c>
      <c r="R427">
        <f t="shared" si="503"/>
        <v>53.2</v>
      </c>
      <c r="S427">
        <f t="shared" si="504"/>
        <v>60.4</v>
      </c>
      <c r="V427" s="6">
        <f t="shared" si="505"/>
        <v>45431</v>
      </c>
      <c r="W427">
        <f t="shared" si="506"/>
        <v>18.899999999999999</v>
      </c>
      <c r="X427">
        <f t="shared" si="507"/>
        <v>29</v>
      </c>
      <c r="Y427">
        <f t="shared" si="508"/>
        <v>16.5</v>
      </c>
      <c r="Z427">
        <f t="shared" si="509"/>
        <v>19.899999999999999</v>
      </c>
      <c r="BA427" t="s">
        <v>6</v>
      </c>
    </row>
    <row r="428" spans="1:53" x14ac:dyDescent="0.2">
      <c r="A428" s="1">
        <v>45431</v>
      </c>
      <c r="B428" s="2">
        <v>4.1666666666666664E-2</v>
      </c>
      <c r="C428" s="6">
        <v>45431.041666666664</v>
      </c>
      <c r="D428">
        <v>57.9</v>
      </c>
      <c r="E428">
        <v>61.9</v>
      </c>
      <c r="F428">
        <v>52.4</v>
      </c>
      <c r="G428" t="s">
        <v>6</v>
      </c>
      <c r="H428">
        <v>18.100000000000001</v>
      </c>
      <c r="I428">
        <v>24.4</v>
      </c>
      <c r="J428">
        <v>16.399999999999999</v>
      </c>
      <c r="K428" t="s">
        <v>6</v>
      </c>
      <c r="L428">
        <v>225</v>
      </c>
      <c r="M428" t="s">
        <v>6</v>
      </c>
      <c r="O428" s="6">
        <f t="shared" si="500"/>
        <v>45431.041666666664</v>
      </c>
      <c r="P428">
        <f t="shared" si="501"/>
        <v>57.9</v>
      </c>
      <c r="Q428">
        <f t="shared" si="502"/>
        <v>61.9</v>
      </c>
      <c r="R428">
        <f t="shared" si="503"/>
        <v>52.4</v>
      </c>
      <c r="S428">
        <f t="shared" si="504"/>
        <v>58.9</v>
      </c>
      <c r="V428" s="6">
        <f t="shared" si="505"/>
        <v>45431.041666666664</v>
      </c>
      <c r="W428">
        <f t="shared" si="506"/>
        <v>18.100000000000001</v>
      </c>
      <c r="X428">
        <f t="shared" si="507"/>
        <v>24.4</v>
      </c>
      <c r="Y428">
        <f t="shared" si="508"/>
        <v>16.399999999999999</v>
      </c>
      <c r="Z428">
        <f t="shared" si="509"/>
        <v>19.100000000000001</v>
      </c>
      <c r="BA428" t="s">
        <v>6</v>
      </c>
    </row>
    <row r="429" spans="1:53" x14ac:dyDescent="0.2">
      <c r="A429" s="1">
        <v>45431</v>
      </c>
      <c r="B429" s="2">
        <v>8.3333333333333329E-2</v>
      </c>
      <c r="C429" s="6">
        <v>45431.083333333336</v>
      </c>
      <c r="D429">
        <v>56.8</v>
      </c>
      <c r="E429">
        <v>64.900000000000006</v>
      </c>
      <c r="F429">
        <v>49.4</v>
      </c>
      <c r="G429" t="s">
        <v>6</v>
      </c>
      <c r="H429">
        <v>18.2</v>
      </c>
      <c r="I429">
        <v>22.9</v>
      </c>
      <c r="J429">
        <v>16</v>
      </c>
      <c r="K429" t="s">
        <v>6</v>
      </c>
      <c r="L429">
        <v>225</v>
      </c>
      <c r="M429" t="s">
        <v>6</v>
      </c>
      <c r="O429" s="6">
        <f t="shared" si="500"/>
        <v>45431.083333333336</v>
      </c>
      <c r="P429">
        <f t="shared" si="501"/>
        <v>56.8</v>
      </c>
      <c r="Q429">
        <f t="shared" si="502"/>
        <v>64.900000000000006</v>
      </c>
      <c r="R429">
        <f t="shared" si="503"/>
        <v>49.4</v>
      </c>
      <c r="S429">
        <f t="shared" si="504"/>
        <v>57.8</v>
      </c>
      <c r="V429" s="6">
        <f t="shared" si="505"/>
        <v>45431.083333333336</v>
      </c>
      <c r="W429">
        <f t="shared" si="506"/>
        <v>18.2</v>
      </c>
      <c r="X429">
        <f t="shared" si="507"/>
        <v>22.9</v>
      </c>
      <c r="Y429">
        <f t="shared" si="508"/>
        <v>16</v>
      </c>
      <c r="Z429">
        <f t="shared" si="509"/>
        <v>19.2</v>
      </c>
      <c r="BA429" t="s">
        <v>6</v>
      </c>
    </row>
    <row r="430" spans="1:53" x14ac:dyDescent="0.2">
      <c r="A430" s="1">
        <v>45431</v>
      </c>
      <c r="B430" s="2">
        <v>0.125</v>
      </c>
      <c r="C430" s="6">
        <v>45431.125</v>
      </c>
      <c r="D430">
        <v>59.8</v>
      </c>
      <c r="E430">
        <v>63.6</v>
      </c>
      <c r="F430">
        <v>55</v>
      </c>
      <c r="G430" t="s">
        <v>6</v>
      </c>
      <c r="H430">
        <v>18.2</v>
      </c>
      <c r="I430">
        <v>22.2</v>
      </c>
      <c r="J430">
        <v>15.5</v>
      </c>
      <c r="K430" t="s">
        <v>6</v>
      </c>
      <c r="L430">
        <v>219</v>
      </c>
      <c r="M430" t="s">
        <v>6</v>
      </c>
      <c r="O430" s="6">
        <f t="shared" si="500"/>
        <v>45431.125</v>
      </c>
      <c r="P430">
        <f t="shared" si="501"/>
        <v>59.8</v>
      </c>
      <c r="Q430">
        <f t="shared" si="502"/>
        <v>63.6</v>
      </c>
      <c r="R430">
        <f t="shared" si="503"/>
        <v>55</v>
      </c>
      <c r="S430">
        <f t="shared" si="504"/>
        <v>60.8</v>
      </c>
      <c r="V430" s="6">
        <f t="shared" si="505"/>
        <v>45431.125</v>
      </c>
      <c r="W430">
        <f t="shared" si="506"/>
        <v>18.2</v>
      </c>
      <c r="X430">
        <f t="shared" si="507"/>
        <v>22.2</v>
      </c>
      <c r="Y430">
        <f t="shared" si="508"/>
        <v>15.5</v>
      </c>
      <c r="Z430">
        <f t="shared" si="509"/>
        <v>19.2</v>
      </c>
      <c r="BA430" t="s">
        <v>6</v>
      </c>
    </row>
    <row r="431" spans="1:53" x14ac:dyDescent="0.2">
      <c r="A431" s="1">
        <v>45431</v>
      </c>
      <c r="B431" s="2">
        <v>0.16666666666666666</v>
      </c>
      <c r="C431" s="6">
        <v>45431.166666666664</v>
      </c>
      <c r="D431">
        <v>59.6</v>
      </c>
      <c r="E431">
        <v>64.900000000000006</v>
      </c>
      <c r="F431">
        <v>53.5</v>
      </c>
      <c r="G431" t="s">
        <v>6</v>
      </c>
      <c r="H431">
        <v>17.600000000000001</v>
      </c>
      <c r="I431">
        <v>20.8</v>
      </c>
      <c r="J431">
        <v>14.3</v>
      </c>
      <c r="K431" t="s">
        <v>6</v>
      </c>
      <c r="L431">
        <v>225</v>
      </c>
      <c r="M431" t="s">
        <v>6</v>
      </c>
      <c r="O431" s="6">
        <f t="shared" si="500"/>
        <v>45431.166666666664</v>
      </c>
      <c r="P431">
        <f t="shared" si="501"/>
        <v>59.6</v>
      </c>
      <c r="Q431">
        <f t="shared" si="502"/>
        <v>64.900000000000006</v>
      </c>
      <c r="R431">
        <f t="shared" si="503"/>
        <v>53.5</v>
      </c>
      <c r="S431">
        <f t="shared" si="504"/>
        <v>60.6</v>
      </c>
      <c r="V431" s="6">
        <f t="shared" si="505"/>
        <v>45431.166666666664</v>
      </c>
      <c r="W431">
        <f t="shared" si="506"/>
        <v>17.600000000000001</v>
      </c>
      <c r="X431">
        <f t="shared" si="507"/>
        <v>20.8</v>
      </c>
      <c r="Y431">
        <f t="shared" si="508"/>
        <v>14.3</v>
      </c>
      <c r="Z431">
        <f t="shared" si="509"/>
        <v>18.600000000000001</v>
      </c>
      <c r="BA431" t="s">
        <v>6</v>
      </c>
    </row>
    <row r="432" spans="1:53" x14ac:dyDescent="0.2">
      <c r="A432" s="1">
        <v>45431</v>
      </c>
      <c r="B432" s="2">
        <v>0.20833333333333334</v>
      </c>
      <c r="C432" s="6">
        <v>45431.208333333336</v>
      </c>
      <c r="D432">
        <v>58.7</v>
      </c>
      <c r="E432">
        <v>67.2</v>
      </c>
      <c r="F432">
        <v>53.3</v>
      </c>
      <c r="G432" t="s">
        <v>6</v>
      </c>
      <c r="H432">
        <v>18.399999999999999</v>
      </c>
      <c r="I432">
        <v>21.5</v>
      </c>
      <c r="J432">
        <v>15.5</v>
      </c>
      <c r="K432" t="s">
        <v>6</v>
      </c>
      <c r="L432">
        <v>222</v>
      </c>
      <c r="M432" t="s">
        <v>6</v>
      </c>
      <c r="O432" s="6">
        <f t="shared" si="500"/>
        <v>45431.208333333336</v>
      </c>
      <c r="P432">
        <f t="shared" si="501"/>
        <v>58.7</v>
      </c>
      <c r="Q432">
        <f t="shared" si="502"/>
        <v>67.2</v>
      </c>
      <c r="R432">
        <f t="shared" si="503"/>
        <v>53.3</v>
      </c>
      <c r="S432">
        <f t="shared" si="504"/>
        <v>59.7</v>
      </c>
      <c r="V432" s="6">
        <f t="shared" si="505"/>
        <v>45431.208333333336</v>
      </c>
      <c r="W432">
        <f t="shared" si="506"/>
        <v>18.399999999999999</v>
      </c>
      <c r="X432">
        <f t="shared" si="507"/>
        <v>21.5</v>
      </c>
      <c r="Y432">
        <f t="shared" si="508"/>
        <v>15.5</v>
      </c>
      <c r="Z432">
        <f t="shared" si="509"/>
        <v>19.399999999999999</v>
      </c>
      <c r="BA432" t="s">
        <v>6</v>
      </c>
    </row>
    <row r="433" spans="1:53" x14ac:dyDescent="0.2">
      <c r="A433" s="1">
        <v>45431</v>
      </c>
      <c r="B433" s="2">
        <v>0.25</v>
      </c>
      <c r="C433" s="6">
        <v>45431.25</v>
      </c>
      <c r="D433">
        <v>62.3</v>
      </c>
      <c r="E433">
        <v>76</v>
      </c>
      <c r="F433">
        <v>54.2</v>
      </c>
      <c r="G433" t="s">
        <v>6</v>
      </c>
      <c r="H433">
        <v>20.3</v>
      </c>
      <c r="I433">
        <v>26.2</v>
      </c>
      <c r="J433">
        <v>17.100000000000001</v>
      </c>
      <c r="K433" t="s">
        <v>6</v>
      </c>
      <c r="L433">
        <v>196</v>
      </c>
      <c r="M433" t="s">
        <v>6</v>
      </c>
      <c r="O433" s="6">
        <f t="shared" si="500"/>
        <v>45431.25</v>
      </c>
      <c r="P433">
        <f t="shared" si="501"/>
        <v>62.3</v>
      </c>
      <c r="Q433">
        <f t="shared" si="502"/>
        <v>76</v>
      </c>
      <c r="R433">
        <f t="shared" si="503"/>
        <v>54.2</v>
      </c>
      <c r="S433">
        <f t="shared" si="504"/>
        <v>63.3</v>
      </c>
      <c r="V433" s="6">
        <f t="shared" si="505"/>
        <v>45431.25</v>
      </c>
      <c r="W433">
        <f t="shared" si="506"/>
        <v>20.3</v>
      </c>
      <c r="X433">
        <f t="shared" si="507"/>
        <v>26.2</v>
      </c>
      <c r="Y433">
        <f t="shared" si="508"/>
        <v>17.100000000000001</v>
      </c>
      <c r="Z433">
        <f t="shared" si="509"/>
        <v>21.3</v>
      </c>
      <c r="BA433" t="s">
        <v>6</v>
      </c>
    </row>
    <row r="434" spans="1:53" x14ac:dyDescent="0.2">
      <c r="A434" s="1">
        <v>45431</v>
      </c>
      <c r="B434" s="2">
        <v>0.29166666666666669</v>
      </c>
      <c r="C434" s="6">
        <v>45431.291666666664</v>
      </c>
      <c r="D434">
        <v>59.8</v>
      </c>
      <c r="E434">
        <v>65.3</v>
      </c>
      <c r="F434">
        <v>55.3</v>
      </c>
      <c r="G434" t="s">
        <v>6</v>
      </c>
      <c r="H434">
        <v>18.2</v>
      </c>
      <c r="I434">
        <v>22.6</v>
      </c>
      <c r="J434">
        <v>15.7</v>
      </c>
      <c r="K434" t="s">
        <v>6</v>
      </c>
      <c r="L434">
        <v>210</v>
      </c>
      <c r="M434" t="s">
        <v>6</v>
      </c>
      <c r="O434" s="6">
        <f t="shared" si="500"/>
        <v>45431.291666666664</v>
      </c>
      <c r="P434">
        <f t="shared" si="501"/>
        <v>59.8</v>
      </c>
      <c r="Q434">
        <f t="shared" si="502"/>
        <v>65.3</v>
      </c>
      <c r="R434">
        <f t="shared" si="503"/>
        <v>55.3</v>
      </c>
      <c r="S434">
        <f t="shared" si="504"/>
        <v>60.8</v>
      </c>
      <c r="V434" s="6">
        <f t="shared" si="505"/>
        <v>45431.291666666664</v>
      </c>
      <c r="W434">
        <f t="shared" si="506"/>
        <v>18.2</v>
      </c>
      <c r="X434">
        <f t="shared" si="507"/>
        <v>22.6</v>
      </c>
      <c r="Y434">
        <f t="shared" si="508"/>
        <v>15.7</v>
      </c>
      <c r="Z434">
        <f t="shared" si="509"/>
        <v>19.2</v>
      </c>
      <c r="BA434" t="s">
        <v>6</v>
      </c>
    </row>
    <row r="435" spans="1:53" x14ac:dyDescent="0.2">
      <c r="A435" s="14">
        <v>45431</v>
      </c>
      <c r="B435" s="7">
        <v>0.33333333333333331</v>
      </c>
      <c r="C435" s="8">
        <v>45431.333333333336</v>
      </c>
      <c r="D435" s="9">
        <v>65.2</v>
      </c>
      <c r="E435" s="9">
        <v>72.400000000000006</v>
      </c>
      <c r="F435" s="9">
        <v>57.2</v>
      </c>
      <c r="G435" s="9" t="s">
        <v>6</v>
      </c>
      <c r="H435" s="9">
        <v>18.100000000000001</v>
      </c>
      <c r="I435" s="9">
        <v>21.6</v>
      </c>
      <c r="J435" s="9">
        <v>14.8</v>
      </c>
      <c r="K435" s="9" t="s">
        <v>6</v>
      </c>
      <c r="L435" s="9">
        <v>225</v>
      </c>
      <c r="M435" t="s">
        <v>6</v>
      </c>
      <c r="O435" s="6">
        <f t="shared" si="500"/>
        <v>45431.333333333336</v>
      </c>
      <c r="P435">
        <f t="shared" si="501"/>
        <v>65.2</v>
      </c>
      <c r="Q435">
        <f t="shared" si="502"/>
        <v>72.400000000000006</v>
      </c>
      <c r="R435">
        <f t="shared" si="503"/>
        <v>57.2</v>
      </c>
      <c r="S435">
        <f t="shared" si="504"/>
        <v>66.2</v>
      </c>
      <c r="V435" s="6">
        <f t="shared" si="505"/>
        <v>45431.333333333336</v>
      </c>
      <c r="W435">
        <f t="shared" si="506"/>
        <v>18.100000000000001</v>
      </c>
      <c r="X435">
        <f t="shared" si="507"/>
        <v>21.6</v>
      </c>
      <c r="Y435">
        <f t="shared" si="508"/>
        <v>14.8</v>
      </c>
      <c r="Z435">
        <f t="shared" si="509"/>
        <v>19.100000000000001</v>
      </c>
      <c r="BA435" t="s">
        <v>6</v>
      </c>
    </row>
    <row r="436" spans="1:53" x14ac:dyDescent="0.2">
      <c r="A436" s="13">
        <v>45431</v>
      </c>
      <c r="B436" s="3">
        <v>0.375</v>
      </c>
      <c r="C436" s="4">
        <v>45431.375</v>
      </c>
      <c r="D436" s="5">
        <v>59.1</v>
      </c>
      <c r="E436" s="5">
        <v>64.900000000000006</v>
      </c>
      <c r="F436" s="5">
        <v>53.5</v>
      </c>
      <c r="G436" s="5" t="s">
        <v>6</v>
      </c>
      <c r="H436" s="5">
        <v>17.600000000000001</v>
      </c>
      <c r="I436" s="5">
        <v>21.2</v>
      </c>
      <c r="J436" s="5">
        <v>13.7</v>
      </c>
      <c r="K436" s="5" t="s">
        <v>6</v>
      </c>
      <c r="L436" s="5">
        <v>226</v>
      </c>
      <c r="M436" t="s">
        <v>6</v>
      </c>
      <c r="O436" s="6">
        <f t="shared" si="500"/>
        <v>45431.375</v>
      </c>
      <c r="P436">
        <f t="shared" si="501"/>
        <v>59.1</v>
      </c>
      <c r="Q436">
        <f t="shared" si="502"/>
        <v>64.900000000000006</v>
      </c>
      <c r="R436">
        <f t="shared" si="503"/>
        <v>53.5</v>
      </c>
      <c r="S436">
        <f t="shared" si="504"/>
        <v>60.1</v>
      </c>
      <c r="V436" s="6">
        <f t="shared" si="505"/>
        <v>45431.375</v>
      </c>
      <c r="W436">
        <f t="shared" si="506"/>
        <v>17.600000000000001</v>
      </c>
      <c r="X436">
        <f t="shared" si="507"/>
        <v>21.2</v>
      </c>
      <c r="Y436">
        <f t="shared" si="508"/>
        <v>13.7</v>
      </c>
      <c r="Z436">
        <f t="shared" si="509"/>
        <v>18.600000000000001</v>
      </c>
      <c r="BA436" t="s">
        <v>6</v>
      </c>
    </row>
    <row r="437" spans="1:53" x14ac:dyDescent="0.2">
      <c r="A437" s="1">
        <v>45431</v>
      </c>
      <c r="B437" s="2">
        <v>0.41666666666666669</v>
      </c>
      <c r="C437" s="6">
        <v>45431.416666666664</v>
      </c>
      <c r="D437">
        <v>58.1</v>
      </c>
      <c r="E437">
        <v>62</v>
      </c>
      <c r="F437">
        <v>54.2</v>
      </c>
      <c r="G437" t="s">
        <v>6</v>
      </c>
      <c r="H437">
        <v>18.3</v>
      </c>
      <c r="I437">
        <v>23.4</v>
      </c>
      <c r="J437">
        <v>15.6</v>
      </c>
      <c r="K437" t="s">
        <v>6</v>
      </c>
      <c r="L437">
        <v>224</v>
      </c>
      <c r="M437" t="s">
        <v>6</v>
      </c>
      <c r="O437" s="6">
        <f t="shared" si="500"/>
        <v>45431.416666666664</v>
      </c>
      <c r="P437">
        <f t="shared" si="501"/>
        <v>58.1</v>
      </c>
      <c r="Q437">
        <f t="shared" si="502"/>
        <v>62</v>
      </c>
      <c r="R437">
        <f t="shared" si="503"/>
        <v>54.2</v>
      </c>
      <c r="S437">
        <f t="shared" si="504"/>
        <v>59.1</v>
      </c>
      <c r="V437" s="6">
        <f t="shared" si="505"/>
        <v>45431.416666666664</v>
      </c>
      <c r="W437">
        <f t="shared" si="506"/>
        <v>18.3</v>
      </c>
      <c r="X437">
        <f t="shared" si="507"/>
        <v>23.4</v>
      </c>
      <c r="Y437">
        <f t="shared" si="508"/>
        <v>15.6</v>
      </c>
      <c r="Z437">
        <f t="shared" si="509"/>
        <v>19.3</v>
      </c>
      <c r="BA437" t="s">
        <v>6</v>
      </c>
    </row>
    <row r="438" spans="1:53" x14ac:dyDescent="0.2">
      <c r="A438" s="1">
        <v>45431</v>
      </c>
      <c r="B438" s="2">
        <v>0.45833333333333331</v>
      </c>
      <c r="C438" s="6">
        <v>45431.458333333336</v>
      </c>
      <c r="D438">
        <v>65.8</v>
      </c>
      <c r="E438">
        <v>74.900000000000006</v>
      </c>
      <c r="F438">
        <v>57.8</v>
      </c>
      <c r="G438" t="s">
        <v>6</v>
      </c>
      <c r="H438">
        <v>20.5</v>
      </c>
      <c r="I438">
        <v>25.9</v>
      </c>
      <c r="J438">
        <v>16.600000000000001</v>
      </c>
      <c r="K438" t="s">
        <v>6</v>
      </c>
      <c r="L438">
        <v>180</v>
      </c>
      <c r="M438" t="s">
        <v>6</v>
      </c>
      <c r="O438" s="6">
        <f t="shared" si="500"/>
        <v>45431.458333333336</v>
      </c>
      <c r="P438">
        <f t="shared" si="501"/>
        <v>65.8</v>
      </c>
      <c r="Q438">
        <f t="shared" si="502"/>
        <v>74.900000000000006</v>
      </c>
      <c r="R438">
        <f t="shared" si="503"/>
        <v>57.8</v>
      </c>
      <c r="S438">
        <f t="shared" si="504"/>
        <v>66.8</v>
      </c>
      <c r="V438" s="6">
        <f t="shared" si="505"/>
        <v>45431.458333333336</v>
      </c>
      <c r="W438">
        <f t="shared" si="506"/>
        <v>20.5</v>
      </c>
      <c r="X438">
        <f t="shared" si="507"/>
        <v>25.9</v>
      </c>
      <c r="Y438">
        <f t="shared" si="508"/>
        <v>16.600000000000001</v>
      </c>
      <c r="Z438">
        <f t="shared" si="509"/>
        <v>21.5</v>
      </c>
      <c r="BA438" t="s">
        <v>6</v>
      </c>
    </row>
    <row r="439" spans="1:53" x14ac:dyDescent="0.2">
      <c r="A439" s="1">
        <v>45431</v>
      </c>
      <c r="B439" s="2">
        <v>0.5</v>
      </c>
      <c r="C439" s="6">
        <v>45431.5</v>
      </c>
      <c r="D439">
        <v>64.7</v>
      </c>
      <c r="E439">
        <v>70.900000000000006</v>
      </c>
      <c r="F439">
        <v>57.1</v>
      </c>
      <c r="G439" t="s">
        <v>6</v>
      </c>
      <c r="H439">
        <v>19.399999999999999</v>
      </c>
      <c r="I439">
        <v>22.1</v>
      </c>
      <c r="J439">
        <v>16</v>
      </c>
      <c r="K439" t="s">
        <v>6</v>
      </c>
      <c r="L439">
        <v>202</v>
      </c>
      <c r="M439" t="s">
        <v>6</v>
      </c>
      <c r="O439" s="6">
        <f t="shared" si="500"/>
        <v>45431.5</v>
      </c>
      <c r="P439">
        <f t="shared" si="501"/>
        <v>64.7</v>
      </c>
      <c r="Q439">
        <f t="shared" si="502"/>
        <v>70.900000000000006</v>
      </c>
      <c r="R439">
        <f t="shared" si="503"/>
        <v>57.1</v>
      </c>
      <c r="S439">
        <f t="shared" si="504"/>
        <v>65.7</v>
      </c>
      <c r="V439" s="6">
        <f t="shared" si="505"/>
        <v>45431.5</v>
      </c>
      <c r="W439">
        <f t="shared" si="506"/>
        <v>19.399999999999999</v>
      </c>
      <c r="X439">
        <f t="shared" si="507"/>
        <v>22.1</v>
      </c>
      <c r="Y439">
        <f t="shared" si="508"/>
        <v>16</v>
      </c>
      <c r="Z439">
        <f t="shared" si="509"/>
        <v>20.399999999999999</v>
      </c>
      <c r="BA439" t="s">
        <v>6</v>
      </c>
    </row>
    <row r="440" spans="1:53" x14ac:dyDescent="0.2">
      <c r="A440" s="1">
        <v>45431</v>
      </c>
      <c r="B440" s="2">
        <v>0.54166666666666663</v>
      </c>
      <c r="C440" s="6">
        <v>45431.541666666664</v>
      </c>
      <c r="D440">
        <v>61.1</v>
      </c>
      <c r="E440">
        <v>68.599999999999994</v>
      </c>
      <c r="F440">
        <v>56.6</v>
      </c>
      <c r="G440" t="s">
        <v>6</v>
      </c>
      <c r="H440">
        <v>19.3</v>
      </c>
      <c r="I440">
        <v>26.1</v>
      </c>
      <c r="J440">
        <v>15.9</v>
      </c>
      <c r="K440" t="s">
        <v>6</v>
      </c>
      <c r="L440">
        <v>226</v>
      </c>
      <c r="M440" t="s">
        <v>6</v>
      </c>
      <c r="O440" s="6">
        <f t="shared" si="500"/>
        <v>45431.541666666664</v>
      </c>
      <c r="P440">
        <f t="shared" si="501"/>
        <v>61.1</v>
      </c>
      <c r="Q440">
        <f t="shared" si="502"/>
        <v>68.599999999999994</v>
      </c>
      <c r="R440">
        <f t="shared" si="503"/>
        <v>56.6</v>
      </c>
      <c r="S440">
        <f t="shared" si="504"/>
        <v>62.1</v>
      </c>
      <c r="V440" s="6">
        <f t="shared" si="505"/>
        <v>45431.541666666664</v>
      </c>
      <c r="W440">
        <f t="shared" si="506"/>
        <v>19.3</v>
      </c>
      <c r="X440">
        <f t="shared" si="507"/>
        <v>26.1</v>
      </c>
      <c r="Y440">
        <f t="shared" si="508"/>
        <v>15.9</v>
      </c>
      <c r="Z440">
        <f t="shared" si="509"/>
        <v>20.3</v>
      </c>
      <c r="BA440" t="s">
        <v>6</v>
      </c>
    </row>
    <row r="441" spans="1:53" x14ac:dyDescent="0.2">
      <c r="A441" s="1">
        <v>45431</v>
      </c>
      <c r="B441" s="2">
        <v>0.58333333333333337</v>
      </c>
      <c r="C441" s="6">
        <v>45431.583333333336</v>
      </c>
      <c r="D441">
        <v>57.7</v>
      </c>
      <c r="E441">
        <v>64</v>
      </c>
      <c r="F441">
        <v>50.9</v>
      </c>
      <c r="G441" t="s">
        <v>6</v>
      </c>
      <c r="H441">
        <v>22.6</v>
      </c>
      <c r="I441">
        <v>27.1</v>
      </c>
      <c r="J441">
        <v>15.4</v>
      </c>
      <c r="K441" t="s">
        <v>6</v>
      </c>
      <c r="L441">
        <v>209</v>
      </c>
      <c r="M441" t="s">
        <v>6</v>
      </c>
      <c r="O441" s="6">
        <f t="shared" si="500"/>
        <v>45431.583333333336</v>
      </c>
      <c r="P441">
        <f t="shared" si="501"/>
        <v>57.7</v>
      </c>
      <c r="Q441">
        <f t="shared" si="502"/>
        <v>64</v>
      </c>
      <c r="R441">
        <f t="shared" si="503"/>
        <v>50.9</v>
      </c>
      <c r="S441">
        <f t="shared" si="504"/>
        <v>58.7</v>
      </c>
      <c r="V441" s="6">
        <f t="shared" si="505"/>
        <v>45431.583333333336</v>
      </c>
      <c r="W441">
        <f t="shared" si="506"/>
        <v>22.6</v>
      </c>
      <c r="X441">
        <f t="shared" si="507"/>
        <v>27.1</v>
      </c>
      <c r="Y441">
        <f t="shared" si="508"/>
        <v>15.4</v>
      </c>
      <c r="Z441">
        <f t="shared" si="509"/>
        <v>23.6</v>
      </c>
      <c r="BA441" t="s">
        <v>6</v>
      </c>
    </row>
    <row r="442" spans="1:53" x14ac:dyDescent="0.2">
      <c r="A442" s="1">
        <v>45431</v>
      </c>
      <c r="B442" s="2">
        <v>0.625</v>
      </c>
      <c r="C442" s="6">
        <v>45431.625</v>
      </c>
      <c r="D442">
        <v>53.2</v>
      </c>
      <c r="E442">
        <v>57.1</v>
      </c>
      <c r="F442">
        <v>50.8</v>
      </c>
      <c r="G442" t="s">
        <v>6</v>
      </c>
      <c r="H442">
        <v>21.4</v>
      </c>
      <c r="I442">
        <v>35.6</v>
      </c>
      <c r="J442">
        <v>15.8</v>
      </c>
      <c r="K442" t="s">
        <v>6</v>
      </c>
      <c r="L442">
        <v>165</v>
      </c>
      <c r="M442" t="s">
        <v>6</v>
      </c>
      <c r="O442" s="6">
        <f t="shared" si="500"/>
        <v>45431.625</v>
      </c>
      <c r="P442">
        <f t="shared" si="501"/>
        <v>53.2</v>
      </c>
      <c r="Q442">
        <f t="shared" si="502"/>
        <v>57.1</v>
      </c>
      <c r="R442">
        <f t="shared" si="503"/>
        <v>50.8</v>
      </c>
      <c r="S442">
        <f t="shared" si="504"/>
        <v>54.2</v>
      </c>
      <c r="V442" s="6">
        <f t="shared" si="505"/>
        <v>45431.625</v>
      </c>
      <c r="W442">
        <f t="shared" si="506"/>
        <v>21.4</v>
      </c>
      <c r="X442">
        <f t="shared" si="507"/>
        <v>35.6</v>
      </c>
      <c r="Y442">
        <f t="shared" si="508"/>
        <v>15.8</v>
      </c>
      <c r="Z442">
        <f t="shared" si="509"/>
        <v>22.4</v>
      </c>
      <c r="BA442" t="s">
        <v>6</v>
      </c>
    </row>
    <row r="443" spans="1:53" x14ac:dyDescent="0.2">
      <c r="A443" s="1">
        <v>45431</v>
      </c>
      <c r="B443" s="2">
        <v>0.66666666666666663</v>
      </c>
      <c r="C443" s="6">
        <v>45431.666666666664</v>
      </c>
      <c r="D443">
        <v>56.3</v>
      </c>
      <c r="E443">
        <v>63.3</v>
      </c>
      <c r="F443">
        <v>48.8</v>
      </c>
      <c r="G443" t="s">
        <v>6</v>
      </c>
      <c r="H443">
        <v>22</v>
      </c>
      <c r="I443">
        <v>35.1</v>
      </c>
      <c r="J443">
        <v>17.399999999999999</v>
      </c>
      <c r="K443" t="s">
        <v>6</v>
      </c>
      <c r="L443">
        <v>190</v>
      </c>
      <c r="M443" t="s">
        <v>6</v>
      </c>
      <c r="O443" s="6">
        <f t="shared" si="500"/>
        <v>45431.666666666664</v>
      </c>
      <c r="P443">
        <f t="shared" si="501"/>
        <v>56.3</v>
      </c>
      <c r="Q443">
        <f t="shared" si="502"/>
        <v>63.3</v>
      </c>
      <c r="R443">
        <f t="shared" si="503"/>
        <v>48.8</v>
      </c>
      <c r="S443">
        <f t="shared" si="504"/>
        <v>57.3</v>
      </c>
      <c r="V443" s="6">
        <f t="shared" si="505"/>
        <v>45431.666666666664</v>
      </c>
      <c r="W443">
        <f t="shared" si="506"/>
        <v>22</v>
      </c>
      <c r="X443">
        <f t="shared" si="507"/>
        <v>35.1</v>
      </c>
      <c r="Y443">
        <f t="shared" si="508"/>
        <v>17.399999999999999</v>
      </c>
      <c r="Z443">
        <f t="shared" si="509"/>
        <v>23</v>
      </c>
      <c r="BA443" t="s">
        <v>6</v>
      </c>
    </row>
    <row r="444" spans="1:53" x14ac:dyDescent="0.2">
      <c r="A444" s="1">
        <v>45431</v>
      </c>
      <c r="B444" s="2">
        <v>0.70833333333333337</v>
      </c>
      <c r="C444" s="6">
        <v>45431.708333333336</v>
      </c>
      <c r="D444">
        <v>52.4</v>
      </c>
      <c r="E444">
        <v>56.8</v>
      </c>
      <c r="F444">
        <v>50.1</v>
      </c>
      <c r="G444" t="s">
        <v>6</v>
      </c>
      <c r="H444">
        <v>19.3</v>
      </c>
      <c r="I444">
        <v>23.1</v>
      </c>
      <c r="J444">
        <v>12.4</v>
      </c>
      <c r="K444" t="s">
        <v>6</v>
      </c>
      <c r="L444">
        <v>216</v>
      </c>
      <c r="M444" t="s">
        <v>6</v>
      </c>
      <c r="O444" s="6">
        <f t="shared" si="500"/>
        <v>45431.708333333336</v>
      </c>
      <c r="P444">
        <f t="shared" si="501"/>
        <v>52.4</v>
      </c>
      <c r="Q444">
        <f t="shared" si="502"/>
        <v>56.8</v>
      </c>
      <c r="R444">
        <f t="shared" si="503"/>
        <v>50.1</v>
      </c>
      <c r="S444">
        <f t="shared" si="504"/>
        <v>53.4</v>
      </c>
      <c r="V444" s="6">
        <f t="shared" si="505"/>
        <v>45431.708333333336</v>
      </c>
      <c r="W444">
        <f t="shared" si="506"/>
        <v>19.3</v>
      </c>
      <c r="X444">
        <f t="shared" si="507"/>
        <v>23.1</v>
      </c>
      <c r="Y444">
        <f t="shared" si="508"/>
        <v>12.4</v>
      </c>
      <c r="Z444">
        <f t="shared" si="509"/>
        <v>20.3</v>
      </c>
      <c r="BA444" t="s">
        <v>6</v>
      </c>
    </row>
    <row r="445" spans="1:53" x14ac:dyDescent="0.2">
      <c r="A445" s="1">
        <v>45431</v>
      </c>
      <c r="B445" s="2">
        <v>0.75</v>
      </c>
      <c r="C445" s="6">
        <v>45431.75</v>
      </c>
      <c r="D445">
        <v>52.1</v>
      </c>
      <c r="E445">
        <v>54.9</v>
      </c>
      <c r="F445">
        <v>47.7</v>
      </c>
      <c r="G445" t="s">
        <v>6</v>
      </c>
      <c r="H445">
        <v>20.3</v>
      </c>
      <c r="I445">
        <v>24</v>
      </c>
      <c r="J445">
        <v>15.4</v>
      </c>
      <c r="K445" t="s">
        <v>6</v>
      </c>
      <c r="L445">
        <v>176</v>
      </c>
      <c r="M445" t="s">
        <v>6</v>
      </c>
      <c r="O445" s="6">
        <f t="shared" si="500"/>
        <v>45431.75</v>
      </c>
      <c r="P445">
        <f t="shared" si="501"/>
        <v>52.1</v>
      </c>
      <c r="Q445">
        <f t="shared" si="502"/>
        <v>54.9</v>
      </c>
      <c r="R445">
        <f t="shared" si="503"/>
        <v>47.7</v>
      </c>
      <c r="S445">
        <f t="shared" si="504"/>
        <v>53.1</v>
      </c>
      <c r="V445" s="6">
        <f t="shared" si="505"/>
        <v>45431.75</v>
      </c>
      <c r="W445">
        <f t="shared" si="506"/>
        <v>20.3</v>
      </c>
      <c r="X445">
        <f t="shared" si="507"/>
        <v>24</v>
      </c>
      <c r="Y445">
        <f t="shared" si="508"/>
        <v>15.4</v>
      </c>
      <c r="Z445">
        <f t="shared" si="509"/>
        <v>21.3</v>
      </c>
      <c r="BA445" t="s">
        <v>6</v>
      </c>
    </row>
    <row r="446" spans="1:53" x14ac:dyDescent="0.2">
      <c r="A446" s="1">
        <v>45431</v>
      </c>
      <c r="B446" s="2">
        <v>0.79166666666666663</v>
      </c>
      <c r="C446" s="6">
        <v>45431.791666666664</v>
      </c>
      <c r="D446">
        <v>54.3</v>
      </c>
      <c r="E446">
        <v>59.6</v>
      </c>
      <c r="F446">
        <v>50</v>
      </c>
      <c r="G446" t="s">
        <v>6</v>
      </c>
      <c r="H446">
        <v>19.7</v>
      </c>
      <c r="I446">
        <v>22.9</v>
      </c>
      <c r="J446">
        <v>16.5</v>
      </c>
      <c r="K446" t="s">
        <v>6</v>
      </c>
      <c r="L446">
        <v>206</v>
      </c>
      <c r="M446" t="s">
        <v>6</v>
      </c>
      <c r="O446" s="6">
        <f t="shared" si="500"/>
        <v>45431.791666666664</v>
      </c>
      <c r="P446">
        <f t="shared" si="501"/>
        <v>54.3</v>
      </c>
      <c r="Q446">
        <f t="shared" si="502"/>
        <v>59.6</v>
      </c>
      <c r="R446">
        <f t="shared" si="503"/>
        <v>50</v>
      </c>
      <c r="S446">
        <f t="shared" si="504"/>
        <v>55.3</v>
      </c>
      <c r="V446" s="6">
        <f t="shared" si="505"/>
        <v>45431.791666666664</v>
      </c>
      <c r="W446">
        <f t="shared" si="506"/>
        <v>19.7</v>
      </c>
      <c r="X446">
        <f t="shared" si="507"/>
        <v>22.9</v>
      </c>
      <c r="Y446">
        <f t="shared" si="508"/>
        <v>16.5</v>
      </c>
      <c r="Z446">
        <f t="shared" si="509"/>
        <v>20.7</v>
      </c>
      <c r="BA446" t="s">
        <v>6</v>
      </c>
    </row>
    <row r="447" spans="1:53" x14ac:dyDescent="0.2">
      <c r="A447" s="1">
        <v>45431</v>
      </c>
      <c r="B447" s="2">
        <v>0.83333333333333337</v>
      </c>
      <c r="C447" s="6">
        <v>45431.833333333336</v>
      </c>
      <c r="D447">
        <v>58.8</v>
      </c>
      <c r="E447">
        <v>66.2</v>
      </c>
      <c r="F447">
        <v>50.6</v>
      </c>
      <c r="G447" t="s">
        <v>6</v>
      </c>
      <c r="H447">
        <v>21.1</v>
      </c>
      <c r="I447">
        <v>31.5</v>
      </c>
      <c r="J447">
        <v>14.8</v>
      </c>
      <c r="K447" t="s">
        <v>6</v>
      </c>
      <c r="L447">
        <v>186</v>
      </c>
      <c r="M447" t="s">
        <v>6</v>
      </c>
      <c r="O447" s="6">
        <f t="shared" si="500"/>
        <v>45431.833333333336</v>
      </c>
      <c r="P447">
        <f t="shared" si="501"/>
        <v>58.8</v>
      </c>
      <c r="Q447">
        <f t="shared" si="502"/>
        <v>66.2</v>
      </c>
      <c r="R447">
        <f t="shared" si="503"/>
        <v>50.6</v>
      </c>
      <c r="S447">
        <f t="shared" si="504"/>
        <v>59.8</v>
      </c>
      <c r="V447" s="6">
        <f t="shared" si="505"/>
        <v>45431.833333333336</v>
      </c>
      <c r="W447">
        <f t="shared" si="506"/>
        <v>21.1</v>
      </c>
      <c r="X447">
        <f t="shared" si="507"/>
        <v>31.5</v>
      </c>
      <c r="Y447">
        <f t="shared" si="508"/>
        <v>14.8</v>
      </c>
      <c r="Z447">
        <f t="shared" si="509"/>
        <v>22.1</v>
      </c>
      <c r="BA447" t="s">
        <v>6</v>
      </c>
    </row>
    <row r="448" spans="1:53" x14ac:dyDescent="0.2">
      <c r="A448" s="1">
        <v>45431</v>
      </c>
      <c r="B448" s="2">
        <v>0.875</v>
      </c>
      <c r="C448" s="6">
        <v>45431.875</v>
      </c>
      <c r="D448">
        <v>58.1</v>
      </c>
      <c r="E448">
        <v>69.5</v>
      </c>
      <c r="F448">
        <v>50.7</v>
      </c>
      <c r="G448" t="s">
        <v>6</v>
      </c>
      <c r="H448">
        <v>19.7</v>
      </c>
      <c r="I448">
        <v>24.5</v>
      </c>
      <c r="J448">
        <v>15.9</v>
      </c>
      <c r="K448" t="s">
        <v>6</v>
      </c>
      <c r="L448">
        <v>218</v>
      </c>
      <c r="M448" t="s">
        <v>6</v>
      </c>
      <c r="O448" s="6">
        <f t="shared" ref="O448:O511" si="510">C448</f>
        <v>45431.875</v>
      </c>
      <c r="P448">
        <f t="shared" ref="P448:P511" si="511">D448</f>
        <v>58.1</v>
      </c>
      <c r="Q448">
        <f t="shared" ref="Q448:Q511" si="512">E448</f>
        <v>69.5</v>
      </c>
      <c r="R448">
        <f t="shared" ref="R448:R511" si="513">F448</f>
        <v>50.7</v>
      </c>
      <c r="S448">
        <f t="shared" ref="S448:S511" si="514">P448+1</f>
        <v>59.1</v>
      </c>
      <c r="V448" s="6">
        <f t="shared" ref="V448:V511" si="515">O448</f>
        <v>45431.875</v>
      </c>
      <c r="W448">
        <f t="shared" ref="W448:W511" si="516">H448</f>
        <v>19.7</v>
      </c>
      <c r="X448">
        <f t="shared" ref="X448:X511" si="517">I448</f>
        <v>24.5</v>
      </c>
      <c r="Y448">
        <f t="shared" ref="Y448:Y511" si="518">J448</f>
        <v>15.9</v>
      </c>
      <c r="Z448">
        <f t="shared" ref="Z448:Z511" si="519">W448+1</f>
        <v>20.7</v>
      </c>
      <c r="BA448" t="s">
        <v>6</v>
      </c>
    </row>
    <row r="449" spans="1:53" x14ac:dyDescent="0.2">
      <c r="A449" s="1">
        <v>45431</v>
      </c>
      <c r="B449" s="2">
        <v>0.91666666666666663</v>
      </c>
      <c r="C449" s="6">
        <v>45431.916666666664</v>
      </c>
      <c r="D449">
        <v>56.9</v>
      </c>
      <c r="E449">
        <v>61.8</v>
      </c>
      <c r="F449">
        <v>50.9</v>
      </c>
      <c r="G449" t="s">
        <v>6</v>
      </c>
      <c r="H449">
        <v>19.8</v>
      </c>
      <c r="I449">
        <v>25.1</v>
      </c>
      <c r="J449">
        <v>16.7</v>
      </c>
      <c r="K449" t="s">
        <v>6</v>
      </c>
      <c r="L449">
        <v>219</v>
      </c>
      <c r="M449" t="s">
        <v>6</v>
      </c>
      <c r="O449" s="6">
        <f t="shared" si="510"/>
        <v>45431.916666666664</v>
      </c>
      <c r="P449">
        <f t="shared" si="511"/>
        <v>56.9</v>
      </c>
      <c r="Q449">
        <f t="shared" si="512"/>
        <v>61.8</v>
      </c>
      <c r="R449">
        <f t="shared" si="513"/>
        <v>50.9</v>
      </c>
      <c r="S449">
        <f t="shared" si="514"/>
        <v>57.9</v>
      </c>
      <c r="V449" s="6">
        <f t="shared" si="515"/>
        <v>45431.916666666664</v>
      </c>
      <c r="W449">
        <f t="shared" si="516"/>
        <v>19.8</v>
      </c>
      <c r="X449">
        <f t="shared" si="517"/>
        <v>25.1</v>
      </c>
      <c r="Y449">
        <f t="shared" si="518"/>
        <v>16.7</v>
      </c>
      <c r="Z449">
        <f t="shared" si="519"/>
        <v>20.8</v>
      </c>
      <c r="BA449" t="s">
        <v>6</v>
      </c>
    </row>
    <row r="450" spans="1:53" x14ac:dyDescent="0.2">
      <c r="A450" s="1">
        <v>45431</v>
      </c>
      <c r="B450" s="2">
        <v>0.95833333333333337</v>
      </c>
      <c r="C450" s="6">
        <v>45431.958333333336</v>
      </c>
      <c r="D450">
        <v>56.4</v>
      </c>
      <c r="E450">
        <v>63.7</v>
      </c>
      <c r="F450">
        <v>51.5</v>
      </c>
      <c r="G450" t="s">
        <v>6</v>
      </c>
      <c r="H450">
        <v>21.1</v>
      </c>
      <c r="I450">
        <v>24.4</v>
      </c>
      <c r="J450">
        <v>16.2</v>
      </c>
      <c r="K450" t="s">
        <v>6</v>
      </c>
      <c r="L450">
        <v>195</v>
      </c>
      <c r="M450" t="s">
        <v>6</v>
      </c>
      <c r="O450" s="6">
        <f t="shared" si="510"/>
        <v>45431.958333333336</v>
      </c>
      <c r="P450">
        <f t="shared" si="511"/>
        <v>56.4</v>
      </c>
      <c r="Q450">
        <f t="shared" si="512"/>
        <v>63.7</v>
      </c>
      <c r="R450">
        <f t="shared" si="513"/>
        <v>51.5</v>
      </c>
      <c r="S450">
        <f t="shared" si="514"/>
        <v>57.4</v>
      </c>
      <c r="V450" s="6">
        <f t="shared" si="515"/>
        <v>45431.958333333336</v>
      </c>
      <c r="W450">
        <f t="shared" si="516"/>
        <v>21.1</v>
      </c>
      <c r="X450">
        <f t="shared" si="517"/>
        <v>24.4</v>
      </c>
      <c r="Y450">
        <f t="shared" si="518"/>
        <v>16.2</v>
      </c>
      <c r="Z450">
        <f t="shared" si="519"/>
        <v>22.1</v>
      </c>
      <c r="BA450" t="s">
        <v>6</v>
      </c>
    </row>
    <row r="451" spans="1:53" x14ac:dyDescent="0.2">
      <c r="A451" s="1">
        <v>45432</v>
      </c>
      <c r="B451" s="2">
        <v>0</v>
      </c>
      <c r="C451" s="6">
        <v>45432</v>
      </c>
      <c r="D451">
        <v>56.6</v>
      </c>
      <c r="E451">
        <v>61.3</v>
      </c>
      <c r="F451">
        <v>50.1</v>
      </c>
      <c r="G451" t="s">
        <v>6</v>
      </c>
      <c r="H451">
        <v>18.8</v>
      </c>
      <c r="I451">
        <v>21</v>
      </c>
      <c r="J451">
        <v>14.7</v>
      </c>
      <c r="K451" t="s">
        <v>6</v>
      </c>
      <c r="L451">
        <v>223</v>
      </c>
      <c r="M451" t="s">
        <v>6</v>
      </c>
      <c r="O451" s="6">
        <f t="shared" si="510"/>
        <v>45432</v>
      </c>
      <c r="P451">
        <f t="shared" si="511"/>
        <v>56.6</v>
      </c>
      <c r="Q451">
        <f t="shared" si="512"/>
        <v>61.3</v>
      </c>
      <c r="R451">
        <f t="shared" si="513"/>
        <v>50.1</v>
      </c>
      <c r="S451">
        <f t="shared" si="514"/>
        <v>57.6</v>
      </c>
      <c r="V451" s="6">
        <f t="shared" si="515"/>
        <v>45432</v>
      </c>
      <c r="W451">
        <f t="shared" si="516"/>
        <v>18.8</v>
      </c>
      <c r="X451">
        <f t="shared" si="517"/>
        <v>21</v>
      </c>
      <c r="Y451">
        <f t="shared" si="518"/>
        <v>14.7</v>
      </c>
      <c r="Z451">
        <f t="shared" si="519"/>
        <v>19.8</v>
      </c>
      <c r="BA451" t="s">
        <v>6</v>
      </c>
    </row>
    <row r="452" spans="1:53" x14ac:dyDescent="0.2">
      <c r="A452" s="1">
        <v>45432</v>
      </c>
      <c r="B452" s="2">
        <v>4.1666666666666664E-2</v>
      </c>
      <c r="C452" s="6">
        <v>45432.041666666664</v>
      </c>
      <c r="D452">
        <v>57</v>
      </c>
      <c r="E452">
        <v>65.400000000000006</v>
      </c>
      <c r="F452">
        <v>52.6</v>
      </c>
      <c r="G452" t="s">
        <v>6</v>
      </c>
      <c r="H452">
        <v>20.3</v>
      </c>
      <c r="I452">
        <v>23.8</v>
      </c>
      <c r="J452">
        <v>15.8</v>
      </c>
      <c r="K452" t="s">
        <v>6</v>
      </c>
      <c r="L452">
        <v>189</v>
      </c>
      <c r="M452" t="s">
        <v>6</v>
      </c>
      <c r="O452" s="6">
        <f t="shared" si="510"/>
        <v>45432.041666666664</v>
      </c>
      <c r="P452">
        <f t="shared" si="511"/>
        <v>57</v>
      </c>
      <c r="Q452">
        <f t="shared" si="512"/>
        <v>65.400000000000006</v>
      </c>
      <c r="R452">
        <f t="shared" si="513"/>
        <v>52.6</v>
      </c>
      <c r="S452">
        <f t="shared" si="514"/>
        <v>58</v>
      </c>
      <c r="V452" s="6">
        <f t="shared" si="515"/>
        <v>45432.041666666664</v>
      </c>
      <c r="W452">
        <f t="shared" si="516"/>
        <v>20.3</v>
      </c>
      <c r="X452">
        <f t="shared" si="517"/>
        <v>23.8</v>
      </c>
      <c r="Y452">
        <f t="shared" si="518"/>
        <v>15.8</v>
      </c>
      <c r="Z452">
        <f t="shared" si="519"/>
        <v>21.3</v>
      </c>
      <c r="BA452" t="s">
        <v>6</v>
      </c>
    </row>
    <row r="453" spans="1:53" x14ac:dyDescent="0.2">
      <c r="A453" s="1">
        <v>45432</v>
      </c>
      <c r="B453" s="2">
        <v>8.3333333333333329E-2</v>
      </c>
      <c r="C453" s="6">
        <v>45432.083333333336</v>
      </c>
      <c r="D453">
        <v>60.3</v>
      </c>
      <c r="E453">
        <v>68.5</v>
      </c>
      <c r="F453">
        <v>50.1</v>
      </c>
      <c r="G453" t="s">
        <v>6</v>
      </c>
      <c r="H453">
        <v>21.1</v>
      </c>
      <c r="I453">
        <v>24.3</v>
      </c>
      <c r="J453">
        <v>16.7</v>
      </c>
      <c r="K453" t="s">
        <v>6</v>
      </c>
      <c r="L453">
        <v>213</v>
      </c>
      <c r="M453" t="s">
        <v>6</v>
      </c>
      <c r="O453" s="6">
        <f t="shared" si="510"/>
        <v>45432.083333333336</v>
      </c>
      <c r="P453">
        <f t="shared" si="511"/>
        <v>60.3</v>
      </c>
      <c r="Q453">
        <f t="shared" si="512"/>
        <v>68.5</v>
      </c>
      <c r="R453">
        <f t="shared" si="513"/>
        <v>50.1</v>
      </c>
      <c r="S453">
        <f t="shared" si="514"/>
        <v>61.3</v>
      </c>
      <c r="V453" s="6">
        <f t="shared" si="515"/>
        <v>45432.083333333336</v>
      </c>
      <c r="W453">
        <f t="shared" si="516"/>
        <v>21.1</v>
      </c>
      <c r="X453">
        <f t="shared" si="517"/>
        <v>24.3</v>
      </c>
      <c r="Y453">
        <f t="shared" si="518"/>
        <v>16.7</v>
      </c>
      <c r="Z453">
        <f t="shared" si="519"/>
        <v>22.1</v>
      </c>
      <c r="BA453" t="s">
        <v>6</v>
      </c>
    </row>
    <row r="454" spans="1:53" x14ac:dyDescent="0.2">
      <c r="A454" s="1">
        <v>45432</v>
      </c>
      <c r="B454" s="2">
        <v>0.125</v>
      </c>
      <c r="C454" s="6">
        <v>45432.125</v>
      </c>
      <c r="D454">
        <v>62.4</v>
      </c>
      <c r="E454">
        <v>72.3</v>
      </c>
      <c r="F454">
        <v>56.3</v>
      </c>
      <c r="G454" t="s">
        <v>6</v>
      </c>
      <c r="H454">
        <v>19.3</v>
      </c>
      <c r="I454">
        <v>23.4</v>
      </c>
      <c r="J454">
        <v>16.8</v>
      </c>
      <c r="K454" t="s">
        <v>6</v>
      </c>
      <c r="L454">
        <v>219</v>
      </c>
      <c r="M454" t="s">
        <v>6</v>
      </c>
      <c r="O454" s="6">
        <f t="shared" si="510"/>
        <v>45432.125</v>
      </c>
      <c r="P454">
        <f t="shared" si="511"/>
        <v>62.4</v>
      </c>
      <c r="Q454">
        <f t="shared" si="512"/>
        <v>72.3</v>
      </c>
      <c r="R454">
        <f t="shared" si="513"/>
        <v>56.3</v>
      </c>
      <c r="S454">
        <f t="shared" si="514"/>
        <v>63.4</v>
      </c>
      <c r="V454" s="6">
        <f t="shared" si="515"/>
        <v>45432.125</v>
      </c>
      <c r="W454">
        <f t="shared" si="516"/>
        <v>19.3</v>
      </c>
      <c r="X454">
        <f t="shared" si="517"/>
        <v>23.4</v>
      </c>
      <c r="Y454">
        <f t="shared" si="518"/>
        <v>16.8</v>
      </c>
      <c r="Z454">
        <f t="shared" si="519"/>
        <v>20.3</v>
      </c>
      <c r="BA454" t="s">
        <v>6</v>
      </c>
    </row>
    <row r="455" spans="1:53" x14ac:dyDescent="0.2">
      <c r="A455" s="1">
        <v>45432</v>
      </c>
      <c r="B455" s="2">
        <v>0.16666666666666666</v>
      </c>
      <c r="C455" s="6">
        <v>45432.166666666664</v>
      </c>
      <c r="D455">
        <v>59</v>
      </c>
      <c r="E455">
        <v>65</v>
      </c>
      <c r="F455">
        <v>55.3</v>
      </c>
      <c r="G455" t="s">
        <v>6</v>
      </c>
      <c r="H455">
        <v>20.2</v>
      </c>
      <c r="I455">
        <v>26.2</v>
      </c>
      <c r="J455">
        <v>16.100000000000001</v>
      </c>
      <c r="K455" t="s">
        <v>6</v>
      </c>
      <c r="L455">
        <v>223</v>
      </c>
      <c r="M455" t="s">
        <v>6</v>
      </c>
      <c r="O455" s="6">
        <f t="shared" si="510"/>
        <v>45432.166666666664</v>
      </c>
      <c r="P455">
        <f t="shared" si="511"/>
        <v>59</v>
      </c>
      <c r="Q455">
        <f t="shared" si="512"/>
        <v>65</v>
      </c>
      <c r="R455">
        <f t="shared" si="513"/>
        <v>55.3</v>
      </c>
      <c r="S455">
        <f t="shared" si="514"/>
        <v>60</v>
      </c>
      <c r="V455" s="6">
        <f t="shared" si="515"/>
        <v>45432.166666666664</v>
      </c>
      <c r="W455">
        <f t="shared" si="516"/>
        <v>20.2</v>
      </c>
      <c r="X455">
        <f t="shared" si="517"/>
        <v>26.2</v>
      </c>
      <c r="Y455">
        <f t="shared" si="518"/>
        <v>16.100000000000001</v>
      </c>
      <c r="Z455">
        <f t="shared" si="519"/>
        <v>21.2</v>
      </c>
      <c r="BA455" t="s">
        <v>6</v>
      </c>
    </row>
    <row r="456" spans="1:53" x14ac:dyDescent="0.2">
      <c r="A456" s="1">
        <v>45432</v>
      </c>
      <c r="B456" s="2">
        <v>0.20833333333333334</v>
      </c>
      <c r="C456" s="6">
        <v>45432.208333333336</v>
      </c>
      <c r="D456">
        <v>61</v>
      </c>
      <c r="E456">
        <v>65.599999999999994</v>
      </c>
      <c r="F456">
        <v>56</v>
      </c>
      <c r="G456" t="s">
        <v>6</v>
      </c>
      <c r="H456">
        <v>21.5</v>
      </c>
      <c r="I456">
        <v>25.3</v>
      </c>
      <c r="J456">
        <v>15.9</v>
      </c>
      <c r="K456" t="s">
        <v>6</v>
      </c>
      <c r="L456">
        <v>190</v>
      </c>
      <c r="M456" t="s">
        <v>6</v>
      </c>
      <c r="O456" s="6">
        <f t="shared" si="510"/>
        <v>45432.208333333336</v>
      </c>
      <c r="P456">
        <f t="shared" si="511"/>
        <v>61</v>
      </c>
      <c r="Q456">
        <f t="shared" si="512"/>
        <v>65.599999999999994</v>
      </c>
      <c r="R456">
        <f t="shared" si="513"/>
        <v>56</v>
      </c>
      <c r="S456">
        <f t="shared" si="514"/>
        <v>62</v>
      </c>
      <c r="V456" s="6">
        <f t="shared" si="515"/>
        <v>45432.208333333336</v>
      </c>
      <c r="W456">
        <f t="shared" si="516"/>
        <v>21.5</v>
      </c>
      <c r="X456">
        <f t="shared" si="517"/>
        <v>25.3</v>
      </c>
      <c r="Y456">
        <f t="shared" si="518"/>
        <v>15.9</v>
      </c>
      <c r="Z456">
        <f t="shared" si="519"/>
        <v>22.5</v>
      </c>
      <c r="BA456" t="s">
        <v>6</v>
      </c>
    </row>
    <row r="457" spans="1:53" x14ac:dyDescent="0.2">
      <c r="A457" s="1">
        <v>45432</v>
      </c>
      <c r="B457" s="2">
        <v>0.25</v>
      </c>
      <c r="C457" s="6">
        <v>45432.25</v>
      </c>
      <c r="D457">
        <v>59.8</v>
      </c>
      <c r="E457">
        <v>65.8</v>
      </c>
      <c r="F457">
        <v>55.3</v>
      </c>
      <c r="G457" t="s">
        <v>6</v>
      </c>
      <c r="H457">
        <v>19.3</v>
      </c>
      <c r="I457">
        <v>24.6</v>
      </c>
      <c r="J457">
        <v>17</v>
      </c>
      <c r="K457" t="s">
        <v>6</v>
      </c>
      <c r="L457">
        <v>220</v>
      </c>
      <c r="M457" t="s">
        <v>6</v>
      </c>
      <c r="O457" s="6">
        <f t="shared" si="510"/>
        <v>45432.25</v>
      </c>
      <c r="P457">
        <f t="shared" si="511"/>
        <v>59.8</v>
      </c>
      <c r="Q457">
        <f t="shared" si="512"/>
        <v>65.8</v>
      </c>
      <c r="R457">
        <f t="shared" si="513"/>
        <v>55.3</v>
      </c>
      <c r="S457">
        <f t="shared" si="514"/>
        <v>60.8</v>
      </c>
      <c r="V457" s="6">
        <f t="shared" si="515"/>
        <v>45432.25</v>
      </c>
      <c r="W457">
        <f t="shared" si="516"/>
        <v>19.3</v>
      </c>
      <c r="X457">
        <f t="shared" si="517"/>
        <v>24.6</v>
      </c>
      <c r="Y457">
        <f t="shared" si="518"/>
        <v>17</v>
      </c>
      <c r="Z457">
        <f t="shared" si="519"/>
        <v>20.3</v>
      </c>
      <c r="BA457" t="s">
        <v>6</v>
      </c>
    </row>
    <row r="458" spans="1:53" x14ac:dyDescent="0.2">
      <c r="A458" s="1">
        <v>45432</v>
      </c>
      <c r="B458" s="2">
        <v>0.29166666666666669</v>
      </c>
      <c r="C458" s="6">
        <v>45432.291666666664</v>
      </c>
      <c r="D458">
        <v>56.8</v>
      </c>
      <c r="E458">
        <v>61.3</v>
      </c>
      <c r="F458">
        <v>52.9</v>
      </c>
      <c r="G458" t="s">
        <v>6</v>
      </c>
      <c r="H458">
        <v>19.5</v>
      </c>
      <c r="I458">
        <v>24.7</v>
      </c>
      <c r="J458">
        <v>16</v>
      </c>
      <c r="K458" t="s">
        <v>6</v>
      </c>
      <c r="L458">
        <v>212</v>
      </c>
      <c r="M458" t="s">
        <v>6</v>
      </c>
      <c r="O458" s="6">
        <f t="shared" si="510"/>
        <v>45432.291666666664</v>
      </c>
      <c r="P458">
        <f t="shared" si="511"/>
        <v>56.8</v>
      </c>
      <c r="Q458">
        <f t="shared" si="512"/>
        <v>61.3</v>
      </c>
      <c r="R458">
        <f t="shared" si="513"/>
        <v>52.9</v>
      </c>
      <c r="S458">
        <f t="shared" si="514"/>
        <v>57.8</v>
      </c>
      <c r="V458" s="6">
        <f t="shared" si="515"/>
        <v>45432.291666666664</v>
      </c>
      <c r="W458">
        <f t="shared" si="516"/>
        <v>19.5</v>
      </c>
      <c r="X458">
        <f t="shared" si="517"/>
        <v>24.7</v>
      </c>
      <c r="Y458">
        <f t="shared" si="518"/>
        <v>16</v>
      </c>
      <c r="Z458">
        <f t="shared" si="519"/>
        <v>20.5</v>
      </c>
      <c r="BA458" t="s">
        <v>6</v>
      </c>
    </row>
    <row r="459" spans="1:53" x14ac:dyDescent="0.2">
      <c r="A459" s="14">
        <v>45432</v>
      </c>
      <c r="B459" s="7">
        <v>0.33333333333333331</v>
      </c>
      <c r="C459" s="8">
        <v>45432.333333333336</v>
      </c>
      <c r="D459" s="9">
        <v>60.9</v>
      </c>
      <c r="E459" s="9">
        <v>70.400000000000006</v>
      </c>
      <c r="F459" s="9">
        <v>57.1</v>
      </c>
      <c r="G459" s="9" t="s">
        <v>6</v>
      </c>
      <c r="H459" s="9">
        <v>18</v>
      </c>
      <c r="I459" s="9">
        <v>23.4</v>
      </c>
      <c r="J459" s="9">
        <v>15</v>
      </c>
      <c r="K459" s="9" t="s">
        <v>6</v>
      </c>
      <c r="L459" s="9">
        <v>221</v>
      </c>
      <c r="M459" t="s">
        <v>6</v>
      </c>
      <c r="O459" s="6">
        <f t="shared" si="510"/>
        <v>45432.333333333336</v>
      </c>
      <c r="P459">
        <f t="shared" si="511"/>
        <v>60.9</v>
      </c>
      <c r="Q459">
        <f t="shared" si="512"/>
        <v>70.400000000000006</v>
      </c>
      <c r="R459">
        <f t="shared" si="513"/>
        <v>57.1</v>
      </c>
      <c r="S459">
        <f t="shared" si="514"/>
        <v>61.9</v>
      </c>
      <c r="V459" s="6">
        <f t="shared" si="515"/>
        <v>45432.333333333336</v>
      </c>
      <c r="W459">
        <f t="shared" si="516"/>
        <v>18</v>
      </c>
      <c r="X459">
        <f t="shared" si="517"/>
        <v>23.4</v>
      </c>
      <c r="Y459">
        <f t="shared" si="518"/>
        <v>15</v>
      </c>
      <c r="Z459">
        <f t="shared" si="519"/>
        <v>19</v>
      </c>
      <c r="BA459" t="s">
        <v>6</v>
      </c>
    </row>
    <row r="460" spans="1:53" x14ac:dyDescent="0.2">
      <c r="A460" s="13">
        <v>45432</v>
      </c>
      <c r="B460" s="3">
        <v>0.375</v>
      </c>
      <c r="C460" s="4">
        <v>45432.375</v>
      </c>
      <c r="D460" s="5">
        <v>57.3</v>
      </c>
      <c r="E460" s="5">
        <v>61.4</v>
      </c>
      <c r="F460" s="5">
        <v>53.2</v>
      </c>
      <c r="G460" s="5" t="s">
        <v>6</v>
      </c>
      <c r="H460" s="5">
        <v>18.899999999999999</v>
      </c>
      <c r="I460" s="5">
        <v>22.6</v>
      </c>
      <c r="J460" s="5">
        <v>14.5</v>
      </c>
      <c r="K460" s="5" t="s">
        <v>6</v>
      </c>
      <c r="L460" s="5">
        <v>186</v>
      </c>
      <c r="M460" t="s">
        <v>6</v>
      </c>
      <c r="O460" s="6">
        <f t="shared" si="510"/>
        <v>45432.375</v>
      </c>
      <c r="P460">
        <f t="shared" si="511"/>
        <v>57.3</v>
      </c>
      <c r="Q460">
        <f t="shared" si="512"/>
        <v>61.4</v>
      </c>
      <c r="R460">
        <f t="shared" si="513"/>
        <v>53.2</v>
      </c>
      <c r="S460">
        <f t="shared" si="514"/>
        <v>58.3</v>
      </c>
      <c r="V460" s="6">
        <f t="shared" si="515"/>
        <v>45432.375</v>
      </c>
      <c r="W460">
        <f t="shared" si="516"/>
        <v>18.899999999999999</v>
      </c>
      <c r="X460">
        <f t="shared" si="517"/>
        <v>22.6</v>
      </c>
      <c r="Y460">
        <f t="shared" si="518"/>
        <v>14.5</v>
      </c>
      <c r="Z460">
        <f t="shared" si="519"/>
        <v>19.899999999999999</v>
      </c>
      <c r="BA460" t="s">
        <v>6</v>
      </c>
    </row>
    <row r="461" spans="1:53" x14ac:dyDescent="0.2">
      <c r="A461" s="1">
        <v>45432</v>
      </c>
      <c r="B461" s="2">
        <v>0.41666666666666669</v>
      </c>
      <c r="C461" s="6">
        <v>45432.416666666664</v>
      </c>
      <c r="D461">
        <v>58.5</v>
      </c>
      <c r="E461">
        <v>64.5</v>
      </c>
      <c r="F461">
        <v>50.6</v>
      </c>
      <c r="G461" t="s">
        <v>6</v>
      </c>
      <c r="H461">
        <v>19.8</v>
      </c>
      <c r="I461">
        <v>24.3</v>
      </c>
      <c r="J461">
        <v>16.899999999999999</v>
      </c>
      <c r="K461" t="s">
        <v>6</v>
      </c>
      <c r="L461">
        <v>193</v>
      </c>
      <c r="M461" t="s">
        <v>6</v>
      </c>
      <c r="O461" s="6">
        <f t="shared" si="510"/>
        <v>45432.416666666664</v>
      </c>
      <c r="P461">
        <f t="shared" si="511"/>
        <v>58.5</v>
      </c>
      <c r="Q461">
        <f t="shared" si="512"/>
        <v>64.5</v>
      </c>
      <c r="R461">
        <f t="shared" si="513"/>
        <v>50.6</v>
      </c>
      <c r="S461">
        <f t="shared" si="514"/>
        <v>59.5</v>
      </c>
      <c r="V461" s="6">
        <f t="shared" si="515"/>
        <v>45432.416666666664</v>
      </c>
      <c r="W461">
        <f t="shared" si="516"/>
        <v>19.8</v>
      </c>
      <c r="X461">
        <f t="shared" si="517"/>
        <v>24.3</v>
      </c>
      <c r="Y461">
        <f t="shared" si="518"/>
        <v>16.899999999999999</v>
      </c>
      <c r="Z461">
        <f t="shared" si="519"/>
        <v>20.8</v>
      </c>
      <c r="BA461" t="s">
        <v>6</v>
      </c>
    </row>
    <row r="462" spans="1:53" x14ac:dyDescent="0.2">
      <c r="A462" s="1">
        <v>45432</v>
      </c>
      <c r="B462" s="2">
        <v>0.45833333333333331</v>
      </c>
      <c r="C462" s="6">
        <v>45432.458333333336</v>
      </c>
      <c r="D462">
        <v>59.1</v>
      </c>
      <c r="E462">
        <v>62.5</v>
      </c>
      <c r="F462">
        <v>55.5</v>
      </c>
      <c r="G462" t="s">
        <v>6</v>
      </c>
      <c r="H462">
        <v>20.399999999999999</v>
      </c>
      <c r="I462">
        <v>26.3</v>
      </c>
      <c r="J462">
        <v>16.2</v>
      </c>
      <c r="K462" t="s">
        <v>6</v>
      </c>
      <c r="L462">
        <v>170</v>
      </c>
      <c r="M462" t="s">
        <v>6</v>
      </c>
      <c r="O462" s="6">
        <f t="shared" si="510"/>
        <v>45432.458333333336</v>
      </c>
      <c r="P462">
        <f t="shared" si="511"/>
        <v>59.1</v>
      </c>
      <c r="Q462">
        <f t="shared" si="512"/>
        <v>62.5</v>
      </c>
      <c r="R462">
        <f t="shared" si="513"/>
        <v>55.5</v>
      </c>
      <c r="S462">
        <f t="shared" si="514"/>
        <v>60.1</v>
      </c>
      <c r="V462" s="6">
        <f t="shared" si="515"/>
        <v>45432.458333333336</v>
      </c>
      <c r="W462">
        <f t="shared" si="516"/>
        <v>20.399999999999999</v>
      </c>
      <c r="X462">
        <f t="shared" si="517"/>
        <v>26.3</v>
      </c>
      <c r="Y462">
        <f t="shared" si="518"/>
        <v>16.2</v>
      </c>
      <c r="Z462">
        <f t="shared" si="519"/>
        <v>21.4</v>
      </c>
      <c r="BA462" t="s">
        <v>6</v>
      </c>
    </row>
    <row r="463" spans="1:53" x14ac:dyDescent="0.2">
      <c r="A463" s="1">
        <v>45432</v>
      </c>
      <c r="B463" s="2">
        <v>0.5</v>
      </c>
      <c r="C463" s="6">
        <v>45432.5</v>
      </c>
      <c r="D463">
        <v>56.9</v>
      </c>
      <c r="E463">
        <v>65.8</v>
      </c>
      <c r="F463">
        <v>53.7</v>
      </c>
      <c r="G463" t="s">
        <v>6</v>
      </c>
      <c r="H463">
        <v>19</v>
      </c>
      <c r="I463">
        <v>24.9</v>
      </c>
      <c r="J463">
        <v>13.4</v>
      </c>
      <c r="K463" t="s">
        <v>6</v>
      </c>
      <c r="L463">
        <v>202</v>
      </c>
      <c r="M463" t="s">
        <v>6</v>
      </c>
      <c r="O463" s="6">
        <f t="shared" si="510"/>
        <v>45432.5</v>
      </c>
      <c r="P463">
        <f t="shared" si="511"/>
        <v>56.9</v>
      </c>
      <c r="Q463">
        <f t="shared" si="512"/>
        <v>65.8</v>
      </c>
      <c r="R463">
        <f t="shared" si="513"/>
        <v>53.7</v>
      </c>
      <c r="S463">
        <f t="shared" si="514"/>
        <v>57.9</v>
      </c>
      <c r="V463" s="6">
        <f t="shared" si="515"/>
        <v>45432.5</v>
      </c>
      <c r="W463">
        <f t="shared" si="516"/>
        <v>19</v>
      </c>
      <c r="X463">
        <f t="shared" si="517"/>
        <v>24.9</v>
      </c>
      <c r="Y463">
        <f t="shared" si="518"/>
        <v>13.4</v>
      </c>
      <c r="Z463">
        <f t="shared" si="519"/>
        <v>20</v>
      </c>
      <c r="BA463" t="s">
        <v>6</v>
      </c>
    </row>
    <row r="464" spans="1:53" x14ac:dyDescent="0.2">
      <c r="A464" s="1">
        <v>45432</v>
      </c>
      <c r="B464" s="2">
        <v>0.54166666666666663</v>
      </c>
      <c r="C464" s="6">
        <v>45432.541666666664</v>
      </c>
      <c r="D464">
        <v>56</v>
      </c>
      <c r="E464">
        <v>66.099999999999994</v>
      </c>
      <c r="F464">
        <v>50</v>
      </c>
      <c r="G464" t="s">
        <v>6</v>
      </c>
      <c r="H464">
        <v>19.600000000000001</v>
      </c>
      <c r="I464">
        <v>23.2</v>
      </c>
      <c r="J464">
        <v>15.5</v>
      </c>
      <c r="K464" t="s">
        <v>6</v>
      </c>
      <c r="L464">
        <v>214</v>
      </c>
      <c r="M464" t="s">
        <v>6</v>
      </c>
      <c r="O464" s="6">
        <f t="shared" si="510"/>
        <v>45432.541666666664</v>
      </c>
      <c r="P464">
        <f t="shared" si="511"/>
        <v>56</v>
      </c>
      <c r="Q464">
        <f t="shared" si="512"/>
        <v>66.099999999999994</v>
      </c>
      <c r="R464">
        <f t="shared" si="513"/>
        <v>50</v>
      </c>
      <c r="S464">
        <f t="shared" si="514"/>
        <v>57</v>
      </c>
      <c r="V464" s="6">
        <f t="shared" si="515"/>
        <v>45432.541666666664</v>
      </c>
      <c r="W464">
        <f t="shared" si="516"/>
        <v>19.600000000000001</v>
      </c>
      <c r="X464">
        <f t="shared" si="517"/>
        <v>23.2</v>
      </c>
      <c r="Y464">
        <f t="shared" si="518"/>
        <v>15.5</v>
      </c>
      <c r="Z464">
        <f t="shared" si="519"/>
        <v>20.6</v>
      </c>
      <c r="BA464" t="s">
        <v>6</v>
      </c>
    </row>
    <row r="465" spans="1:53" x14ac:dyDescent="0.2">
      <c r="A465" s="1">
        <v>45432</v>
      </c>
      <c r="B465" s="2">
        <v>0.58333333333333337</v>
      </c>
      <c r="C465" s="6">
        <v>45432.583333333336</v>
      </c>
      <c r="D465">
        <v>60.1</v>
      </c>
      <c r="E465">
        <v>64.900000000000006</v>
      </c>
      <c r="F465">
        <v>56.2</v>
      </c>
      <c r="G465" t="s">
        <v>6</v>
      </c>
      <c r="H465">
        <v>19.600000000000001</v>
      </c>
      <c r="I465">
        <v>24.3</v>
      </c>
      <c r="J465">
        <v>15.9</v>
      </c>
      <c r="K465" t="s">
        <v>6</v>
      </c>
      <c r="L465">
        <v>198</v>
      </c>
      <c r="M465" t="s">
        <v>6</v>
      </c>
      <c r="O465" s="6">
        <f t="shared" si="510"/>
        <v>45432.583333333336</v>
      </c>
      <c r="P465">
        <f t="shared" si="511"/>
        <v>60.1</v>
      </c>
      <c r="Q465">
        <f t="shared" si="512"/>
        <v>64.900000000000006</v>
      </c>
      <c r="R465">
        <f t="shared" si="513"/>
        <v>56.2</v>
      </c>
      <c r="S465">
        <f t="shared" si="514"/>
        <v>61.1</v>
      </c>
      <c r="V465" s="6">
        <f t="shared" si="515"/>
        <v>45432.583333333336</v>
      </c>
      <c r="W465">
        <f t="shared" si="516"/>
        <v>19.600000000000001</v>
      </c>
      <c r="X465">
        <f t="shared" si="517"/>
        <v>24.3</v>
      </c>
      <c r="Y465">
        <f t="shared" si="518"/>
        <v>15.9</v>
      </c>
      <c r="Z465">
        <f t="shared" si="519"/>
        <v>20.6</v>
      </c>
      <c r="BA465" t="s">
        <v>6</v>
      </c>
    </row>
    <row r="466" spans="1:53" x14ac:dyDescent="0.2">
      <c r="A466" s="1">
        <v>45432</v>
      </c>
      <c r="B466" s="2">
        <v>0.625</v>
      </c>
      <c r="C466" s="6">
        <v>45432.625</v>
      </c>
      <c r="D466">
        <v>60.8</v>
      </c>
      <c r="E466">
        <v>68.3</v>
      </c>
      <c r="F466">
        <v>57.1</v>
      </c>
      <c r="G466" t="s">
        <v>6</v>
      </c>
      <c r="H466">
        <v>18.5</v>
      </c>
      <c r="I466">
        <v>24</v>
      </c>
      <c r="J466">
        <v>13.8</v>
      </c>
      <c r="K466" t="s">
        <v>6</v>
      </c>
      <c r="L466">
        <v>220</v>
      </c>
      <c r="M466" t="s">
        <v>6</v>
      </c>
      <c r="O466" s="6">
        <f t="shared" si="510"/>
        <v>45432.625</v>
      </c>
      <c r="P466">
        <f t="shared" si="511"/>
        <v>60.8</v>
      </c>
      <c r="Q466">
        <f t="shared" si="512"/>
        <v>68.3</v>
      </c>
      <c r="R466">
        <f t="shared" si="513"/>
        <v>57.1</v>
      </c>
      <c r="S466">
        <f t="shared" si="514"/>
        <v>61.8</v>
      </c>
      <c r="V466" s="6">
        <f t="shared" si="515"/>
        <v>45432.625</v>
      </c>
      <c r="W466">
        <f t="shared" si="516"/>
        <v>18.5</v>
      </c>
      <c r="X466">
        <f t="shared" si="517"/>
        <v>24</v>
      </c>
      <c r="Y466">
        <f t="shared" si="518"/>
        <v>13.8</v>
      </c>
      <c r="Z466">
        <f t="shared" si="519"/>
        <v>19.5</v>
      </c>
      <c r="BA466" t="s">
        <v>6</v>
      </c>
    </row>
    <row r="467" spans="1:53" x14ac:dyDescent="0.2">
      <c r="A467" s="1">
        <v>45432</v>
      </c>
      <c r="B467" s="2">
        <v>0.66666666666666663</v>
      </c>
      <c r="C467" s="6">
        <v>45432.666666666664</v>
      </c>
      <c r="D467">
        <v>57.5</v>
      </c>
      <c r="E467">
        <v>62.5</v>
      </c>
      <c r="F467">
        <v>52</v>
      </c>
      <c r="G467" t="s">
        <v>6</v>
      </c>
      <c r="H467">
        <v>19.3</v>
      </c>
      <c r="I467">
        <v>24.9</v>
      </c>
      <c r="J467">
        <v>13.2</v>
      </c>
      <c r="K467" t="s">
        <v>6</v>
      </c>
      <c r="L467">
        <v>183</v>
      </c>
      <c r="M467" t="s">
        <v>6</v>
      </c>
      <c r="O467" s="6">
        <f t="shared" si="510"/>
        <v>45432.666666666664</v>
      </c>
      <c r="P467">
        <f t="shared" si="511"/>
        <v>57.5</v>
      </c>
      <c r="Q467">
        <f t="shared" si="512"/>
        <v>62.5</v>
      </c>
      <c r="R467">
        <f t="shared" si="513"/>
        <v>52</v>
      </c>
      <c r="S467">
        <f t="shared" si="514"/>
        <v>58.5</v>
      </c>
      <c r="V467" s="6">
        <f t="shared" si="515"/>
        <v>45432.666666666664</v>
      </c>
      <c r="W467">
        <f t="shared" si="516"/>
        <v>19.3</v>
      </c>
      <c r="X467">
        <f t="shared" si="517"/>
        <v>24.9</v>
      </c>
      <c r="Y467">
        <f t="shared" si="518"/>
        <v>13.2</v>
      </c>
      <c r="Z467">
        <f t="shared" si="519"/>
        <v>20.3</v>
      </c>
      <c r="BA467" t="s">
        <v>6</v>
      </c>
    </row>
    <row r="468" spans="1:53" x14ac:dyDescent="0.2">
      <c r="A468" s="1">
        <v>45432</v>
      </c>
      <c r="B468" s="2">
        <v>0.70833333333333337</v>
      </c>
      <c r="C468" s="6">
        <v>45432.708333333336</v>
      </c>
      <c r="D468">
        <v>56.6</v>
      </c>
      <c r="E468">
        <v>64.5</v>
      </c>
      <c r="F468">
        <v>50.1</v>
      </c>
      <c r="G468" t="s">
        <v>6</v>
      </c>
      <c r="H468">
        <v>20</v>
      </c>
      <c r="I468">
        <v>23.9</v>
      </c>
      <c r="J468">
        <v>16.399999999999999</v>
      </c>
      <c r="K468" t="s">
        <v>6</v>
      </c>
      <c r="L468">
        <v>224</v>
      </c>
      <c r="M468" t="s">
        <v>6</v>
      </c>
      <c r="O468" s="6">
        <f t="shared" si="510"/>
        <v>45432.708333333336</v>
      </c>
      <c r="P468">
        <f t="shared" si="511"/>
        <v>56.6</v>
      </c>
      <c r="Q468">
        <f t="shared" si="512"/>
        <v>64.5</v>
      </c>
      <c r="R468">
        <f t="shared" si="513"/>
        <v>50.1</v>
      </c>
      <c r="S468">
        <f t="shared" si="514"/>
        <v>57.6</v>
      </c>
      <c r="V468" s="6">
        <f t="shared" si="515"/>
        <v>45432.708333333336</v>
      </c>
      <c r="W468">
        <f t="shared" si="516"/>
        <v>20</v>
      </c>
      <c r="X468">
        <f t="shared" si="517"/>
        <v>23.9</v>
      </c>
      <c r="Y468">
        <f t="shared" si="518"/>
        <v>16.399999999999999</v>
      </c>
      <c r="Z468">
        <f t="shared" si="519"/>
        <v>21</v>
      </c>
      <c r="BA468" t="s">
        <v>6</v>
      </c>
    </row>
    <row r="469" spans="1:53" x14ac:dyDescent="0.2">
      <c r="A469" s="1">
        <v>45432</v>
      </c>
      <c r="B469" s="2">
        <v>0.75</v>
      </c>
      <c r="C469" s="6">
        <v>45432.75</v>
      </c>
      <c r="D469">
        <v>57.8</v>
      </c>
      <c r="E469">
        <v>63.9</v>
      </c>
      <c r="F469">
        <v>52.7</v>
      </c>
      <c r="G469" t="s">
        <v>6</v>
      </c>
      <c r="H469">
        <v>21.7</v>
      </c>
      <c r="I469">
        <v>28.5</v>
      </c>
      <c r="J469">
        <v>15.5</v>
      </c>
      <c r="K469" t="s">
        <v>6</v>
      </c>
      <c r="L469">
        <v>203</v>
      </c>
      <c r="M469" t="s">
        <v>6</v>
      </c>
      <c r="O469" s="6">
        <f t="shared" si="510"/>
        <v>45432.75</v>
      </c>
      <c r="P469">
        <f t="shared" si="511"/>
        <v>57.8</v>
      </c>
      <c r="Q469">
        <f t="shared" si="512"/>
        <v>63.9</v>
      </c>
      <c r="R469">
        <f t="shared" si="513"/>
        <v>52.7</v>
      </c>
      <c r="S469">
        <f t="shared" si="514"/>
        <v>58.8</v>
      </c>
      <c r="V469" s="6">
        <f t="shared" si="515"/>
        <v>45432.75</v>
      </c>
      <c r="W469">
        <f t="shared" si="516"/>
        <v>21.7</v>
      </c>
      <c r="X469">
        <f t="shared" si="517"/>
        <v>28.5</v>
      </c>
      <c r="Y469">
        <f t="shared" si="518"/>
        <v>15.5</v>
      </c>
      <c r="Z469">
        <f t="shared" si="519"/>
        <v>22.7</v>
      </c>
      <c r="BA469" t="s">
        <v>6</v>
      </c>
    </row>
    <row r="470" spans="1:53" x14ac:dyDescent="0.2">
      <c r="A470" s="1">
        <v>45432</v>
      </c>
      <c r="B470" s="2">
        <v>0.79166666666666663</v>
      </c>
      <c r="C470" s="6">
        <v>45432.791666666664</v>
      </c>
      <c r="D470">
        <v>56.1</v>
      </c>
      <c r="E470">
        <v>64.099999999999994</v>
      </c>
      <c r="F470">
        <v>50.7</v>
      </c>
      <c r="G470" t="s">
        <v>6</v>
      </c>
      <c r="H470">
        <v>21.1</v>
      </c>
      <c r="I470">
        <v>25.2</v>
      </c>
      <c r="J470">
        <v>15.2</v>
      </c>
      <c r="K470" t="s">
        <v>6</v>
      </c>
      <c r="L470">
        <v>204</v>
      </c>
      <c r="M470" t="s">
        <v>6</v>
      </c>
      <c r="O470" s="6">
        <f t="shared" si="510"/>
        <v>45432.791666666664</v>
      </c>
      <c r="P470">
        <f t="shared" si="511"/>
        <v>56.1</v>
      </c>
      <c r="Q470">
        <f t="shared" si="512"/>
        <v>64.099999999999994</v>
      </c>
      <c r="R470">
        <f t="shared" si="513"/>
        <v>50.7</v>
      </c>
      <c r="S470">
        <f t="shared" si="514"/>
        <v>57.1</v>
      </c>
      <c r="V470" s="6">
        <f t="shared" si="515"/>
        <v>45432.791666666664</v>
      </c>
      <c r="W470">
        <f t="shared" si="516"/>
        <v>21.1</v>
      </c>
      <c r="X470">
        <f t="shared" si="517"/>
        <v>25.2</v>
      </c>
      <c r="Y470">
        <f t="shared" si="518"/>
        <v>15.2</v>
      </c>
      <c r="Z470">
        <f t="shared" si="519"/>
        <v>22.1</v>
      </c>
      <c r="BA470" t="s">
        <v>6</v>
      </c>
    </row>
    <row r="471" spans="1:53" x14ac:dyDescent="0.2">
      <c r="A471" s="1">
        <v>45432</v>
      </c>
      <c r="B471" s="2">
        <v>0.83333333333333337</v>
      </c>
      <c r="C471" s="6">
        <v>45432.833333333336</v>
      </c>
      <c r="D471">
        <v>62.2</v>
      </c>
      <c r="E471">
        <v>67.099999999999994</v>
      </c>
      <c r="F471">
        <v>57.9</v>
      </c>
      <c r="G471" t="s">
        <v>6</v>
      </c>
      <c r="H471">
        <v>20</v>
      </c>
      <c r="I471">
        <v>24.5</v>
      </c>
      <c r="J471">
        <v>13.7</v>
      </c>
      <c r="K471" t="s">
        <v>6</v>
      </c>
      <c r="L471">
        <v>214</v>
      </c>
      <c r="M471" t="s">
        <v>6</v>
      </c>
      <c r="O471" s="6">
        <f t="shared" si="510"/>
        <v>45432.833333333336</v>
      </c>
      <c r="P471">
        <f t="shared" si="511"/>
        <v>62.2</v>
      </c>
      <c r="Q471">
        <f t="shared" si="512"/>
        <v>67.099999999999994</v>
      </c>
      <c r="R471">
        <f t="shared" si="513"/>
        <v>57.9</v>
      </c>
      <c r="S471">
        <f t="shared" si="514"/>
        <v>63.2</v>
      </c>
      <c r="V471" s="6">
        <f t="shared" si="515"/>
        <v>45432.833333333336</v>
      </c>
      <c r="W471">
        <f t="shared" si="516"/>
        <v>20</v>
      </c>
      <c r="X471">
        <f t="shared" si="517"/>
        <v>24.5</v>
      </c>
      <c r="Y471">
        <f t="shared" si="518"/>
        <v>13.7</v>
      </c>
      <c r="Z471">
        <f t="shared" si="519"/>
        <v>21</v>
      </c>
      <c r="BA471" t="s">
        <v>6</v>
      </c>
    </row>
    <row r="472" spans="1:53" x14ac:dyDescent="0.2">
      <c r="A472" s="1">
        <v>45432</v>
      </c>
      <c r="B472" s="2">
        <v>0.875</v>
      </c>
      <c r="C472" s="6">
        <v>45432.875</v>
      </c>
      <c r="D472">
        <v>61.5</v>
      </c>
      <c r="E472">
        <v>69.2</v>
      </c>
      <c r="F472">
        <v>54.3</v>
      </c>
      <c r="G472" t="s">
        <v>6</v>
      </c>
      <c r="H472">
        <v>20.6</v>
      </c>
      <c r="I472">
        <v>25</v>
      </c>
      <c r="J472">
        <v>16.8</v>
      </c>
      <c r="K472" t="s">
        <v>6</v>
      </c>
      <c r="L472">
        <v>220</v>
      </c>
      <c r="M472" t="s">
        <v>6</v>
      </c>
      <c r="O472" s="6">
        <f t="shared" si="510"/>
        <v>45432.875</v>
      </c>
      <c r="P472">
        <f t="shared" si="511"/>
        <v>61.5</v>
      </c>
      <c r="Q472">
        <f t="shared" si="512"/>
        <v>69.2</v>
      </c>
      <c r="R472">
        <f t="shared" si="513"/>
        <v>54.3</v>
      </c>
      <c r="S472">
        <f t="shared" si="514"/>
        <v>62.5</v>
      </c>
      <c r="V472" s="6">
        <f t="shared" si="515"/>
        <v>45432.875</v>
      </c>
      <c r="W472">
        <f t="shared" si="516"/>
        <v>20.6</v>
      </c>
      <c r="X472">
        <f t="shared" si="517"/>
        <v>25</v>
      </c>
      <c r="Y472">
        <f t="shared" si="518"/>
        <v>16.8</v>
      </c>
      <c r="Z472">
        <f t="shared" si="519"/>
        <v>21.6</v>
      </c>
      <c r="BA472" t="s">
        <v>6</v>
      </c>
    </row>
    <row r="473" spans="1:53" x14ac:dyDescent="0.2">
      <c r="A473" s="1">
        <v>45432</v>
      </c>
      <c r="B473" s="2">
        <v>0.91666666666666663</v>
      </c>
      <c r="C473" s="6">
        <v>45432.916666666664</v>
      </c>
      <c r="D473">
        <v>65.3</v>
      </c>
      <c r="E473">
        <v>71</v>
      </c>
      <c r="F473">
        <v>60.5</v>
      </c>
      <c r="G473" t="s">
        <v>6</v>
      </c>
      <c r="H473">
        <v>22.2</v>
      </c>
      <c r="I473">
        <v>26.4</v>
      </c>
      <c r="J473">
        <v>17.3</v>
      </c>
      <c r="K473" t="s">
        <v>6</v>
      </c>
      <c r="L473">
        <v>215</v>
      </c>
      <c r="M473" t="s">
        <v>6</v>
      </c>
      <c r="O473" s="6">
        <f t="shared" si="510"/>
        <v>45432.916666666664</v>
      </c>
      <c r="P473">
        <f t="shared" si="511"/>
        <v>65.3</v>
      </c>
      <c r="Q473">
        <f t="shared" si="512"/>
        <v>71</v>
      </c>
      <c r="R473">
        <f t="shared" si="513"/>
        <v>60.5</v>
      </c>
      <c r="S473">
        <f t="shared" si="514"/>
        <v>66.3</v>
      </c>
      <c r="V473" s="6">
        <f t="shared" si="515"/>
        <v>45432.916666666664</v>
      </c>
      <c r="W473">
        <f t="shared" si="516"/>
        <v>22.2</v>
      </c>
      <c r="X473">
        <f t="shared" si="517"/>
        <v>26.4</v>
      </c>
      <c r="Y473">
        <f t="shared" si="518"/>
        <v>17.3</v>
      </c>
      <c r="Z473">
        <f t="shared" si="519"/>
        <v>23.2</v>
      </c>
      <c r="BA473" t="s">
        <v>6</v>
      </c>
    </row>
    <row r="474" spans="1:53" x14ac:dyDescent="0.2">
      <c r="A474" s="1">
        <v>45432</v>
      </c>
      <c r="B474" s="2">
        <v>0.95833333333333337</v>
      </c>
      <c r="C474" s="6">
        <v>45432.958333333336</v>
      </c>
      <c r="D474">
        <v>62.1</v>
      </c>
      <c r="E474">
        <v>71.099999999999994</v>
      </c>
      <c r="F474">
        <v>55.7</v>
      </c>
      <c r="G474" t="s">
        <v>6</v>
      </c>
      <c r="H474">
        <v>22.1</v>
      </c>
      <c r="I474">
        <v>30.5</v>
      </c>
      <c r="J474">
        <v>15.9</v>
      </c>
      <c r="K474" t="s">
        <v>6</v>
      </c>
      <c r="L474">
        <v>201</v>
      </c>
      <c r="M474" t="s">
        <v>6</v>
      </c>
      <c r="O474" s="6">
        <f t="shared" si="510"/>
        <v>45432.958333333336</v>
      </c>
      <c r="P474">
        <f t="shared" si="511"/>
        <v>62.1</v>
      </c>
      <c r="Q474">
        <f t="shared" si="512"/>
        <v>71.099999999999994</v>
      </c>
      <c r="R474">
        <f t="shared" si="513"/>
        <v>55.7</v>
      </c>
      <c r="S474">
        <f t="shared" si="514"/>
        <v>63.1</v>
      </c>
      <c r="V474" s="6">
        <f t="shared" si="515"/>
        <v>45432.958333333336</v>
      </c>
      <c r="W474">
        <f t="shared" si="516"/>
        <v>22.1</v>
      </c>
      <c r="X474">
        <f t="shared" si="517"/>
        <v>30.5</v>
      </c>
      <c r="Y474">
        <f t="shared" si="518"/>
        <v>15.9</v>
      </c>
      <c r="Z474">
        <f t="shared" si="519"/>
        <v>23.1</v>
      </c>
      <c r="BA474" t="s">
        <v>6</v>
      </c>
    </row>
    <row r="475" spans="1:53" x14ac:dyDescent="0.2">
      <c r="A475" s="1">
        <v>45433</v>
      </c>
      <c r="B475" s="2">
        <v>0</v>
      </c>
      <c r="C475" s="6">
        <v>45433</v>
      </c>
      <c r="D475">
        <v>62.4</v>
      </c>
      <c r="E475">
        <v>67.8</v>
      </c>
      <c r="F475">
        <v>55.9</v>
      </c>
      <c r="G475" t="s">
        <v>6</v>
      </c>
      <c r="H475">
        <v>22.4</v>
      </c>
      <c r="I475">
        <v>26.7</v>
      </c>
      <c r="J475">
        <v>17</v>
      </c>
      <c r="K475" t="s">
        <v>6</v>
      </c>
      <c r="L475">
        <v>191</v>
      </c>
      <c r="M475" t="s">
        <v>6</v>
      </c>
      <c r="O475" s="6">
        <f t="shared" si="510"/>
        <v>45433</v>
      </c>
      <c r="P475">
        <f t="shared" si="511"/>
        <v>62.4</v>
      </c>
      <c r="Q475">
        <f t="shared" si="512"/>
        <v>67.8</v>
      </c>
      <c r="R475">
        <f t="shared" si="513"/>
        <v>55.9</v>
      </c>
      <c r="S475">
        <f t="shared" si="514"/>
        <v>63.4</v>
      </c>
      <c r="V475" s="6">
        <f t="shared" si="515"/>
        <v>45433</v>
      </c>
      <c r="W475">
        <f t="shared" si="516"/>
        <v>22.4</v>
      </c>
      <c r="X475">
        <f t="shared" si="517"/>
        <v>26.7</v>
      </c>
      <c r="Y475">
        <f t="shared" si="518"/>
        <v>17</v>
      </c>
      <c r="Z475">
        <f t="shared" si="519"/>
        <v>23.4</v>
      </c>
      <c r="BA475" t="s">
        <v>6</v>
      </c>
    </row>
    <row r="476" spans="1:53" x14ac:dyDescent="0.2">
      <c r="A476" s="1">
        <v>45433</v>
      </c>
      <c r="B476" s="2">
        <v>4.1666666666666664E-2</v>
      </c>
      <c r="C476" s="6">
        <v>45433.041666666664</v>
      </c>
      <c r="D476">
        <v>62.6</v>
      </c>
      <c r="E476">
        <v>71.599999999999994</v>
      </c>
      <c r="F476">
        <v>52.6</v>
      </c>
      <c r="G476" t="s">
        <v>6</v>
      </c>
      <c r="H476">
        <v>20.8</v>
      </c>
      <c r="I476">
        <v>26.5</v>
      </c>
      <c r="J476">
        <v>16.8</v>
      </c>
      <c r="K476" t="s">
        <v>6</v>
      </c>
      <c r="L476">
        <v>223</v>
      </c>
      <c r="M476" t="s">
        <v>6</v>
      </c>
      <c r="O476" s="6">
        <f t="shared" si="510"/>
        <v>45433.041666666664</v>
      </c>
      <c r="P476">
        <f t="shared" si="511"/>
        <v>62.6</v>
      </c>
      <c r="Q476">
        <f t="shared" si="512"/>
        <v>71.599999999999994</v>
      </c>
      <c r="R476">
        <f t="shared" si="513"/>
        <v>52.6</v>
      </c>
      <c r="S476">
        <f t="shared" si="514"/>
        <v>63.6</v>
      </c>
      <c r="V476" s="6">
        <f t="shared" si="515"/>
        <v>45433.041666666664</v>
      </c>
      <c r="W476">
        <f t="shared" si="516"/>
        <v>20.8</v>
      </c>
      <c r="X476">
        <f t="shared" si="517"/>
        <v>26.5</v>
      </c>
      <c r="Y476">
        <f t="shared" si="518"/>
        <v>16.8</v>
      </c>
      <c r="Z476">
        <f t="shared" si="519"/>
        <v>21.8</v>
      </c>
      <c r="BA476" t="s">
        <v>6</v>
      </c>
    </row>
    <row r="477" spans="1:53" x14ac:dyDescent="0.2">
      <c r="A477" s="1">
        <v>45433</v>
      </c>
      <c r="B477" s="2">
        <v>8.3333333333333329E-2</v>
      </c>
      <c r="C477" s="6">
        <v>45433.083333333336</v>
      </c>
      <c r="D477">
        <v>58.6</v>
      </c>
      <c r="E477">
        <v>63.7</v>
      </c>
      <c r="F477">
        <v>51.6</v>
      </c>
      <c r="G477" t="s">
        <v>6</v>
      </c>
      <c r="H477">
        <v>18.8</v>
      </c>
      <c r="I477">
        <v>25</v>
      </c>
      <c r="J477">
        <v>16.399999999999999</v>
      </c>
      <c r="K477" t="s">
        <v>6</v>
      </c>
      <c r="L477">
        <v>216</v>
      </c>
      <c r="M477" t="s">
        <v>6</v>
      </c>
      <c r="O477" s="6">
        <f t="shared" si="510"/>
        <v>45433.083333333336</v>
      </c>
      <c r="P477">
        <f t="shared" si="511"/>
        <v>58.6</v>
      </c>
      <c r="Q477">
        <f t="shared" si="512"/>
        <v>63.7</v>
      </c>
      <c r="R477">
        <f t="shared" si="513"/>
        <v>51.6</v>
      </c>
      <c r="S477">
        <f t="shared" si="514"/>
        <v>59.6</v>
      </c>
      <c r="V477" s="6">
        <f t="shared" si="515"/>
        <v>45433.083333333336</v>
      </c>
      <c r="W477">
        <f t="shared" si="516"/>
        <v>18.8</v>
      </c>
      <c r="X477">
        <f t="shared" si="517"/>
        <v>25</v>
      </c>
      <c r="Y477">
        <f t="shared" si="518"/>
        <v>16.399999999999999</v>
      </c>
      <c r="Z477">
        <f t="shared" si="519"/>
        <v>19.8</v>
      </c>
      <c r="BA477" t="s">
        <v>6</v>
      </c>
    </row>
    <row r="478" spans="1:53" x14ac:dyDescent="0.2">
      <c r="A478" s="1">
        <v>45433</v>
      </c>
      <c r="B478" s="2">
        <v>0.125</v>
      </c>
      <c r="C478" s="6">
        <v>45433.125</v>
      </c>
      <c r="D478">
        <v>64</v>
      </c>
      <c r="E478">
        <v>71.5</v>
      </c>
      <c r="F478">
        <v>53.7</v>
      </c>
      <c r="G478" t="s">
        <v>6</v>
      </c>
      <c r="H478">
        <v>20.100000000000001</v>
      </c>
      <c r="I478">
        <v>22.9</v>
      </c>
      <c r="J478">
        <v>16.600000000000001</v>
      </c>
      <c r="K478" t="s">
        <v>6</v>
      </c>
      <c r="L478">
        <v>169</v>
      </c>
      <c r="M478" t="s">
        <v>6</v>
      </c>
      <c r="O478" s="6">
        <f t="shared" si="510"/>
        <v>45433.125</v>
      </c>
      <c r="P478">
        <f t="shared" si="511"/>
        <v>64</v>
      </c>
      <c r="Q478">
        <f t="shared" si="512"/>
        <v>71.5</v>
      </c>
      <c r="R478">
        <f t="shared" si="513"/>
        <v>53.7</v>
      </c>
      <c r="S478">
        <f t="shared" si="514"/>
        <v>65</v>
      </c>
      <c r="V478" s="6">
        <f t="shared" si="515"/>
        <v>45433.125</v>
      </c>
      <c r="W478">
        <f t="shared" si="516"/>
        <v>20.100000000000001</v>
      </c>
      <c r="X478">
        <f t="shared" si="517"/>
        <v>22.9</v>
      </c>
      <c r="Y478">
        <f t="shared" si="518"/>
        <v>16.600000000000001</v>
      </c>
      <c r="Z478">
        <f t="shared" si="519"/>
        <v>21.1</v>
      </c>
      <c r="BA478" t="s">
        <v>6</v>
      </c>
    </row>
    <row r="479" spans="1:53" x14ac:dyDescent="0.2">
      <c r="A479" s="1">
        <v>45433</v>
      </c>
      <c r="B479" s="2">
        <v>0.16666666666666666</v>
      </c>
      <c r="C479" s="6">
        <v>45433.166666666664</v>
      </c>
      <c r="D479">
        <v>61</v>
      </c>
      <c r="E479">
        <v>68.400000000000006</v>
      </c>
      <c r="F479">
        <v>55.7</v>
      </c>
      <c r="G479" t="s">
        <v>6</v>
      </c>
      <c r="H479">
        <v>19.8</v>
      </c>
      <c r="I479">
        <v>23.9</v>
      </c>
      <c r="J479">
        <v>15.3</v>
      </c>
      <c r="K479" t="s">
        <v>6</v>
      </c>
      <c r="L479">
        <v>204</v>
      </c>
      <c r="M479" t="s">
        <v>6</v>
      </c>
      <c r="O479" s="6">
        <f t="shared" si="510"/>
        <v>45433.166666666664</v>
      </c>
      <c r="P479">
        <f t="shared" si="511"/>
        <v>61</v>
      </c>
      <c r="Q479">
        <f t="shared" si="512"/>
        <v>68.400000000000006</v>
      </c>
      <c r="R479">
        <f t="shared" si="513"/>
        <v>55.7</v>
      </c>
      <c r="S479">
        <f t="shared" si="514"/>
        <v>62</v>
      </c>
      <c r="V479" s="6">
        <f t="shared" si="515"/>
        <v>45433.166666666664</v>
      </c>
      <c r="W479">
        <f t="shared" si="516"/>
        <v>19.8</v>
      </c>
      <c r="X479">
        <f t="shared" si="517"/>
        <v>23.9</v>
      </c>
      <c r="Y479">
        <f t="shared" si="518"/>
        <v>15.3</v>
      </c>
      <c r="Z479">
        <f t="shared" si="519"/>
        <v>20.8</v>
      </c>
      <c r="BA479" t="s">
        <v>6</v>
      </c>
    </row>
    <row r="480" spans="1:53" x14ac:dyDescent="0.2">
      <c r="A480" s="1">
        <v>45433</v>
      </c>
      <c r="B480" s="2">
        <v>0.20833333333333334</v>
      </c>
      <c r="C480" s="6">
        <v>45433.208333333336</v>
      </c>
      <c r="D480">
        <v>60.4</v>
      </c>
      <c r="E480">
        <v>69.5</v>
      </c>
      <c r="F480">
        <v>55.3</v>
      </c>
      <c r="G480" t="s">
        <v>6</v>
      </c>
      <c r="H480">
        <v>18.899999999999999</v>
      </c>
      <c r="I480">
        <v>20.9</v>
      </c>
      <c r="J480">
        <v>16.7</v>
      </c>
      <c r="K480" t="s">
        <v>6</v>
      </c>
      <c r="L480">
        <v>229</v>
      </c>
      <c r="M480" t="s">
        <v>6</v>
      </c>
      <c r="O480" s="6">
        <f t="shared" si="510"/>
        <v>45433.208333333336</v>
      </c>
      <c r="P480">
        <f t="shared" si="511"/>
        <v>60.4</v>
      </c>
      <c r="Q480">
        <f t="shared" si="512"/>
        <v>69.5</v>
      </c>
      <c r="R480">
        <f t="shared" si="513"/>
        <v>55.3</v>
      </c>
      <c r="S480">
        <f t="shared" si="514"/>
        <v>61.4</v>
      </c>
      <c r="V480" s="6">
        <f t="shared" si="515"/>
        <v>45433.208333333336</v>
      </c>
      <c r="W480">
        <f t="shared" si="516"/>
        <v>18.899999999999999</v>
      </c>
      <c r="X480">
        <f t="shared" si="517"/>
        <v>20.9</v>
      </c>
      <c r="Y480">
        <f t="shared" si="518"/>
        <v>16.7</v>
      </c>
      <c r="Z480">
        <f t="shared" si="519"/>
        <v>19.899999999999999</v>
      </c>
      <c r="BA480" t="s">
        <v>6</v>
      </c>
    </row>
    <row r="481" spans="1:53" x14ac:dyDescent="0.2">
      <c r="A481" s="1">
        <v>45433</v>
      </c>
      <c r="B481" s="2">
        <v>0.25</v>
      </c>
      <c r="C481" s="6">
        <v>45433.25</v>
      </c>
      <c r="D481">
        <v>60.6</v>
      </c>
      <c r="E481">
        <v>66.400000000000006</v>
      </c>
      <c r="F481">
        <v>55.8</v>
      </c>
      <c r="G481" t="s">
        <v>6</v>
      </c>
      <c r="H481">
        <v>18.7</v>
      </c>
      <c r="I481">
        <v>26.5</v>
      </c>
      <c r="J481">
        <v>15.3</v>
      </c>
      <c r="K481" t="s">
        <v>6</v>
      </c>
      <c r="L481">
        <v>223</v>
      </c>
      <c r="M481" t="s">
        <v>6</v>
      </c>
      <c r="O481" s="6">
        <f t="shared" si="510"/>
        <v>45433.25</v>
      </c>
      <c r="P481">
        <f t="shared" si="511"/>
        <v>60.6</v>
      </c>
      <c r="Q481">
        <f t="shared" si="512"/>
        <v>66.400000000000006</v>
      </c>
      <c r="R481">
        <f t="shared" si="513"/>
        <v>55.8</v>
      </c>
      <c r="S481">
        <f t="shared" si="514"/>
        <v>61.6</v>
      </c>
      <c r="V481" s="6">
        <f t="shared" si="515"/>
        <v>45433.25</v>
      </c>
      <c r="W481">
        <f t="shared" si="516"/>
        <v>18.7</v>
      </c>
      <c r="X481">
        <f t="shared" si="517"/>
        <v>26.5</v>
      </c>
      <c r="Y481">
        <f t="shared" si="518"/>
        <v>15.3</v>
      </c>
      <c r="Z481">
        <f t="shared" si="519"/>
        <v>19.7</v>
      </c>
      <c r="BA481" t="s">
        <v>6</v>
      </c>
    </row>
    <row r="482" spans="1:53" x14ac:dyDescent="0.2">
      <c r="A482" s="1">
        <v>45433</v>
      </c>
      <c r="B482" s="2">
        <v>0.29166666666666669</v>
      </c>
      <c r="C482" s="6">
        <v>45433.291666666664</v>
      </c>
      <c r="D482">
        <v>59.6</v>
      </c>
      <c r="E482">
        <v>64.3</v>
      </c>
      <c r="F482">
        <v>55.7</v>
      </c>
      <c r="G482" t="s">
        <v>6</v>
      </c>
      <c r="H482">
        <v>18.399999999999999</v>
      </c>
      <c r="I482">
        <v>21.6</v>
      </c>
      <c r="J482">
        <v>15.5</v>
      </c>
      <c r="K482" t="s">
        <v>6</v>
      </c>
      <c r="L482">
        <v>225</v>
      </c>
      <c r="M482" t="s">
        <v>6</v>
      </c>
      <c r="O482" s="6">
        <f t="shared" si="510"/>
        <v>45433.291666666664</v>
      </c>
      <c r="P482">
        <f t="shared" si="511"/>
        <v>59.6</v>
      </c>
      <c r="Q482">
        <f t="shared" si="512"/>
        <v>64.3</v>
      </c>
      <c r="R482">
        <f t="shared" si="513"/>
        <v>55.7</v>
      </c>
      <c r="S482">
        <f t="shared" si="514"/>
        <v>60.6</v>
      </c>
      <c r="V482" s="6">
        <f t="shared" si="515"/>
        <v>45433.291666666664</v>
      </c>
      <c r="W482">
        <f t="shared" si="516"/>
        <v>18.399999999999999</v>
      </c>
      <c r="X482">
        <f t="shared" si="517"/>
        <v>21.6</v>
      </c>
      <c r="Y482">
        <f t="shared" si="518"/>
        <v>15.5</v>
      </c>
      <c r="Z482">
        <f t="shared" si="519"/>
        <v>19.399999999999999</v>
      </c>
      <c r="BA482" t="s">
        <v>6</v>
      </c>
    </row>
    <row r="483" spans="1:53" x14ac:dyDescent="0.2">
      <c r="A483" s="14">
        <v>45433</v>
      </c>
      <c r="B483" s="7">
        <v>0.33333333333333331</v>
      </c>
      <c r="C483" s="8">
        <v>45433.333333333336</v>
      </c>
      <c r="D483" s="9">
        <v>59.4</v>
      </c>
      <c r="E483" s="9">
        <v>67.2</v>
      </c>
      <c r="F483" s="9">
        <v>53.7</v>
      </c>
      <c r="G483" s="9" t="s">
        <v>6</v>
      </c>
      <c r="H483" s="9">
        <v>17.8</v>
      </c>
      <c r="I483" s="9">
        <v>21.3</v>
      </c>
      <c r="J483" s="9">
        <v>14.6</v>
      </c>
      <c r="K483" s="9" t="s">
        <v>6</v>
      </c>
      <c r="L483" s="9">
        <v>227</v>
      </c>
      <c r="M483" t="s">
        <v>6</v>
      </c>
      <c r="O483" s="6">
        <f t="shared" si="510"/>
        <v>45433.333333333336</v>
      </c>
      <c r="P483">
        <f t="shared" si="511"/>
        <v>59.4</v>
      </c>
      <c r="Q483">
        <f t="shared" si="512"/>
        <v>67.2</v>
      </c>
      <c r="R483">
        <f t="shared" si="513"/>
        <v>53.7</v>
      </c>
      <c r="S483">
        <f t="shared" si="514"/>
        <v>60.4</v>
      </c>
      <c r="V483" s="6">
        <f t="shared" si="515"/>
        <v>45433.333333333336</v>
      </c>
      <c r="W483">
        <f t="shared" si="516"/>
        <v>17.8</v>
      </c>
      <c r="X483">
        <f t="shared" si="517"/>
        <v>21.3</v>
      </c>
      <c r="Y483">
        <f t="shared" si="518"/>
        <v>14.6</v>
      </c>
      <c r="Z483">
        <f t="shared" si="519"/>
        <v>18.8</v>
      </c>
      <c r="BA483" t="s">
        <v>6</v>
      </c>
    </row>
    <row r="484" spans="1:53" x14ac:dyDescent="0.2">
      <c r="A484" s="13">
        <v>45433</v>
      </c>
      <c r="B484" s="3">
        <v>0.375</v>
      </c>
      <c r="C484" s="4">
        <v>45433.375</v>
      </c>
      <c r="D484" s="5">
        <v>62.8</v>
      </c>
      <c r="E484" s="5">
        <v>75.2</v>
      </c>
      <c r="F484" s="5">
        <v>58.1</v>
      </c>
      <c r="G484" s="5" t="s">
        <v>6</v>
      </c>
      <c r="H484" s="5">
        <v>18.399999999999999</v>
      </c>
      <c r="I484" s="5">
        <v>28.8</v>
      </c>
      <c r="J484" s="5">
        <v>14.6</v>
      </c>
      <c r="K484" s="5" t="s">
        <v>6</v>
      </c>
      <c r="L484" s="5">
        <v>226</v>
      </c>
      <c r="M484" t="s">
        <v>6</v>
      </c>
      <c r="O484" s="6">
        <f t="shared" si="510"/>
        <v>45433.375</v>
      </c>
      <c r="P484">
        <f t="shared" si="511"/>
        <v>62.8</v>
      </c>
      <c r="Q484">
        <f t="shared" si="512"/>
        <v>75.2</v>
      </c>
      <c r="R484">
        <f t="shared" si="513"/>
        <v>58.1</v>
      </c>
      <c r="S484">
        <f t="shared" si="514"/>
        <v>63.8</v>
      </c>
      <c r="V484" s="6">
        <f t="shared" si="515"/>
        <v>45433.375</v>
      </c>
      <c r="W484">
        <f t="shared" si="516"/>
        <v>18.399999999999999</v>
      </c>
      <c r="X484">
        <f t="shared" si="517"/>
        <v>28.8</v>
      </c>
      <c r="Y484">
        <f t="shared" si="518"/>
        <v>14.6</v>
      </c>
      <c r="Z484">
        <f t="shared" si="519"/>
        <v>19.399999999999999</v>
      </c>
      <c r="BA484" t="s">
        <v>6</v>
      </c>
    </row>
    <row r="485" spans="1:53" x14ac:dyDescent="0.2">
      <c r="A485" s="1">
        <v>45433</v>
      </c>
      <c r="B485" s="2">
        <v>0.41666666666666669</v>
      </c>
      <c r="C485" s="6">
        <v>45433.416666666664</v>
      </c>
      <c r="D485">
        <v>62.1</v>
      </c>
      <c r="E485">
        <v>66</v>
      </c>
      <c r="F485">
        <v>57</v>
      </c>
      <c r="G485" t="s">
        <v>6</v>
      </c>
      <c r="H485">
        <v>19.100000000000001</v>
      </c>
      <c r="I485">
        <v>23.8</v>
      </c>
      <c r="J485">
        <v>14.6</v>
      </c>
      <c r="K485" t="s">
        <v>6</v>
      </c>
      <c r="L485">
        <v>223</v>
      </c>
      <c r="M485" t="s">
        <v>6</v>
      </c>
      <c r="O485" s="6">
        <f t="shared" si="510"/>
        <v>45433.416666666664</v>
      </c>
      <c r="P485">
        <f t="shared" si="511"/>
        <v>62.1</v>
      </c>
      <c r="Q485">
        <f t="shared" si="512"/>
        <v>66</v>
      </c>
      <c r="R485">
        <f t="shared" si="513"/>
        <v>57</v>
      </c>
      <c r="S485">
        <f t="shared" si="514"/>
        <v>63.1</v>
      </c>
      <c r="V485" s="6">
        <f t="shared" si="515"/>
        <v>45433.416666666664</v>
      </c>
      <c r="W485">
        <f t="shared" si="516"/>
        <v>19.100000000000001</v>
      </c>
      <c r="X485">
        <f t="shared" si="517"/>
        <v>23.8</v>
      </c>
      <c r="Y485">
        <f t="shared" si="518"/>
        <v>14.6</v>
      </c>
      <c r="Z485">
        <f t="shared" si="519"/>
        <v>20.100000000000001</v>
      </c>
      <c r="BA485" t="s">
        <v>6</v>
      </c>
    </row>
    <row r="486" spans="1:53" x14ac:dyDescent="0.2">
      <c r="A486" s="1">
        <v>45433</v>
      </c>
      <c r="B486" s="2">
        <v>0.45833333333333331</v>
      </c>
      <c r="C486" s="6">
        <v>45433.458333333336</v>
      </c>
      <c r="D486">
        <v>62.6</v>
      </c>
      <c r="E486">
        <v>66</v>
      </c>
      <c r="F486">
        <v>57.8</v>
      </c>
      <c r="G486" t="s">
        <v>6</v>
      </c>
      <c r="H486">
        <v>20</v>
      </c>
      <c r="I486">
        <v>24.6</v>
      </c>
      <c r="J486">
        <v>13.8</v>
      </c>
      <c r="K486" t="s">
        <v>6</v>
      </c>
      <c r="L486">
        <v>207</v>
      </c>
      <c r="M486" t="s">
        <v>6</v>
      </c>
      <c r="O486" s="6">
        <f t="shared" si="510"/>
        <v>45433.458333333336</v>
      </c>
      <c r="P486">
        <f t="shared" si="511"/>
        <v>62.6</v>
      </c>
      <c r="Q486">
        <f t="shared" si="512"/>
        <v>66</v>
      </c>
      <c r="R486">
        <f t="shared" si="513"/>
        <v>57.8</v>
      </c>
      <c r="S486">
        <f t="shared" si="514"/>
        <v>63.6</v>
      </c>
      <c r="V486" s="6">
        <f t="shared" si="515"/>
        <v>45433.458333333336</v>
      </c>
      <c r="W486">
        <f t="shared" si="516"/>
        <v>20</v>
      </c>
      <c r="X486">
        <f t="shared" si="517"/>
        <v>24.6</v>
      </c>
      <c r="Y486">
        <f t="shared" si="518"/>
        <v>13.8</v>
      </c>
      <c r="Z486">
        <f t="shared" si="519"/>
        <v>21</v>
      </c>
      <c r="BA486" t="s">
        <v>6</v>
      </c>
    </row>
    <row r="487" spans="1:53" x14ac:dyDescent="0.2">
      <c r="A487" s="1">
        <v>45433</v>
      </c>
      <c r="B487" s="2">
        <v>0.5</v>
      </c>
      <c r="C487" s="6">
        <v>45433.5</v>
      </c>
      <c r="D487">
        <v>57.1</v>
      </c>
      <c r="E487">
        <v>62</v>
      </c>
      <c r="F487">
        <v>52.4</v>
      </c>
      <c r="G487" t="s">
        <v>6</v>
      </c>
      <c r="H487">
        <v>19.100000000000001</v>
      </c>
      <c r="I487">
        <v>22.7</v>
      </c>
      <c r="J487">
        <v>14.2</v>
      </c>
      <c r="K487" t="s">
        <v>6</v>
      </c>
      <c r="L487">
        <v>215</v>
      </c>
      <c r="M487" t="s">
        <v>6</v>
      </c>
      <c r="O487" s="6">
        <f t="shared" si="510"/>
        <v>45433.5</v>
      </c>
      <c r="P487">
        <f t="shared" si="511"/>
        <v>57.1</v>
      </c>
      <c r="Q487">
        <f t="shared" si="512"/>
        <v>62</v>
      </c>
      <c r="R487">
        <f t="shared" si="513"/>
        <v>52.4</v>
      </c>
      <c r="S487">
        <f t="shared" si="514"/>
        <v>58.1</v>
      </c>
      <c r="V487" s="6">
        <f t="shared" si="515"/>
        <v>45433.5</v>
      </c>
      <c r="W487">
        <f t="shared" si="516"/>
        <v>19.100000000000001</v>
      </c>
      <c r="X487">
        <f t="shared" si="517"/>
        <v>22.7</v>
      </c>
      <c r="Y487">
        <f t="shared" si="518"/>
        <v>14.2</v>
      </c>
      <c r="Z487">
        <f t="shared" si="519"/>
        <v>20.100000000000001</v>
      </c>
      <c r="BA487" t="s">
        <v>6</v>
      </c>
    </row>
    <row r="488" spans="1:53" x14ac:dyDescent="0.2">
      <c r="A488" s="1">
        <v>45433</v>
      </c>
      <c r="B488" s="2">
        <v>0.54166666666666663</v>
      </c>
      <c r="C488" s="6">
        <v>45433.541666666664</v>
      </c>
      <c r="D488">
        <v>59.4</v>
      </c>
      <c r="E488">
        <v>64.599999999999994</v>
      </c>
      <c r="F488">
        <v>53.2</v>
      </c>
      <c r="G488" t="s">
        <v>6</v>
      </c>
      <c r="H488">
        <v>20.7</v>
      </c>
      <c r="I488">
        <v>24.6</v>
      </c>
      <c r="J488">
        <v>15.6</v>
      </c>
      <c r="K488" t="s">
        <v>6</v>
      </c>
      <c r="L488">
        <v>161</v>
      </c>
      <c r="M488" t="s">
        <v>6</v>
      </c>
      <c r="O488" s="6">
        <f t="shared" si="510"/>
        <v>45433.541666666664</v>
      </c>
      <c r="P488">
        <f t="shared" si="511"/>
        <v>59.4</v>
      </c>
      <c r="Q488">
        <f t="shared" si="512"/>
        <v>64.599999999999994</v>
      </c>
      <c r="R488">
        <f t="shared" si="513"/>
        <v>53.2</v>
      </c>
      <c r="S488">
        <f t="shared" si="514"/>
        <v>60.4</v>
      </c>
      <c r="V488" s="6">
        <f t="shared" si="515"/>
        <v>45433.541666666664</v>
      </c>
      <c r="W488">
        <f t="shared" si="516"/>
        <v>20.7</v>
      </c>
      <c r="X488">
        <f t="shared" si="517"/>
        <v>24.6</v>
      </c>
      <c r="Y488">
        <f t="shared" si="518"/>
        <v>15.6</v>
      </c>
      <c r="Z488">
        <f t="shared" si="519"/>
        <v>21.7</v>
      </c>
      <c r="BA488" t="s">
        <v>6</v>
      </c>
    </row>
    <row r="489" spans="1:53" x14ac:dyDescent="0.2">
      <c r="A489" s="1">
        <v>45433</v>
      </c>
      <c r="B489" s="2">
        <v>0.58333333333333337</v>
      </c>
      <c r="C489" s="6">
        <v>45433.583333333336</v>
      </c>
      <c r="D489">
        <v>59.2</v>
      </c>
      <c r="E489">
        <v>62.6</v>
      </c>
      <c r="F489">
        <v>54.8</v>
      </c>
      <c r="G489" t="s">
        <v>6</v>
      </c>
      <c r="H489">
        <v>19.600000000000001</v>
      </c>
      <c r="I489">
        <v>27.3</v>
      </c>
      <c r="J489">
        <v>16.2</v>
      </c>
      <c r="K489" t="s">
        <v>6</v>
      </c>
      <c r="L489">
        <v>221</v>
      </c>
      <c r="M489" t="s">
        <v>6</v>
      </c>
      <c r="O489" s="6">
        <f t="shared" si="510"/>
        <v>45433.583333333336</v>
      </c>
      <c r="P489">
        <f t="shared" si="511"/>
        <v>59.2</v>
      </c>
      <c r="Q489">
        <f t="shared" si="512"/>
        <v>62.6</v>
      </c>
      <c r="R489">
        <f t="shared" si="513"/>
        <v>54.8</v>
      </c>
      <c r="S489">
        <f t="shared" si="514"/>
        <v>60.2</v>
      </c>
      <c r="V489" s="6">
        <f t="shared" si="515"/>
        <v>45433.583333333336</v>
      </c>
      <c r="W489">
        <f t="shared" si="516"/>
        <v>19.600000000000001</v>
      </c>
      <c r="X489">
        <f t="shared" si="517"/>
        <v>27.3</v>
      </c>
      <c r="Y489">
        <f t="shared" si="518"/>
        <v>16.2</v>
      </c>
      <c r="Z489">
        <f t="shared" si="519"/>
        <v>20.6</v>
      </c>
      <c r="BA489" t="s">
        <v>6</v>
      </c>
    </row>
    <row r="490" spans="1:53" x14ac:dyDescent="0.2">
      <c r="A490" s="1">
        <v>45433</v>
      </c>
      <c r="B490" s="2">
        <v>0.625</v>
      </c>
      <c r="C490" s="6">
        <v>45433.625</v>
      </c>
      <c r="D490">
        <v>55.9</v>
      </c>
      <c r="E490">
        <v>59.4</v>
      </c>
      <c r="F490">
        <v>52.9</v>
      </c>
      <c r="G490" t="s">
        <v>6</v>
      </c>
      <c r="H490">
        <v>19.399999999999999</v>
      </c>
      <c r="I490">
        <v>23.3</v>
      </c>
      <c r="J490">
        <v>15</v>
      </c>
      <c r="K490" t="s">
        <v>6</v>
      </c>
      <c r="L490">
        <v>225</v>
      </c>
      <c r="M490" t="s">
        <v>6</v>
      </c>
      <c r="O490" s="6">
        <f t="shared" si="510"/>
        <v>45433.625</v>
      </c>
      <c r="P490">
        <f t="shared" si="511"/>
        <v>55.9</v>
      </c>
      <c r="Q490">
        <f t="shared" si="512"/>
        <v>59.4</v>
      </c>
      <c r="R490">
        <f t="shared" si="513"/>
        <v>52.9</v>
      </c>
      <c r="S490">
        <f t="shared" si="514"/>
        <v>56.9</v>
      </c>
      <c r="V490" s="6">
        <f t="shared" si="515"/>
        <v>45433.625</v>
      </c>
      <c r="W490">
        <f t="shared" si="516"/>
        <v>19.399999999999999</v>
      </c>
      <c r="X490">
        <f t="shared" si="517"/>
        <v>23.3</v>
      </c>
      <c r="Y490">
        <f t="shared" si="518"/>
        <v>15</v>
      </c>
      <c r="Z490">
        <f t="shared" si="519"/>
        <v>20.399999999999999</v>
      </c>
      <c r="BA490" t="s">
        <v>6</v>
      </c>
    </row>
    <row r="491" spans="1:53" x14ac:dyDescent="0.2">
      <c r="A491" s="1">
        <v>45433</v>
      </c>
      <c r="B491" s="2">
        <v>0.66666666666666663</v>
      </c>
      <c r="C491" s="6">
        <v>45433.666666666664</v>
      </c>
      <c r="D491">
        <v>54.7</v>
      </c>
      <c r="E491">
        <v>59</v>
      </c>
      <c r="F491">
        <v>49</v>
      </c>
      <c r="G491" t="s">
        <v>6</v>
      </c>
      <c r="H491">
        <v>19.3</v>
      </c>
      <c r="I491">
        <v>24.2</v>
      </c>
      <c r="J491">
        <v>13.3</v>
      </c>
      <c r="K491" t="s">
        <v>6</v>
      </c>
      <c r="L491">
        <v>224</v>
      </c>
      <c r="M491" t="s">
        <v>6</v>
      </c>
      <c r="O491" s="6">
        <f t="shared" si="510"/>
        <v>45433.666666666664</v>
      </c>
      <c r="P491">
        <f t="shared" si="511"/>
        <v>54.7</v>
      </c>
      <c r="Q491">
        <f t="shared" si="512"/>
        <v>59</v>
      </c>
      <c r="R491">
        <f t="shared" si="513"/>
        <v>49</v>
      </c>
      <c r="S491">
        <f t="shared" si="514"/>
        <v>55.7</v>
      </c>
      <c r="V491" s="6">
        <f t="shared" si="515"/>
        <v>45433.666666666664</v>
      </c>
      <c r="W491">
        <f t="shared" si="516"/>
        <v>19.3</v>
      </c>
      <c r="X491">
        <f t="shared" si="517"/>
        <v>24.2</v>
      </c>
      <c r="Y491">
        <f t="shared" si="518"/>
        <v>13.3</v>
      </c>
      <c r="Z491">
        <f t="shared" si="519"/>
        <v>20.3</v>
      </c>
      <c r="BA491" t="s">
        <v>6</v>
      </c>
    </row>
    <row r="492" spans="1:53" x14ac:dyDescent="0.2">
      <c r="A492" s="1">
        <v>45433</v>
      </c>
      <c r="B492" s="2">
        <v>0.70833333333333337</v>
      </c>
      <c r="C492" s="6">
        <v>45433.708333333336</v>
      </c>
      <c r="D492">
        <v>54.1</v>
      </c>
      <c r="E492">
        <v>59</v>
      </c>
      <c r="F492">
        <v>50.1</v>
      </c>
      <c r="G492" t="s">
        <v>6</v>
      </c>
      <c r="H492">
        <v>19.8</v>
      </c>
      <c r="I492">
        <v>22.5</v>
      </c>
      <c r="J492">
        <v>16.3</v>
      </c>
      <c r="K492" t="s">
        <v>6</v>
      </c>
      <c r="L492">
        <v>200</v>
      </c>
      <c r="M492" t="s">
        <v>6</v>
      </c>
      <c r="O492" s="6">
        <f t="shared" si="510"/>
        <v>45433.708333333336</v>
      </c>
      <c r="P492">
        <f t="shared" si="511"/>
        <v>54.1</v>
      </c>
      <c r="Q492">
        <f t="shared" si="512"/>
        <v>59</v>
      </c>
      <c r="R492">
        <f t="shared" si="513"/>
        <v>50.1</v>
      </c>
      <c r="S492">
        <f t="shared" si="514"/>
        <v>55.1</v>
      </c>
      <c r="V492" s="6">
        <f t="shared" si="515"/>
        <v>45433.708333333336</v>
      </c>
      <c r="W492">
        <f t="shared" si="516"/>
        <v>19.8</v>
      </c>
      <c r="X492">
        <f t="shared" si="517"/>
        <v>22.5</v>
      </c>
      <c r="Y492">
        <f t="shared" si="518"/>
        <v>16.3</v>
      </c>
      <c r="Z492">
        <f t="shared" si="519"/>
        <v>20.8</v>
      </c>
      <c r="BA492" t="s">
        <v>6</v>
      </c>
    </row>
    <row r="493" spans="1:53" x14ac:dyDescent="0.2">
      <c r="A493" s="1">
        <v>45433</v>
      </c>
      <c r="B493" s="2">
        <v>0.75</v>
      </c>
      <c r="C493" s="6">
        <v>45433.75</v>
      </c>
      <c r="D493">
        <v>55.3</v>
      </c>
      <c r="E493">
        <v>59.5</v>
      </c>
      <c r="F493">
        <v>50.7</v>
      </c>
      <c r="G493" t="s">
        <v>6</v>
      </c>
      <c r="H493">
        <v>19.399999999999999</v>
      </c>
      <c r="I493">
        <v>25.8</v>
      </c>
      <c r="J493">
        <v>15.4</v>
      </c>
      <c r="K493" t="s">
        <v>6</v>
      </c>
      <c r="L493">
        <v>215</v>
      </c>
      <c r="M493" t="s">
        <v>6</v>
      </c>
      <c r="O493" s="6">
        <f t="shared" si="510"/>
        <v>45433.75</v>
      </c>
      <c r="P493">
        <f t="shared" si="511"/>
        <v>55.3</v>
      </c>
      <c r="Q493">
        <f t="shared" si="512"/>
        <v>59.5</v>
      </c>
      <c r="R493">
        <f t="shared" si="513"/>
        <v>50.7</v>
      </c>
      <c r="S493">
        <f t="shared" si="514"/>
        <v>56.3</v>
      </c>
      <c r="V493" s="6">
        <f t="shared" si="515"/>
        <v>45433.75</v>
      </c>
      <c r="W493">
        <f t="shared" si="516"/>
        <v>19.399999999999999</v>
      </c>
      <c r="X493">
        <f t="shared" si="517"/>
        <v>25.8</v>
      </c>
      <c r="Y493">
        <f t="shared" si="518"/>
        <v>15.4</v>
      </c>
      <c r="Z493">
        <f t="shared" si="519"/>
        <v>20.399999999999999</v>
      </c>
      <c r="BA493" t="s">
        <v>6</v>
      </c>
    </row>
    <row r="494" spans="1:53" x14ac:dyDescent="0.2">
      <c r="A494" s="1">
        <v>45433</v>
      </c>
      <c r="B494" s="2">
        <v>0.79166666666666663</v>
      </c>
      <c r="C494" s="6">
        <v>45433.791666666664</v>
      </c>
      <c r="D494">
        <v>53.7</v>
      </c>
      <c r="E494">
        <v>64.8</v>
      </c>
      <c r="F494">
        <v>46.4</v>
      </c>
      <c r="G494" t="s">
        <v>6</v>
      </c>
      <c r="H494">
        <v>18.899999999999999</v>
      </c>
      <c r="I494">
        <v>21.7</v>
      </c>
      <c r="J494">
        <v>15.4</v>
      </c>
      <c r="K494" t="s">
        <v>6</v>
      </c>
      <c r="L494">
        <v>216</v>
      </c>
      <c r="M494" t="s">
        <v>6</v>
      </c>
      <c r="O494" s="6">
        <f t="shared" si="510"/>
        <v>45433.791666666664</v>
      </c>
      <c r="P494">
        <f t="shared" si="511"/>
        <v>53.7</v>
      </c>
      <c r="Q494">
        <f t="shared" si="512"/>
        <v>64.8</v>
      </c>
      <c r="R494">
        <f t="shared" si="513"/>
        <v>46.4</v>
      </c>
      <c r="S494">
        <f t="shared" si="514"/>
        <v>54.7</v>
      </c>
      <c r="V494" s="6">
        <f t="shared" si="515"/>
        <v>45433.791666666664</v>
      </c>
      <c r="W494">
        <f t="shared" si="516"/>
        <v>18.899999999999999</v>
      </c>
      <c r="X494">
        <f t="shared" si="517"/>
        <v>21.7</v>
      </c>
      <c r="Y494">
        <f t="shared" si="518"/>
        <v>15.4</v>
      </c>
      <c r="Z494">
        <f t="shared" si="519"/>
        <v>19.899999999999999</v>
      </c>
      <c r="BA494" t="s">
        <v>6</v>
      </c>
    </row>
    <row r="495" spans="1:53" x14ac:dyDescent="0.2">
      <c r="A495" s="1">
        <v>45433</v>
      </c>
      <c r="B495" s="2">
        <v>0.83333333333333337</v>
      </c>
      <c r="C495" s="6">
        <v>45433.833333333336</v>
      </c>
      <c r="D495">
        <v>58.4</v>
      </c>
      <c r="E495">
        <v>66.400000000000006</v>
      </c>
      <c r="F495">
        <v>53.7</v>
      </c>
      <c r="G495" t="s">
        <v>6</v>
      </c>
      <c r="H495">
        <v>20.6</v>
      </c>
      <c r="I495">
        <v>25.4</v>
      </c>
      <c r="J495">
        <v>16.7</v>
      </c>
      <c r="K495" t="s">
        <v>6</v>
      </c>
      <c r="L495">
        <v>173</v>
      </c>
      <c r="M495" t="s">
        <v>6</v>
      </c>
      <c r="O495" s="6">
        <f t="shared" si="510"/>
        <v>45433.833333333336</v>
      </c>
      <c r="P495">
        <f t="shared" si="511"/>
        <v>58.4</v>
      </c>
      <c r="Q495">
        <f t="shared" si="512"/>
        <v>66.400000000000006</v>
      </c>
      <c r="R495">
        <f t="shared" si="513"/>
        <v>53.7</v>
      </c>
      <c r="S495">
        <f t="shared" si="514"/>
        <v>59.4</v>
      </c>
      <c r="V495" s="6">
        <f t="shared" si="515"/>
        <v>45433.833333333336</v>
      </c>
      <c r="W495">
        <f t="shared" si="516"/>
        <v>20.6</v>
      </c>
      <c r="X495">
        <f t="shared" si="517"/>
        <v>25.4</v>
      </c>
      <c r="Y495">
        <f t="shared" si="518"/>
        <v>16.7</v>
      </c>
      <c r="Z495">
        <f t="shared" si="519"/>
        <v>21.6</v>
      </c>
      <c r="BA495" t="s">
        <v>6</v>
      </c>
    </row>
    <row r="496" spans="1:53" x14ac:dyDescent="0.2">
      <c r="A496" s="1">
        <v>45433</v>
      </c>
      <c r="B496" s="2">
        <v>0.875</v>
      </c>
      <c r="C496" s="6">
        <v>45433.875</v>
      </c>
      <c r="D496">
        <v>62.9</v>
      </c>
      <c r="E496">
        <v>68.099999999999994</v>
      </c>
      <c r="F496">
        <v>55.3</v>
      </c>
      <c r="G496" t="s">
        <v>6</v>
      </c>
      <c r="H496">
        <v>19.899999999999999</v>
      </c>
      <c r="I496">
        <v>23.1</v>
      </c>
      <c r="J496">
        <v>14.4</v>
      </c>
      <c r="K496" t="s">
        <v>6</v>
      </c>
      <c r="L496">
        <v>220</v>
      </c>
      <c r="M496" t="s">
        <v>6</v>
      </c>
      <c r="O496" s="6">
        <f t="shared" si="510"/>
        <v>45433.875</v>
      </c>
      <c r="P496">
        <f t="shared" si="511"/>
        <v>62.9</v>
      </c>
      <c r="Q496">
        <f t="shared" si="512"/>
        <v>68.099999999999994</v>
      </c>
      <c r="R496">
        <f t="shared" si="513"/>
        <v>55.3</v>
      </c>
      <c r="S496">
        <f t="shared" si="514"/>
        <v>63.9</v>
      </c>
      <c r="V496" s="6">
        <f t="shared" si="515"/>
        <v>45433.875</v>
      </c>
      <c r="W496">
        <f t="shared" si="516"/>
        <v>19.899999999999999</v>
      </c>
      <c r="X496">
        <f t="shared" si="517"/>
        <v>23.1</v>
      </c>
      <c r="Y496">
        <f t="shared" si="518"/>
        <v>14.4</v>
      </c>
      <c r="Z496">
        <f t="shared" si="519"/>
        <v>20.9</v>
      </c>
      <c r="BA496" t="s">
        <v>6</v>
      </c>
    </row>
    <row r="497" spans="1:53" x14ac:dyDescent="0.2">
      <c r="A497" s="1">
        <v>45433</v>
      </c>
      <c r="B497" s="2">
        <v>0.91666666666666663</v>
      </c>
      <c r="C497" s="6">
        <v>45433.916666666664</v>
      </c>
      <c r="D497">
        <v>58.1</v>
      </c>
      <c r="E497">
        <v>61.8</v>
      </c>
      <c r="F497">
        <v>55</v>
      </c>
      <c r="G497" t="s">
        <v>6</v>
      </c>
      <c r="H497">
        <v>19.2</v>
      </c>
      <c r="I497">
        <v>23.6</v>
      </c>
      <c r="J497">
        <v>15</v>
      </c>
      <c r="K497" t="s">
        <v>6</v>
      </c>
      <c r="L497">
        <v>220</v>
      </c>
      <c r="M497" t="s">
        <v>6</v>
      </c>
      <c r="O497" s="6">
        <f t="shared" si="510"/>
        <v>45433.916666666664</v>
      </c>
      <c r="P497">
        <f t="shared" si="511"/>
        <v>58.1</v>
      </c>
      <c r="Q497">
        <f t="shared" si="512"/>
        <v>61.8</v>
      </c>
      <c r="R497">
        <f t="shared" si="513"/>
        <v>55</v>
      </c>
      <c r="S497">
        <f t="shared" si="514"/>
        <v>59.1</v>
      </c>
      <c r="V497" s="6">
        <f t="shared" si="515"/>
        <v>45433.916666666664</v>
      </c>
      <c r="W497">
        <f t="shared" si="516"/>
        <v>19.2</v>
      </c>
      <c r="X497">
        <f t="shared" si="517"/>
        <v>23.6</v>
      </c>
      <c r="Y497">
        <f t="shared" si="518"/>
        <v>15</v>
      </c>
      <c r="Z497">
        <f t="shared" si="519"/>
        <v>20.2</v>
      </c>
      <c r="BA497" t="s">
        <v>6</v>
      </c>
    </row>
    <row r="498" spans="1:53" x14ac:dyDescent="0.2">
      <c r="A498" s="1">
        <v>45433</v>
      </c>
      <c r="B498" s="2">
        <v>0.95833333333333337</v>
      </c>
      <c r="C498" s="6">
        <v>45433.958333333336</v>
      </c>
      <c r="D498">
        <v>57.1</v>
      </c>
      <c r="E498">
        <v>60.6</v>
      </c>
      <c r="F498">
        <v>54.8</v>
      </c>
      <c r="G498" t="s">
        <v>6</v>
      </c>
      <c r="H498">
        <v>18.7</v>
      </c>
      <c r="I498">
        <v>23.6</v>
      </c>
      <c r="J498">
        <v>16.100000000000001</v>
      </c>
      <c r="K498" t="s">
        <v>6</v>
      </c>
      <c r="L498">
        <v>219</v>
      </c>
      <c r="M498" t="s">
        <v>6</v>
      </c>
      <c r="O498" s="6">
        <f t="shared" si="510"/>
        <v>45433.958333333336</v>
      </c>
      <c r="P498">
        <f t="shared" si="511"/>
        <v>57.1</v>
      </c>
      <c r="Q498">
        <f t="shared" si="512"/>
        <v>60.6</v>
      </c>
      <c r="R498">
        <f t="shared" si="513"/>
        <v>54.8</v>
      </c>
      <c r="S498">
        <f t="shared" si="514"/>
        <v>58.1</v>
      </c>
      <c r="V498" s="6">
        <f t="shared" si="515"/>
        <v>45433.958333333336</v>
      </c>
      <c r="W498">
        <f t="shared" si="516"/>
        <v>18.7</v>
      </c>
      <c r="X498">
        <f t="shared" si="517"/>
        <v>23.6</v>
      </c>
      <c r="Y498">
        <f t="shared" si="518"/>
        <v>16.100000000000001</v>
      </c>
      <c r="Z498">
        <f t="shared" si="519"/>
        <v>19.7</v>
      </c>
      <c r="BA498" t="s">
        <v>6</v>
      </c>
    </row>
    <row r="499" spans="1:53" x14ac:dyDescent="0.2">
      <c r="A499" s="1">
        <v>45434</v>
      </c>
      <c r="B499" s="2">
        <v>0</v>
      </c>
      <c r="C499" s="6">
        <v>45434</v>
      </c>
      <c r="D499">
        <v>56.8</v>
      </c>
      <c r="E499">
        <v>60.4</v>
      </c>
      <c r="F499">
        <v>50.4</v>
      </c>
      <c r="G499" t="s">
        <v>6</v>
      </c>
      <c r="H499">
        <v>20</v>
      </c>
      <c r="I499">
        <v>32.799999999999997</v>
      </c>
      <c r="J499">
        <v>16</v>
      </c>
      <c r="K499" t="s">
        <v>6</v>
      </c>
      <c r="L499">
        <v>216</v>
      </c>
      <c r="M499" t="s">
        <v>6</v>
      </c>
      <c r="O499" s="6">
        <f t="shared" si="510"/>
        <v>45434</v>
      </c>
      <c r="P499">
        <f t="shared" si="511"/>
        <v>56.8</v>
      </c>
      <c r="Q499">
        <f t="shared" si="512"/>
        <v>60.4</v>
      </c>
      <c r="R499">
        <f t="shared" si="513"/>
        <v>50.4</v>
      </c>
      <c r="S499">
        <f t="shared" si="514"/>
        <v>57.8</v>
      </c>
      <c r="V499" s="6">
        <f t="shared" si="515"/>
        <v>45434</v>
      </c>
      <c r="W499">
        <f t="shared" si="516"/>
        <v>20</v>
      </c>
      <c r="X499">
        <f t="shared" si="517"/>
        <v>32.799999999999997</v>
      </c>
      <c r="Y499">
        <f t="shared" si="518"/>
        <v>16</v>
      </c>
      <c r="Z499">
        <f t="shared" si="519"/>
        <v>21</v>
      </c>
      <c r="BA499" t="s">
        <v>6</v>
      </c>
    </row>
    <row r="500" spans="1:53" x14ac:dyDescent="0.2">
      <c r="A500" s="1">
        <v>45434</v>
      </c>
      <c r="B500" s="2">
        <v>4.1666666666666664E-2</v>
      </c>
      <c r="C500" s="6">
        <v>45434.041666666664</v>
      </c>
      <c r="D500">
        <v>58.7</v>
      </c>
      <c r="E500">
        <v>67.400000000000006</v>
      </c>
      <c r="F500">
        <v>54.1</v>
      </c>
      <c r="G500" t="s">
        <v>6</v>
      </c>
      <c r="H500">
        <v>20.2</v>
      </c>
      <c r="I500">
        <v>25.7</v>
      </c>
      <c r="J500">
        <v>16.5</v>
      </c>
      <c r="K500" t="s">
        <v>6</v>
      </c>
      <c r="L500">
        <v>217</v>
      </c>
      <c r="M500" t="s">
        <v>6</v>
      </c>
      <c r="O500" s="6">
        <f t="shared" si="510"/>
        <v>45434.041666666664</v>
      </c>
      <c r="P500">
        <f t="shared" si="511"/>
        <v>58.7</v>
      </c>
      <c r="Q500">
        <f t="shared" si="512"/>
        <v>67.400000000000006</v>
      </c>
      <c r="R500">
        <f t="shared" si="513"/>
        <v>54.1</v>
      </c>
      <c r="S500">
        <f t="shared" si="514"/>
        <v>59.7</v>
      </c>
      <c r="V500" s="6">
        <f t="shared" si="515"/>
        <v>45434.041666666664</v>
      </c>
      <c r="W500">
        <f t="shared" si="516"/>
        <v>20.2</v>
      </c>
      <c r="X500">
        <f t="shared" si="517"/>
        <v>25.7</v>
      </c>
      <c r="Y500">
        <f t="shared" si="518"/>
        <v>16.5</v>
      </c>
      <c r="Z500">
        <f t="shared" si="519"/>
        <v>21.2</v>
      </c>
      <c r="BA500" t="s">
        <v>6</v>
      </c>
    </row>
    <row r="501" spans="1:53" x14ac:dyDescent="0.2">
      <c r="A501" s="1">
        <v>45434</v>
      </c>
      <c r="B501" s="2">
        <v>8.3333333333333329E-2</v>
      </c>
      <c r="C501" s="6">
        <v>45434.083333333336</v>
      </c>
      <c r="D501">
        <v>61</v>
      </c>
      <c r="E501">
        <v>65.7</v>
      </c>
      <c r="F501">
        <v>56.8</v>
      </c>
      <c r="G501" t="s">
        <v>6</v>
      </c>
      <c r="H501">
        <v>18.100000000000001</v>
      </c>
      <c r="I501">
        <v>22.3</v>
      </c>
      <c r="J501">
        <v>15.1</v>
      </c>
      <c r="K501" t="s">
        <v>6</v>
      </c>
      <c r="L501">
        <v>218</v>
      </c>
      <c r="M501" t="s">
        <v>6</v>
      </c>
      <c r="O501" s="6">
        <f t="shared" si="510"/>
        <v>45434.083333333336</v>
      </c>
      <c r="P501">
        <f t="shared" si="511"/>
        <v>61</v>
      </c>
      <c r="Q501">
        <f t="shared" si="512"/>
        <v>65.7</v>
      </c>
      <c r="R501">
        <f t="shared" si="513"/>
        <v>56.8</v>
      </c>
      <c r="S501">
        <f t="shared" si="514"/>
        <v>62</v>
      </c>
      <c r="V501" s="6">
        <f t="shared" si="515"/>
        <v>45434.083333333336</v>
      </c>
      <c r="W501">
        <f t="shared" si="516"/>
        <v>18.100000000000001</v>
      </c>
      <c r="X501">
        <f t="shared" si="517"/>
        <v>22.3</v>
      </c>
      <c r="Y501">
        <f t="shared" si="518"/>
        <v>15.1</v>
      </c>
      <c r="Z501">
        <f t="shared" si="519"/>
        <v>19.100000000000001</v>
      </c>
      <c r="BA501" t="s">
        <v>6</v>
      </c>
    </row>
    <row r="502" spans="1:53" x14ac:dyDescent="0.2">
      <c r="A502" s="1">
        <v>45434</v>
      </c>
      <c r="B502" s="2">
        <v>0.125</v>
      </c>
      <c r="C502" s="6">
        <v>45434.125</v>
      </c>
      <c r="D502">
        <v>60.2</v>
      </c>
      <c r="E502">
        <v>65.400000000000006</v>
      </c>
      <c r="F502">
        <v>56</v>
      </c>
      <c r="G502" t="s">
        <v>6</v>
      </c>
      <c r="H502">
        <v>18.5</v>
      </c>
      <c r="I502">
        <v>23.6</v>
      </c>
      <c r="J502">
        <v>15.8</v>
      </c>
      <c r="K502" t="s">
        <v>6</v>
      </c>
      <c r="L502">
        <v>223</v>
      </c>
      <c r="M502" t="s">
        <v>6</v>
      </c>
      <c r="O502" s="6">
        <f t="shared" si="510"/>
        <v>45434.125</v>
      </c>
      <c r="P502">
        <f t="shared" si="511"/>
        <v>60.2</v>
      </c>
      <c r="Q502">
        <f t="shared" si="512"/>
        <v>65.400000000000006</v>
      </c>
      <c r="R502">
        <f t="shared" si="513"/>
        <v>56</v>
      </c>
      <c r="S502">
        <f t="shared" si="514"/>
        <v>61.2</v>
      </c>
      <c r="V502" s="6">
        <f t="shared" si="515"/>
        <v>45434.125</v>
      </c>
      <c r="W502">
        <f t="shared" si="516"/>
        <v>18.5</v>
      </c>
      <c r="X502">
        <f t="shared" si="517"/>
        <v>23.6</v>
      </c>
      <c r="Y502">
        <f t="shared" si="518"/>
        <v>15.8</v>
      </c>
      <c r="Z502">
        <f t="shared" si="519"/>
        <v>19.5</v>
      </c>
      <c r="BA502" t="s">
        <v>6</v>
      </c>
    </row>
    <row r="503" spans="1:53" x14ac:dyDescent="0.2">
      <c r="A503" s="1">
        <v>45434</v>
      </c>
      <c r="B503" s="2">
        <v>0.16666666666666666</v>
      </c>
      <c r="C503" s="6">
        <v>45434.166666666664</v>
      </c>
      <c r="D503">
        <v>58.8</v>
      </c>
      <c r="E503">
        <v>65.2</v>
      </c>
      <c r="F503">
        <v>54</v>
      </c>
      <c r="G503" t="s">
        <v>6</v>
      </c>
      <c r="H503">
        <v>17.5</v>
      </c>
      <c r="I503">
        <v>22.6</v>
      </c>
      <c r="J503">
        <v>13.8</v>
      </c>
      <c r="K503" t="s">
        <v>6</v>
      </c>
      <c r="L503">
        <v>226</v>
      </c>
      <c r="M503" t="s">
        <v>6</v>
      </c>
      <c r="O503" s="6">
        <f t="shared" si="510"/>
        <v>45434.166666666664</v>
      </c>
      <c r="P503">
        <f t="shared" si="511"/>
        <v>58.8</v>
      </c>
      <c r="Q503">
        <f t="shared" si="512"/>
        <v>65.2</v>
      </c>
      <c r="R503">
        <f t="shared" si="513"/>
        <v>54</v>
      </c>
      <c r="S503">
        <f t="shared" si="514"/>
        <v>59.8</v>
      </c>
      <c r="V503" s="6">
        <f t="shared" si="515"/>
        <v>45434.166666666664</v>
      </c>
      <c r="W503">
        <f t="shared" si="516"/>
        <v>17.5</v>
      </c>
      <c r="X503">
        <f t="shared" si="517"/>
        <v>22.6</v>
      </c>
      <c r="Y503">
        <f t="shared" si="518"/>
        <v>13.8</v>
      </c>
      <c r="Z503">
        <f t="shared" si="519"/>
        <v>18.5</v>
      </c>
      <c r="BA503" t="s">
        <v>6</v>
      </c>
    </row>
    <row r="504" spans="1:53" x14ac:dyDescent="0.2">
      <c r="A504" s="1">
        <v>45434</v>
      </c>
      <c r="B504" s="2">
        <v>0.20833333333333334</v>
      </c>
      <c r="C504" s="6">
        <v>45434.208333333336</v>
      </c>
      <c r="D504">
        <v>57.7</v>
      </c>
      <c r="E504">
        <v>63</v>
      </c>
      <c r="F504">
        <v>52.1</v>
      </c>
      <c r="G504" t="s">
        <v>6</v>
      </c>
      <c r="H504">
        <v>17.7</v>
      </c>
      <c r="I504">
        <v>22.5</v>
      </c>
      <c r="J504">
        <v>15</v>
      </c>
      <c r="K504" t="s">
        <v>6</v>
      </c>
      <c r="L504">
        <v>221</v>
      </c>
      <c r="M504" t="s">
        <v>6</v>
      </c>
      <c r="O504" s="6">
        <f t="shared" si="510"/>
        <v>45434.208333333336</v>
      </c>
      <c r="P504">
        <f t="shared" si="511"/>
        <v>57.7</v>
      </c>
      <c r="Q504">
        <f t="shared" si="512"/>
        <v>63</v>
      </c>
      <c r="R504">
        <f t="shared" si="513"/>
        <v>52.1</v>
      </c>
      <c r="S504">
        <f t="shared" si="514"/>
        <v>58.7</v>
      </c>
      <c r="V504" s="6">
        <f t="shared" si="515"/>
        <v>45434.208333333336</v>
      </c>
      <c r="W504">
        <f t="shared" si="516"/>
        <v>17.7</v>
      </c>
      <c r="X504">
        <f t="shared" si="517"/>
        <v>22.5</v>
      </c>
      <c r="Y504">
        <f t="shared" si="518"/>
        <v>15</v>
      </c>
      <c r="Z504">
        <f t="shared" si="519"/>
        <v>18.7</v>
      </c>
      <c r="BA504" t="s">
        <v>6</v>
      </c>
    </row>
    <row r="505" spans="1:53" x14ac:dyDescent="0.2">
      <c r="A505" s="1">
        <v>45434</v>
      </c>
      <c r="B505" s="2">
        <v>0.25</v>
      </c>
      <c r="C505" s="6">
        <v>45434.25</v>
      </c>
      <c r="D505">
        <v>57.5</v>
      </c>
      <c r="E505">
        <v>61.6</v>
      </c>
      <c r="F505">
        <v>50.9</v>
      </c>
      <c r="G505" t="s">
        <v>6</v>
      </c>
      <c r="H505">
        <v>18.8</v>
      </c>
      <c r="I505">
        <v>25.1</v>
      </c>
      <c r="J505">
        <v>16.2</v>
      </c>
      <c r="K505" t="s">
        <v>6</v>
      </c>
      <c r="L505">
        <v>211</v>
      </c>
      <c r="M505" t="s">
        <v>6</v>
      </c>
      <c r="O505" s="6">
        <f t="shared" si="510"/>
        <v>45434.25</v>
      </c>
      <c r="P505">
        <f t="shared" si="511"/>
        <v>57.5</v>
      </c>
      <c r="Q505">
        <f t="shared" si="512"/>
        <v>61.6</v>
      </c>
      <c r="R505">
        <f t="shared" si="513"/>
        <v>50.9</v>
      </c>
      <c r="S505">
        <f t="shared" si="514"/>
        <v>58.5</v>
      </c>
      <c r="V505" s="6">
        <f t="shared" si="515"/>
        <v>45434.25</v>
      </c>
      <c r="W505">
        <f t="shared" si="516"/>
        <v>18.8</v>
      </c>
      <c r="X505">
        <f t="shared" si="517"/>
        <v>25.1</v>
      </c>
      <c r="Y505">
        <f t="shared" si="518"/>
        <v>16.2</v>
      </c>
      <c r="Z505">
        <f t="shared" si="519"/>
        <v>19.8</v>
      </c>
      <c r="BA505" t="s">
        <v>6</v>
      </c>
    </row>
    <row r="506" spans="1:53" x14ac:dyDescent="0.2">
      <c r="A506" s="1">
        <v>45434</v>
      </c>
      <c r="B506" s="2">
        <v>0.29166666666666669</v>
      </c>
      <c r="C506" s="6">
        <v>45434.291666666664</v>
      </c>
      <c r="D506">
        <v>60.6</v>
      </c>
      <c r="E506">
        <v>74.400000000000006</v>
      </c>
      <c r="F506">
        <v>55.1</v>
      </c>
      <c r="G506" t="s">
        <v>6</v>
      </c>
      <c r="H506">
        <v>18.600000000000001</v>
      </c>
      <c r="I506">
        <v>21.5</v>
      </c>
      <c r="J506">
        <v>14.8</v>
      </c>
      <c r="K506" t="s">
        <v>6</v>
      </c>
      <c r="L506">
        <v>180</v>
      </c>
      <c r="M506" t="s">
        <v>6</v>
      </c>
      <c r="O506" s="6">
        <f t="shared" si="510"/>
        <v>45434.291666666664</v>
      </c>
      <c r="P506">
        <f t="shared" si="511"/>
        <v>60.6</v>
      </c>
      <c r="Q506">
        <f t="shared" si="512"/>
        <v>74.400000000000006</v>
      </c>
      <c r="R506">
        <f t="shared" si="513"/>
        <v>55.1</v>
      </c>
      <c r="S506">
        <f t="shared" si="514"/>
        <v>61.6</v>
      </c>
      <c r="V506" s="6">
        <f t="shared" si="515"/>
        <v>45434.291666666664</v>
      </c>
      <c r="W506">
        <f t="shared" si="516"/>
        <v>18.600000000000001</v>
      </c>
      <c r="X506">
        <f t="shared" si="517"/>
        <v>21.5</v>
      </c>
      <c r="Y506">
        <f t="shared" si="518"/>
        <v>14.8</v>
      </c>
      <c r="Z506">
        <f t="shared" si="519"/>
        <v>19.600000000000001</v>
      </c>
      <c r="BA506" t="s">
        <v>6</v>
      </c>
    </row>
    <row r="507" spans="1:53" x14ac:dyDescent="0.2">
      <c r="A507" s="14">
        <v>45434</v>
      </c>
      <c r="B507" s="7">
        <v>0.33333333333333331</v>
      </c>
      <c r="C507" s="8">
        <v>45434.333333333336</v>
      </c>
      <c r="D507" s="9">
        <v>64.5</v>
      </c>
      <c r="E507" s="9">
        <v>74.900000000000006</v>
      </c>
      <c r="F507" s="9">
        <v>58.2</v>
      </c>
      <c r="G507" s="9" t="s">
        <v>6</v>
      </c>
      <c r="H507" s="9">
        <v>17.7</v>
      </c>
      <c r="I507" s="9">
        <v>20.7</v>
      </c>
      <c r="J507" s="9">
        <v>15.2</v>
      </c>
      <c r="K507" s="9" t="s">
        <v>6</v>
      </c>
      <c r="L507" s="9">
        <v>227</v>
      </c>
      <c r="M507" t="s">
        <v>6</v>
      </c>
      <c r="O507" s="6">
        <f t="shared" si="510"/>
        <v>45434.333333333336</v>
      </c>
      <c r="P507">
        <f t="shared" si="511"/>
        <v>64.5</v>
      </c>
      <c r="Q507">
        <f t="shared" si="512"/>
        <v>74.900000000000006</v>
      </c>
      <c r="R507">
        <f t="shared" si="513"/>
        <v>58.2</v>
      </c>
      <c r="S507">
        <f t="shared" si="514"/>
        <v>65.5</v>
      </c>
      <c r="V507" s="6">
        <f t="shared" si="515"/>
        <v>45434.333333333336</v>
      </c>
      <c r="W507">
        <f t="shared" si="516"/>
        <v>17.7</v>
      </c>
      <c r="X507">
        <f t="shared" si="517"/>
        <v>20.7</v>
      </c>
      <c r="Y507">
        <f t="shared" si="518"/>
        <v>15.2</v>
      </c>
      <c r="Z507">
        <f t="shared" si="519"/>
        <v>18.7</v>
      </c>
      <c r="BA507" t="s">
        <v>6</v>
      </c>
    </row>
    <row r="508" spans="1:53" x14ac:dyDescent="0.2">
      <c r="A508" s="13">
        <v>45434</v>
      </c>
      <c r="B508" s="3">
        <v>0.375</v>
      </c>
      <c r="C508" s="4">
        <v>45434.375</v>
      </c>
      <c r="D508" s="5">
        <v>58.6</v>
      </c>
      <c r="E508" s="5">
        <v>63.8</v>
      </c>
      <c r="F508" s="5">
        <v>54.8</v>
      </c>
      <c r="G508" s="5" t="s">
        <v>6</v>
      </c>
      <c r="H508" s="5">
        <v>18.100000000000001</v>
      </c>
      <c r="I508" s="5">
        <v>24</v>
      </c>
      <c r="J508" s="5">
        <v>13.8</v>
      </c>
      <c r="K508" s="5" t="s">
        <v>6</v>
      </c>
      <c r="L508" s="5">
        <v>220</v>
      </c>
      <c r="M508" t="s">
        <v>6</v>
      </c>
      <c r="O508" s="6">
        <f t="shared" si="510"/>
        <v>45434.375</v>
      </c>
      <c r="P508">
        <f t="shared" si="511"/>
        <v>58.6</v>
      </c>
      <c r="Q508">
        <f t="shared" si="512"/>
        <v>63.8</v>
      </c>
      <c r="R508">
        <f t="shared" si="513"/>
        <v>54.8</v>
      </c>
      <c r="S508">
        <f t="shared" si="514"/>
        <v>59.6</v>
      </c>
      <c r="V508" s="6">
        <f t="shared" si="515"/>
        <v>45434.375</v>
      </c>
      <c r="W508">
        <f t="shared" si="516"/>
        <v>18.100000000000001</v>
      </c>
      <c r="X508">
        <f t="shared" si="517"/>
        <v>24</v>
      </c>
      <c r="Y508">
        <f t="shared" si="518"/>
        <v>13.8</v>
      </c>
      <c r="Z508">
        <f t="shared" si="519"/>
        <v>19.100000000000001</v>
      </c>
      <c r="BA508" t="s">
        <v>6</v>
      </c>
    </row>
    <row r="509" spans="1:53" x14ac:dyDescent="0.2">
      <c r="A509" s="1">
        <v>45434</v>
      </c>
      <c r="B509" s="2">
        <v>0.41666666666666669</v>
      </c>
      <c r="C509" s="6">
        <v>45434.416666666664</v>
      </c>
      <c r="D509">
        <v>56.1</v>
      </c>
      <c r="E509">
        <v>59.4</v>
      </c>
      <c r="F509">
        <v>53.5</v>
      </c>
      <c r="G509" t="s">
        <v>6</v>
      </c>
      <c r="H509">
        <v>20.2</v>
      </c>
      <c r="I509">
        <v>23.7</v>
      </c>
      <c r="J509">
        <v>16.5</v>
      </c>
      <c r="K509" t="s">
        <v>6</v>
      </c>
      <c r="L509">
        <v>166</v>
      </c>
      <c r="M509" t="s">
        <v>6</v>
      </c>
      <c r="O509" s="6">
        <f t="shared" si="510"/>
        <v>45434.416666666664</v>
      </c>
      <c r="P509">
        <f t="shared" si="511"/>
        <v>56.1</v>
      </c>
      <c r="Q509">
        <f t="shared" si="512"/>
        <v>59.4</v>
      </c>
      <c r="R509">
        <f t="shared" si="513"/>
        <v>53.5</v>
      </c>
      <c r="S509">
        <f t="shared" si="514"/>
        <v>57.1</v>
      </c>
      <c r="V509" s="6">
        <f t="shared" si="515"/>
        <v>45434.416666666664</v>
      </c>
      <c r="W509">
        <f t="shared" si="516"/>
        <v>20.2</v>
      </c>
      <c r="X509">
        <f t="shared" si="517"/>
        <v>23.7</v>
      </c>
      <c r="Y509">
        <f t="shared" si="518"/>
        <v>16.5</v>
      </c>
      <c r="Z509">
        <f t="shared" si="519"/>
        <v>21.2</v>
      </c>
      <c r="BA509" t="s">
        <v>6</v>
      </c>
    </row>
    <row r="510" spans="1:53" x14ac:dyDescent="0.2">
      <c r="A510" s="1">
        <v>45434</v>
      </c>
      <c r="B510" s="2">
        <v>0.45833333333333331</v>
      </c>
      <c r="C510" s="6">
        <v>45434.458333333336</v>
      </c>
      <c r="D510">
        <v>55.8</v>
      </c>
      <c r="E510">
        <v>59.6</v>
      </c>
      <c r="F510">
        <v>53</v>
      </c>
      <c r="G510" t="s">
        <v>6</v>
      </c>
      <c r="H510">
        <v>19</v>
      </c>
      <c r="I510">
        <v>23.1</v>
      </c>
      <c r="J510">
        <v>15.6</v>
      </c>
      <c r="K510" t="s">
        <v>6</v>
      </c>
      <c r="L510">
        <v>218</v>
      </c>
      <c r="M510" t="s">
        <v>6</v>
      </c>
      <c r="O510" s="6">
        <f t="shared" si="510"/>
        <v>45434.458333333336</v>
      </c>
      <c r="P510">
        <f t="shared" si="511"/>
        <v>55.8</v>
      </c>
      <c r="Q510">
        <f t="shared" si="512"/>
        <v>59.6</v>
      </c>
      <c r="R510">
        <f t="shared" si="513"/>
        <v>53</v>
      </c>
      <c r="S510">
        <f t="shared" si="514"/>
        <v>56.8</v>
      </c>
      <c r="V510" s="6">
        <f t="shared" si="515"/>
        <v>45434.458333333336</v>
      </c>
      <c r="W510">
        <f t="shared" si="516"/>
        <v>19</v>
      </c>
      <c r="X510">
        <f t="shared" si="517"/>
        <v>23.1</v>
      </c>
      <c r="Y510">
        <f t="shared" si="518"/>
        <v>15.6</v>
      </c>
      <c r="Z510">
        <f t="shared" si="519"/>
        <v>20</v>
      </c>
      <c r="BA510" t="s">
        <v>6</v>
      </c>
    </row>
    <row r="511" spans="1:53" x14ac:dyDescent="0.2">
      <c r="A511" s="1">
        <v>45434</v>
      </c>
      <c r="B511" s="2">
        <v>0.5</v>
      </c>
      <c r="C511" s="6">
        <v>45434.5</v>
      </c>
      <c r="D511">
        <v>54.6</v>
      </c>
      <c r="E511">
        <v>59</v>
      </c>
      <c r="F511">
        <v>50.7</v>
      </c>
      <c r="G511" t="s">
        <v>6</v>
      </c>
      <c r="H511">
        <v>19.600000000000001</v>
      </c>
      <c r="I511">
        <v>23.1</v>
      </c>
      <c r="J511">
        <v>15</v>
      </c>
      <c r="K511" t="s">
        <v>6</v>
      </c>
      <c r="L511">
        <v>189</v>
      </c>
      <c r="M511" t="s">
        <v>6</v>
      </c>
      <c r="O511" s="6">
        <f t="shared" si="510"/>
        <v>45434.5</v>
      </c>
      <c r="P511">
        <f t="shared" si="511"/>
        <v>54.6</v>
      </c>
      <c r="Q511">
        <f t="shared" si="512"/>
        <v>59</v>
      </c>
      <c r="R511">
        <f t="shared" si="513"/>
        <v>50.7</v>
      </c>
      <c r="S511">
        <f t="shared" si="514"/>
        <v>55.6</v>
      </c>
      <c r="V511" s="6">
        <f t="shared" si="515"/>
        <v>45434.5</v>
      </c>
      <c r="W511">
        <f t="shared" si="516"/>
        <v>19.600000000000001</v>
      </c>
      <c r="X511">
        <f t="shared" si="517"/>
        <v>23.1</v>
      </c>
      <c r="Y511">
        <f t="shared" si="518"/>
        <v>15</v>
      </c>
      <c r="Z511">
        <f t="shared" si="519"/>
        <v>20.6</v>
      </c>
      <c r="BA511" t="s">
        <v>6</v>
      </c>
    </row>
    <row r="512" spans="1:53" x14ac:dyDescent="0.2">
      <c r="A512" s="1">
        <v>45434</v>
      </c>
      <c r="B512" s="2">
        <v>0.54166666666666663</v>
      </c>
      <c r="C512" s="6">
        <v>45434.541666666664</v>
      </c>
      <c r="D512">
        <v>58.4</v>
      </c>
      <c r="E512">
        <v>63.4</v>
      </c>
      <c r="F512">
        <v>53.7</v>
      </c>
      <c r="G512" t="s">
        <v>6</v>
      </c>
      <c r="H512">
        <v>19.100000000000001</v>
      </c>
      <c r="I512">
        <v>22.7</v>
      </c>
      <c r="J512">
        <v>16.399999999999999</v>
      </c>
      <c r="K512" t="s">
        <v>6</v>
      </c>
      <c r="L512">
        <v>156</v>
      </c>
      <c r="M512" t="s">
        <v>6</v>
      </c>
      <c r="O512" s="6">
        <f t="shared" ref="O512:O575" si="520">C512</f>
        <v>45434.541666666664</v>
      </c>
      <c r="P512">
        <f t="shared" ref="P512:P575" si="521">D512</f>
        <v>58.4</v>
      </c>
      <c r="Q512">
        <f t="shared" ref="Q512:Q575" si="522">E512</f>
        <v>63.4</v>
      </c>
      <c r="R512">
        <f t="shared" ref="R512:R575" si="523">F512</f>
        <v>53.7</v>
      </c>
      <c r="S512">
        <f t="shared" ref="S512:S575" si="524">P512+1</f>
        <v>59.4</v>
      </c>
      <c r="V512" s="6">
        <f t="shared" ref="V512:V575" si="525">O512</f>
        <v>45434.541666666664</v>
      </c>
      <c r="W512">
        <f t="shared" ref="W512:W575" si="526">H512</f>
        <v>19.100000000000001</v>
      </c>
      <c r="X512">
        <f t="shared" ref="X512:X575" si="527">I512</f>
        <v>22.7</v>
      </c>
      <c r="Y512">
        <f t="shared" ref="Y512:Y575" si="528">J512</f>
        <v>16.399999999999999</v>
      </c>
      <c r="Z512">
        <f t="shared" ref="Z512:Z575" si="529">W512+1</f>
        <v>20.100000000000001</v>
      </c>
      <c r="BA512" t="s">
        <v>6</v>
      </c>
    </row>
    <row r="513" spans="1:53" x14ac:dyDescent="0.2">
      <c r="A513" s="1">
        <v>45434</v>
      </c>
      <c r="B513" s="2">
        <v>0.58333333333333337</v>
      </c>
      <c r="C513" s="6">
        <v>45434.583333333336</v>
      </c>
      <c r="D513">
        <v>50.9</v>
      </c>
      <c r="E513">
        <v>55.9</v>
      </c>
      <c r="F513">
        <v>48.6</v>
      </c>
      <c r="G513" t="s">
        <v>6</v>
      </c>
      <c r="H513">
        <v>21.5</v>
      </c>
      <c r="I513">
        <v>27.3</v>
      </c>
      <c r="J513">
        <v>17</v>
      </c>
      <c r="K513" t="s">
        <v>6</v>
      </c>
      <c r="L513">
        <v>149</v>
      </c>
      <c r="M513" t="s">
        <v>6</v>
      </c>
      <c r="O513" s="6">
        <f t="shared" si="520"/>
        <v>45434.583333333336</v>
      </c>
      <c r="P513">
        <f t="shared" si="521"/>
        <v>50.9</v>
      </c>
      <c r="Q513">
        <f t="shared" si="522"/>
        <v>55.9</v>
      </c>
      <c r="R513">
        <f t="shared" si="523"/>
        <v>48.6</v>
      </c>
      <c r="S513">
        <f t="shared" si="524"/>
        <v>51.9</v>
      </c>
      <c r="V513" s="6">
        <f t="shared" si="525"/>
        <v>45434.583333333336</v>
      </c>
      <c r="W513">
        <f t="shared" si="526"/>
        <v>21.5</v>
      </c>
      <c r="X513">
        <f t="shared" si="527"/>
        <v>27.3</v>
      </c>
      <c r="Y513">
        <f t="shared" si="528"/>
        <v>17</v>
      </c>
      <c r="Z513">
        <f t="shared" si="529"/>
        <v>22.5</v>
      </c>
      <c r="BA513" t="s">
        <v>6</v>
      </c>
    </row>
    <row r="514" spans="1:53" x14ac:dyDescent="0.2">
      <c r="A514" s="1">
        <v>45434</v>
      </c>
      <c r="B514" s="2">
        <v>0.625</v>
      </c>
      <c r="C514" s="6">
        <v>45434.625</v>
      </c>
      <c r="D514">
        <v>54.1</v>
      </c>
      <c r="E514">
        <v>62.4</v>
      </c>
      <c r="F514">
        <v>48.6</v>
      </c>
      <c r="G514" t="s">
        <v>6</v>
      </c>
      <c r="H514">
        <v>18.600000000000001</v>
      </c>
      <c r="I514">
        <v>22</v>
      </c>
      <c r="J514">
        <v>12.5</v>
      </c>
      <c r="K514" t="s">
        <v>6</v>
      </c>
      <c r="L514">
        <v>199</v>
      </c>
      <c r="M514" t="s">
        <v>6</v>
      </c>
      <c r="O514" s="6">
        <f t="shared" si="520"/>
        <v>45434.625</v>
      </c>
      <c r="P514">
        <f t="shared" si="521"/>
        <v>54.1</v>
      </c>
      <c r="Q514">
        <f t="shared" si="522"/>
        <v>62.4</v>
      </c>
      <c r="R514">
        <f t="shared" si="523"/>
        <v>48.6</v>
      </c>
      <c r="S514">
        <f t="shared" si="524"/>
        <v>55.1</v>
      </c>
      <c r="V514" s="6">
        <f t="shared" si="525"/>
        <v>45434.625</v>
      </c>
      <c r="W514">
        <f t="shared" si="526"/>
        <v>18.600000000000001</v>
      </c>
      <c r="X514">
        <f t="shared" si="527"/>
        <v>22</v>
      </c>
      <c r="Y514">
        <f t="shared" si="528"/>
        <v>12.5</v>
      </c>
      <c r="Z514">
        <f t="shared" si="529"/>
        <v>19.600000000000001</v>
      </c>
      <c r="BA514" t="s">
        <v>6</v>
      </c>
    </row>
    <row r="515" spans="1:53" x14ac:dyDescent="0.2">
      <c r="A515" s="1">
        <v>45434</v>
      </c>
      <c r="B515" s="2">
        <v>0.66666666666666663</v>
      </c>
      <c r="C515" s="6">
        <v>45434.666666666664</v>
      </c>
      <c r="D515">
        <v>57.1</v>
      </c>
      <c r="E515">
        <v>61.9</v>
      </c>
      <c r="F515">
        <v>54.1</v>
      </c>
      <c r="G515" t="s">
        <v>6</v>
      </c>
      <c r="H515">
        <v>18.7</v>
      </c>
      <c r="I515">
        <v>22.5</v>
      </c>
      <c r="J515">
        <v>14.4</v>
      </c>
      <c r="K515" t="s">
        <v>6</v>
      </c>
      <c r="L515">
        <v>208</v>
      </c>
      <c r="M515" t="s">
        <v>6</v>
      </c>
      <c r="O515" s="6">
        <f t="shared" si="520"/>
        <v>45434.666666666664</v>
      </c>
      <c r="P515">
        <f t="shared" si="521"/>
        <v>57.1</v>
      </c>
      <c r="Q515">
        <f t="shared" si="522"/>
        <v>61.9</v>
      </c>
      <c r="R515">
        <f t="shared" si="523"/>
        <v>54.1</v>
      </c>
      <c r="S515">
        <f t="shared" si="524"/>
        <v>58.1</v>
      </c>
      <c r="V515" s="6">
        <f t="shared" si="525"/>
        <v>45434.666666666664</v>
      </c>
      <c r="W515">
        <f t="shared" si="526"/>
        <v>18.7</v>
      </c>
      <c r="X515">
        <f t="shared" si="527"/>
        <v>22.5</v>
      </c>
      <c r="Y515">
        <f t="shared" si="528"/>
        <v>14.4</v>
      </c>
      <c r="Z515">
        <f t="shared" si="529"/>
        <v>19.7</v>
      </c>
      <c r="BA515" t="s">
        <v>6</v>
      </c>
    </row>
    <row r="516" spans="1:53" x14ac:dyDescent="0.2">
      <c r="A516" s="1">
        <v>45434</v>
      </c>
      <c r="B516" s="2">
        <v>0.70833333333333337</v>
      </c>
      <c r="C516" s="6">
        <v>45434.708333333336</v>
      </c>
      <c r="D516">
        <v>58.8</v>
      </c>
      <c r="E516">
        <v>63.5</v>
      </c>
      <c r="F516">
        <v>54.7</v>
      </c>
      <c r="G516" t="s">
        <v>6</v>
      </c>
      <c r="H516">
        <v>19.600000000000001</v>
      </c>
      <c r="I516">
        <v>21.8</v>
      </c>
      <c r="J516">
        <v>17.100000000000001</v>
      </c>
      <c r="K516" t="s">
        <v>6</v>
      </c>
      <c r="L516">
        <v>204</v>
      </c>
      <c r="M516" t="s">
        <v>6</v>
      </c>
      <c r="O516" s="6">
        <f t="shared" si="520"/>
        <v>45434.708333333336</v>
      </c>
      <c r="P516">
        <f t="shared" si="521"/>
        <v>58.8</v>
      </c>
      <c r="Q516">
        <f t="shared" si="522"/>
        <v>63.5</v>
      </c>
      <c r="R516">
        <f t="shared" si="523"/>
        <v>54.7</v>
      </c>
      <c r="S516">
        <f t="shared" si="524"/>
        <v>59.8</v>
      </c>
      <c r="V516" s="6">
        <f t="shared" si="525"/>
        <v>45434.708333333336</v>
      </c>
      <c r="W516">
        <f t="shared" si="526"/>
        <v>19.600000000000001</v>
      </c>
      <c r="X516">
        <f t="shared" si="527"/>
        <v>21.8</v>
      </c>
      <c r="Y516">
        <f t="shared" si="528"/>
        <v>17.100000000000001</v>
      </c>
      <c r="Z516">
        <f t="shared" si="529"/>
        <v>20.6</v>
      </c>
      <c r="BA516" t="s">
        <v>6</v>
      </c>
    </row>
    <row r="517" spans="1:53" x14ac:dyDescent="0.2">
      <c r="A517" s="1">
        <v>45434</v>
      </c>
      <c r="B517" s="2">
        <v>0.75</v>
      </c>
      <c r="C517" s="6">
        <v>45434.75</v>
      </c>
      <c r="D517">
        <v>52.6</v>
      </c>
      <c r="E517">
        <v>59.8</v>
      </c>
      <c r="F517">
        <v>49.2</v>
      </c>
      <c r="G517" t="s">
        <v>6</v>
      </c>
      <c r="H517">
        <v>21.2</v>
      </c>
      <c r="I517">
        <v>24.7</v>
      </c>
      <c r="J517">
        <v>15.3</v>
      </c>
      <c r="K517" t="s">
        <v>6</v>
      </c>
      <c r="L517">
        <v>173</v>
      </c>
      <c r="M517" t="s">
        <v>6</v>
      </c>
      <c r="O517" s="6">
        <f t="shared" si="520"/>
        <v>45434.75</v>
      </c>
      <c r="P517">
        <f t="shared" si="521"/>
        <v>52.6</v>
      </c>
      <c r="Q517">
        <f t="shared" si="522"/>
        <v>59.8</v>
      </c>
      <c r="R517">
        <f t="shared" si="523"/>
        <v>49.2</v>
      </c>
      <c r="S517">
        <f t="shared" si="524"/>
        <v>53.6</v>
      </c>
      <c r="V517" s="6">
        <f t="shared" si="525"/>
        <v>45434.75</v>
      </c>
      <c r="W517">
        <f t="shared" si="526"/>
        <v>21.2</v>
      </c>
      <c r="X517">
        <f t="shared" si="527"/>
        <v>24.7</v>
      </c>
      <c r="Y517">
        <f t="shared" si="528"/>
        <v>15.3</v>
      </c>
      <c r="Z517">
        <f t="shared" si="529"/>
        <v>22.2</v>
      </c>
      <c r="BA517" t="s">
        <v>6</v>
      </c>
    </row>
    <row r="518" spans="1:53" x14ac:dyDescent="0.2">
      <c r="A518" s="1">
        <v>45434</v>
      </c>
      <c r="B518" s="2">
        <v>0.79166666666666663</v>
      </c>
      <c r="C518" s="6">
        <v>45434.791666666664</v>
      </c>
      <c r="D518">
        <v>62.1</v>
      </c>
      <c r="E518">
        <v>69.8</v>
      </c>
      <c r="F518">
        <v>52.7</v>
      </c>
      <c r="G518" t="s">
        <v>6</v>
      </c>
      <c r="H518">
        <v>20.6</v>
      </c>
      <c r="I518">
        <v>23</v>
      </c>
      <c r="J518">
        <v>15.8</v>
      </c>
      <c r="K518" t="s">
        <v>6</v>
      </c>
      <c r="L518">
        <v>209</v>
      </c>
      <c r="M518" t="s">
        <v>6</v>
      </c>
      <c r="O518" s="6">
        <f t="shared" si="520"/>
        <v>45434.791666666664</v>
      </c>
      <c r="P518">
        <f t="shared" si="521"/>
        <v>62.1</v>
      </c>
      <c r="Q518">
        <f t="shared" si="522"/>
        <v>69.8</v>
      </c>
      <c r="R518">
        <f t="shared" si="523"/>
        <v>52.7</v>
      </c>
      <c r="S518">
        <f t="shared" si="524"/>
        <v>63.1</v>
      </c>
      <c r="V518" s="6">
        <f t="shared" si="525"/>
        <v>45434.791666666664</v>
      </c>
      <c r="W518">
        <f t="shared" si="526"/>
        <v>20.6</v>
      </c>
      <c r="X518">
        <f t="shared" si="527"/>
        <v>23</v>
      </c>
      <c r="Y518">
        <f t="shared" si="528"/>
        <v>15.8</v>
      </c>
      <c r="Z518">
        <f t="shared" si="529"/>
        <v>21.6</v>
      </c>
      <c r="BA518" t="s">
        <v>6</v>
      </c>
    </row>
    <row r="519" spans="1:53" x14ac:dyDescent="0.2">
      <c r="A519" s="1">
        <v>45434</v>
      </c>
      <c r="B519" s="2">
        <v>0.83333333333333337</v>
      </c>
      <c r="C519" s="6">
        <v>45434.833333333336</v>
      </c>
      <c r="D519">
        <v>62.5</v>
      </c>
      <c r="E519">
        <v>68.400000000000006</v>
      </c>
      <c r="F519">
        <v>54</v>
      </c>
      <c r="G519" t="s">
        <v>6</v>
      </c>
      <c r="H519">
        <v>20.9</v>
      </c>
      <c r="I519">
        <v>25.2</v>
      </c>
      <c r="J519">
        <v>17.100000000000001</v>
      </c>
      <c r="K519" t="s">
        <v>6</v>
      </c>
      <c r="L519">
        <v>182</v>
      </c>
      <c r="M519" t="s">
        <v>6</v>
      </c>
      <c r="O519" s="6">
        <f t="shared" si="520"/>
        <v>45434.833333333336</v>
      </c>
      <c r="P519">
        <f t="shared" si="521"/>
        <v>62.5</v>
      </c>
      <c r="Q519">
        <f t="shared" si="522"/>
        <v>68.400000000000006</v>
      </c>
      <c r="R519">
        <f t="shared" si="523"/>
        <v>54</v>
      </c>
      <c r="S519">
        <f t="shared" si="524"/>
        <v>63.5</v>
      </c>
      <c r="V519" s="6">
        <f t="shared" si="525"/>
        <v>45434.833333333336</v>
      </c>
      <c r="W519">
        <f t="shared" si="526"/>
        <v>20.9</v>
      </c>
      <c r="X519">
        <f t="shared" si="527"/>
        <v>25.2</v>
      </c>
      <c r="Y519">
        <f t="shared" si="528"/>
        <v>17.100000000000001</v>
      </c>
      <c r="Z519">
        <f t="shared" si="529"/>
        <v>21.9</v>
      </c>
      <c r="BA519" t="s">
        <v>6</v>
      </c>
    </row>
    <row r="520" spans="1:53" x14ac:dyDescent="0.2">
      <c r="A520" s="1">
        <v>45434</v>
      </c>
      <c r="B520" s="2">
        <v>0.875</v>
      </c>
      <c r="C520" s="6">
        <v>45434.875</v>
      </c>
      <c r="D520">
        <v>61.3</v>
      </c>
      <c r="E520">
        <v>70.7</v>
      </c>
      <c r="F520">
        <v>51.7</v>
      </c>
      <c r="G520" t="s">
        <v>6</v>
      </c>
      <c r="H520">
        <v>20.399999999999999</v>
      </c>
      <c r="I520">
        <v>24.8</v>
      </c>
      <c r="J520">
        <v>16.3</v>
      </c>
      <c r="K520" t="s">
        <v>6</v>
      </c>
      <c r="L520">
        <v>140</v>
      </c>
      <c r="M520" t="s">
        <v>6</v>
      </c>
      <c r="O520" s="6">
        <f t="shared" si="520"/>
        <v>45434.875</v>
      </c>
      <c r="P520">
        <f t="shared" si="521"/>
        <v>61.3</v>
      </c>
      <c r="Q520">
        <f t="shared" si="522"/>
        <v>70.7</v>
      </c>
      <c r="R520">
        <f t="shared" si="523"/>
        <v>51.7</v>
      </c>
      <c r="S520">
        <f t="shared" si="524"/>
        <v>62.3</v>
      </c>
      <c r="V520" s="6">
        <f t="shared" si="525"/>
        <v>45434.875</v>
      </c>
      <c r="W520">
        <f t="shared" si="526"/>
        <v>20.399999999999999</v>
      </c>
      <c r="X520">
        <f t="shared" si="527"/>
        <v>24.8</v>
      </c>
      <c r="Y520">
        <f t="shared" si="528"/>
        <v>16.3</v>
      </c>
      <c r="Z520">
        <f t="shared" si="529"/>
        <v>21.4</v>
      </c>
      <c r="BA520" t="s">
        <v>6</v>
      </c>
    </row>
    <row r="521" spans="1:53" x14ac:dyDescent="0.2">
      <c r="A521" s="1">
        <v>45435</v>
      </c>
      <c r="B521" s="2">
        <v>0.29166666666666669</v>
      </c>
      <c r="C521" s="6">
        <v>45435.291666666664</v>
      </c>
      <c r="D521">
        <v>73.7</v>
      </c>
      <c r="E521">
        <v>80.2</v>
      </c>
      <c r="F521">
        <v>52.7</v>
      </c>
      <c r="G521" t="s">
        <v>6</v>
      </c>
      <c r="H521">
        <v>20.6</v>
      </c>
      <c r="I521">
        <v>30.5</v>
      </c>
      <c r="J521">
        <v>17.100000000000001</v>
      </c>
      <c r="K521" t="s">
        <v>6</v>
      </c>
      <c r="L521">
        <v>129</v>
      </c>
      <c r="M521" t="s">
        <v>6</v>
      </c>
      <c r="O521" s="6">
        <f t="shared" si="520"/>
        <v>45435.291666666664</v>
      </c>
      <c r="P521">
        <f t="shared" si="521"/>
        <v>73.7</v>
      </c>
      <c r="Q521">
        <f t="shared" si="522"/>
        <v>80.2</v>
      </c>
      <c r="R521">
        <f t="shared" si="523"/>
        <v>52.7</v>
      </c>
      <c r="S521">
        <f t="shared" si="524"/>
        <v>74.7</v>
      </c>
      <c r="V521" s="6">
        <f t="shared" si="525"/>
        <v>45435.291666666664</v>
      </c>
      <c r="W521">
        <f t="shared" si="526"/>
        <v>20.6</v>
      </c>
      <c r="X521">
        <f t="shared" si="527"/>
        <v>30.5</v>
      </c>
      <c r="Y521">
        <f t="shared" si="528"/>
        <v>17.100000000000001</v>
      </c>
      <c r="Z521">
        <f t="shared" si="529"/>
        <v>21.6</v>
      </c>
      <c r="BA521" t="s">
        <v>6</v>
      </c>
    </row>
    <row r="522" spans="1:53" x14ac:dyDescent="0.2">
      <c r="A522" s="14">
        <v>45435</v>
      </c>
      <c r="B522" s="7">
        <v>0.33333333333333331</v>
      </c>
      <c r="C522" s="8">
        <v>45435.333333333336</v>
      </c>
      <c r="D522" s="9">
        <v>78.7</v>
      </c>
      <c r="E522" s="9">
        <v>84.4</v>
      </c>
      <c r="F522" s="9">
        <v>68.2</v>
      </c>
      <c r="G522" s="9" t="s">
        <v>6</v>
      </c>
      <c r="H522" s="9">
        <v>18.399999999999999</v>
      </c>
      <c r="I522" s="9">
        <v>20.7</v>
      </c>
      <c r="J522" s="9">
        <v>15.6</v>
      </c>
      <c r="K522" s="9" t="s">
        <v>6</v>
      </c>
      <c r="L522" s="9">
        <v>156</v>
      </c>
      <c r="M522" t="s">
        <v>6</v>
      </c>
      <c r="O522" s="6">
        <f t="shared" si="520"/>
        <v>45435.333333333336</v>
      </c>
      <c r="P522">
        <f t="shared" si="521"/>
        <v>78.7</v>
      </c>
      <c r="Q522">
        <f t="shared" si="522"/>
        <v>84.4</v>
      </c>
      <c r="R522">
        <f t="shared" si="523"/>
        <v>68.2</v>
      </c>
      <c r="S522">
        <f t="shared" si="524"/>
        <v>79.7</v>
      </c>
      <c r="V522" s="6">
        <f t="shared" si="525"/>
        <v>45435.333333333336</v>
      </c>
      <c r="W522">
        <f t="shared" si="526"/>
        <v>18.399999999999999</v>
      </c>
      <c r="X522">
        <f t="shared" si="527"/>
        <v>20.7</v>
      </c>
      <c r="Y522">
        <f t="shared" si="528"/>
        <v>15.6</v>
      </c>
      <c r="Z522">
        <f t="shared" si="529"/>
        <v>19.399999999999999</v>
      </c>
      <c r="BA522" t="s">
        <v>6</v>
      </c>
    </row>
    <row r="523" spans="1:53" x14ac:dyDescent="0.2">
      <c r="A523" s="13">
        <v>45435</v>
      </c>
      <c r="B523" s="3">
        <v>0.375</v>
      </c>
      <c r="C523" s="4">
        <v>45435.375</v>
      </c>
      <c r="D523" s="5">
        <v>70</v>
      </c>
      <c r="E523" s="5">
        <v>76.7</v>
      </c>
      <c r="F523" s="5">
        <v>63.7</v>
      </c>
      <c r="G523" s="5" t="s">
        <v>6</v>
      </c>
      <c r="H523" s="5">
        <v>17.899999999999999</v>
      </c>
      <c r="I523" s="5">
        <v>20.399999999999999</v>
      </c>
      <c r="J523" s="5">
        <v>16.2</v>
      </c>
      <c r="K523" s="5" t="s">
        <v>6</v>
      </c>
      <c r="L523" s="5">
        <v>224</v>
      </c>
      <c r="M523" t="s">
        <v>6</v>
      </c>
      <c r="O523" s="6">
        <f t="shared" si="520"/>
        <v>45435.375</v>
      </c>
      <c r="P523">
        <f t="shared" si="521"/>
        <v>70</v>
      </c>
      <c r="Q523">
        <f t="shared" si="522"/>
        <v>76.7</v>
      </c>
      <c r="R523">
        <f t="shared" si="523"/>
        <v>63.7</v>
      </c>
      <c r="S523">
        <f t="shared" si="524"/>
        <v>71</v>
      </c>
      <c r="V523" s="6">
        <f t="shared" si="525"/>
        <v>45435.375</v>
      </c>
      <c r="W523">
        <f t="shared" si="526"/>
        <v>17.899999999999999</v>
      </c>
      <c r="X523">
        <f t="shared" si="527"/>
        <v>20.399999999999999</v>
      </c>
      <c r="Y523">
        <f t="shared" si="528"/>
        <v>16.2</v>
      </c>
      <c r="Z523">
        <f t="shared" si="529"/>
        <v>18.899999999999999</v>
      </c>
      <c r="BA523" t="s">
        <v>6</v>
      </c>
    </row>
    <row r="524" spans="1:53" x14ac:dyDescent="0.2">
      <c r="A524" s="1">
        <v>45435</v>
      </c>
      <c r="B524" s="2">
        <v>0.41666666666666669</v>
      </c>
      <c r="C524" s="6">
        <v>45435.416666666664</v>
      </c>
      <c r="D524">
        <v>68.7</v>
      </c>
      <c r="E524">
        <v>71.099999999999994</v>
      </c>
      <c r="F524">
        <v>65.400000000000006</v>
      </c>
      <c r="G524" t="s">
        <v>6</v>
      </c>
      <c r="H524">
        <v>19.100000000000001</v>
      </c>
      <c r="I524">
        <v>22.9</v>
      </c>
      <c r="J524">
        <v>16</v>
      </c>
      <c r="K524" t="s">
        <v>6</v>
      </c>
      <c r="L524">
        <v>84</v>
      </c>
      <c r="M524" t="s">
        <v>6</v>
      </c>
      <c r="O524" s="6">
        <f t="shared" si="520"/>
        <v>45435.416666666664</v>
      </c>
      <c r="P524">
        <f t="shared" si="521"/>
        <v>68.7</v>
      </c>
      <c r="Q524">
        <f t="shared" si="522"/>
        <v>71.099999999999994</v>
      </c>
      <c r="R524">
        <f t="shared" si="523"/>
        <v>65.400000000000006</v>
      </c>
      <c r="S524">
        <f t="shared" si="524"/>
        <v>69.7</v>
      </c>
      <c r="V524" s="6">
        <f t="shared" si="525"/>
        <v>45435.416666666664</v>
      </c>
      <c r="W524">
        <f t="shared" si="526"/>
        <v>19.100000000000001</v>
      </c>
      <c r="X524">
        <f t="shared" si="527"/>
        <v>22.9</v>
      </c>
      <c r="Y524">
        <f t="shared" si="528"/>
        <v>16</v>
      </c>
      <c r="Z524">
        <f t="shared" si="529"/>
        <v>20.100000000000001</v>
      </c>
      <c r="BA524" t="s">
        <v>6</v>
      </c>
    </row>
    <row r="525" spans="1:53" x14ac:dyDescent="0.2">
      <c r="A525" s="1">
        <v>45435</v>
      </c>
      <c r="B525" s="2">
        <v>0.58333333333333337</v>
      </c>
      <c r="C525" s="6">
        <v>45435.583333333336</v>
      </c>
      <c r="D525">
        <v>66.7</v>
      </c>
      <c r="E525">
        <v>71</v>
      </c>
      <c r="F525">
        <v>62.4</v>
      </c>
      <c r="G525" t="s">
        <v>6</v>
      </c>
      <c r="H525">
        <v>18.399999999999999</v>
      </c>
      <c r="I525">
        <v>22.6</v>
      </c>
      <c r="J525">
        <v>16.100000000000001</v>
      </c>
      <c r="K525" t="s">
        <v>6</v>
      </c>
      <c r="L525">
        <v>72</v>
      </c>
      <c r="M525" t="s">
        <v>6</v>
      </c>
      <c r="O525" s="6">
        <f t="shared" si="520"/>
        <v>45435.583333333336</v>
      </c>
      <c r="P525">
        <f t="shared" si="521"/>
        <v>66.7</v>
      </c>
      <c r="Q525">
        <f t="shared" si="522"/>
        <v>71</v>
      </c>
      <c r="R525">
        <f t="shared" si="523"/>
        <v>62.4</v>
      </c>
      <c r="S525">
        <f t="shared" si="524"/>
        <v>67.7</v>
      </c>
      <c r="V525" s="6">
        <f t="shared" si="525"/>
        <v>45435.583333333336</v>
      </c>
      <c r="W525">
        <f t="shared" si="526"/>
        <v>18.399999999999999</v>
      </c>
      <c r="X525">
        <f t="shared" si="527"/>
        <v>22.6</v>
      </c>
      <c r="Y525">
        <f t="shared" si="528"/>
        <v>16.100000000000001</v>
      </c>
      <c r="Z525">
        <f t="shared" si="529"/>
        <v>19.399999999999999</v>
      </c>
      <c r="BA525" t="s">
        <v>6</v>
      </c>
    </row>
    <row r="526" spans="1:53" x14ac:dyDescent="0.2">
      <c r="A526" s="1">
        <v>45435</v>
      </c>
      <c r="B526" s="2">
        <v>0.625</v>
      </c>
      <c r="C526" s="6">
        <v>45435.625</v>
      </c>
      <c r="D526">
        <v>56.6</v>
      </c>
      <c r="E526">
        <v>63.7</v>
      </c>
      <c r="F526">
        <v>50.9</v>
      </c>
      <c r="G526" t="s">
        <v>6</v>
      </c>
      <c r="H526">
        <v>18.899999999999999</v>
      </c>
      <c r="I526">
        <v>22</v>
      </c>
      <c r="J526">
        <v>13.4</v>
      </c>
      <c r="K526" t="s">
        <v>6</v>
      </c>
      <c r="L526">
        <v>211</v>
      </c>
      <c r="M526" t="s">
        <v>6</v>
      </c>
      <c r="O526" s="6">
        <f t="shared" si="520"/>
        <v>45435.625</v>
      </c>
      <c r="P526">
        <f t="shared" si="521"/>
        <v>56.6</v>
      </c>
      <c r="Q526">
        <f t="shared" si="522"/>
        <v>63.7</v>
      </c>
      <c r="R526">
        <f t="shared" si="523"/>
        <v>50.9</v>
      </c>
      <c r="S526">
        <f t="shared" si="524"/>
        <v>57.6</v>
      </c>
      <c r="V526" s="6">
        <f t="shared" si="525"/>
        <v>45435.625</v>
      </c>
      <c r="W526">
        <f t="shared" si="526"/>
        <v>18.899999999999999</v>
      </c>
      <c r="X526">
        <f t="shared" si="527"/>
        <v>22</v>
      </c>
      <c r="Y526">
        <f t="shared" si="528"/>
        <v>13.4</v>
      </c>
      <c r="Z526">
        <f t="shared" si="529"/>
        <v>19.899999999999999</v>
      </c>
      <c r="BA526" t="s">
        <v>6</v>
      </c>
    </row>
    <row r="527" spans="1:53" x14ac:dyDescent="0.2">
      <c r="A527" s="1">
        <v>45435</v>
      </c>
      <c r="B527" s="2">
        <v>0.66666666666666663</v>
      </c>
      <c r="C527" s="6">
        <v>45435.666666666664</v>
      </c>
      <c r="D527">
        <v>58.3</v>
      </c>
      <c r="E527">
        <v>65.8</v>
      </c>
      <c r="F527">
        <v>51.3</v>
      </c>
      <c r="G527" t="s">
        <v>6</v>
      </c>
      <c r="H527">
        <v>18.100000000000001</v>
      </c>
      <c r="I527">
        <v>21.8</v>
      </c>
      <c r="J527">
        <v>15.6</v>
      </c>
      <c r="K527" t="s">
        <v>6</v>
      </c>
      <c r="L527">
        <v>221</v>
      </c>
      <c r="M527" t="s">
        <v>6</v>
      </c>
      <c r="O527" s="6">
        <f t="shared" si="520"/>
        <v>45435.666666666664</v>
      </c>
      <c r="P527">
        <f t="shared" si="521"/>
        <v>58.3</v>
      </c>
      <c r="Q527">
        <f t="shared" si="522"/>
        <v>65.8</v>
      </c>
      <c r="R527">
        <f t="shared" si="523"/>
        <v>51.3</v>
      </c>
      <c r="S527">
        <f t="shared" si="524"/>
        <v>59.3</v>
      </c>
      <c r="V527" s="6">
        <f t="shared" si="525"/>
        <v>45435.666666666664</v>
      </c>
      <c r="W527">
        <f t="shared" si="526"/>
        <v>18.100000000000001</v>
      </c>
      <c r="X527">
        <f t="shared" si="527"/>
        <v>21.8</v>
      </c>
      <c r="Y527">
        <f t="shared" si="528"/>
        <v>15.6</v>
      </c>
      <c r="Z527">
        <f t="shared" si="529"/>
        <v>19.100000000000001</v>
      </c>
      <c r="BA527" t="s">
        <v>6</v>
      </c>
    </row>
    <row r="528" spans="1:53" x14ac:dyDescent="0.2">
      <c r="A528" s="1">
        <v>45435</v>
      </c>
      <c r="B528" s="2">
        <v>0.70833333333333337</v>
      </c>
      <c r="C528" s="6">
        <v>45435.708333333336</v>
      </c>
      <c r="D528">
        <v>57.2</v>
      </c>
      <c r="E528">
        <v>63.5</v>
      </c>
      <c r="F528">
        <v>52.5</v>
      </c>
      <c r="G528" t="s">
        <v>6</v>
      </c>
      <c r="H528">
        <v>18.600000000000001</v>
      </c>
      <c r="I528">
        <v>23.7</v>
      </c>
      <c r="J528">
        <v>13.3</v>
      </c>
      <c r="K528" t="s">
        <v>6</v>
      </c>
      <c r="L528">
        <v>183</v>
      </c>
      <c r="M528" t="s">
        <v>6</v>
      </c>
      <c r="O528" s="6">
        <f t="shared" si="520"/>
        <v>45435.708333333336</v>
      </c>
      <c r="P528">
        <f t="shared" si="521"/>
        <v>57.2</v>
      </c>
      <c r="Q528">
        <f t="shared" si="522"/>
        <v>63.5</v>
      </c>
      <c r="R528">
        <f t="shared" si="523"/>
        <v>52.5</v>
      </c>
      <c r="S528">
        <f t="shared" si="524"/>
        <v>58.2</v>
      </c>
      <c r="V528" s="6">
        <f t="shared" si="525"/>
        <v>45435.708333333336</v>
      </c>
      <c r="W528">
        <f t="shared" si="526"/>
        <v>18.600000000000001</v>
      </c>
      <c r="X528">
        <f t="shared" si="527"/>
        <v>23.7</v>
      </c>
      <c r="Y528">
        <f t="shared" si="528"/>
        <v>13.3</v>
      </c>
      <c r="Z528">
        <f t="shared" si="529"/>
        <v>19.600000000000001</v>
      </c>
      <c r="BA528" t="s">
        <v>6</v>
      </c>
    </row>
    <row r="529" spans="1:53" x14ac:dyDescent="0.2">
      <c r="A529" s="1">
        <v>45435</v>
      </c>
      <c r="B529" s="2">
        <v>0.75</v>
      </c>
      <c r="C529" s="6">
        <v>45435.75</v>
      </c>
      <c r="D529">
        <v>58.4</v>
      </c>
      <c r="E529">
        <v>64.900000000000006</v>
      </c>
      <c r="F529">
        <v>53.3</v>
      </c>
      <c r="G529" t="s">
        <v>6</v>
      </c>
      <c r="H529">
        <v>18.8</v>
      </c>
      <c r="I529">
        <v>21.9</v>
      </c>
      <c r="J529">
        <v>15.5</v>
      </c>
      <c r="K529" t="s">
        <v>6</v>
      </c>
      <c r="L529">
        <v>224</v>
      </c>
      <c r="M529" t="s">
        <v>6</v>
      </c>
      <c r="O529" s="6">
        <f t="shared" si="520"/>
        <v>45435.75</v>
      </c>
      <c r="P529">
        <f t="shared" si="521"/>
        <v>58.4</v>
      </c>
      <c r="Q529">
        <f t="shared" si="522"/>
        <v>64.900000000000006</v>
      </c>
      <c r="R529">
        <f t="shared" si="523"/>
        <v>53.3</v>
      </c>
      <c r="S529">
        <f t="shared" si="524"/>
        <v>59.4</v>
      </c>
      <c r="V529" s="6">
        <f t="shared" si="525"/>
        <v>45435.75</v>
      </c>
      <c r="W529">
        <f t="shared" si="526"/>
        <v>18.8</v>
      </c>
      <c r="X529">
        <f t="shared" si="527"/>
        <v>21.9</v>
      </c>
      <c r="Y529">
        <f t="shared" si="528"/>
        <v>15.5</v>
      </c>
      <c r="Z529">
        <f t="shared" si="529"/>
        <v>19.8</v>
      </c>
      <c r="BA529" t="s">
        <v>6</v>
      </c>
    </row>
    <row r="530" spans="1:53" x14ac:dyDescent="0.2">
      <c r="A530" s="1">
        <v>45435</v>
      </c>
      <c r="B530" s="2">
        <v>0.79166666666666663</v>
      </c>
      <c r="C530" s="6">
        <v>45435.791666666664</v>
      </c>
      <c r="D530">
        <v>56.7</v>
      </c>
      <c r="E530">
        <v>68.2</v>
      </c>
      <c r="F530">
        <v>52.8</v>
      </c>
      <c r="G530" t="s">
        <v>6</v>
      </c>
      <c r="H530">
        <v>18.899999999999999</v>
      </c>
      <c r="I530">
        <v>29.8</v>
      </c>
      <c r="J530">
        <v>13.7</v>
      </c>
      <c r="K530" t="s">
        <v>6</v>
      </c>
      <c r="L530">
        <v>217</v>
      </c>
      <c r="M530" t="s">
        <v>6</v>
      </c>
      <c r="O530" s="6">
        <f t="shared" si="520"/>
        <v>45435.791666666664</v>
      </c>
      <c r="P530">
        <f t="shared" si="521"/>
        <v>56.7</v>
      </c>
      <c r="Q530">
        <f t="shared" si="522"/>
        <v>68.2</v>
      </c>
      <c r="R530">
        <f t="shared" si="523"/>
        <v>52.8</v>
      </c>
      <c r="S530">
        <f t="shared" si="524"/>
        <v>57.7</v>
      </c>
      <c r="V530" s="6">
        <f t="shared" si="525"/>
        <v>45435.791666666664</v>
      </c>
      <c r="W530">
        <f t="shared" si="526"/>
        <v>18.899999999999999</v>
      </c>
      <c r="X530">
        <f t="shared" si="527"/>
        <v>29.8</v>
      </c>
      <c r="Y530">
        <f t="shared" si="528"/>
        <v>13.7</v>
      </c>
      <c r="Z530">
        <f t="shared" si="529"/>
        <v>19.899999999999999</v>
      </c>
      <c r="BA530" t="s">
        <v>6</v>
      </c>
    </row>
    <row r="531" spans="1:53" x14ac:dyDescent="0.2">
      <c r="A531" s="1">
        <v>45435</v>
      </c>
      <c r="B531" s="2">
        <v>0.83333333333333337</v>
      </c>
      <c r="C531" s="6">
        <v>45435.833333333336</v>
      </c>
      <c r="D531">
        <v>63.4</v>
      </c>
      <c r="E531">
        <v>68</v>
      </c>
      <c r="F531">
        <v>59.6</v>
      </c>
      <c r="G531" t="s">
        <v>6</v>
      </c>
      <c r="H531">
        <v>18</v>
      </c>
      <c r="I531">
        <v>23.5</v>
      </c>
      <c r="J531">
        <v>15.4</v>
      </c>
      <c r="K531" t="s">
        <v>6</v>
      </c>
      <c r="L531">
        <v>201</v>
      </c>
      <c r="M531" t="s">
        <v>6</v>
      </c>
      <c r="O531" s="6">
        <f t="shared" si="520"/>
        <v>45435.833333333336</v>
      </c>
      <c r="P531">
        <f t="shared" si="521"/>
        <v>63.4</v>
      </c>
      <c r="Q531">
        <f t="shared" si="522"/>
        <v>68</v>
      </c>
      <c r="R531">
        <f t="shared" si="523"/>
        <v>59.6</v>
      </c>
      <c r="S531">
        <f t="shared" si="524"/>
        <v>64.400000000000006</v>
      </c>
      <c r="V531" s="6">
        <f t="shared" si="525"/>
        <v>45435.833333333336</v>
      </c>
      <c r="W531">
        <f t="shared" si="526"/>
        <v>18</v>
      </c>
      <c r="X531">
        <f t="shared" si="527"/>
        <v>23.5</v>
      </c>
      <c r="Y531">
        <f t="shared" si="528"/>
        <v>15.4</v>
      </c>
      <c r="Z531">
        <f t="shared" si="529"/>
        <v>19</v>
      </c>
      <c r="BA531" t="s">
        <v>6</v>
      </c>
    </row>
    <row r="532" spans="1:53" x14ac:dyDescent="0.2">
      <c r="A532" s="1">
        <v>45435</v>
      </c>
      <c r="B532" s="2">
        <v>0.875</v>
      </c>
      <c r="C532" s="6">
        <v>45435.875</v>
      </c>
      <c r="D532">
        <v>59.7</v>
      </c>
      <c r="E532">
        <v>67.599999999999994</v>
      </c>
      <c r="F532">
        <v>53.9</v>
      </c>
      <c r="G532" t="s">
        <v>6</v>
      </c>
      <c r="H532">
        <v>18.3</v>
      </c>
      <c r="I532">
        <v>22.4</v>
      </c>
      <c r="J532">
        <v>13.9</v>
      </c>
      <c r="K532" t="s">
        <v>6</v>
      </c>
      <c r="L532">
        <v>229</v>
      </c>
      <c r="M532" t="s">
        <v>6</v>
      </c>
      <c r="O532" s="6">
        <f t="shared" si="520"/>
        <v>45435.875</v>
      </c>
      <c r="P532">
        <f t="shared" si="521"/>
        <v>59.7</v>
      </c>
      <c r="Q532">
        <f t="shared" si="522"/>
        <v>67.599999999999994</v>
      </c>
      <c r="R532">
        <f t="shared" si="523"/>
        <v>53.9</v>
      </c>
      <c r="S532">
        <f t="shared" si="524"/>
        <v>60.7</v>
      </c>
      <c r="V532" s="6">
        <f t="shared" si="525"/>
        <v>45435.875</v>
      </c>
      <c r="W532">
        <f t="shared" si="526"/>
        <v>18.3</v>
      </c>
      <c r="X532">
        <f t="shared" si="527"/>
        <v>22.4</v>
      </c>
      <c r="Y532">
        <f t="shared" si="528"/>
        <v>13.9</v>
      </c>
      <c r="Z532">
        <f t="shared" si="529"/>
        <v>19.3</v>
      </c>
      <c r="BA532" t="s">
        <v>6</v>
      </c>
    </row>
    <row r="533" spans="1:53" x14ac:dyDescent="0.2">
      <c r="A533" s="1">
        <v>45435</v>
      </c>
      <c r="B533" s="2">
        <v>0.91666666666666663</v>
      </c>
      <c r="C533" s="6">
        <v>45435.916666666664</v>
      </c>
      <c r="D533">
        <v>56.1</v>
      </c>
      <c r="E533">
        <v>59.9</v>
      </c>
      <c r="F533">
        <v>49.7</v>
      </c>
      <c r="G533" t="s">
        <v>6</v>
      </c>
      <c r="H533">
        <v>17.2</v>
      </c>
      <c r="I533">
        <v>19.8</v>
      </c>
      <c r="J533">
        <v>15.3</v>
      </c>
      <c r="K533" t="s">
        <v>6</v>
      </c>
      <c r="L533">
        <v>145</v>
      </c>
      <c r="M533" t="s">
        <v>6</v>
      </c>
      <c r="O533" s="6">
        <f t="shared" si="520"/>
        <v>45435.916666666664</v>
      </c>
      <c r="P533">
        <f t="shared" si="521"/>
        <v>56.1</v>
      </c>
      <c r="Q533">
        <f t="shared" si="522"/>
        <v>59.9</v>
      </c>
      <c r="R533">
        <f t="shared" si="523"/>
        <v>49.7</v>
      </c>
      <c r="S533">
        <f t="shared" si="524"/>
        <v>57.1</v>
      </c>
      <c r="V533" s="6">
        <f t="shared" si="525"/>
        <v>45435.916666666664</v>
      </c>
      <c r="W533">
        <f t="shared" si="526"/>
        <v>17.2</v>
      </c>
      <c r="X533">
        <f t="shared" si="527"/>
        <v>19.8</v>
      </c>
      <c r="Y533">
        <f t="shared" si="528"/>
        <v>15.3</v>
      </c>
      <c r="Z533">
        <f t="shared" si="529"/>
        <v>18.2</v>
      </c>
      <c r="BA533" t="s">
        <v>6</v>
      </c>
    </row>
    <row r="534" spans="1:53" x14ac:dyDescent="0.2">
      <c r="A534" s="1">
        <v>45436</v>
      </c>
      <c r="B534" s="2">
        <v>0.29166666666666669</v>
      </c>
      <c r="C534" s="6">
        <v>45436.291666666664</v>
      </c>
      <c r="D534">
        <v>52.9</v>
      </c>
      <c r="E534">
        <v>56.2</v>
      </c>
      <c r="F534">
        <v>51</v>
      </c>
      <c r="G534" t="s">
        <v>6</v>
      </c>
      <c r="H534">
        <v>20.5</v>
      </c>
      <c r="I534">
        <v>25.2</v>
      </c>
      <c r="J534">
        <v>15.5</v>
      </c>
      <c r="K534" t="s">
        <v>6</v>
      </c>
      <c r="L534">
        <v>50</v>
      </c>
      <c r="M534" t="s">
        <v>6</v>
      </c>
      <c r="O534" s="6">
        <f t="shared" si="520"/>
        <v>45436.291666666664</v>
      </c>
      <c r="P534">
        <f t="shared" si="521"/>
        <v>52.9</v>
      </c>
      <c r="Q534">
        <f t="shared" si="522"/>
        <v>56.2</v>
      </c>
      <c r="R534">
        <f t="shared" si="523"/>
        <v>51</v>
      </c>
      <c r="S534">
        <f t="shared" si="524"/>
        <v>53.9</v>
      </c>
      <c r="V534" s="6">
        <f t="shared" si="525"/>
        <v>45436.291666666664</v>
      </c>
      <c r="W534">
        <f t="shared" si="526"/>
        <v>20.5</v>
      </c>
      <c r="X534">
        <f t="shared" si="527"/>
        <v>25.2</v>
      </c>
      <c r="Y534">
        <f t="shared" si="528"/>
        <v>15.5</v>
      </c>
      <c r="Z534">
        <f t="shared" si="529"/>
        <v>21.5</v>
      </c>
      <c r="BA534" t="s">
        <v>6</v>
      </c>
    </row>
    <row r="535" spans="1:53" x14ac:dyDescent="0.2">
      <c r="A535" s="14">
        <v>45436</v>
      </c>
      <c r="B535" s="7">
        <v>0.33333333333333331</v>
      </c>
      <c r="C535" s="8">
        <v>45436.333333333336</v>
      </c>
      <c r="D535" s="9">
        <v>61.4</v>
      </c>
      <c r="E535" s="9">
        <v>71.599999999999994</v>
      </c>
      <c r="F535" s="9">
        <v>52.7</v>
      </c>
      <c r="G535" s="9" t="s">
        <v>6</v>
      </c>
      <c r="H535" s="9">
        <v>18.600000000000001</v>
      </c>
      <c r="I535" s="9">
        <v>21.3</v>
      </c>
      <c r="J535" s="9">
        <v>15.7</v>
      </c>
      <c r="K535" s="9" t="s">
        <v>6</v>
      </c>
      <c r="L535" s="9">
        <v>224</v>
      </c>
      <c r="M535" t="s">
        <v>6</v>
      </c>
      <c r="O535" s="6">
        <f t="shared" si="520"/>
        <v>45436.333333333336</v>
      </c>
      <c r="P535">
        <f t="shared" si="521"/>
        <v>61.4</v>
      </c>
      <c r="Q535">
        <f t="shared" si="522"/>
        <v>71.599999999999994</v>
      </c>
      <c r="R535">
        <f t="shared" si="523"/>
        <v>52.7</v>
      </c>
      <c r="S535">
        <f t="shared" si="524"/>
        <v>62.4</v>
      </c>
      <c r="V535" s="6">
        <f t="shared" si="525"/>
        <v>45436.333333333336</v>
      </c>
      <c r="W535">
        <f t="shared" si="526"/>
        <v>18.600000000000001</v>
      </c>
      <c r="X535">
        <f t="shared" si="527"/>
        <v>21.3</v>
      </c>
      <c r="Y535">
        <f t="shared" si="528"/>
        <v>15.7</v>
      </c>
      <c r="Z535">
        <f t="shared" si="529"/>
        <v>19.600000000000001</v>
      </c>
      <c r="BA535" t="s">
        <v>6</v>
      </c>
    </row>
    <row r="536" spans="1:53" x14ac:dyDescent="0.2">
      <c r="A536" s="13">
        <v>45436</v>
      </c>
      <c r="B536" s="3">
        <v>0.375</v>
      </c>
      <c r="C536" s="4">
        <v>45436.375</v>
      </c>
      <c r="D536" s="5">
        <v>61.3</v>
      </c>
      <c r="E536" s="5">
        <v>66.3</v>
      </c>
      <c r="F536" s="5">
        <v>56.7</v>
      </c>
      <c r="G536" s="5" t="s">
        <v>6</v>
      </c>
      <c r="H536" s="5">
        <v>18.3</v>
      </c>
      <c r="I536" s="5">
        <v>21.7</v>
      </c>
      <c r="J536" s="5">
        <v>15.3</v>
      </c>
      <c r="K536" s="5" t="s">
        <v>6</v>
      </c>
      <c r="L536" s="5">
        <v>216</v>
      </c>
      <c r="M536" t="s">
        <v>6</v>
      </c>
      <c r="O536" s="6">
        <f t="shared" si="520"/>
        <v>45436.375</v>
      </c>
      <c r="P536">
        <f t="shared" si="521"/>
        <v>61.3</v>
      </c>
      <c r="Q536">
        <f t="shared" si="522"/>
        <v>66.3</v>
      </c>
      <c r="R536">
        <f t="shared" si="523"/>
        <v>56.7</v>
      </c>
      <c r="S536">
        <f t="shared" si="524"/>
        <v>62.3</v>
      </c>
      <c r="V536" s="6">
        <f t="shared" si="525"/>
        <v>45436.375</v>
      </c>
      <c r="W536">
        <f t="shared" si="526"/>
        <v>18.3</v>
      </c>
      <c r="X536">
        <f t="shared" si="527"/>
        <v>21.7</v>
      </c>
      <c r="Y536">
        <f t="shared" si="528"/>
        <v>15.3</v>
      </c>
      <c r="Z536">
        <f t="shared" si="529"/>
        <v>19.3</v>
      </c>
      <c r="BA536" t="s">
        <v>6</v>
      </c>
    </row>
    <row r="537" spans="1:53" x14ac:dyDescent="0.2">
      <c r="A537" s="1">
        <v>45436</v>
      </c>
      <c r="B537" s="2">
        <v>0.41666666666666669</v>
      </c>
      <c r="C537" s="6">
        <v>45436.416666666664</v>
      </c>
      <c r="D537">
        <v>58.1</v>
      </c>
      <c r="E537">
        <v>62.2</v>
      </c>
      <c r="F537">
        <v>52.3</v>
      </c>
      <c r="G537" t="s">
        <v>6</v>
      </c>
      <c r="H537">
        <v>18.100000000000001</v>
      </c>
      <c r="I537">
        <v>22.6</v>
      </c>
      <c r="J537">
        <v>15.3</v>
      </c>
      <c r="K537" t="s">
        <v>6</v>
      </c>
      <c r="L537">
        <v>183</v>
      </c>
      <c r="M537" t="s">
        <v>6</v>
      </c>
      <c r="O537" s="6">
        <f t="shared" si="520"/>
        <v>45436.416666666664</v>
      </c>
      <c r="P537">
        <f t="shared" si="521"/>
        <v>58.1</v>
      </c>
      <c r="Q537">
        <f t="shared" si="522"/>
        <v>62.2</v>
      </c>
      <c r="R537">
        <f t="shared" si="523"/>
        <v>52.3</v>
      </c>
      <c r="S537">
        <f t="shared" si="524"/>
        <v>59.1</v>
      </c>
      <c r="V537" s="6">
        <f t="shared" si="525"/>
        <v>45436.416666666664</v>
      </c>
      <c r="W537">
        <f t="shared" si="526"/>
        <v>18.100000000000001</v>
      </c>
      <c r="X537">
        <f t="shared" si="527"/>
        <v>22.6</v>
      </c>
      <c r="Y537">
        <f t="shared" si="528"/>
        <v>15.3</v>
      </c>
      <c r="Z537">
        <f t="shared" si="529"/>
        <v>19.100000000000001</v>
      </c>
      <c r="BA537" t="s">
        <v>6</v>
      </c>
    </row>
    <row r="538" spans="1:53" x14ac:dyDescent="0.2">
      <c r="A538" s="1">
        <v>45436</v>
      </c>
      <c r="B538" s="2">
        <v>0.45833333333333331</v>
      </c>
      <c r="C538" s="6">
        <v>45436.458333333336</v>
      </c>
      <c r="D538">
        <v>60.7</v>
      </c>
      <c r="E538">
        <v>70</v>
      </c>
      <c r="F538">
        <v>53.2</v>
      </c>
      <c r="G538" t="s">
        <v>6</v>
      </c>
      <c r="H538">
        <v>19.3</v>
      </c>
      <c r="I538">
        <v>27.9</v>
      </c>
      <c r="J538">
        <v>14</v>
      </c>
      <c r="K538" t="s">
        <v>6</v>
      </c>
      <c r="L538">
        <v>229</v>
      </c>
      <c r="M538" t="s">
        <v>6</v>
      </c>
      <c r="O538" s="6">
        <f t="shared" si="520"/>
        <v>45436.458333333336</v>
      </c>
      <c r="P538">
        <f t="shared" si="521"/>
        <v>60.7</v>
      </c>
      <c r="Q538">
        <f t="shared" si="522"/>
        <v>70</v>
      </c>
      <c r="R538">
        <f t="shared" si="523"/>
        <v>53.2</v>
      </c>
      <c r="S538">
        <f t="shared" si="524"/>
        <v>61.7</v>
      </c>
      <c r="V538" s="6">
        <f t="shared" si="525"/>
        <v>45436.458333333336</v>
      </c>
      <c r="W538">
        <f t="shared" si="526"/>
        <v>19.3</v>
      </c>
      <c r="X538">
        <f t="shared" si="527"/>
        <v>27.9</v>
      </c>
      <c r="Y538">
        <f t="shared" si="528"/>
        <v>14</v>
      </c>
      <c r="Z538">
        <f t="shared" si="529"/>
        <v>20.3</v>
      </c>
      <c r="BA538" t="s">
        <v>6</v>
      </c>
    </row>
    <row r="539" spans="1:53" x14ac:dyDescent="0.2">
      <c r="A539" s="1">
        <v>45436</v>
      </c>
      <c r="B539" s="2">
        <v>0.5</v>
      </c>
      <c r="C539" s="6">
        <v>45436.5</v>
      </c>
      <c r="D539">
        <v>53.5</v>
      </c>
      <c r="E539">
        <v>57.7</v>
      </c>
      <c r="F539">
        <v>49.2</v>
      </c>
      <c r="G539" t="s">
        <v>6</v>
      </c>
      <c r="H539">
        <v>19.399999999999999</v>
      </c>
      <c r="I539">
        <v>23.8</v>
      </c>
      <c r="J539">
        <v>13.2</v>
      </c>
      <c r="K539" t="s">
        <v>6</v>
      </c>
      <c r="L539">
        <v>199</v>
      </c>
      <c r="M539" t="s">
        <v>6</v>
      </c>
      <c r="O539" s="6">
        <f t="shared" si="520"/>
        <v>45436.5</v>
      </c>
      <c r="P539">
        <f t="shared" si="521"/>
        <v>53.5</v>
      </c>
      <c r="Q539">
        <f t="shared" si="522"/>
        <v>57.7</v>
      </c>
      <c r="R539">
        <f t="shared" si="523"/>
        <v>49.2</v>
      </c>
      <c r="S539">
        <f t="shared" si="524"/>
        <v>54.5</v>
      </c>
      <c r="V539" s="6">
        <f t="shared" si="525"/>
        <v>45436.5</v>
      </c>
      <c r="W539">
        <f t="shared" si="526"/>
        <v>19.399999999999999</v>
      </c>
      <c r="X539">
        <f t="shared" si="527"/>
        <v>23.8</v>
      </c>
      <c r="Y539">
        <f t="shared" si="528"/>
        <v>13.2</v>
      </c>
      <c r="Z539">
        <f t="shared" si="529"/>
        <v>20.399999999999999</v>
      </c>
      <c r="BA539" t="s">
        <v>6</v>
      </c>
    </row>
    <row r="540" spans="1:53" x14ac:dyDescent="0.2">
      <c r="A540" s="1">
        <v>45436</v>
      </c>
      <c r="B540" s="2">
        <v>0.54166666666666663</v>
      </c>
      <c r="C540" s="6">
        <v>45436.541666666664</v>
      </c>
      <c r="D540">
        <v>58.2</v>
      </c>
      <c r="E540">
        <v>68.5</v>
      </c>
      <c r="F540">
        <v>49.7</v>
      </c>
      <c r="G540" t="s">
        <v>6</v>
      </c>
      <c r="H540">
        <v>19.399999999999999</v>
      </c>
      <c r="I540">
        <v>22.5</v>
      </c>
      <c r="J540">
        <v>15.6</v>
      </c>
      <c r="K540" t="s">
        <v>6</v>
      </c>
      <c r="L540">
        <v>219</v>
      </c>
      <c r="M540" t="s">
        <v>6</v>
      </c>
      <c r="O540" s="6">
        <f t="shared" si="520"/>
        <v>45436.541666666664</v>
      </c>
      <c r="P540">
        <f t="shared" si="521"/>
        <v>58.2</v>
      </c>
      <c r="Q540">
        <f t="shared" si="522"/>
        <v>68.5</v>
      </c>
      <c r="R540">
        <f t="shared" si="523"/>
        <v>49.7</v>
      </c>
      <c r="S540">
        <f t="shared" si="524"/>
        <v>59.2</v>
      </c>
      <c r="V540" s="6">
        <f t="shared" si="525"/>
        <v>45436.541666666664</v>
      </c>
      <c r="W540">
        <f t="shared" si="526"/>
        <v>19.399999999999999</v>
      </c>
      <c r="X540">
        <f t="shared" si="527"/>
        <v>22.5</v>
      </c>
      <c r="Y540">
        <f t="shared" si="528"/>
        <v>15.6</v>
      </c>
      <c r="Z540">
        <f t="shared" si="529"/>
        <v>20.399999999999999</v>
      </c>
      <c r="BA540" t="s">
        <v>6</v>
      </c>
    </row>
    <row r="541" spans="1:53" x14ac:dyDescent="0.2">
      <c r="A541" s="1">
        <v>45436</v>
      </c>
      <c r="B541" s="2">
        <v>0.58333333333333337</v>
      </c>
      <c r="C541" s="6">
        <v>45436.583333333336</v>
      </c>
      <c r="D541">
        <v>60.1</v>
      </c>
      <c r="E541">
        <v>65.599999999999994</v>
      </c>
      <c r="F541">
        <v>55.1</v>
      </c>
      <c r="G541" t="s">
        <v>6</v>
      </c>
      <c r="H541">
        <v>18.7</v>
      </c>
      <c r="I541">
        <v>22.4</v>
      </c>
      <c r="J541">
        <v>15.6</v>
      </c>
      <c r="K541" t="s">
        <v>6</v>
      </c>
      <c r="L541">
        <v>211</v>
      </c>
      <c r="M541" t="s">
        <v>6</v>
      </c>
      <c r="O541" s="6">
        <f t="shared" si="520"/>
        <v>45436.583333333336</v>
      </c>
      <c r="P541">
        <f t="shared" si="521"/>
        <v>60.1</v>
      </c>
      <c r="Q541">
        <f t="shared" si="522"/>
        <v>65.599999999999994</v>
      </c>
      <c r="R541">
        <f t="shared" si="523"/>
        <v>55.1</v>
      </c>
      <c r="S541">
        <f t="shared" si="524"/>
        <v>61.1</v>
      </c>
      <c r="V541" s="6">
        <f t="shared" si="525"/>
        <v>45436.583333333336</v>
      </c>
      <c r="W541">
        <f t="shared" si="526"/>
        <v>18.7</v>
      </c>
      <c r="X541">
        <f t="shared" si="527"/>
        <v>22.4</v>
      </c>
      <c r="Y541">
        <f t="shared" si="528"/>
        <v>15.6</v>
      </c>
      <c r="Z541">
        <f t="shared" si="529"/>
        <v>19.7</v>
      </c>
      <c r="BA541" t="s">
        <v>6</v>
      </c>
    </row>
    <row r="542" spans="1:53" x14ac:dyDescent="0.2">
      <c r="A542" s="1">
        <v>45436</v>
      </c>
      <c r="B542" s="2">
        <v>0.625</v>
      </c>
      <c r="C542" s="6">
        <v>45436.625</v>
      </c>
      <c r="D542">
        <v>57.4</v>
      </c>
      <c r="E542">
        <v>65.8</v>
      </c>
      <c r="F542">
        <v>51.4</v>
      </c>
      <c r="G542" t="s">
        <v>6</v>
      </c>
      <c r="H542">
        <v>21.6</v>
      </c>
      <c r="I542">
        <v>25.9</v>
      </c>
      <c r="J542">
        <v>17.7</v>
      </c>
      <c r="K542" t="s">
        <v>6</v>
      </c>
      <c r="L542">
        <v>193</v>
      </c>
      <c r="M542" t="s">
        <v>6</v>
      </c>
      <c r="O542" s="6">
        <f t="shared" si="520"/>
        <v>45436.625</v>
      </c>
      <c r="P542">
        <f t="shared" si="521"/>
        <v>57.4</v>
      </c>
      <c r="Q542">
        <f t="shared" si="522"/>
        <v>65.8</v>
      </c>
      <c r="R542">
        <f t="shared" si="523"/>
        <v>51.4</v>
      </c>
      <c r="S542">
        <f t="shared" si="524"/>
        <v>58.4</v>
      </c>
      <c r="V542" s="6">
        <f t="shared" si="525"/>
        <v>45436.625</v>
      </c>
      <c r="W542">
        <f t="shared" si="526"/>
        <v>21.6</v>
      </c>
      <c r="X542">
        <f t="shared" si="527"/>
        <v>25.9</v>
      </c>
      <c r="Y542">
        <f t="shared" si="528"/>
        <v>17.7</v>
      </c>
      <c r="Z542">
        <f t="shared" si="529"/>
        <v>22.6</v>
      </c>
      <c r="BA542" t="s">
        <v>6</v>
      </c>
    </row>
    <row r="543" spans="1:53" x14ac:dyDescent="0.2">
      <c r="A543" s="1">
        <v>45436</v>
      </c>
      <c r="B543" s="2">
        <v>0.66666666666666663</v>
      </c>
      <c r="C543" s="6">
        <v>45436.666666666664</v>
      </c>
      <c r="D543">
        <v>59.7</v>
      </c>
      <c r="E543">
        <v>67</v>
      </c>
      <c r="F543">
        <v>52.7</v>
      </c>
      <c r="G543" t="s">
        <v>6</v>
      </c>
      <c r="H543">
        <v>20</v>
      </c>
      <c r="I543">
        <v>25.9</v>
      </c>
      <c r="J543">
        <v>16.899999999999999</v>
      </c>
      <c r="K543" t="s">
        <v>6</v>
      </c>
      <c r="L543">
        <v>221</v>
      </c>
      <c r="M543" t="s">
        <v>6</v>
      </c>
      <c r="O543" s="6">
        <f t="shared" si="520"/>
        <v>45436.666666666664</v>
      </c>
      <c r="P543">
        <f t="shared" si="521"/>
        <v>59.7</v>
      </c>
      <c r="Q543">
        <f t="shared" si="522"/>
        <v>67</v>
      </c>
      <c r="R543">
        <f t="shared" si="523"/>
        <v>52.7</v>
      </c>
      <c r="S543">
        <f t="shared" si="524"/>
        <v>60.7</v>
      </c>
      <c r="V543" s="6">
        <f t="shared" si="525"/>
        <v>45436.666666666664</v>
      </c>
      <c r="W543">
        <f t="shared" si="526"/>
        <v>20</v>
      </c>
      <c r="X543">
        <f t="shared" si="527"/>
        <v>25.9</v>
      </c>
      <c r="Y543">
        <f t="shared" si="528"/>
        <v>16.899999999999999</v>
      </c>
      <c r="Z543">
        <f t="shared" si="529"/>
        <v>21</v>
      </c>
      <c r="BA543" t="s">
        <v>6</v>
      </c>
    </row>
    <row r="544" spans="1:53" x14ac:dyDescent="0.2">
      <c r="A544" s="1">
        <v>45436</v>
      </c>
      <c r="B544" s="2">
        <v>0.70833333333333337</v>
      </c>
      <c r="C544" s="6">
        <v>45436.708333333336</v>
      </c>
      <c r="D544">
        <v>61.4</v>
      </c>
      <c r="E544">
        <v>66.400000000000006</v>
      </c>
      <c r="F544">
        <v>56.1</v>
      </c>
      <c r="G544" t="s">
        <v>6</v>
      </c>
      <c r="H544">
        <v>19.8</v>
      </c>
      <c r="I544">
        <v>23</v>
      </c>
      <c r="J544">
        <v>16.3</v>
      </c>
      <c r="K544" t="s">
        <v>6</v>
      </c>
      <c r="L544">
        <v>219</v>
      </c>
      <c r="M544" t="s">
        <v>6</v>
      </c>
      <c r="O544" s="6">
        <f t="shared" si="520"/>
        <v>45436.708333333336</v>
      </c>
      <c r="P544">
        <f t="shared" si="521"/>
        <v>61.4</v>
      </c>
      <c r="Q544">
        <f t="shared" si="522"/>
        <v>66.400000000000006</v>
      </c>
      <c r="R544">
        <f t="shared" si="523"/>
        <v>56.1</v>
      </c>
      <c r="S544">
        <f t="shared" si="524"/>
        <v>62.4</v>
      </c>
      <c r="V544" s="6">
        <f t="shared" si="525"/>
        <v>45436.708333333336</v>
      </c>
      <c r="W544">
        <f t="shared" si="526"/>
        <v>19.8</v>
      </c>
      <c r="X544">
        <f t="shared" si="527"/>
        <v>23</v>
      </c>
      <c r="Y544">
        <f t="shared" si="528"/>
        <v>16.3</v>
      </c>
      <c r="Z544">
        <f t="shared" si="529"/>
        <v>20.8</v>
      </c>
      <c r="BA544" t="s">
        <v>6</v>
      </c>
    </row>
    <row r="545" spans="1:53" x14ac:dyDescent="0.2">
      <c r="A545" s="1">
        <v>45436</v>
      </c>
      <c r="B545" s="2">
        <v>0.75</v>
      </c>
      <c r="C545" s="6">
        <v>45436.75</v>
      </c>
      <c r="D545">
        <v>57.9</v>
      </c>
      <c r="E545">
        <v>61.4</v>
      </c>
      <c r="F545">
        <v>53.3</v>
      </c>
      <c r="G545" t="s">
        <v>6</v>
      </c>
      <c r="H545">
        <v>19.8</v>
      </c>
      <c r="I545">
        <v>23</v>
      </c>
      <c r="J545">
        <v>15.9</v>
      </c>
      <c r="K545" t="s">
        <v>6</v>
      </c>
      <c r="L545">
        <v>166</v>
      </c>
      <c r="M545" t="s">
        <v>6</v>
      </c>
      <c r="O545" s="6">
        <f t="shared" si="520"/>
        <v>45436.75</v>
      </c>
      <c r="P545">
        <f t="shared" si="521"/>
        <v>57.9</v>
      </c>
      <c r="Q545">
        <f t="shared" si="522"/>
        <v>61.4</v>
      </c>
      <c r="R545">
        <f t="shared" si="523"/>
        <v>53.3</v>
      </c>
      <c r="S545">
        <f t="shared" si="524"/>
        <v>58.9</v>
      </c>
      <c r="V545" s="6">
        <f t="shared" si="525"/>
        <v>45436.75</v>
      </c>
      <c r="W545">
        <f t="shared" si="526"/>
        <v>19.8</v>
      </c>
      <c r="X545">
        <f t="shared" si="527"/>
        <v>23</v>
      </c>
      <c r="Y545">
        <f t="shared" si="528"/>
        <v>15.9</v>
      </c>
      <c r="Z545">
        <f t="shared" si="529"/>
        <v>20.8</v>
      </c>
      <c r="BA545" t="s">
        <v>6</v>
      </c>
    </row>
    <row r="546" spans="1:53" x14ac:dyDescent="0.2">
      <c r="A546" s="1">
        <v>45436</v>
      </c>
      <c r="B546" s="2">
        <v>0.79166666666666663</v>
      </c>
      <c r="C546" s="6">
        <v>45436.791666666664</v>
      </c>
      <c r="D546">
        <v>52.4</v>
      </c>
      <c r="E546">
        <v>57.8</v>
      </c>
      <c r="F546">
        <v>48.8</v>
      </c>
      <c r="G546" t="s">
        <v>6</v>
      </c>
      <c r="H546">
        <v>19.5</v>
      </c>
      <c r="I546">
        <v>24</v>
      </c>
      <c r="J546">
        <v>13.4</v>
      </c>
      <c r="K546" t="s">
        <v>6</v>
      </c>
      <c r="L546">
        <v>205</v>
      </c>
      <c r="M546" t="s">
        <v>6</v>
      </c>
      <c r="O546" s="6">
        <f t="shared" si="520"/>
        <v>45436.791666666664</v>
      </c>
      <c r="P546">
        <f t="shared" si="521"/>
        <v>52.4</v>
      </c>
      <c r="Q546">
        <f t="shared" si="522"/>
        <v>57.8</v>
      </c>
      <c r="R546">
        <f t="shared" si="523"/>
        <v>48.8</v>
      </c>
      <c r="S546">
        <f t="shared" si="524"/>
        <v>53.4</v>
      </c>
      <c r="V546" s="6">
        <f t="shared" si="525"/>
        <v>45436.791666666664</v>
      </c>
      <c r="W546">
        <f t="shared" si="526"/>
        <v>19.5</v>
      </c>
      <c r="X546">
        <f t="shared" si="527"/>
        <v>24</v>
      </c>
      <c r="Y546">
        <f t="shared" si="528"/>
        <v>13.4</v>
      </c>
      <c r="Z546">
        <f t="shared" si="529"/>
        <v>20.5</v>
      </c>
      <c r="BA546" t="s">
        <v>6</v>
      </c>
    </row>
    <row r="547" spans="1:53" x14ac:dyDescent="0.2">
      <c r="A547" s="1">
        <v>45436</v>
      </c>
      <c r="B547" s="2">
        <v>0.83333333333333337</v>
      </c>
      <c r="C547" s="6">
        <v>45436.833333333336</v>
      </c>
      <c r="D547">
        <v>58.9</v>
      </c>
      <c r="E547">
        <v>66.7</v>
      </c>
      <c r="F547">
        <v>48.7</v>
      </c>
      <c r="G547" t="s">
        <v>6</v>
      </c>
      <c r="H547">
        <v>20.6</v>
      </c>
      <c r="I547">
        <v>22.2</v>
      </c>
      <c r="J547">
        <v>16.8</v>
      </c>
      <c r="K547" t="s">
        <v>6</v>
      </c>
      <c r="L547">
        <v>215</v>
      </c>
      <c r="M547" t="s">
        <v>6</v>
      </c>
      <c r="O547" s="6">
        <f t="shared" si="520"/>
        <v>45436.833333333336</v>
      </c>
      <c r="P547">
        <f t="shared" si="521"/>
        <v>58.9</v>
      </c>
      <c r="Q547">
        <f t="shared" si="522"/>
        <v>66.7</v>
      </c>
      <c r="R547">
        <f t="shared" si="523"/>
        <v>48.7</v>
      </c>
      <c r="S547">
        <f t="shared" si="524"/>
        <v>59.9</v>
      </c>
      <c r="V547" s="6">
        <f t="shared" si="525"/>
        <v>45436.833333333336</v>
      </c>
      <c r="W547">
        <f t="shared" si="526"/>
        <v>20.6</v>
      </c>
      <c r="X547">
        <f t="shared" si="527"/>
        <v>22.2</v>
      </c>
      <c r="Y547">
        <f t="shared" si="528"/>
        <v>16.8</v>
      </c>
      <c r="Z547">
        <f t="shared" si="529"/>
        <v>21.6</v>
      </c>
      <c r="BA547" t="s">
        <v>6</v>
      </c>
    </row>
    <row r="548" spans="1:53" x14ac:dyDescent="0.2">
      <c r="A548" s="1">
        <v>45436</v>
      </c>
      <c r="B548" s="2">
        <v>0.875</v>
      </c>
      <c r="C548" s="6">
        <v>45436.875</v>
      </c>
      <c r="D548">
        <v>62.4</v>
      </c>
      <c r="E548">
        <v>66</v>
      </c>
      <c r="F548">
        <v>57.8</v>
      </c>
      <c r="G548" t="s">
        <v>6</v>
      </c>
      <c r="H548">
        <v>20.8</v>
      </c>
      <c r="I548">
        <v>23.8</v>
      </c>
      <c r="J548">
        <v>17.399999999999999</v>
      </c>
      <c r="K548" t="s">
        <v>6</v>
      </c>
      <c r="L548">
        <v>220</v>
      </c>
      <c r="M548" t="s">
        <v>6</v>
      </c>
      <c r="O548" s="6">
        <f t="shared" si="520"/>
        <v>45436.875</v>
      </c>
      <c r="P548">
        <f t="shared" si="521"/>
        <v>62.4</v>
      </c>
      <c r="Q548">
        <f t="shared" si="522"/>
        <v>66</v>
      </c>
      <c r="R548">
        <f t="shared" si="523"/>
        <v>57.8</v>
      </c>
      <c r="S548">
        <f t="shared" si="524"/>
        <v>63.4</v>
      </c>
      <c r="V548" s="6">
        <f t="shared" si="525"/>
        <v>45436.875</v>
      </c>
      <c r="W548">
        <f t="shared" si="526"/>
        <v>20.8</v>
      </c>
      <c r="X548">
        <f t="shared" si="527"/>
        <v>23.8</v>
      </c>
      <c r="Y548">
        <f t="shared" si="528"/>
        <v>17.399999999999999</v>
      </c>
      <c r="Z548">
        <f t="shared" si="529"/>
        <v>21.8</v>
      </c>
      <c r="BA548" t="s">
        <v>6</v>
      </c>
    </row>
    <row r="549" spans="1:53" x14ac:dyDescent="0.2">
      <c r="A549" s="1">
        <v>45436</v>
      </c>
      <c r="B549" s="2">
        <v>0.91666666666666663</v>
      </c>
      <c r="C549" s="6">
        <v>45436.916666666664</v>
      </c>
      <c r="D549">
        <v>60</v>
      </c>
      <c r="E549">
        <v>62</v>
      </c>
      <c r="F549">
        <v>57.6</v>
      </c>
      <c r="G549" t="s">
        <v>6</v>
      </c>
      <c r="H549">
        <v>21.7</v>
      </c>
      <c r="I549">
        <v>25.3</v>
      </c>
      <c r="J549">
        <v>17.600000000000001</v>
      </c>
      <c r="K549" t="s">
        <v>6</v>
      </c>
      <c r="L549">
        <v>83</v>
      </c>
      <c r="M549" t="s">
        <v>6</v>
      </c>
      <c r="O549" s="6">
        <f t="shared" si="520"/>
        <v>45436.916666666664</v>
      </c>
      <c r="P549">
        <f t="shared" si="521"/>
        <v>60</v>
      </c>
      <c r="Q549">
        <f t="shared" si="522"/>
        <v>62</v>
      </c>
      <c r="R549">
        <f t="shared" si="523"/>
        <v>57.6</v>
      </c>
      <c r="S549">
        <f t="shared" si="524"/>
        <v>61</v>
      </c>
      <c r="V549" s="6">
        <f t="shared" si="525"/>
        <v>45436.916666666664</v>
      </c>
      <c r="W549">
        <f t="shared" si="526"/>
        <v>21.7</v>
      </c>
      <c r="X549">
        <f t="shared" si="527"/>
        <v>25.3</v>
      </c>
      <c r="Y549">
        <f t="shared" si="528"/>
        <v>17.600000000000001</v>
      </c>
      <c r="Z549">
        <f t="shared" si="529"/>
        <v>22.7</v>
      </c>
      <c r="BA549" t="s">
        <v>6</v>
      </c>
    </row>
    <row r="550" spans="1:53" x14ac:dyDescent="0.2">
      <c r="A550" s="1">
        <v>45437</v>
      </c>
      <c r="B550" s="2">
        <v>4.1666666666666664E-2</v>
      </c>
      <c r="C550" s="6">
        <v>45437.041666666664</v>
      </c>
      <c r="D550">
        <v>58.6</v>
      </c>
      <c r="E550">
        <v>59.5</v>
      </c>
      <c r="F550">
        <v>57.8</v>
      </c>
      <c r="G550" t="s">
        <v>6</v>
      </c>
      <c r="H550">
        <v>21</v>
      </c>
      <c r="I550">
        <v>23.3</v>
      </c>
      <c r="J550">
        <v>17.399999999999999</v>
      </c>
      <c r="K550" t="s">
        <v>6</v>
      </c>
      <c r="L550">
        <v>10</v>
      </c>
      <c r="M550" t="s">
        <v>6</v>
      </c>
      <c r="O550" s="6">
        <f t="shared" si="520"/>
        <v>45437.041666666664</v>
      </c>
      <c r="P550">
        <f t="shared" si="521"/>
        <v>58.6</v>
      </c>
      <c r="Q550">
        <f t="shared" si="522"/>
        <v>59.5</v>
      </c>
      <c r="R550">
        <f t="shared" si="523"/>
        <v>57.8</v>
      </c>
      <c r="S550">
        <f t="shared" si="524"/>
        <v>59.6</v>
      </c>
      <c r="V550" s="6">
        <f t="shared" si="525"/>
        <v>45437.041666666664</v>
      </c>
      <c r="W550">
        <f t="shared" si="526"/>
        <v>21</v>
      </c>
      <c r="X550">
        <f t="shared" si="527"/>
        <v>23.3</v>
      </c>
      <c r="Y550">
        <f t="shared" si="528"/>
        <v>17.399999999999999</v>
      </c>
      <c r="Z550">
        <f t="shared" si="529"/>
        <v>22</v>
      </c>
      <c r="BA550" t="s">
        <v>6</v>
      </c>
    </row>
    <row r="551" spans="1:53" x14ac:dyDescent="0.2">
      <c r="A551" s="1">
        <v>45437</v>
      </c>
      <c r="B551" s="2">
        <v>8.3333333333333329E-2</v>
      </c>
      <c r="C551" s="6">
        <v>45437.083333333336</v>
      </c>
      <c r="D551">
        <v>61</v>
      </c>
      <c r="E551">
        <v>66</v>
      </c>
      <c r="F551">
        <v>52.8</v>
      </c>
      <c r="G551" t="s">
        <v>6</v>
      </c>
      <c r="H551">
        <v>20</v>
      </c>
      <c r="I551">
        <v>26.9</v>
      </c>
      <c r="J551">
        <v>16.3</v>
      </c>
      <c r="K551" t="s">
        <v>6</v>
      </c>
      <c r="L551">
        <v>230</v>
      </c>
      <c r="M551" t="s">
        <v>6</v>
      </c>
      <c r="O551" s="6">
        <f t="shared" si="520"/>
        <v>45437.083333333336</v>
      </c>
      <c r="P551">
        <f t="shared" si="521"/>
        <v>61</v>
      </c>
      <c r="Q551">
        <f t="shared" si="522"/>
        <v>66</v>
      </c>
      <c r="R551">
        <f t="shared" si="523"/>
        <v>52.8</v>
      </c>
      <c r="S551">
        <f t="shared" si="524"/>
        <v>62</v>
      </c>
      <c r="V551" s="6">
        <f t="shared" si="525"/>
        <v>45437.083333333336</v>
      </c>
      <c r="W551">
        <f t="shared" si="526"/>
        <v>20</v>
      </c>
      <c r="X551">
        <f t="shared" si="527"/>
        <v>26.9</v>
      </c>
      <c r="Y551">
        <f t="shared" si="528"/>
        <v>16.3</v>
      </c>
      <c r="Z551">
        <f t="shared" si="529"/>
        <v>21</v>
      </c>
      <c r="BA551" t="s">
        <v>6</v>
      </c>
    </row>
    <row r="552" spans="1:53" x14ac:dyDescent="0.2">
      <c r="A552" s="1">
        <v>45437</v>
      </c>
      <c r="B552" s="2">
        <v>0.125</v>
      </c>
      <c r="C552" s="6">
        <v>45437.125</v>
      </c>
      <c r="D552">
        <v>56.8</v>
      </c>
      <c r="E552">
        <v>60.6</v>
      </c>
      <c r="F552">
        <v>53.7</v>
      </c>
      <c r="G552" t="s">
        <v>6</v>
      </c>
      <c r="H552">
        <v>18.7</v>
      </c>
      <c r="I552">
        <v>24.2</v>
      </c>
      <c r="J552">
        <v>15.1</v>
      </c>
      <c r="K552" t="s">
        <v>6</v>
      </c>
      <c r="L552">
        <v>219</v>
      </c>
      <c r="M552" t="s">
        <v>6</v>
      </c>
      <c r="O552" s="6">
        <f t="shared" si="520"/>
        <v>45437.125</v>
      </c>
      <c r="P552">
        <f t="shared" si="521"/>
        <v>56.8</v>
      </c>
      <c r="Q552">
        <f t="shared" si="522"/>
        <v>60.6</v>
      </c>
      <c r="R552">
        <f t="shared" si="523"/>
        <v>53.7</v>
      </c>
      <c r="S552">
        <f t="shared" si="524"/>
        <v>57.8</v>
      </c>
      <c r="V552" s="6">
        <f t="shared" si="525"/>
        <v>45437.125</v>
      </c>
      <c r="W552">
        <f t="shared" si="526"/>
        <v>18.7</v>
      </c>
      <c r="X552">
        <f t="shared" si="527"/>
        <v>24.2</v>
      </c>
      <c r="Y552">
        <f t="shared" si="528"/>
        <v>15.1</v>
      </c>
      <c r="Z552">
        <f t="shared" si="529"/>
        <v>19.7</v>
      </c>
      <c r="BA552" t="s">
        <v>6</v>
      </c>
    </row>
    <row r="553" spans="1:53" x14ac:dyDescent="0.2">
      <c r="A553" s="1">
        <v>45437</v>
      </c>
      <c r="B553" s="2">
        <v>0.16666666666666666</v>
      </c>
      <c r="C553" s="6">
        <v>45437.166666666664</v>
      </c>
      <c r="D553">
        <v>58.8</v>
      </c>
      <c r="E553">
        <v>63.6</v>
      </c>
      <c r="F553">
        <v>53.6</v>
      </c>
      <c r="G553" t="s">
        <v>6</v>
      </c>
      <c r="H553">
        <v>20.3</v>
      </c>
      <c r="I553">
        <v>23.4</v>
      </c>
      <c r="J553">
        <v>18.100000000000001</v>
      </c>
      <c r="K553" t="s">
        <v>6</v>
      </c>
      <c r="L553">
        <v>158</v>
      </c>
      <c r="M553" t="s">
        <v>6</v>
      </c>
      <c r="O553" s="6">
        <f t="shared" si="520"/>
        <v>45437.166666666664</v>
      </c>
      <c r="P553">
        <f t="shared" si="521"/>
        <v>58.8</v>
      </c>
      <c r="Q553">
        <f t="shared" si="522"/>
        <v>63.6</v>
      </c>
      <c r="R553">
        <f t="shared" si="523"/>
        <v>53.6</v>
      </c>
      <c r="S553">
        <f t="shared" si="524"/>
        <v>59.8</v>
      </c>
      <c r="V553" s="6">
        <f t="shared" si="525"/>
        <v>45437.166666666664</v>
      </c>
      <c r="W553">
        <f t="shared" si="526"/>
        <v>20.3</v>
      </c>
      <c r="X553">
        <f t="shared" si="527"/>
        <v>23.4</v>
      </c>
      <c r="Y553">
        <f t="shared" si="528"/>
        <v>18.100000000000001</v>
      </c>
      <c r="Z553">
        <f t="shared" si="529"/>
        <v>21.3</v>
      </c>
      <c r="BA553" t="s">
        <v>6</v>
      </c>
    </row>
    <row r="554" spans="1:53" x14ac:dyDescent="0.2">
      <c r="A554" s="1">
        <v>45437</v>
      </c>
      <c r="B554" s="2">
        <v>0.20833333333333334</v>
      </c>
      <c r="C554" s="6">
        <v>45437.208333333336</v>
      </c>
      <c r="D554">
        <v>54.1</v>
      </c>
      <c r="E554">
        <v>62.2</v>
      </c>
      <c r="F554">
        <v>49.7</v>
      </c>
      <c r="G554" t="s">
        <v>6</v>
      </c>
      <c r="H554">
        <v>18.2</v>
      </c>
      <c r="I554">
        <v>21.9</v>
      </c>
      <c r="J554">
        <v>14.3</v>
      </c>
      <c r="K554" t="s">
        <v>6</v>
      </c>
      <c r="L554">
        <v>225</v>
      </c>
      <c r="M554" t="s">
        <v>6</v>
      </c>
      <c r="O554" s="6">
        <f t="shared" si="520"/>
        <v>45437.208333333336</v>
      </c>
      <c r="P554">
        <f t="shared" si="521"/>
        <v>54.1</v>
      </c>
      <c r="Q554">
        <f t="shared" si="522"/>
        <v>62.2</v>
      </c>
      <c r="R554">
        <f t="shared" si="523"/>
        <v>49.7</v>
      </c>
      <c r="S554">
        <f t="shared" si="524"/>
        <v>55.1</v>
      </c>
      <c r="V554" s="6">
        <f t="shared" si="525"/>
        <v>45437.208333333336</v>
      </c>
      <c r="W554">
        <f t="shared" si="526"/>
        <v>18.2</v>
      </c>
      <c r="X554">
        <f t="shared" si="527"/>
        <v>21.9</v>
      </c>
      <c r="Y554">
        <f t="shared" si="528"/>
        <v>14.3</v>
      </c>
      <c r="Z554">
        <f t="shared" si="529"/>
        <v>19.2</v>
      </c>
      <c r="BA554" t="s">
        <v>6</v>
      </c>
    </row>
    <row r="555" spans="1:53" x14ac:dyDescent="0.2">
      <c r="A555" s="1">
        <v>45437</v>
      </c>
      <c r="B555" s="2">
        <v>0.25</v>
      </c>
      <c r="C555" s="6">
        <v>45437.25</v>
      </c>
      <c r="D555">
        <v>55.4</v>
      </c>
      <c r="E555">
        <v>60.3</v>
      </c>
      <c r="F555">
        <v>51.8</v>
      </c>
      <c r="G555" t="s">
        <v>6</v>
      </c>
      <c r="H555">
        <v>17.5</v>
      </c>
      <c r="I555">
        <v>23</v>
      </c>
      <c r="J555">
        <v>14.4</v>
      </c>
      <c r="K555" t="s">
        <v>6</v>
      </c>
      <c r="L555">
        <v>227</v>
      </c>
      <c r="M555" t="s">
        <v>6</v>
      </c>
      <c r="O555" s="6">
        <f t="shared" si="520"/>
        <v>45437.25</v>
      </c>
      <c r="P555">
        <f t="shared" si="521"/>
        <v>55.4</v>
      </c>
      <c r="Q555">
        <f t="shared" si="522"/>
        <v>60.3</v>
      </c>
      <c r="R555">
        <f t="shared" si="523"/>
        <v>51.8</v>
      </c>
      <c r="S555">
        <f t="shared" si="524"/>
        <v>56.4</v>
      </c>
      <c r="V555" s="6">
        <f t="shared" si="525"/>
        <v>45437.25</v>
      </c>
      <c r="W555">
        <f t="shared" si="526"/>
        <v>17.5</v>
      </c>
      <c r="X555">
        <f t="shared" si="527"/>
        <v>23</v>
      </c>
      <c r="Y555">
        <f t="shared" si="528"/>
        <v>14.4</v>
      </c>
      <c r="Z555">
        <f t="shared" si="529"/>
        <v>18.5</v>
      </c>
      <c r="BA555" t="s">
        <v>6</v>
      </c>
    </row>
    <row r="556" spans="1:53" x14ac:dyDescent="0.2">
      <c r="A556" s="1">
        <v>45437</v>
      </c>
      <c r="B556" s="2">
        <v>0.29166666666666669</v>
      </c>
      <c r="C556" s="6">
        <v>45437.291666666664</v>
      </c>
      <c r="D556">
        <v>54.5</v>
      </c>
      <c r="E556">
        <v>58.6</v>
      </c>
      <c r="F556">
        <v>50.8</v>
      </c>
      <c r="G556" t="s">
        <v>6</v>
      </c>
      <c r="H556">
        <v>18.100000000000001</v>
      </c>
      <c r="I556">
        <v>27.3</v>
      </c>
      <c r="J556">
        <v>15.1</v>
      </c>
      <c r="K556" t="s">
        <v>6</v>
      </c>
      <c r="L556">
        <v>213</v>
      </c>
      <c r="M556" t="s">
        <v>6</v>
      </c>
      <c r="O556" s="6">
        <f t="shared" si="520"/>
        <v>45437.291666666664</v>
      </c>
      <c r="P556">
        <f t="shared" si="521"/>
        <v>54.5</v>
      </c>
      <c r="Q556">
        <f t="shared" si="522"/>
        <v>58.6</v>
      </c>
      <c r="R556">
        <f t="shared" si="523"/>
        <v>50.8</v>
      </c>
      <c r="S556">
        <f t="shared" si="524"/>
        <v>55.5</v>
      </c>
      <c r="V556" s="6">
        <f t="shared" si="525"/>
        <v>45437.291666666664</v>
      </c>
      <c r="W556">
        <f t="shared" si="526"/>
        <v>18.100000000000001</v>
      </c>
      <c r="X556">
        <f t="shared" si="527"/>
        <v>27.3</v>
      </c>
      <c r="Y556">
        <f t="shared" si="528"/>
        <v>15.1</v>
      </c>
      <c r="Z556">
        <f t="shared" si="529"/>
        <v>19.100000000000001</v>
      </c>
      <c r="BA556" t="s">
        <v>6</v>
      </c>
    </row>
    <row r="557" spans="1:53" x14ac:dyDescent="0.2">
      <c r="A557" s="14">
        <v>45437</v>
      </c>
      <c r="B557" s="7">
        <v>0.33333333333333331</v>
      </c>
      <c r="C557" s="8">
        <v>45437.333333333336</v>
      </c>
      <c r="D557" s="9">
        <v>59.1</v>
      </c>
      <c r="E557" s="9">
        <v>65.400000000000006</v>
      </c>
      <c r="F557" s="9">
        <v>53.9</v>
      </c>
      <c r="G557" s="9" t="s">
        <v>6</v>
      </c>
      <c r="H557" s="9">
        <v>17</v>
      </c>
      <c r="I557" s="9">
        <v>20.8</v>
      </c>
      <c r="J557" s="9">
        <v>13</v>
      </c>
      <c r="K557" s="9" t="s">
        <v>6</v>
      </c>
      <c r="L557" s="9">
        <v>218</v>
      </c>
      <c r="M557" t="s">
        <v>6</v>
      </c>
      <c r="O557" s="6">
        <f t="shared" si="520"/>
        <v>45437.333333333336</v>
      </c>
      <c r="P557">
        <f t="shared" si="521"/>
        <v>59.1</v>
      </c>
      <c r="Q557">
        <f t="shared" si="522"/>
        <v>65.400000000000006</v>
      </c>
      <c r="R557">
        <f t="shared" si="523"/>
        <v>53.9</v>
      </c>
      <c r="S557">
        <f t="shared" si="524"/>
        <v>60.1</v>
      </c>
      <c r="V557" s="6">
        <f t="shared" si="525"/>
        <v>45437.333333333336</v>
      </c>
      <c r="W557">
        <f t="shared" si="526"/>
        <v>17</v>
      </c>
      <c r="X557">
        <f t="shared" si="527"/>
        <v>20.8</v>
      </c>
      <c r="Y557">
        <f t="shared" si="528"/>
        <v>13</v>
      </c>
      <c r="Z557">
        <f t="shared" si="529"/>
        <v>18</v>
      </c>
      <c r="BA557" t="s">
        <v>6</v>
      </c>
    </row>
    <row r="558" spans="1:53" x14ac:dyDescent="0.2">
      <c r="A558" s="13">
        <v>45437</v>
      </c>
      <c r="B558" s="3">
        <v>0.375</v>
      </c>
      <c r="C558" s="4">
        <v>45437.375</v>
      </c>
      <c r="D558" s="5">
        <v>59.5</v>
      </c>
      <c r="E558" s="5">
        <v>68.900000000000006</v>
      </c>
      <c r="F558" s="5">
        <v>52.1</v>
      </c>
      <c r="G558" s="5" t="s">
        <v>6</v>
      </c>
      <c r="H558" s="5">
        <v>17.7</v>
      </c>
      <c r="I558" s="5">
        <v>23.5</v>
      </c>
      <c r="J558" s="5">
        <v>14.5</v>
      </c>
      <c r="K558" s="5" t="s">
        <v>6</v>
      </c>
      <c r="L558" s="5">
        <v>180</v>
      </c>
      <c r="M558" t="s">
        <v>6</v>
      </c>
      <c r="O558" s="6">
        <f t="shared" si="520"/>
        <v>45437.375</v>
      </c>
      <c r="P558">
        <f t="shared" si="521"/>
        <v>59.5</v>
      </c>
      <c r="Q558">
        <f t="shared" si="522"/>
        <v>68.900000000000006</v>
      </c>
      <c r="R558">
        <f t="shared" si="523"/>
        <v>52.1</v>
      </c>
      <c r="S558">
        <f t="shared" si="524"/>
        <v>60.5</v>
      </c>
      <c r="V558" s="6">
        <f t="shared" si="525"/>
        <v>45437.375</v>
      </c>
      <c r="W558">
        <f t="shared" si="526"/>
        <v>17.7</v>
      </c>
      <c r="X558">
        <f t="shared" si="527"/>
        <v>23.5</v>
      </c>
      <c r="Y558">
        <f t="shared" si="528"/>
        <v>14.5</v>
      </c>
      <c r="Z558">
        <f t="shared" si="529"/>
        <v>18.7</v>
      </c>
      <c r="BA558" t="s">
        <v>6</v>
      </c>
    </row>
    <row r="559" spans="1:53" x14ac:dyDescent="0.2">
      <c r="A559" s="1">
        <v>45437</v>
      </c>
      <c r="B559" s="2">
        <v>0.41666666666666669</v>
      </c>
      <c r="C559" s="6">
        <v>45437.416666666664</v>
      </c>
      <c r="D559">
        <v>59.5</v>
      </c>
      <c r="E559">
        <v>64.8</v>
      </c>
      <c r="F559">
        <v>54</v>
      </c>
      <c r="G559" t="s">
        <v>6</v>
      </c>
      <c r="H559">
        <v>19</v>
      </c>
      <c r="I559">
        <v>21.9</v>
      </c>
      <c r="J559">
        <v>15.9</v>
      </c>
      <c r="K559" t="s">
        <v>6</v>
      </c>
      <c r="L559">
        <v>227</v>
      </c>
      <c r="M559" t="s">
        <v>6</v>
      </c>
      <c r="O559" s="6">
        <f t="shared" si="520"/>
        <v>45437.416666666664</v>
      </c>
      <c r="P559">
        <f t="shared" si="521"/>
        <v>59.5</v>
      </c>
      <c r="Q559">
        <f t="shared" si="522"/>
        <v>64.8</v>
      </c>
      <c r="R559">
        <f t="shared" si="523"/>
        <v>54</v>
      </c>
      <c r="S559">
        <f t="shared" si="524"/>
        <v>60.5</v>
      </c>
      <c r="V559" s="6">
        <f t="shared" si="525"/>
        <v>45437.416666666664</v>
      </c>
      <c r="W559">
        <f t="shared" si="526"/>
        <v>19</v>
      </c>
      <c r="X559">
        <f t="shared" si="527"/>
        <v>21.9</v>
      </c>
      <c r="Y559">
        <f t="shared" si="528"/>
        <v>15.9</v>
      </c>
      <c r="Z559">
        <f t="shared" si="529"/>
        <v>20</v>
      </c>
      <c r="BA559" t="s">
        <v>6</v>
      </c>
    </row>
    <row r="560" spans="1:53" x14ac:dyDescent="0.2">
      <c r="A560" s="1">
        <v>45437</v>
      </c>
      <c r="B560" s="2">
        <v>0.45833333333333331</v>
      </c>
      <c r="C560" s="6">
        <v>45437.458333333336</v>
      </c>
      <c r="D560">
        <v>59.2</v>
      </c>
      <c r="E560">
        <v>63.6</v>
      </c>
      <c r="F560">
        <v>54.6</v>
      </c>
      <c r="G560" t="s">
        <v>6</v>
      </c>
      <c r="H560">
        <v>20</v>
      </c>
      <c r="I560">
        <v>23.5</v>
      </c>
      <c r="J560">
        <v>14.7</v>
      </c>
      <c r="K560" t="s">
        <v>6</v>
      </c>
      <c r="L560">
        <v>181</v>
      </c>
      <c r="M560" t="s">
        <v>6</v>
      </c>
      <c r="O560" s="6">
        <f t="shared" si="520"/>
        <v>45437.458333333336</v>
      </c>
      <c r="P560">
        <f t="shared" si="521"/>
        <v>59.2</v>
      </c>
      <c r="Q560">
        <f t="shared" si="522"/>
        <v>63.6</v>
      </c>
      <c r="R560">
        <f t="shared" si="523"/>
        <v>54.6</v>
      </c>
      <c r="S560">
        <f t="shared" si="524"/>
        <v>60.2</v>
      </c>
      <c r="V560" s="6">
        <f t="shared" si="525"/>
        <v>45437.458333333336</v>
      </c>
      <c r="W560">
        <f t="shared" si="526"/>
        <v>20</v>
      </c>
      <c r="X560">
        <f t="shared" si="527"/>
        <v>23.5</v>
      </c>
      <c r="Y560">
        <f t="shared" si="528"/>
        <v>14.7</v>
      </c>
      <c r="Z560">
        <f t="shared" si="529"/>
        <v>21</v>
      </c>
      <c r="BA560" t="s">
        <v>6</v>
      </c>
    </row>
    <row r="561" spans="1:53" x14ac:dyDescent="0.2">
      <c r="A561" s="1">
        <v>45437</v>
      </c>
      <c r="B561" s="2">
        <v>0.5</v>
      </c>
      <c r="C561" s="6">
        <v>45437.5</v>
      </c>
      <c r="D561">
        <v>57.1</v>
      </c>
      <c r="E561">
        <v>62.3</v>
      </c>
      <c r="F561">
        <v>53.2</v>
      </c>
      <c r="G561" t="s">
        <v>6</v>
      </c>
      <c r="H561">
        <v>18.5</v>
      </c>
      <c r="I561">
        <v>21.3</v>
      </c>
      <c r="J561">
        <v>13.9</v>
      </c>
      <c r="K561" t="s">
        <v>6</v>
      </c>
      <c r="L561">
        <v>204</v>
      </c>
      <c r="M561" t="s">
        <v>6</v>
      </c>
      <c r="O561" s="6">
        <f t="shared" si="520"/>
        <v>45437.5</v>
      </c>
      <c r="P561">
        <f t="shared" si="521"/>
        <v>57.1</v>
      </c>
      <c r="Q561">
        <f t="shared" si="522"/>
        <v>62.3</v>
      </c>
      <c r="R561">
        <f t="shared" si="523"/>
        <v>53.2</v>
      </c>
      <c r="S561">
        <f t="shared" si="524"/>
        <v>58.1</v>
      </c>
      <c r="V561" s="6">
        <f t="shared" si="525"/>
        <v>45437.5</v>
      </c>
      <c r="W561">
        <f t="shared" si="526"/>
        <v>18.5</v>
      </c>
      <c r="X561">
        <f t="shared" si="527"/>
        <v>21.3</v>
      </c>
      <c r="Y561">
        <f t="shared" si="528"/>
        <v>13.9</v>
      </c>
      <c r="Z561">
        <f t="shared" si="529"/>
        <v>19.5</v>
      </c>
      <c r="BA561" t="s">
        <v>6</v>
      </c>
    </row>
    <row r="562" spans="1:53" x14ac:dyDescent="0.2">
      <c r="A562" s="1">
        <v>45437</v>
      </c>
      <c r="B562" s="2">
        <v>0.54166666666666663</v>
      </c>
      <c r="C562" s="6">
        <v>45437.541666666664</v>
      </c>
      <c r="D562">
        <v>57.6</v>
      </c>
      <c r="E562">
        <v>63.7</v>
      </c>
      <c r="F562">
        <v>53.9</v>
      </c>
      <c r="G562" t="s">
        <v>6</v>
      </c>
      <c r="H562">
        <v>19.100000000000001</v>
      </c>
      <c r="I562">
        <v>22.3</v>
      </c>
      <c r="J562">
        <v>15.8</v>
      </c>
      <c r="K562" t="s">
        <v>6</v>
      </c>
      <c r="L562">
        <v>181</v>
      </c>
      <c r="M562" t="s">
        <v>6</v>
      </c>
      <c r="O562" s="6">
        <f t="shared" si="520"/>
        <v>45437.541666666664</v>
      </c>
      <c r="P562">
        <f t="shared" si="521"/>
        <v>57.6</v>
      </c>
      <c r="Q562">
        <f t="shared" si="522"/>
        <v>63.7</v>
      </c>
      <c r="R562">
        <f t="shared" si="523"/>
        <v>53.9</v>
      </c>
      <c r="S562">
        <f t="shared" si="524"/>
        <v>58.6</v>
      </c>
      <c r="V562" s="6">
        <f t="shared" si="525"/>
        <v>45437.541666666664</v>
      </c>
      <c r="W562">
        <f t="shared" si="526"/>
        <v>19.100000000000001</v>
      </c>
      <c r="X562">
        <f t="shared" si="527"/>
        <v>22.3</v>
      </c>
      <c r="Y562">
        <f t="shared" si="528"/>
        <v>15.8</v>
      </c>
      <c r="Z562">
        <f t="shared" si="529"/>
        <v>20.100000000000001</v>
      </c>
      <c r="BA562" t="s">
        <v>6</v>
      </c>
    </row>
    <row r="563" spans="1:53" x14ac:dyDescent="0.2">
      <c r="A563" s="1">
        <v>45437</v>
      </c>
      <c r="B563" s="2">
        <v>0.58333333333333337</v>
      </c>
      <c r="C563" s="6">
        <v>45437.583333333336</v>
      </c>
      <c r="D563">
        <v>58.9</v>
      </c>
      <c r="E563">
        <v>63.8</v>
      </c>
      <c r="F563">
        <v>54.3</v>
      </c>
      <c r="G563" t="s">
        <v>6</v>
      </c>
      <c r="H563">
        <v>19.2</v>
      </c>
      <c r="I563">
        <v>22.5</v>
      </c>
      <c r="J563">
        <v>15.6</v>
      </c>
      <c r="K563" t="s">
        <v>6</v>
      </c>
      <c r="L563">
        <v>223</v>
      </c>
      <c r="M563" t="s">
        <v>6</v>
      </c>
      <c r="O563" s="6">
        <f t="shared" si="520"/>
        <v>45437.583333333336</v>
      </c>
      <c r="P563">
        <f t="shared" si="521"/>
        <v>58.9</v>
      </c>
      <c r="Q563">
        <f t="shared" si="522"/>
        <v>63.8</v>
      </c>
      <c r="R563">
        <f t="shared" si="523"/>
        <v>54.3</v>
      </c>
      <c r="S563">
        <f t="shared" si="524"/>
        <v>59.9</v>
      </c>
      <c r="V563" s="6">
        <f t="shared" si="525"/>
        <v>45437.583333333336</v>
      </c>
      <c r="W563">
        <f t="shared" si="526"/>
        <v>19.2</v>
      </c>
      <c r="X563">
        <f t="shared" si="527"/>
        <v>22.5</v>
      </c>
      <c r="Y563">
        <f t="shared" si="528"/>
        <v>15.6</v>
      </c>
      <c r="Z563">
        <f t="shared" si="529"/>
        <v>20.2</v>
      </c>
      <c r="BA563" t="s">
        <v>6</v>
      </c>
    </row>
    <row r="564" spans="1:53" x14ac:dyDescent="0.2">
      <c r="A564" s="1">
        <v>45437</v>
      </c>
      <c r="B564" s="2">
        <v>0.625</v>
      </c>
      <c r="C564" s="6">
        <v>45437.625</v>
      </c>
      <c r="D564">
        <v>55</v>
      </c>
      <c r="E564">
        <v>62.9</v>
      </c>
      <c r="F564">
        <v>50.2</v>
      </c>
      <c r="G564" t="s">
        <v>6</v>
      </c>
      <c r="H564">
        <v>19.5</v>
      </c>
      <c r="I564">
        <v>23.6</v>
      </c>
      <c r="J564">
        <v>16.100000000000001</v>
      </c>
      <c r="K564" t="s">
        <v>6</v>
      </c>
      <c r="L564">
        <v>187</v>
      </c>
      <c r="M564" t="s">
        <v>6</v>
      </c>
      <c r="O564" s="6">
        <f t="shared" si="520"/>
        <v>45437.625</v>
      </c>
      <c r="P564">
        <f t="shared" si="521"/>
        <v>55</v>
      </c>
      <c r="Q564">
        <f t="shared" si="522"/>
        <v>62.9</v>
      </c>
      <c r="R564">
        <f t="shared" si="523"/>
        <v>50.2</v>
      </c>
      <c r="S564">
        <f t="shared" si="524"/>
        <v>56</v>
      </c>
      <c r="V564" s="6">
        <f t="shared" si="525"/>
        <v>45437.625</v>
      </c>
      <c r="W564">
        <f t="shared" si="526"/>
        <v>19.5</v>
      </c>
      <c r="X564">
        <f t="shared" si="527"/>
        <v>23.6</v>
      </c>
      <c r="Y564">
        <f t="shared" si="528"/>
        <v>16.100000000000001</v>
      </c>
      <c r="Z564">
        <f t="shared" si="529"/>
        <v>20.5</v>
      </c>
      <c r="BA564" t="s">
        <v>6</v>
      </c>
    </row>
    <row r="565" spans="1:53" x14ac:dyDescent="0.2">
      <c r="A565" s="1">
        <v>45437</v>
      </c>
      <c r="B565" s="2">
        <v>0.66666666666666663</v>
      </c>
      <c r="C565" s="6">
        <v>45437.666666666664</v>
      </c>
      <c r="D565">
        <v>54.8</v>
      </c>
      <c r="E565">
        <v>60.7</v>
      </c>
      <c r="F565">
        <v>48.3</v>
      </c>
      <c r="G565" t="s">
        <v>6</v>
      </c>
      <c r="H565">
        <v>19.7</v>
      </c>
      <c r="I565">
        <v>22.7</v>
      </c>
      <c r="J565">
        <v>16.5</v>
      </c>
      <c r="K565" t="s">
        <v>6</v>
      </c>
      <c r="L565">
        <v>215</v>
      </c>
      <c r="M565" t="s">
        <v>6</v>
      </c>
      <c r="O565" s="6">
        <f t="shared" si="520"/>
        <v>45437.666666666664</v>
      </c>
      <c r="P565">
        <f t="shared" si="521"/>
        <v>54.8</v>
      </c>
      <c r="Q565">
        <f t="shared" si="522"/>
        <v>60.7</v>
      </c>
      <c r="R565">
        <f t="shared" si="523"/>
        <v>48.3</v>
      </c>
      <c r="S565">
        <f t="shared" si="524"/>
        <v>55.8</v>
      </c>
      <c r="V565" s="6">
        <f t="shared" si="525"/>
        <v>45437.666666666664</v>
      </c>
      <c r="W565">
        <f t="shared" si="526"/>
        <v>19.7</v>
      </c>
      <c r="X565">
        <f t="shared" si="527"/>
        <v>22.7</v>
      </c>
      <c r="Y565">
        <f t="shared" si="528"/>
        <v>16.5</v>
      </c>
      <c r="Z565">
        <f t="shared" si="529"/>
        <v>20.7</v>
      </c>
      <c r="BA565" t="s">
        <v>6</v>
      </c>
    </row>
    <row r="566" spans="1:53" x14ac:dyDescent="0.2">
      <c r="A566" s="1">
        <v>45437</v>
      </c>
      <c r="B566" s="2">
        <v>0.70833333333333337</v>
      </c>
      <c r="C566" s="6">
        <v>45437.708333333336</v>
      </c>
      <c r="D566">
        <v>55.9</v>
      </c>
      <c r="E566">
        <v>59.8</v>
      </c>
      <c r="F566">
        <v>50.7</v>
      </c>
      <c r="G566" t="s">
        <v>6</v>
      </c>
      <c r="H566">
        <v>19.600000000000001</v>
      </c>
      <c r="I566">
        <v>23.5</v>
      </c>
      <c r="J566">
        <v>15.3</v>
      </c>
      <c r="K566" t="s">
        <v>6</v>
      </c>
      <c r="L566">
        <v>186</v>
      </c>
      <c r="M566" t="s">
        <v>6</v>
      </c>
      <c r="O566" s="6">
        <f t="shared" si="520"/>
        <v>45437.708333333336</v>
      </c>
      <c r="P566">
        <f t="shared" si="521"/>
        <v>55.9</v>
      </c>
      <c r="Q566">
        <f t="shared" si="522"/>
        <v>59.8</v>
      </c>
      <c r="R566">
        <f t="shared" si="523"/>
        <v>50.7</v>
      </c>
      <c r="S566">
        <f t="shared" si="524"/>
        <v>56.9</v>
      </c>
      <c r="V566" s="6">
        <f t="shared" si="525"/>
        <v>45437.708333333336</v>
      </c>
      <c r="W566">
        <f t="shared" si="526"/>
        <v>19.600000000000001</v>
      </c>
      <c r="X566">
        <f t="shared" si="527"/>
        <v>23.5</v>
      </c>
      <c r="Y566">
        <f t="shared" si="528"/>
        <v>15.3</v>
      </c>
      <c r="Z566">
        <f t="shared" si="529"/>
        <v>20.6</v>
      </c>
      <c r="BA566" t="s">
        <v>6</v>
      </c>
    </row>
    <row r="567" spans="1:53" x14ac:dyDescent="0.2">
      <c r="A567" s="1">
        <v>45437</v>
      </c>
      <c r="B567" s="2">
        <v>0.75</v>
      </c>
      <c r="C567" s="6">
        <v>45437.75</v>
      </c>
      <c r="D567">
        <v>54.6</v>
      </c>
      <c r="E567">
        <v>61.1</v>
      </c>
      <c r="F567">
        <v>46.6</v>
      </c>
      <c r="G567" t="s">
        <v>6</v>
      </c>
      <c r="H567">
        <v>20.5</v>
      </c>
      <c r="I567">
        <v>23.6</v>
      </c>
      <c r="J567">
        <v>16.5</v>
      </c>
      <c r="K567" t="s">
        <v>6</v>
      </c>
      <c r="L567">
        <v>211</v>
      </c>
      <c r="M567" t="s">
        <v>6</v>
      </c>
      <c r="O567" s="6">
        <f t="shared" si="520"/>
        <v>45437.75</v>
      </c>
      <c r="P567">
        <f t="shared" si="521"/>
        <v>54.6</v>
      </c>
      <c r="Q567">
        <f t="shared" si="522"/>
        <v>61.1</v>
      </c>
      <c r="R567">
        <f t="shared" si="523"/>
        <v>46.6</v>
      </c>
      <c r="S567">
        <f t="shared" si="524"/>
        <v>55.6</v>
      </c>
      <c r="V567" s="6">
        <f t="shared" si="525"/>
        <v>45437.75</v>
      </c>
      <c r="W567">
        <f t="shared" si="526"/>
        <v>20.5</v>
      </c>
      <c r="X567">
        <f t="shared" si="527"/>
        <v>23.6</v>
      </c>
      <c r="Y567">
        <f t="shared" si="528"/>
        <v>16.5</v>
      </c>
      <c r="Z567">
        <f t="shared" si="529"/>
        <v>21.5</v>
      </c>
      <c r="BA567" t="s">
        <v>6</v>
      </c>
    </row>
    <row r="568" spans="1:53" x14ac:dyDescent="0.2">
      <c r="A568" s="1">
        <v>45437</v>
      </c>
      <c r="B568" s="2">
        <v>0.79166666666666663</v>
      </c>
      <c r="C568" s="6">
        <v>45437.791666666664</v>
      </c>
      <c r="D568">
        <v>55.1</v>
      </c>
      <c r="E568">
        <v>64.8</v>
      </c>
      <c r="F568">
        <v>49.1</v>
      </c>
      <c r="G568" t="s">
        <v>6</v>
      </c>
      <c r="H568">
        <v>18.5</v>
      </c>
      <c r="I568">
        <v>21.8</v>
      </c>
      <c r="J568">
        <v>13.4</v>
      </c>
      <c r="K568" t="s">
        <v>6</v>
      </c>
      <c r="L568">
        <v>218</v>
      </c>
      <c r="M568" t="s">
        <v>6</v>
      </c>
      <c r="O568" s="6">
        <f t="shared" si="520"/>
        <v>45437.791666666664</v>
      </c>
      <c r="P568">
        <f t="shared" si="521"/>
        <v>55.1</v>
      </c>
      <c r="Q568">
        <f t="shared" si="522"/>
        <v>64.8</v>
      </c>
      <c r="R568">
        <f t="shared" si="523"/>
        <v>49.1</v>
      </c>
      <c r="S568">
        <f t="shared" si="524"/>
        <v>56.1</v>
      </c>
      <c r="V568" s="6">
        <f t="shared" si="525"/>
        <v>45437.791666666664</v>
      </c>
      <c r="W568">
        <f t="shared" si="526"/>
        <v>18.5</v>
      </c>
      <c r="X568">
        <f t="shared" si="527"/>
        <v>21.8</v>
      </c>
      <c r="Y568">
        <f t="shared" si="528"/>
        <v>13.4</v>
      </c>
      <c r="Z568">
        <f t="shared" si="529"/>
        <v>19.5</v>
      </c>
      <c r="BA568" t="s">
        <v>6</v>
      </c>
    </row>
    <row r="569" spans="1:53" x14ac:dyDescent="0.2">
      <c r="A569" s="1">
        <v>45437</v>
      </c>
      <c r="B569" s="2">
        <v>0.83333333333333337</v>
      </c>
      <c r="C569" s="6">
        <v>45437.833333333336</v>
      </c>
      <c r="D569">
        <v>60.9</v>
      </c>
      <c r="E569">
        <v>67.599999999999994</v>
      </c>
      <c r="F569">
        <v>57.2</v>
      </c>
      <c r="G569" t="s">
        <v>6</v>
      </c>
      <c r="H569">
        <v>20</v>
      </c>
      <c r="I569">
        <v>25.9</v>
      </c>
      <c r="J569">
        <v>15.5</v>
      </c>
      <c r="K569" t="s">
        <v>6</v>
      </c>
      <c r="L569">
        <v>194</v>
      </c>
      <c r="M569" t="s">
        <v>6</v>
      </c>
      <c r="O569" s="6">
        <f t="shared" si="520"/>
        <v>45437.833333333336</v>
      </c>
      <c r="P569">
        <f t="shared" si="521"/>
        <v>60.9</v>
      </c>
      <c r="Q569">
        <f t="shared" si="522"/>
        <v>67.599999999999994</v>
      </c>
      <c r="R569">
        <f t="shared" si="523"/>
        <v>57.2</v>
      </c>
      <c r="S569">
        <f t="shared" si="524"/>
        <v>61.9</v>
      </c>
      <c r="V569" s="6">
        <f t="shared" si="525"/>
        <v>45437.833333333336</v>
      </c>
      <c r="W569">
        <f t="shared" si="526"/>
        <v>20</v>
      </c>
      <c r="X569">
        <f t="shared" si="527"/>
        <v>25.9</v>
      </c>
      <c r="Y569">
        <f t="shared" si="528"/>
        <v>15.5</v>
      </c>
      <c r="Z569">
        <f t="shared" si="529"/>
        <v>21</v>
      </c>
      <c r="BA569" t="s">
        <v>6</v>
      </c>
    </row>
    <row r="570" spans="1:53" x14ac:dyDescent="0.2">
      <c r="A570" s="1">
        <v>45437</v>
      </c>
      <c r="B570" s="2">
        <v>0.875</v>
      </c>
      <c r="C570" s="6">
        <v>45437.875</v>
      </c>
      <c r="D570">
        <v>60.2</v>
      </c>
      <c r="E570">
        <v>70.400000000000006</v>
      </c>
      <c r="F570">
        <v>53.1</v>
      </c>
      <c r="G570" t="s">
        <v>6</v>
      </c>
      <c r="H570">
        <v>20.9</v>
      </c>
      <c r="I570">
        <v>25.3</v>
      </c>
      <c r="J570">
        <v>15.1</v>
      </c>
      <c r="K570" t="s">
        <v>6</v>
      </c>
      <c r="L570">
        <v>149</v>
      </c>
      <c r="M570" t="s">
        <v>6</v>
      </c>
      <c r="O570" s="6">
        <f t="shared" si="520"/>
        <v>45437.875</v>
      </c>
      <c r="P570">
        <f t="shared" si="521"/>
        <v>60.2</v>
      </c>
      <c r="Q570">
        <f t="shared" si="522"/>
        <v>70.400000000000006</v>
      </c>
      <c r="R570">
        <f t="shared" si="523"/>
        <v>53.1</v>
      </c>
      <c r="S570">
        <f t="shared" si="524"/>
        <v>61.2</v>
      </c>
      <c r="V570" s="6">
        <f t="shared" si="525"/>
        <v>45437.875</v>
      </c>
      <c r="W570">
        <f t="shared" si="526"/>
        <v>20.9</v>
      </c>
      <c r="X570">
        <f t="shared" si="527"/>
        <v>25.3</v>
      </c>
      <c r="Y570">
        <f t="shared" si="528"/>
        <v>15.1</v>
      </c>
      <c r="Z570">
        <f t="shared" si="529"/>
        <v>21.9</v>
      </c>
      <c r="BA570" t="s">
        <v>6</v>
      </c>
    </row>
    <row r="571" spans="1:53" x14ac:dyDescent="0.2">
      <c r="A571" s="1">
        <v>45438</v>
      </c>
      <c r="B571" s="2">
        <v>0.29166666666666669</v>
      </c>
      <c r="C571" s="6">
        <v>45438.291666666664</v>
      </c>
      <c r="D571">
        <v>69.3</v>
      </c>
      <c r="E571">
        <v>79.7</v>
      </c>
      <c r="F571">
        <v>61.6</v>
      </c>
      <c r="G571" t="s">
        <v>6</v>
      </c>
      <c r="H571">
        <v>19.600000000000001</v>
      </c>
      <c r="I571">
        <v>22.7</v>
      </c>
      <c r="J571">
        <v>15.2</v>
      </c>
      <c r="K571" t="s">
        <v>6</v>
      </c>
      <c r="L571">
        <v>131</v>
      </c>
      <c r="M571" t="s">
        <v>6</v>
      </c>
      <c r="O571" s="6">
        <f t="shared" si="520"/>
        <v>45438.291666666664</v>
      </c>
      <c r="P571">
        <f t="shared" si="521"/>
        <v>69.3</v>
      </c>
      <c r="Q571">
        <f t="shared" si="522"/>
        <v>79.7</v>
      </c>
      <c r="R571">
        <f t="shared" si="523"/>
        <v>61.6</v>
      </c>
      <c r="S571">
        <f t="shared" si="524"/>
        <v>70.3</v>
      </c>
      <c r="V571" s="6">
        <f t="shared" si="525"/>
        <v>45438.291666666664</v>
      </c>
      <c r="W571">
        <f t="shared" si="526"/>
        <v>19.600000000000001</v>
      </c>
      <c r="X571">
        <f t="shared" si="527"/>
        <v>22.7</v>
      </c>
      <c r="Y571">
        <f t="shared" si="528"/>
        <v>15.2</v>
      </c>
      <c r="Z571">
        <f t="shared" si="529"/>
        <v>20.6</v>
      </c>
      <c r="BA571" t="s">
        <v>6</v>
      </c>
    </row>
    <row r="572" spans="1:53" x14ac:dyDescent="0.2">
      <c r="A572" s="14">
        <v>45438</v>
      </c>
      <c r="B572" s="7">
        <v>0.33333333333333331</v>
      </c>
      <c r="C572" s="8">
        <v>45438.333333333336</v>
      </c>
      <c r="D572" s="9">
        <v>69.5</v>
      </c>
      <c r="E572" s="9">
        <v>80.2</v>
      </c>
      <c r="F572" s="9">
        <v>57.6</v>
      </c>
      <c r="G572" s="9" t="s">
        <v>6</v>
      </c>
      <c r="H572" s="9">
        <v>18.3</v>
      </c>
      <c r="I572" s="9">
        <v>20.9</v>
      </c>
      <c r="J572" s="9">
        <v>15.4</v>
      </c>
      <c r="K572" s="9" t="s">
        <v>6</v>
      </c>
      <c r="L572" s="9">
        <v>226</v>
      </c>
      <c r="M572" t="s">
        <v>6</v>
      </c>
      <c r="O572" s="6">
        <f t="shared" si="520"/>
        <v>45438.333333333336</v>
      </c>
      <c r="P572">
        <f t="shared" si="521"/>
        <v>69.5</v>
      </c>
      <c r="Q572">
        <f t="shared" si="522"/>
        <v>80.2</v>
      </c>
      <c r="R572">
        <f t="shared" si="523"/>
        <v>57.6</v>
      </c>
      <c r="S572">
        <f t="shared" si="524"/>
        <v>70.5</v>
      </c>
      <c r="V572" s="6">
        <f t="shared" si="525"/>
        <v>45438.333333333336</v>
      </c>
      <c r="W572">
        <f t="shared" si="526"/>
        <v>18.3</v>
      </c>
      <c r="X572">
        <f t="shared" si="527"/>
        <v>20.9</v>
      </c>
      <c r="Y572">
        <f t="shared" si="528"/>
        <v>15.4</v>
      </c>
      <c r="Z572">
        <f t="shared" si="529"/>
        <v>19.3</v>
      </c>
      <c r="BA572" t="s">
        <v>6</v>
      </c>
    </row>
    <row r="573" spans="1:53" x14ac:dyDescent="0.2">
      <c r="A573" s="13">
        <v>45438</v>
      </c>
      <c r="B573" s="3">
        <v>0.375</v>
      </c>
      <c r="C573" s="4">
        <v>45438.375</v>
      </c>
      <c r="D573" s="5">
        <v>67.900000000000006</v>
      </c>
      <c r="E573" s="5">
        <v>79.5</v>
      </c>
      <c r="F573" s="5">
        <v>60.6</v>
      </c>
      <c r="G573" s="5" t="s">
        <v>6</v>
      </c>
      <c r="H573" s="5">
        <v>18.8</v>
      </c>
      <c r="I573" s="5">
        <v>23.8</v>
      </c>
      <c r="J573" s="5">
        <v>14.1</v>
      </c>
      <c r="K573" s="5" t="s">
        <v>6</v>
      </c>
      <c r="L573" s="5">
        <v>194</v>
      </c>
      <c r="M573" t="s">
        <v>6</v>
      </c>
      <c r="O573" s="6">
        <f t="shared" si="520"/>
        <v>45438.375</v>
      </c>
      <c r="P573">
        <f t="shared" si="521"/>
        <v>67.900000000000006</v>
      </c>
      <c r="Q573">
        <f t="shared" si="522"/>
        <v>79.5</v>
      </c>
      <c r="R573">
        <f t="shared" si="523"/>
        <v>60.6</v>
      </c>
      <c r="S573">
        <f t="shared" si="524"/>
        <v>68.900000000000006</v>
      </c>
      <c r="V573" s="6">
        <f t="shared" si="525"/>
        <v>45438.375</v>
      </c>
      <c r="W573">
        <f t="shared" si="526"/>
        <v>18.8</v>
      </c>
      <c r="X573">
        <f t="shared" si="527"/>
        <v>23.8</v>
      </c>
      <c r="Y573">
        <f t="shared" si="528"/>
        <v>14.1</v>
      </c>
      <c r="Z573">
        <f t="shared" si="529"/>
        <v>19.8</v>
      </c>
      <c r="BA573" t="s">
        <v>6</v>
      </c>
    </row>
    <row r="574" spans="1:53" x14ac:dyDescent="0.2">
      <c r="A574" s="1">
        <v>45438</v>
      </c>
      <c r="B574" s="2">
        <v>0.41666666666666669</v>
      </c>
      <c r="C574" s="6">
        <v>45438.416666666664</v>
      </c>
      <c r="D574">
        <v>63.2</v>
      </c>
      <c r="E574">
        <v>69.400000000000006</v>
      </c>
      <c r="F574">
        <v>58.8</v>
      </c>
      <c r="G574" t="s">
        <v>6</v>
      </c>
      <c r="H574">
        <v>18.5</v>
      </c>
      <c r="I574">
        <v>20.8</v>
      </c>
      <c r="J574">
        <v>14.4</v>
      </c>
      <c r="K574" t="s">
        <v>6</v>
      </c>
      <c r="L574">
        <v>209</v>
      </c>
      <c r="M574" t="s">
        <v>6</v>
      </c>
      <c r="O574" s="6">
        <f t="shared" si="520"/>
        <v>45438.416666666664</v>
      </c>
      <c r="P574">
        <f t="shared" si="521"/>
        <v>63.2</v>
      </c>
      <c r="Q574">
        <f t="shared" si="522"/>
        <v>69.400000000000006</v>
      </c>
      <c r="R574">
        <f t="shared" si="523"/>
        <v>58.8</v>
      </c>
      <c r="S574">
        <f t="shared" si="524"/>
        <v>64.2</v>
      </c>
      <c r="V574" s="6">
        <f t="shared" si="525"/>
        <v>45438.416666666664</v>
      </c>
      <c r="W574">
        <f t="shared" si="526"/>
        <v>18.5</v>
      </c>
      <c r="X574">
        <f t="shared" si="527"/>
        <v>20.8</v>
      </c>
      <c r="Y574">
        <f t="shared" si="528"/>
        <v>14.4</v>
      </c>
      <c r="Z574">
        <f t="shared" si="529"/>
        <v>19.5</v>
      </c>
      <c r="BA574" t="s">
        <v>6</v>
      </c>
    </row>
    <row r="575" spans="1:53" x14ac:dyDescent="0.2">
      <c r="A575" s="1">
        <v>45438</v>
      </c>
      <c r="B575" s="2">
        <v>0.45833333333333331</v>
      </c>
      <c r="C575" s="6">
        <v>45438.458333333336</v>
      </c>
      <c r="D575">
        <v>63.7</v>
      </c>
      <c r="E575">
        <v>69.900000000000006</v>
      </c>
      <c r="F575">
        <v>56.4</v>
      </c>
      <c r="G575" t="s">
        <v>6</v>
      </c>
      <c r="H575">
        <v>19.8</v>
      </c>
      <c r="I575">
        <v>23.7</v>
      </c>
      <c r="J575">
        <v>16.100000000000001</v>
      </c>
      <c r="K575" t="s">
        <v>6</v>
      </c>
      <c r="L575">
        <v>194</v>
      </c>
      <c r="M575" t="s">
        <v>6</v>
      </c>
      <c r="O575" s="6">
        <f t="shared" si="520"/>
        <v>45438.458333333336</v>
      </c>
      <c r="P575">
        <f t="shared" si="521"/>
        <v>63.7</v>
      </c>
      <c r="Q575">
        <f t="shared" si="522"/>
        <v>69.900000000000006</v>
      </c>
      <c r="R575">
        <f t="shared" si="523"/>
        <v>56.4</v>
      </c>
      <c r="S575">
        <f t="shared" si="524"/>
        <v>64.7</v>
      </c>
      <c r="V575" s="6">
        <f t="shared" si="525"/>
        <v>45438.458333333336</v>
      </c>
      <c r="W575">
        <f t="shared" si="526"/>
        <v>19.8</v>
      </c>
      <c r="X575">
        <f t="shared" si="527"/>
        <v>23.7</v>
      </c>
      <c r="Y575">
        <f t="shared" si="528"/>
        <v>16.100000000000001</v>
      </c>
      <c r="Z575">
        <f t="shared" si="529"/>
        <v>20.8</v>
      </c>
      <c r="BA575" t="s">
        <v>6</v>
      </c>
    </row>
    <row r="576" spans="1:53" x14ac:dyDescent="0.2">
      <c r="A576" s="1">
        <v>45438</v>
      </c>
      <c r="B576" s="2">
        <v>0.5</v>
      </c>
      <c r="C576" s="6">
        <v>45438.5</v>
      </c>
      <c r="D576">
        <v>58.3</v>
      </c>
      <c r="E576">
        <v>67.599999999999994</v>
      </c>
      <c r="F576">
        <v>52.9</v>
      </c>
      <c r="G576" t="s">
        <v>6</v>
      </c>
      <c r="H576">
        <v>19.899999999999999</v>
      </c>
      <c r="I576">
        <v>22.9</v>
      </c>
      <c r="J576">
        <v>16.8</v>
      </c>
      <c r="K576" t="s">
        <v>6</v>
      </c>
      <c r="L576">
        <v>210</v>
      </c>
      <c r="M576" t="s">
        <v>6</v>
      </c>
      <c r="O576" s="6">
        <f t="shared" ref="O576:O639" si="530">C576</f>
        <v>45438.5</v>
      </c>
      <c r="P576">
        <f t="shared" ref="P576:P639" si="531">D576</f>
        <v>58.3</v>
      </c>
      <c r="Q576">
        <f t="shared" ref="Q576:Q639" si="532">E576</f>
        <v>67.599999999999994</v>
      </c>
      <c r="R576">
        <f t="shared" ref="R576:R639" si="533">F576</f>
        <v>52.9</v>
      </c>
      <c r="S576">
        <f t="shared" ref="S576:S639" si="534">P576+1</f>
        <v>59.3</v>
      </c>
      <c r="V576" s="6">
        <f t="shared" ref="V576:V639" si="535">O576</f>
        <v>45438.5</v>
      </c>
      <c r="W576">
        <f t="shared" ref="W576:W639" si="536">H576</f>
        <v>19.899999999999999</v>
      </c>
      <c r="X576">
        <f t="shared" ref="X576:X639" si="537">I576</f>
        <v>22.9</v>
      </c>
      <c r="Y576">
        <f t="shared" ref="Y576:Y639" si="538">J576</f>
        <v>16.8</v>
      </c>
      <c r="Z576">
        <f t="shared" ref="Z576:Z639" si="539">W576+1</f>
        <v>20.9</v>
      </c>
      <c r="BA576" t="s">
        <v>6</v>
      </c>
    </row>
    <row r="577" spans="1:53" x14ac:dyDescent="0.2">
      <c r="A577" s="1">
        <v>45438</v>
      </c>
      <c r="B577" s="2">
        <v>0.54166666666666663</v>
      </c>
      <c r="C577" s="6">
        <v>45438.541666666664</v>
      </c>
      <c r="D577">
        <v>61.4</v>
      </c>
      <c r="E577">
        <v>67.5</v>
      </c>
      <c r="F577">
        <v>57.4</v>
      </c>
      <c r="G577" t="s">
        <v>6</v>
      </c>
      <c r="H577">
        <v>19.399999999999999</v>
      </c>
      <c r="I577">
        <v>22.5</v>
      </c>
      <c r="J577">
        <v>14.4</v>
      </c>
      <c r="K577" t="s">
        <v>6</v>
      </c>
      <c r="L577">
        <v>184</v>
      </c>
      <c r="M577" t="s">
        <v>6</v>
      </c>
      <c r="O577" s="6">
        <f t="shared" si="530"/>
        <v>45438.541666666664</v>
      </c>
      <c r="P577">
        <f t="shared" si="531"/>
        <v>61.4</v>
      </c>
      <c r="Q577">
        <f t="shared" si="532"/>
        <v>67.5</v>
      </c>
      <c r="R577">
        <f t="shared" si="533"/>
        <v>57.4</v>
      </c>
      <c r="S577">
        <f t="shared" si="534"/>
        <v>62.4</v>
      </c>
      <c r="V577" s="6">
        <f t="shared" si="535"/>
        <v>45438.541666666664</v>
      </c>
      <c r="W577">
        <f t="shared" si="536"/>
        <v>19.399999999999999</v>
      </c>
      <c r="X577">
        <f t="shared" si="537"/>
        <v>22.5</v>
      </c>
      <c r="Y577">
        <f t="shared" si="538"/>
        <v>14.4</v>
      </c>
      <c r="Z577">
        <f t="shared" si="539"/>
        <v>20.399999999999999</v>
      </c>
      <c r="BA577" t="s">
        <v>6</v>
      </c>
    </row>
    <row r="578" spans="1:53" x14ac:dyDescent="0.2">
      <c r="A578" s="1">
        <v>45438</v>
      </c>
      <c r="B578" s="2">
        <v>0.58333333333333337</v>
      </c>
      <c r="C578" s="6">
        <v>45438.583333333336</v>
      </c>
      <c r="D578">
        <v>60.7</v>
      </c>
      <c r="E578">
        <v>67.3</v>
      </c>
      <c r="F578">
        <v>55.4</v>
      </c>
      <c r="G578" t="s">
        <v>6</v>
      </c>
      <c r="H578">
        <v>20</v>
      </c>
      <c r="I578">
        <v>25.3</v>
      </c>
      <c r="J578">
        <v>15.9</v>
      </c>
      <c r="K578" t="s">
        <v>6</v>
      </c>
      <c r="L578">
        <v>219</v>
      </c>
      <c r="M578" t="s">
        <v>6</v>
      </c>
      <c r="O578" s="6">
        <f t="shared" si="530"/>
        <v>45438.583333333336</v>
      </c>
      <c r="P578">
        <f t="shared" si="531"/>
        <v>60.7</v>
      </c>
      <c r="Q578">
        <f t="shared" si="532"/>
        <v>67.3</v>
      </c>
      <c r="R578">
        <f t="shared" si="533"/>
        <v>55.4</v>
      </c>
      <c r="S578">
        <f t="shared" si="534"/>
        <v>61.7</v>
      </c>
      <c r="V578" s="6">
        <f t="shared" si="535"/>
        <v>45438.583333333336</v>
      </c>
      <c r="W578">
        <f t="shared" si="536"/>
        <v>20</v>
      </c>
      <c r="X578">
        <f t="shared" si="537"/>
        <v>25.3</v>
      </c>
      <c r="Y578">
        <f t="shared" si="538"/>
        <v>15.9</v>
      </c>
      <c r="Z578">
        <f t="shared" si="539"/>
        <v>21</v>
      </c>
      <c r="BA578" t="s">
        <v>6</v>
      </c>
    </row>
    <row r="579" spans="1:53" x14ac:dyDescent="0.2">
      <c r="A579" s="1">
        <v>45438</v>
      </c>
      <c r="B579" s="2">
        <v>0.625</v>
      </c>
      <c r="C579" s="6">
        <v>45438.625</v>
      </c>
      <c r="D579">
        <v>59.7</v>
      </c>
      <c r="E579">
        <v>66.099999999999994</v>
      </c>
      <c r="F579">
        <v>54.5</v>
      </c>
      <c r="G579" t="s">
        <v>6</v>
      </c>
      <c r="H579">
        <v>20</v>
      </c>
      <c r="I579">
        <v>22.9</v>
      </c>
      <c r="J579">
        <v>16</v>
      </c>
      <c r="K579" t="s">
        <v>6</v>
      </c>
      <c r="L579">
        <v>207</v>
      </c>
      <c r="M579" t="s">
        <v>6</v>
      </c>
      <c r="O579" s="6">
        <f t="shared" si="530"/>
        <v>45438.625</v>
      </c>
      <c r="P579">
        <f t="shared" si="531"/>
        <v>59.7</v>
      </c>
      <c r="Q579">
        <f t="shared" si="532"/>
        <v>66.099999999999994</v>
      </c>
      <c r="R579">
        <f t="shared" si="533"/>
        <v>54.5</v>
      </c>
      <c r="S579">
        <f t="shared" si="534"/>
        <v>60.7</v>
      </c>
      <c r="V579" s="6">
        <f t="shared" si="535"/>
        <v>45438.625</v>
      </c>
      <c r="W579">
        <f t="shared" si="536"/>
        <v>20</v>
      </c>
      <c r="X579">
        <f t="shared" si="537"/>
        <v>22.9</v>
      </c>
      <c r="Y579">
        <f t="shared" si="538"/>
        <v>16</v>
      </c>
      <c r="Z579">
        <f t="shared" si="539"/>
        <v>21</v>
      </c>
      <c r="BA579" t="s">
        <v>6</v>
      </c>
    </row>
    <row r="580" spans="1:53" x14ac:dyDescent="0.2">
      <c r="A580" s="1">
        <v>45438</v>
      </c>
      <c r="B580" s="2">
        <v>0.66666666666666663</v>
      </c>
      <c r="C580" s="6">
        <v>45438.666666666664</v>
      </c>
      <c r="D580">
        <v>61.7</v>
      </c>
      <c r="E580">
        <v>66</v>
      </c>
      <c r="F580">
        <v>58.1</v>
      </c>
      <c r="G580" t="s">
        <v>6</v>
      </c>
      <c r="H580">
        <v>19.8</v>
      </c>
      <c r="I580">
        <v>28.6</v>
      </c>
      <c r="J580">
        <v>16.399999999999999</v>
      </c>
      <c r="K580" t="s">
        <v>6</v>
      </c>
      <c r="L580">
        <v>190</v>
      </c>
      <c r="M580" t="s">
        <v>6</v>
      </c>
      <c r="O580" s="6">
        <f t="shared" si="530"/>
        <v>45438.666666666664</v>
      </c>
      <c r="P580">
        <f t="shared" si="531"/>
        <v>61.7</v>
      </c>
      <c r="Q580">
        <f t="shared" si="532"/>
        <v>66</v>
      </c>
      <c r="R580">
        <f t="shared" si="533"/>
        <v>58.1</v>
      </c>
      <c r="S580">
        <f t="shared" si="534"/>
        <v>62.7</v>
      </c>
      <c r="V580" s="6">
        <f t="shared" si="535"/>
        <v>45438.666666666664</v>
      </c>
      <c r="W580">
        <f t="shared" si="536"/>
        <v>19.8</v>
      </c>
      <c r="X580">
        <f t="shared" si="537"/>
        <v>28.6</v>
      </c>
      <c r="Y580">
        <f t="shared" si="538"/>
        <v>16.399999999999999</v>
      </c>
      <c r="Z580">
        <f t="shared" si="539"/>
        <v>20.8</v>
      </c>
      <c r="BA580" t="s">
        <v>6</v>
      </c>
    </row>
    <row r="581" spans="1:53" x14ac:dyDescent="0.2">
      <c r="A581" s="1">
        <v>45438</v>
      </c>
      <c r="B581" s="2">
        <v>0.70833333333333337</v>
      </c>
      <c r="C581" s="6">
        <v>45438.708333333336</v>
      </c>
      <c r="D581">
        <v>60.8</v>
      </c>
      <c r="E581">
        <v>64.8</v>
      </c>
      <c r="F581">
        <v>55.7</v>
      </c>
      <c r="G581" t="s">
        <v>6</v>
      </c>
      <c r="H581">
        <v>19.7</v>
      </c>
      <c r="I581">
        <v>22.7</v>
      </c>
      <c r="J581">
        <v>14.3</v>
      </c>
      <c r="K581" t="s">
        <v>6</v>
      </c>
      <c r="L581">
        <v>210</v>
      </c>
      <c r="M581" t="s">
        <v>6</v>
      </c>
      <c r="O581" s="6">
        <f t="shared" si="530"/>
        <v>45438.708333333336</v>
      </c>
      <c r="P581">
        <f t="shared" si="531"/>
        <v>60.8</v>
      </c>
      <c r="Q581">
        <f t="shared" si="532"/>
        <v>64.8</v>
      </c>
      <c r="R581">
        <f t="shared" si="533"/>
        <v>55.7</v>
      </c>
      <c r="S581">
        <f t="shared" si="534"/>
        <v>61.8</v>
      </c>
      <c r="V581" s="6">
        <f t="shared" si="535"/>
        <v>45438.708333333336</v>
      </c>
      <c r="W581">
        <f t="shared" si="536"/>
        <v>19.7</v>
      </c>
      <c r="X581">
        <f t="shared" si="537"/>
        <v>22.7</v>
      </c>
      <c r="Y581">
        <f t="shared" si="538"/>
        <v>14.3</v>
      </c>
      <c r="Z581">
        <f t="shared" si="539"/>
        <v>20.7</v>
      </c>
      <c r="BA581" t="s">
        <v>6</v>
      </c>
    </row>
    <row r="582" spans="1:53" x14ac:dyDescent="0.2">
      <c r="A582" s="1">
        <v>45438</v>
      </c>
      <c r="B582" s="2">
        <v>0.75</v>
      </c>
      <c r="C582" s="6">
        <v>45438.75</v>
      </c>
      <c r="D582">
        <v>55.8</v>
      </c>
      <c r="E582">
        <v>64.2</v>
      </c>
      <c r="F582">
        <v>51.8</v>
      </c>
      <c r="G582" t="s">
        <v>6</v>
      </c>
      <c r="H582">
        <v>20.6</v>
      </c>
      <c r="I582">
        <v>24.2</v>
      </c>
      <c r="J582">
        <v>15.6</v>
      </c>
      <c r="K582" t="s">
        <v>6</v>
      </c>
      <c r="L582">
        <v>201</v>
      </c>
      <c r="M582" t="s">
        <v>6</v>
      </c>
      <c r="O582" s="6">
        <f t="shared" si="530"/>
        <v>45438.75</v>
      </c>
      <c r="P582">
        <f t="shared" si="531"/>
        <v>55.8</v>
      </c>
      <c r="Q582">
        <f t="shared" si="532"/>
        <v>64.2</v>
      </c>
      <c r="R582">
        <f t="shared" si="533"/>
        <v>51.8</v>
      </c>
      <c r="S582">
        <f t="shared" si="534"/>
        <v>56.8</v>
      </c>
      <c r="V582" s="6">
        <f t="shared" si="535"/>
        <v>45438.75</v>
      </c>
      <c r="W582">
        <f t="shared" si="536"/>
        <v>20.6</v>
      </c>
      <c r="X582">
        <f t="shared" si="537"/>
        <v>24.2</v>
      </c>
      <c r="Y582">
        <f t="shared" si="538"/>
        <v>15.6</v>
      </c>
      <c r="Z582">
        <f t="shared" si="539"/>
        <v>21.6</v>
      </c>
      <c r="BA582" t="s">
        <v>6</v>
      </c>
    </row>
    <row r="583" spans="1:53" x14ac:dyDescent="0.2">
      <c r="A583" s="1">
        <v>45438</v>
      </c>
      <c r="B583" s="2">
        <v>0.79166666666666663</v>
      </c>
      <c r="C583" s="6">
        <v>45438.791666666664</v>
      </c>
      <c r="D583">
        <v>61.6</v>
      </c>
      <c r="E583">
        <v>65.900000000000006</v>
      </c>
      <c r="F583">
        <v>55.2</v>
      </c>
      <c r="G583" t="s">
        <v>6</v>
      </c>
      <c r="H583">
        <v>20.3</v>
      </c>
      <c r="I583">
        <v>22.6</v>
      </c>
      <c r="J583">
        <v>18.100000000000001</v>
      </c>
      <c r="K583" t="s">
        <v>6</v>
      </c>
      <c r="L583">
        <v>226</v>
      </c>
      <c r="M583" t="s">
        <v>6</v>
      </c>
      <c r="O583" s="6">
        <f t="shared" si="530"/>
        <v>45438.791666666664</v>
      </c>
      <c r="P583">
        <f t="shared" si="531"/>
        <v>61.6</v>
      </c>
      <c r="Q583">
        <f t="shared" si="532"/>
        <v>65.900000000000006</v>
      </c>
      <c r="R583">
        <f t="shared" si="533"/>
        <v>55.2</v>
      </c>
      <c r="S583">
        <f t="shared" si="534"/>
        <v>62.6</v>
      </c>
      <c r="V583" s="6">
        <f t="shared" si="535"/>
        <v>45438.791666666664</v>
      </c>
      <c r="W583">
        <f t="shared" si="536"/>
        <v>20.3</v>
      </c>
      <c r="X583">
        <f t="shared" si="537"/>
        <v>22.6</v>
      </c>
      <c r="Y583">
        <f t="shared" si="538"/>
        <v>18.100000000000001</v>
      </c>
      <c r="Z583">
        <f t="shared" si="539"/>
        <v>21.3</v>
      </c>
      <c r="BA583" t="s">
        <v>6</v>
      </c>
    </row>
    <row r="584" spans="1:53" x14ac:dyDescent="0.2">
      <c r="A584" s="1">
        <v>45438</v>
      </c>
      <c r="B584" s="2">
        <v>0.83333333333333337</v>
      </c>
      <c r="C584" s="6">
        <v>45438.833333333336</v>
      </c>
      <c r="D584">
        <v>64.5</v>
      </c>
      <c r="E584">
        <v>66.3</v>
      </c>
      <c r="F584">
        <v>59.6</v>
      </c>
      <c r="G584" t="s">
        <v>6</v>
      </c>
      <c r="H584">
        <v>20.8</v>
      </c>
      <c r="I584">
        <v>24.3</v>
      </c>
      <c r="J584">
        <v>18.7</v>
      </c>
      <c r="K584" t="s">
        <v>6</v>
      </c>
      <c r="L584">
        <v>142</v>
      </c>
      <c r="M584" t="s">
        <v>6</v>
      </c>
      <c r="O584" s="6">
        <f t="shared" si="530"/>
        <v>45438.833333333336</v>
      </c>
      <c r="P584">
        <f t="shared" si="531"/>
        <v>64.5</v>
      </c>
      <c r="Q584">
        <f t="shared" si="532"/>
        <v>66.3</v>
      </c>
      <c r="R584">
        <f t="shared" si="533"/>
        <v>59.6</v>
      </c>
      <c r="S584">
        <f t="shared" si="534"/>
        <v>65.5</v>
      </c>
      <c r="V584" s="6">
        <f t="shared" si="535"/>
        <v>45438.833333333336</v>
      </c>
      <c r="W584">
        <f t="shared" si="536"/>
        <v>20.8</v>
      </c>
      <c r="X584">
        <f t="shared" si="537"/>
        <v>24.3</v>
      </c>
      <c r="Y584">
        <f t="shared" si="538"/>
        <v>18.7</v>
      </c>
      <c r="Z584">
        <f t="shared" si="539"/>
        <v>21.8</v>
      </c>
      <c r="BA584" t="s">
        <v>6</v>
      </c>
    </row>
    <row r="585" spans="1:53" x14ac:dyDescent="0.2">
      <c r="A585" s="1">
        <v>45439</v>
      </c>
      <c r="B585" s="2">
        <v>0.29166666666666669</v>
      </c>
      <c r="C585" s="6">
        <v>45439.291666666664</v>
      </c>
      <c r="D585">
        <v>62.5</v>
      </c>
      <c r="E585">
        <v>64.5</v>
      </c>
      <c r="F585">
        <v>59.3</v>
      </c>
      <c r="G585" t="s">
        <v>6</v>
      </c>
      <c r="H585">
        <v>20.6</v>
      </c>
      <c r="I585">
        <v>26</v>
      </c>
      <c r="J585">
        <v>15.3</v>
      </c>
      <c r="K585" t="s">
        <v>6</v>
      </c>
      <c r="L585">
        <v>66</v>
      </c>
      <c r="M585" t="s">
        <v>6</v>
      </c>
      <c r="O585" s="6">
        <f t="shared" si="530"/>
        <v>45439.291666666664</v>
      </c>
      <c r="P585">
        <f t="shared" si="531"/>
        <v>62.5</v>
      </c>
      <c r="Q585">
        <f t="shared" si="532"/>
        <v>64.5</v>
      </c>
      <c r="R585">
        <f t="shared" si="533"/>
        <v>59.3</v>
      </c>
      <c r="S585">
        <f t="shared" si="534"/>
        <v>63.5</v>
      </c>
      <c r="V585" s="6">
        <f t="shared" si="535"/>
        <v>45439.291666666664</v>
      </c>
      <c r="W585">
        <f t="shared" si="536"/>
        <v>20.6</v>
      </c>
      <c r="X585">
        <f t="shared" si="537"/>
        <v>26</v>
      </c>
      <c r="Y585">
        <f t="shared" si="538"/>
        <v>15.3</v>
      </c>
      <c r="Z585">
        <f t="shared" si="539"/>
        <v>21.6</v>
      </c>
      <c r="BA585" t="s">
        <v>6</v>
      </c>
    </row>
    <row r="586" spans="1:53" x14ac:dyDescent="0.2">
      <c r="A586" s="14">
        <v>45439</v>
      </c>
      <c r="B586" s="7">
        <v>0.33333333333333331</v>
      </c>
      <c r="C586" s="8">
        <v>45439.333333333336</v>
      </c>
      <c r="D586" s="9">
        <v>56.6</v>
      </c>
      <c r="E586" s="9">
        <v>61.7</v>
      </c>
      <c r="F586" s="9">
        <v>53</v>
      </c>
      <c r="G586" s="9" t="s">
        <v>6</v>
      </c>
      <c r="H586" s="9">
        <v>17.7</v>
      </c>
      <c r="I586" s="9">
        <v>20.100000000000001</v>
      </c>
      <c r="J586" s="9">
        <v>13.5</v>
      </c>
      <c r="K586" s="9" t="s">
        <v>6</v>
      </c>
      <c r="L586" s="9">
        <v>219</v>
      </c>
      <c r="M586" t="s">
        <v>6</v>
      </c>
      <c r="O586" s="6">
        <f t="shared" si="530"/>
        <v>45439.333333333336</v>
      </c>
      <c r="P586">
        <f t="shared" si="531"/>
        <v>56.6</v>
      </c>
      <c r="Q586">
        <f t="shared" si="532"/>
        <v>61.7</v>
      </c>
      <c r="R586">
        <f t="shared" si="533"/>
        <v>53</v>
      </c>
      <c r="S586">
        <f t="shared" si="534"/>
        <v>57.6</v>
      </c>
      <c r="V586" s="6">
        <f t="shared" si="535"/>
        <v>45439.333333333336</v>
      </c>
      <c r="W586">
        <f t="shared" si="536"/>
        <v>17.7</v>
      </c>
      <c r="X586">
        <f t="shared" si="537"/>
        <v>20.100000000000001</v>
      </c>
      <c r="Y586">
        <f t="shared" si="538"/>
        <v>13.5</v>
      </c>
      <c r="Z586">
        <f t="shared" si="539"/>
        <v>18.7</v>
      </c>
      <c r="BA586" t="s">
        <v>6</v>
      </c>
    </row>
    <row r="587" spans="1:53" x14ac:dyDescent="0.2">
      <c r="A587" s="13">
        <v>45439</v>
      </c>
      <c r="B587" s="3">
        <v>0.375</v>
      </c>
      <c r="C587" s="4">
        <v>45439.375</v>
      </c>
      <c r="D587" s="5">
        <v>68.099999999999994</v>
      </c>
      <c r="E587" s="5">
        <v>78.8</v>
      </c>
      <c r="F587" s="5">
        <v>54</v>
      </c>
      <c r="G587" s="5" t="s">
        <v>6</v>
      </c>
      <c r="H587" s="5">
        <v>18.3</v>
      </c>
      <c r="I587" s="5">
        <v>20.7</v>
      </c>
      <c r="J587" s="5">
        <v>15.6</v>
      </c>
      <c r="K587" s="5" t="s">
        <v>6</v>
      </c>
      <c r="L587" s="5">
        <v>221</v>
      </c>
      <c r="M587" t="s">
        <v>6</v>
      </c>
      <c r="O587" s="6">
        <f t="shared" si="530"/>
        <v>45439.375</v>
      </c>
      <c r="P587">
        <f t="shared" si="531"/>
        <v>68.099999999999994</v>
      </c>
      <c r="Q587">
        <f t="shared" si="532"/>
        <v>78.8</v>
      </c>
      <c r="R587">
        <f t="shared" si="533"/>
        <v>54</v>
      </c>
      <c r="S587">
        <f t="shared" si="534"/>
        <v>69.099999999999994</v>
      </c>
      <c r="V587" s="6">
        <f t="shared" si="535"/>
        <v>45439.375</v>
      </c>
      <c r="W587">
        <f t="shared" si="536"/>
        <v>18.3</v>
      </c>
      <c r="X587">
        <f t="shared" si="537"/>
        <v>20.7</v>
      </c>
      <c r="Y587">
        <f t="shared" si="538"/>
        <v>15.6</v>
      </c>
      <c r="Z587">
        <f t="shared" si="539"/>
        <v>19.3</v>
      </c>
      <c r="BA587" t="s">
        <v>6</v>
      </c>
    </row>
    <row r="588" spans="1:53" x14ac:dyDescent="0.2">
      <c r="A588" s="1">
        <v>45439</v>
      </c>
      <c r="B588" s="2">
        <v>0.41666666666666669</v>
      </c>
      <c r="C588" s="6">
        <v>45439.416666666664</v>
      </c>
      <c r="D588">
        <v>65.400000000000006</v>
      </c>
      <c r="E588">
        <v>74.400000000000006</v>
      </c>
      <c r="F588">
        <v>55.9</v>
      </c>
      <c r="G588" t="s">
        <v>6</v>
      </c>
      <c r="H588">
        <v>18.7</v>
      </c>
      <c r="I588">
        <v>22.4</v>
      </c>
      <c r="J588">
        <v>15.6</v>
      </c>
      <c r="K588" t="s">
        <v>6</v>
      </c>
      <c r="L588">
        <v>215</v>
      </c>
      <c r="M588" t="s">
        <v>6</v>
      </c>
      <c r="O588" s="6">
        <f t="shared" si="530"/>
        <v>45439.416666666664</v>
      </c>
      <c r="P588">
        <f t="shared" si="531"/>
        <v>65.400000000000006</v>
      </c>
      <c r="Q588">
        <f t="shared" si="532"/>
        <v>74.400000000000006</v>
      </c>
      <c r="R588">
        <f t="shared" si="533"/>
        <v>55.9</v>
      </c>
      <c r="S588">
        <f t="shared" si="534"/>
        <v>66.400000000000006</v>
      </c>
      <c r="V588" s="6">
        <f t="shared" si="535"/>
        <v>45439.416666666664</v>
      </c>
      <c r="W588">
        <f t="shared" si="536"/>
        <v>18.7</v>
      </c>
      <c r="X588">
        <f t="shared" si="537"/>
        <v>22.4</v>
      </c>
      <c r="Y588">
        <f t="shared" si="538"/>
        <v>15.6</v>
      </c>
      <c r="Z588">
        <f t="shared" si="539"/>
        <v>19.7</v>
      </c>
      <c r="BA588" t="s">
        <v>6</v>
      </c>
    </row>
    <row r="589" spans="1:53" x14ac:dyDescent="0.2">
      <c r="A589" s="1">
        <v>45439</v>
      </c>
      <c r="B589" s="2">
        <v>0.45833333333333331</v>
      </c>
      <c r="C589" s="6">
        <v>45439.458333333336</v>
      </c>
      <c r="D589">
        <v>57.5</v>
      </c>
      <c r="E589">
        <v>61.2</v>
      </c>
      <c r="F589">
        <v>53</v>
      </c>
      <c r="G589" t="s">
        <v>6</v>
      </c>
      <c r="H589">
        <v>19.5</v>
      </c>
      <c r="I589">
        <v>24.3</v>
      </c>
      <c r="J589">
        <v>14.6</v>
      </c>
      <c r="K589" t="s">
        <v>6</v>
      </c>
      <c r="L589">
        <v>125</v>
      </c>
      <c r="M589" t="s">
        <v>6</v>
      </c>
      <c r="O589" s="6">
        <f t="shared" si="530"/>
        <v>45439.458333333336</v>
      </c>
      <c r="P589">
        <f t="shared" si="531"/>
        <v>57.5</v>
      </c>
      <c r="Q589">
        <f t="shared" si="532"/>
        <v>61.2</v>
      </c>
      <c r="R589">
        <f t="shared" si="533"/>
        <v>53</v>
      </c>
      <c r="S589">
        <f t="shared" si="534"/>
        <v>58.5</v>
      </c>
      <c r="V589" s="6">
        <f t="shared" si="535"/>
        <v>45439.458333333336</v>
      </c>
      <c r="W589">
        <f t="shared" si="536"/>
        <v>19.5</v>
      </c>
      <c r="X589">
        <f t="shared" si="537"/>
        <v>24.3</v>
      </c>
      <c r="Y589">
        <f t="shared" si="538"/>
        <v>14.6</v>
      </c>
      <c r="Z589">
        <f t="shared" si="539"/>
        <v>20.5</v>
      </c>
      <c r="BA589" t="s">
        <v>6</v>
      </c>
    </row>
    <row r="590" spans="1:53" x14ac:dyDescent="0.2">
      <c r="A590" s="1">
        <v>45439</v>
      </c>
      <c r="B590" s="2">
        <v>0.5</v>
      </c>
      <c r="C590" s="6">
        <v>45439.5</v>
      </c>
      <c r="D590">
        <v>57.2</v>
      </c>
      <c r="E590">
        <v>66.900000000000006</v>
      </c>
      <c r="F590">
        <v>52.3</v>
      </c>
      <c r="G590" t="s">
        <v>6</v>
      </c>
      <c r="H590">
        <v>19.899999999999999</v>
      </c>
      <c r="I590">
        <v>23.9</v>
      </c>
      <c r="J590">
        <v>14.6</v>
      </c>
      <c r="K590" t="s">
        <v>6</v>
      </c>
      <c r="L590">
        <v>205</v>
      </c>
      <c r="M590" t="s">
        <v>6</v>
      </c>
      <c r="O590" s="6">
        <f t="shared" si="530"/>
        <v>45439.5</v>
      </c>
      <c r="P590">
        <f t="shared" si="531"/>
        <v>57.2</v>
      </c>
      <c r="Q590">
        <f t="shared" si="532"/>
        <v>66.900000000000006</v>
      </c>
      <c r="R590">
        <f t="shared" si="533"/>
        <v>52.3</v>
      </c>
      <c r="S590">
        <f t="shared" si="534"/>
        <v>58.2</v>
      </c>
      <c r="V590" s="6">
        <f t="shared" si="535"/>
        <v>45439.5</v>
      </c>
      <c r="W590">
        <f t="shared" si="536"/>
        <v>19.899999999999999</v>
      </c>
      <c r="X590">
        <f t="shared" si="537"/>
        <v>23.9</v>
      </c>
      <c r="Y590">
        <f t="shared" si="538"/>
        <v>14.6</v>
      </c>
      <c r="Z590">
        <f t="shared" si="539"/>
        <v>20.9</v>
      </c>
      <c r="BA590" t="s">
        <v>6</v>
      </c>
    </row>
    <row r="591" spans="1:53" x14ac:dyDescent="0.2">
      <c r="A591" s="1">
        <v>45439</v>
      </c>
      <c r="B591" s="2">
        <v>0.54166666666666663</v>
      </c>
      <c r="C591" s="6">
        <v>45439.541666666664</v>
      </c>
      <c r="D591">
        <v>62.7</v>
      </c>
      <c r="E591">
        <v>68.400000000000006</v>
      </c>
      <c r="F591">
        <v>57.8</v>
      </c>
      <c r="G591" t="s">
        <v>6</v>
      </c>
      <c r="H591">
        <v>19.5</v>
      </c>
      <c r="I591">
        <v>24.7</v>
      </c>
      <c r="J591">
        <v>14.9</v>
      </c>
      <c r="K591" t="s">
        <v>6</v>
      </c>
      <c r="L591">
        <v>226</v>
      </c>
      <c r="M591" t="s">
        <v>6</v>
      </c>
      <c r="O591" s="6">
        <f t="shared" si="530"/>
        <v>45439.541666666664</v>
      </c>
      <c r="P591">
        <f t="shared" si="531"/>
        <v>62.7</v>
      </c>
      <c r="Q591">
        <f t="shared" si="532"/>
        <v>68.400000000000006</v>
      </c>
      <c r="R591">
        <f t="shared" si="533"/>
        <v>57.8</v>
      </c>
      <c r="S591">
        <f t="shared" si="534"/>
        <v>63.7</v>
      </c>
      <c r="V591" s="6">
        <f t="shared" si="535"/>
        <v>45439.541666666664</v>
      </c>
      <c r="W591">
        <f t="shared" si="536"/>
        <v>19.5</v>
      </c>
      <c r="X591">
        <f t="shared" si="537"/>
        <v>24.7</v>
      </c>
      <c r="Y591">
        <f t="shared" si="538"/>
        <v>14.9</v>
      </c>
      <c r="Z591">
        <f t="shared" si="539"/>
        <v>20.5</v>
      </c>
      <c r="BA591" t="s">
        <v>6</v>
      </c>
    </row>
    <row r="592" spans="1:53" x14ac:dyDescent="0.2">
      <c r="A592" s="1">
        <v>45439</v>
      </c>
      <c r="B592" s="2">
        <v>0.58333333333333337</v>
      </c>
      <c r="C592" s="6">
        <v>45439.583333333336</v>
      </c>
      <c r="D592">
        <v>58.8</v>
      </c>
      <c r="E592">
        <v>68.599999999999994</v>
      </c>
      <c r="F592">
        <v>51.4</v>
      </c>
      <c r="G592" t="s">
        <v>6</v>
      </c>
      <c r="H592">
        <v>19.899999999999999</v>
      </c>
      <c r="I592">
        <v>33.4</v>
      </c>
      <c r="J592">
        <v>10.7</v>
      </c>
      <c r="K592" t="s">
        <v>6</v>
      </c>
      <c r="L592">
        <v>165</v>
      </c>
      <c r="M592" t="s">
        <v>6</v>
      </c>
      <c r="O592" s="6">
        <f t="shared" si="530"/>
        <v>45439.583333333336</v>
      </c>
      <c r="P592">
        <f t="shared" si="531"/>
        <v>58.8</v>
      </c>
      <c r="Q592">
        <f t="shared" si="532"/>
        <v>68.599999999999994</v>
      </c>
      <c r="R592">
        <f t="shared" si="533"/>
        <v>51.4</v>
      </c>
      <c r="S592">
        <f t="shared" si="534"/>
        <v>59.8</v>
      </c>
      <c r="V592" s="6">
        <f t="shared" si="535"/>
        <v>45439.583333333336</v>
      </c>
      <c r="W592">
        <f t="shared" si="536"/>
        <v>19.899999999999999</v>
      </c>
      <c r="X592">
        <f t="shared" si="537"/>
        <v>33.4</v>
      </c>
      <c r="Y592">
        <f t="shared" si="538"/>
        <v>10.7</v>
      </c>
      <c r="Z592">
        <f t="shared" si="539"/>
        <v>20.9</v>
      </c>
      <c r="BA592" t="s">
        <v>6</v>
      </c>
    </row>
    <row r="593" spans="1:53" x14ac:dyDescent="0.2">
      <c r="A593" s="1">
        <v>45439</v>
      </c>
      <c r="B593" s="2">
        <v>0.625</v>
      </c>
      <c r="C593" s="6">
        <v>45439.625</v>
      </c>
      <c r="D593">
        <v>62.7</v>
      </c>
      <c r="E593">
        <v>67.7</v>
      </c>
      <c r="F593">
        <v>56</v>
      </c>
      <c r="G593" t="s">
        <v>6</v>
      </c>
      <c r="H593">
        <v>20.8</v>
      </c>
      <c r="I593">
        <v>24.4</v>
      </c>
      <c r="J593">
        <v>16.2</v>
      </c>
      <c r="K593" t="s">
        <v>6</v>
      </c>
      <c r="L593">
        <v>218</v>
      </c>
      <c r="M593" t="s">
        <v>6</v>
      </c>
      <c r="O593" s="6">
        <f t="shared" si="530"/>
        <v>45439.625</v>
      </c>
      <c r="P593">
        <f t="shared" si="531"/>
        <v>62.7</v>
      </c>
      <c r="Q593">
        <f t="shared" si="532"/>
        <v>67.7</v>
      </c>
      <c r="R593">
        <f t="shared" si="533"/>
        <v>56</v>
      </c>
      <c r="S593">
        <f t="shared" si="534"/>
        <v>63.7</v>
      </c>
      <c r="V593" s="6">
        <f t="shared" si="535"/>
        <v>45439.625</v>
      </c>
      <c r="W593">
        <f t="shared" si="536"/>
        <v>20.8</v>
      </c>
      <c r="X593">
        <f t="shared" si="537"/>
        <v>24.4</v>
      </c>
      <c r="Y593">
        <f t="shared" si="538"/>
        <v>16.2</v>
      </c>
      <c r="Z593">
        <f t="shared" si="539"/>
        <v>21.8</v>
      </c>
      <c r="BA593" t="s">
        <v>6</v>
      </c>
    </row>
    <row r="594" spans="1:53" x14ac:dyDescent="0.2">
      <c r="A594" s="1">
        <v>45439</v>
      </c>
      <c r="B594" s="2">
        <v>0.66666666666666663</v>
      </c>
      <c r="C594" s="6">
        <v>45439.666666666664</v>
      </c>
      <c r="D594">
        <v>56.3</v>
      </c>
      <c r="E594">
        <v>60.7</v>
      </c>
      <c r="F594">
        <v>51.5</v>
      </c>
      <c r="G594" t="s">
        <v>6</v>
      </c>
      <c r="H594">
        <v>21.2</v>
      </c>
      <c r="I594">
        <v>24.9</v>
      </c>
      <c r="J594">
        <v>17.100000000000001</v>
      </c>
      <c r="K594" t="s">
        <v>6</v>
      </c>
      <c r="L594">
        <v>216</v>
      </c>
      <c r="M594" t="s">
        <v>6</v>
      </c>
      <c r="O594" s="6">
        <f t="shared" si="530"/>
        <v>45439.666666666664</v>
      </c>
      <c r="P594">
        <f t="shared" si="531"/>
        <v>56.3</v>
      </c>
      <c r="Q594">
        <f t="shared" si="532"/>
        <v>60.7</v>
      </c>
      <c r="R594">
        <f t="shared" si="533"/>
        <v>51.5</v>
      </c>
      <c r="S594">
        <f t="shared" si="534"/>
        <v>57.3</v>
      </c>
      <c r="V594" s="6">
        <f t="shared" si="535"/>
        <v>45439.666666666664</v>
      </c>
      <c r="W594">
        <f t="shared" si="536"/>
        <v>21.2</v>
      </c>
      <c r="X594">
        <f t="shared" si="537"/>
        <v>24.9</v>
      </c>
      <c r="Y594">
        <f t="shared" si="538"/>
        <v>17.100000000000001</v>
      </c>
      <c r="Z594">
        <f t="shared" si="539"/>
        <v>22.2</v>
      </c>
      <c r="BA594" t="s">
        <v>6</v>
      </c>
    </row>
    <row r="595" spans="1:53" x14ac:dyDescent="0.2">
      <c r="A595" s="1">
        <v>45439</v>
      </c>
      <c r="B595" s="2">
        <v>0.70833333333333337</v>
      </c>
      <c r="C595" s="6">
        <v>45439.708333333336</v>
      </c>
      <c r="D595">
        <v>53.9</v>
      </c>
      <c r="E595">
        <v>64.8</v>
      </c>
      <c r="F595">
        <v>48.1</v>
      </c>
      <c r="G595" t="s">
        <v>6</v>
      </c>
      <c r="H595">
        <v>21.2</v>
      </c>
      <c r="I595">
        <v>25.8</v>
      </c>
      <c r="J595">
        <v>17.5</v>
      </c>
      <c r="K595" t="s">
        <v>6</v>
      </c>
      <c r="L595">
        <v>154</v>
      </c>
      <c r="M595" t="s">
        <v>6</v>
      </c>
      <c r="O595" s="6">
        <f t="shared" si="530"/>
        <v>45439.708333333336</v>
      </c>
      <c r="P595">
        <f t="shared" si="531"/>
        <v>53.9</v>
      </c>
      <c r="Q595">
        <f t="shared" si="532"/>
        <v>64.8</v>
      </c>
      <c r="R595">
        <f t="shared" si="533"/>
        <v>48.1</v>
      </c>
      <c r="S595">
        <f t="shared" si="534"/>
        <v>54.9</v>
      </c>
      <c r="V595" s="6">
        <f t="shared" si="535"/>
        <v>45439.708333333336</v>
      </c>
      <c r="W595">
        <f t="shared" si="536"/>
        <v>21.2</v>
      </c>
      <c r="X595">
        <f t="shared" si="537"/>
        <v>25.8</v>
      </c>
      <c r="Y595">
        <f t="shared" si="538"/>
        <v>17.5</v>
      </c>
      <c r="Z595">
        <f t="shared" si="539"/>
        <v>22.2</v>
      </c>
      <c r="BA595" t="s">
        <v>6</v>
      </c>
    </row>
    <row r="596" spans="1:53" x14ac:dyDescent="0.2">
      <c r="A596" s="1">
        <v>45439</v>
      </c>
      <c r="B596" s="2">
        <v>0.75</v>
      </c>
      <c r="C596" s="6">
        <v>45439.75</v>
      </c>
      <c r="D596">
        <v>56.8</v>
      </c>
      <c r="E596">
        <v>64.099999999999994</v>
      </c>
      <c r="F596">
        <v>52.4</v>
      </c>
      <c r="G596" t="s">
        <v>6</v>
      </c>
      <c r="H596">
        <v>19.600000000000001</v>
      </c>
      <c r="I596">
        <v>23.2</v>
      </c>
      <c r="J596">
        <v>12</v>
      </c>
      <c r="K596" t="s">
        <v>6</v>
      </c>
      <c r="L596">
        <v>221</v>
      </c>
      <c r="M596" t="s">
        <v>6</v>
      </c>
      <c r="O596" s="6">
        <f t="shared" si="530"/>
        <v>45439.75</v>
      </c>
      <c r="P596">
        <f t="shared" si="531"/>
        <v>56.8</v>
      </c>
      <c r="Q596">
        <f t="shared" si="532"/>
        <v>64.099999999999994</v>
      </c>
      <c r="R596">
        <f t="shared" si="533"/>
        <v>52.4</v>
      </c>
      <c r="S596">
        <f t="shared" si="534"/>
        <v>57.8</v>
      </c>
      <c r="V596" s="6">
        <f t="shared" si="535"/>
        <v>45439.75</v>
      </c>
      <c r="W596">
        <f t="shared" si="536"/>
        <v>19.600000000000001</v>
      </c>
      <c r="X596">
        <f t="shared" si="537"/>
        <v>23.2</v>
      </c>
      <c r="Y596">
        <f t="shared" si="538"/>
        <v>12</v>
      </c>
      <c r="Z596">
        <f t="shared" si="539"/>
        <v>20.6</v>
      </c>
      <c r="BA596" t="s">
        <v>6</v>
      </c>
    </row>
    <row r="597" spans="1:53" x14ac:dyDescent="0.2">
      <c r="A597" s="1">
        <v>45439</v>
      </c>
      <c r="B597" s="2">
        <v>0.79166666666666663</v>
      </c>
      <c r="C597" s="6">
        <v>45439.791666666664</v>
      </c>
      <c r="D597">
        <v>51.2</v>
      </c>
      <c r="E597">
        <v>54.2</v>
      </c>
      <c r="F597">
        <v>48.5</v>
      </c>
      <c r="G597" t="s">
        <v>6</v>
      </c>
      <c r="H597">
        <v>19.600000000000001</v>
      </c>
      <c r="I597">
        <v>23.9</v>
      </c>
      <c r="J597">
        <v>15.4</v>
      </c>
      <c r="K597" t="s">
        <v>6</v>
      </c>
      <c r="L597">
        <v>204</v>
      </c>
      <c r="M597" t="s">
        <v>6</v>
      </c>
      <c r="O597" s="6">
        <f t="shared" si="530"/>
        <v>45439.791666666664</v>
      </c>
      <c r="P597">
        <f t="shared" si="531"/>
        <v>51.2</v>
      </c>
      <c r="Q597">
        <f t="shared" si="532"/>
        <v>54.2</v>
      </c>
      <c r="R597">
        <f t="shared" si="533"/>
        <v>48.5</v>
      </c>
      <c r="S597">
        <f t="shared" si="534"/>
        <v>52.2</v>
      </c>
      <c r="V597" s="6">
        <f t="shared" si="535"/>
        <v>45439.791666666664</v>
      </c>
      <c r="W597">
        <f t="shared" si="536"/>
        <v>19.600000000000001</v>
      </c>
      <c r="X597">
        <f t="shared" si="537"/>
        <v>23.9</v>
      </c>
      <c r="Y597">
        <f t="shared" si="538"/>
        <v>15.4</v>
      </c>
      <c r="Z597">
        <f t="shared" si="539"/>
        <v>20.6</v>
      </c>
      <c r="BA597" t="s">
        <v>6</v>
      </c>
    </row>
    <row r="598" spans="1:53" x14ac:dyDescent="0.2">
      <c r="A598" s="1">
        <v>45439</v>
      </c>
      <c r="B598" s="2">
        <v>0.83333333333333337</v>
      </c>
      <c r="C598" s="6">
        <v>45439.833333333336</v>
      </c>
      <c r="D598">
        <v>58.4</v>
      </c>
      <c r="E598">
        <v>73.5</v>
      </c>
      <c r="F598">
        <v>47.5</v>
      </c>
      <c r="G598" t="s">
        <v>6</v>
      </c>
      <c r="H598">
        <v>20.6</v>
      </c>
      <c r="I598">
        <v>26.1</v>
      </c>
      <c r="J598">
        <v>14.8</v>
      </c>
      <c r="K598" t="s">
        <v>6</v>
      </c>
      <c r="L598">
        <v>172</v>
      </c>
      <c r="M598" t="s">
        <v>6</v>
      </c>
      <c r="O598" s="6">
        <f t="shared" si="530"/>
        <v>45439.833333333336</v>
      </c>
      <c r="P598">
        <f t="shared" si="531"/>
        <v>58.4</v>
      </c>
      <c r="Q598">
        <f t="shared" si="532"/>
        <v>73.5</v>
      </c>
      <c r="R598">
        <f t="shared" si="533"/>
        <v>47.5</v>
      </c>
      <c r="S598">
        <f t="shared" si="534"/>
        <v>59.4</v>
      </c>
      <c r="V598" s="6">
        <f t="shared" si="535"/>
        <v>45439.833333333336</v>
      </c>
      <c r="W598">
        <f t="shared" si="536"/>
        <v>20.6</v>
      </c>
      <c r="X598">
        <f t="shared" si="537"/>
        <v>26.1</v>
      </c>
      <c r="Y598">
        <f t="shared" si="538"/>
        <v>14.8</v>
      </c>
      <c r="Z598">
        <f t="shared" si="539"/>
        <v>21.6</v>
      </c>
      <c r="BA598" t="s">
        <v>6</v>
      </c>
    </row>
    <row r="599" spans="1:53" x14ac:dyDescent="0.2">
      <c r="A599" s="1">
        <v>45439</v>
      </c>
      <c r="B599" s="2">
        <v>0.875</v>
      </c>
      <c r="C599" s="6">
        <v>45439.875</v>
      </c>
      <c r="D599">
        <v>65.7</v>
      </c>
      <c r="E599">
        <v>71.099999999999994</v>
      </c>
      <c r="F599">
        <v>60.5</v>
      </c>
      <c r="G599" t="s">
        <v>6</v>
      </c>
      <c r="H599">
        <v>21.5</v>
      </c>
      <c r="I599">
        <v>24.8</v>
      </c>
      <c r="J599">
        <v>18.5</v>
      </c>
      <c r="K599" t="s">
        <v>6</v>
      </c>
      <c r="L599">
        <v>163</v>
      </c>
      <c r="M599" t="s">
        <v>6</v>
      </c>
      <c r="O599" s="6">
        <f t="shared" si="530"/>
        <v>45439.875</v>
      </c>
      <c r="P599">
        <f t="shared" si="531"/>
        <v>65.7</v>
      </c>
      <c r="Q599">
        <f t="shared" si="532"/>
        <v>71.099999999999994</v>
      </c>
      <c r="R599">
        <f t="shared" si="533"/>
        <v>60.5</v>
      </c>
      <c r="S599">
        <f t="shared" si="534"/>
        <v>66.7</v>
      </c>
      <c r="V599" s="6">
        <f t="shared" si="535"/>
        <v>45439.875</v>
      </c>
      <c r="W599">
        <f t="shared" si="536"/>
        <v>21.5</v>
      </c>
      <c r="X599">
        <f t="shared" si="537"/>
        <v>24.8</v>
      </c>
      <c r="Y599">
        <f t="shared" si="538"/>
        <v>18.5</v>
      </c>
      <c r="Z599">
        <f t="shared" si="539"/>
        <v>22.5</v>
      </c>
      <c r="BA599" t="s">
        <v>6</v>
      </c>
    </row>
    <row r="600" spans="1:53" x14ac:dyDescent="0.2">
      <c r="A600" s="1">
        <v>45439</v>
      </c>
      <c r="B600" s="2">
        <v>0.91666666666666663</v>
      </c>
      <c r="C600" s="6">
        <v>45439.916666666664</v>
      </c>
      <c r="D600">
        <v>66.3</v>
      </c>
      <c r="E600">
        <v>70.900000000000006</v>
      </c>
      <c r="F600">
        <v>61.7</v>
      </c>
      <c r="G600" t="s">
        <v>6</v>
      </c>
      <c r="H600">
        <v>21.4</v>
      </c>
      <c r="I600">
        <v>24.2</v>
      </c>
      <c r="J600">
        <v>17.8</v>
      </c>
      <c r="K600" t="s">
        <v>6</v>
      </c>
      <c r="L600">
        <v>121</v>
      </c>
      <c r="M600" t="s">
        <v>6</v>
      </c>
      <c r="O600" s="6">
        <f t="shared" si="530"/>
        <v>45439.916666666664</v>
      </c>
      <c r="P600">
        <f t="shared" si="531"/>
        <v>66.3</v>
      </c>
      <c r="Q600">
        <f t="shared" si="532"/>
        <v>70.900000000000006</v>
      </c>
      <c r="R600">
        <f t="shared" si="533"/>
        <v>61.7</v>
      </c>
      <c r="S600">
        <f t="shared" si="534"/>
        <v>67.3</v>
      </c>
      <c r="V600" s="6">
        <f t="shared" si="535"/>
        <v>45439.916666666664</v>
      </c>
      <c r="W600">
        <f t="shared" si="536"/>
        <v>21.4</v>
      </c>
      <c r="X600">
        <f t="shared" si="537"/>
        <v>24.2</v>
      </c>
      <c r="Y600">
        <f t="shared" si="538"/>
        <v>17.8</v>
      </c>
      <c r="Z600">
        <f t="shared" si="539"/>
        <v>22.4</v>
      </c>
      <c r="BA600" t="s">
        <v>6</v>
      </c>
    </row>
    <row r="601" spans="1:53" x14ac:dyDescent="0.2">
      <c r="A601" s="1">
        <v>45439</v>
      </c>
      <c r="B601" s="2">
        <v>0.95833333333333337</v>
      </c>
      <c r="C601" s="6">
        <v>45439.958333333336</v>
      </c>
      <c r="D601">
        <v>63.8</v>
      </c>
      <c r="E601">
        <v>64</v>
      </c>
      <c r="F601">
        <v>63.4</v>
      </c>
      <c r="G601" t="s">
        <v>6</v>
      </c>
      <c r="H601">
        <v>16</v>
      </c>
      <c r="I601">
        <v>17.3</v>
      </c>
      <c r="J601">
        <v>15.2</v>
      </c>
      <c r="K601" t="s">
        <v>6</v>
      </c>
      <c r="L601">
        <v>3</v>
      </c>
      <c r="M601" t="s">
        <v>6</v>
      </c>
      <c r="O601" s="6">
        <f t="shared" si="530"/>
        <v>45439.958333333336</v>
      </c>
      <c r="P601">
        <f t="shared" si="531"/>
        <v>63.8</v>
      </c>
      <c r="Q601">
        <f t="shared" si="532"/>
        <v>64</v>
      </c>
      <c r="R601">
        <f t="shared" si="533"/>
        <v>63.4</v>
      </c>
      <c r="S601">
        <f t="shared" si="534"/>
        <v>64.8</v>
      </c>
      <c r="V601" s="6">
        <f t="shared" si="535"/>
        <v>45439.958333333336</v>
      </c>
      <c r="W601">
        <f t="shared" si="536"/>
        <v>16</v>
      </c>
      <c r="X601">
        <f t="shared" si="537"/>
        <v>17.3</v>
      </c>
      <c r="Y601">
        <f t="shared" si="538"/>
        <v>15.2</v>
      </c>
      <c r="Z601">
        <f t="shared" si="539"/>
        <v>17</v>
      </c>
      <c r="BA601" t="s">
        <v>6</v>
      </c>
    </row>
    <row r="602" spans="1:53" x14ac:dyDescent="0.2">
      <c r="A602" s="1">
        <v>45440</v>
      </c>
      <c r="B602" s="2">
        <v>0.29166666666666669</v>
      </c>
      <c r="C602" s="6">
        <v>45440.291666666664</v>
      </c>
      <c r="D602">
        <v>67.8</v>
      </c>
      <c r="E602">
        <v>76.7</v>
      </c>
      <c r="F602">
        <v>58.6</v>
      </c>
      <c r="G602" t="s">
        <v>6</v>
      </c>
      <c r="H602">
        <v>18.5</v>
      </c>
      <c r="I602">
        <v>21.2</v>
      </c>
      <c r="J602">
        <v>13.5</v>
      </c>
      <c r="K602" t="s">
        <v>6</v>
      </c>
      <c r="L602">
        <v>180</v>
      </c>
      <c r="M602" t="s">
        <v>6</v>
      </c>
      <c r="O602" s="6">
        <f t="shared" si="530"/>
        <v>45440.291666666664</v>
      </c>
      <c r="P602">
        <f t="shared" si="531"/>
        <v>67.8</v>
      </c>
      <c r="Q602">
        <f t="shared" si="532"/>
        <v>76.7</v>
      </c>
      <c r="R602">
        <f t="shared" si="533"/>
        <v>58.6</v>
      </c>
      <c r="S602">
        <f t="shared" si="534"/>
        <v>68.8</v>
      </c>
      <c r="V602" s="6">
        <f t="shared" si="535"/>
        <v>45440.291666666664</v>
      </c>
      <c r="W602">
        <f t="shared" si="536"/>
        <v>18.5</v>
      </c>
      <c r="X602">
        <f t="shared" si="537"/>
        <v>21.2</v>
      </c>
      <c r="Y602">
        <f t="shared" si="538"/>
        <v>13.5</v>
      </c>
      <c r="Z602">
        <f t="shared" si="539"/>
        <v>19.5</v>
      </c>
      <c r="BA602" t="s">
        <v>6</v>
      </c>
    </row>
    <row r="603" spans="1:53" x14ac:dyDescent="0.2">
      <c r="A603" s="14">
        <v>45440</v>
      </c>
      <c r="B603" s="7">
        <v>0.33333333333333331</v>
      </c>
      <c r="C603" s="8">
        <v>45440.333333333336</v>
      </c>
      <c r="D603" s="9">
        <v>70.599999999999994</v>
      </c>
      <c r="E603" s="9">
        <v>80.7</v>
      </c>
      <c r="F603" s="9">
        <v>61.5</v>
      </c>
      <c r="G603" s="9" t="s">
        <v>6</v>
      </c>
      <c r="H603" s="9">
        <v>17</v>
      </c>
      <c r="I603" s="9">
        <v>20.7</v>
      </c>
      <c r="J603" s="9">
        <v>12.7</v>
      </c>
      <c r="K603" s="9" t="s">
        <v>6</v>
      </c>
      <c r="L603" s="9">
        <v>225</v>
      </c>
      <c r="M603" t="s">
        <v>6</v>
      </c>
      <c r="O603" s="6">
        <f t="shared" si="530"/>
        <v>45440.333333333336</v>
      </c>
      <c r="P603">
        <f t="shared" si="531"/>
        <v>70.599999999999994</v>
      </c>
      <c r="Q603">
        <f t="shared" si="532"/>
        <v>80.7</v>
      </c>
      <c r="R603">
        <f t="shared" si="533"/>
        <v>61.5</v>
      </c>
      <c r="S603">
        <f t="shared" si="534"/>
        <v>71.599999999999994</v>
      </c>
      <c r="V603" s="6">
        <f t="shared" si="535"/>
        <v>45440.333333333336</v>
      </c>
      <c r="W603">
        <f t="shared" si="536"/>
        <v>17</v>
      </c>
      <c r="X603">
        <f t="shared" si="537"/>
        <v>20.7</v>
      </c>
      <c r="Y603">
        <f t="shared" si="538"/>
        <v>12.7</v>
      </c>
      <c r="Z603">
        <f t="shared" si="539"/>
        <v>18</v>
      </c>
      <c r="BA603" t="s">
        <v>6</v>
      </c>
    </row>
    <row r="604" spans="1:53" x14ac:dyDescent="0.2">
      <c r="A604" s="13">
        <v>45440</v>
      </c>
      <c r="B604" s="3">
        <v>0.375</v>
      </c>
      <c r="C604" s="4">
        <v>45440.375</v>
      </c>
      <c r="D604" s="5">
        <v>69</v>
      </c>
      <c r="E604" s="5">
        <v>79.099999999999994</v>
      </c>
      <c r="F604" s="5">
        <v>57.9</v>
      </c>
      <c r="G604" s="5" t="s">
        <v>6</v>
      </c>
      <c r="H604" s="5">
        <v>18.7</v>
      </c>
      <c r="I604" s="5">
        <v>21.6</v>
      </c>
      <c r="J604" s="5">
        <v>15.8</v>
      </c>
      <c r="K604" s="5" t="s">
        <v>6</v>
      </c>
      <c r="L604" s="5">
        <v>176</v>
      </c>
      <c r="M604" t="s">
        <v>6</v>
      </c>
      <c r="O604" s="6">
        <f t="shared" si="530"/>
        <v>45440.375</v>
      </c>
      <c r="P604">
        <f t="shared" si="531"/>
        <v>69</v>
      </c>
      <c r="Q604">
        <f t="shared" si="532"/>
        <v>79.099999999999994</v>
      </c>
      <c r="R604">
        <f t="shared" si="533"/>
        <v>57.9</v>
      </c>
      <c r="S604">
        <f t="shared" si="534"/>
        <v>70</v>
      </c>
      <c r="V604" s="6">
        <f t="shared" si="535"/>
        <v>45440.375</v>
      </c>
      <c r="W604">
        <f t="shared" si="536"/>
        <v>18.7</v>
      </c>
      <c r="X604">
        <f t="shared" si="537"/>
        <v>21.6</v>
      </c>
      <c r="Y604">
        <f t="shared" si="538"/>
        <v>15.8</v>
      </c>
      <c r="Z604">
        <f t="shared" si="539"/>
        <v>19.7</v>
      </c>
      <c r="BA604" t="s">
        <v>6</v>
      </c>
    </row>
    <row r="605" spans="1:53" x14ac:dyDescent="0.2">
      <c r="A605" s="1">
        <v>45440</v>
      </c>
      <c r="B605" s="2">
        <v>0.41666666666666669</v>
      </c>
      <c r="C605" s="6">
        <v>45440.416666666664</v>
      </c>
      <c r="D605">
        <v>61.8</v>
      </c>
      <c r="E605">
        <v>68.099999999999994</v>
      </c>
      <c r="F605">
        <v>55.5</v>
      </c>
      <c r="G605" t="s">
        <v>6</v>
      </c>
      <c r="H605">
        <v>17.600000000000001</v>
      </c>
      <c r="I605">
        <v>23.1</v>
      </c>
      <c r="J605">
        <v>13.8</v>
      </c>
      <c r="K605" t="s">
        <v>6</v>
      </c>
      <c r="L605">
        <v>205</v>
      </c>
      <c r="M605" t="s">
        <v>6</v>
      </c>
      <c r="O605" s="6">
        <f t="shared" si="530"/>
        <v>45440.416666666664</v>
      </c>
      <c r="P605">
        <f t="shared" si="531"/>
        <v>61.8</v>
      </c>
      <c r="Q605">
        <f t="shared" si="532"/>
        <v>68.099999999999994</v>
      </c>
      <c r="R605">
        <f t="shared" si="533"/>
        <v>55.5</v>
      </c>
      <c r="S605">
        <f t="shared" si="534"/>
        <v>62.8</v>
      </c>
      <c r="V605" s="6">
        <f t="shared" si="535"/>
        <v>45440.416666666664</v>
      </c>
      <c r="W605">
        <f t="shared" si="536"/>
        <v>17.600000000000001</v>
      </c>
      <c r="X605">
        <f t="shared" si="537"/>
        <v>23.1</v>
      </c>
      <c r="Y605">
        <f t="shared" si="538"/>
        <v>13.8</v>
      </c>
      <c r="Z605">
        <f t="shared" si="539"/>
        <v>18.600000000000001</v>
      </c>
      <c r="BA605" t="s">
        <v>6</v>
      </c>
    </row>
    <row r="606" spans="1:53" x14ac:dyDescent="0.2">
      <c r="A606" s="1">
        <v>45440</v>
      </c>
      <c r="B606" s="2">
        <v>0.45833333333333331</v>
      </c>
      <c r="C606" s="6">
        <v>45440.458333333336</v>
      </c>
      <c r="D606">
        <v>62.4</v>
      </c>
      <c r="E606">
        <v>70.5</v>
      </c>
      <c r="F606">
        <v>56.1</v>
      </c>
      <c r="G606" t="s">
        <v>6</v>
      </c>
      <c r="H606">
        <v>18.7</v>
      </c>
      <c r="I606">
        <v>23.1</v>
      </c>
      <c r="J606">
        <v>14.6</v>
      </c>
      <c r="K606" t="s">
        <v>6</v>
      </c>
      <c r="L606">
        <v>223</v>
      </c>
      <c r="M606" t="s">
        <v>6</v>
      </c>
      <c r="O606" s="6">
        <f t="shared" si="530"/>
        <v>45440.458333333336</v>
      </c>
      <c r="P606">
        <f t="shared" si="531"/>
        <v>62.4</v>
      </c>
      <c r="Q606">
        <f t="shared" si="532"/>
        <v>70.5</v>
      </c>
      <c r="R606">
        <f t="shared" si="533"/>
        <v>56.1</v>
      </c>
      <c r="S606">
        <f t="shared" si="534"/>
        <v>63.4</v>
      </c>
      <c r="V606" s="6">
        <f t="shared" si="535"/>
        <v>45440.458333333336</v>
      </c>
      <c r="W606">
        <f t="shared" si="536"/>
        <v>18.7</v>
      </c>
      <c r="X606">
        <f t="shared" si="537"/>
        <v>23.1</v>
      </c>
      <c r="Y606">
        <f t="shared" si="538"/>
        <v>14.6</v>
      </c>
      <c r="Z606">
        <f t="shared" si="539"/>
        <v>19.7</v>
      </c>
      <c r="BA606" t="s">
        <v>6</v>
      </c>
    </row>
    <row r="607" spans="1:53" x14ac:dyDescent="0.2">
      <c r="A607" s="1">
        <v>45440</v>
      </c>
      <c r="B607" s="2">
        <v>0.5</v>
      </c>
      <c r="C607" s="6">
        <v>45440.5</v>
      </c>
      <c r="D607">
        <v>57.7</v>
      </c>
      <c r="E607">
        <v>66.2</v>
      </c>
      <c r="F607">
        <v>48.7</v>
      </c>
      <c r="G607" t="s">
        <v>6</v>
      </c>
      <c r="H607">
        <v>19.399999999999999</v>
      </c>
      <c r="I607">
        <v>24.2</v>
      </c>
      <c r="J607">
        <v>14.4</v>
      </c>
      <c r="K607" t="s">
        <v>6</v>
      </c>
      <c r="L607">
        <v>221</v>
      </c>
      <c r="M607" t="s">
        <v>6</v>
      </c>
      <c r="O607" s="6">
        <f t="shared" si="530"/>
        <v>45440.5</v>
      </c>
      <c r="P607">
        <f t="shared" si="531"/>
        <v>57.7</v>
      </c>
      <c r="Q607">
        <f t="shared" si="532"/>
        <v>66.2</v>
      </c>
      <c r="R607">
        <f t="shared" si="533"/>
        <v>48.7</v>
      </c>
      <c r="S607">
        <f t="shared" si="534"/>
        <v>58.7</v>
      </c>
      <c r="V607" s="6">
        <f t="shared" si="535"/>
        <v>45440.5</v>
      </c>
      <c r="W607">
        <f t="shared" si="536"/>
        <v>19.399999999999999</v>
      </c>
      <c r="X607">
        <f t="shared" si="537"/>
        <v>24.2</v>
      </c>
      <c r="Y607">
        <f t="shared" si="538"/>
        <v>14.4</v>
      </c>
      <c r="Z607">
        <f t="shared" si="539"/>
        <v>20.399999999999999</v>
      </c>
      <c r="BA607" t="s">
        <v>6</v>
      </c>
    </row>
    <row r="608" spans="1:53" x14ac:dyDescent="0.2">
      <c r="A608" s="1">
        <v>45440</v>
      </c>
      <c r="B608" s="2">
        <v>0.54166666666666663</v>
      </c>
      <c r="C608" s="6">
        <v>45440.541666666664</v>
      </c>
      <c r="D608">
        <v>53.7</v>
      </c>
      <c r="E608">
        <v>59.2</v>
      </c>
      <c r="F608">
        <v>48</v>
      </c>
      <c r="G608" t="s">
        <v>6</v>
      </c>
      <c r="H608">
        <v>18.7</v>
      </c>
      <c r="I608">
        <v>22.1</v>
      </c>
      <c r="J608">
        <v>13.5</v>
      </c>
      <c r="K608" t="s">
        <v>6</v>
      </c>
      <c r="L608">
        <v>164</v>
      </c>
      <c r="M608" t="s">
        <v>6</v>
      </c>
      <c r="O608" s="6">
        <f t="shared" si="530"/>
        <v>45440.541666666664</v>
      </c>
      <c r="P608">
        <f t="shared" si="531"/>
        <v>53.7</v>
      </c>
      <c r="Q608">
        <f t="shared" si="532"/>
        <v>59.2</v>
      </c>
      <c r="R608">
        <f t="shared" si="533"/>
        <v>48</v>
      </c>
      <c r="S608">
        <f t="shared" si="534"/>
        <v>54.7</v>
      </c>
      <c r="V608" s="6">
        <f t="shared" si="535"/>
        <v>45440.541666666664</v>
      </c>
      <c r="W608">
        <f t="shared" si="536"/>
        <v>18.7</v>
      </c>
      <c r="X608">
        <f t="shared" si="537"/>
        <v>22.1</v>
      </c>
      <c r="Y608">
        <f t="shared" si="538"/>
        <v>13.5</v>
      </c>
      <c r="Z608">
        <f t="shared" si="539"/>
        <v>19.7</v>
      </c>
      <c r="BA608" t="s">
        <v>6</v>
      </c>
    </row>
    <row r="609" spans="1:53" x14ac:dyDescent="0.2">
      <c r="A609" s="1">
        <v>45440</v>
      </c>
      <c r="B609" s="2">
        <v>0.58333333333333337</v>
      </c>
      <c r="C609" s="6">
        <v>45440.583333333336</v>
      </c>
      <c r="D609">
        <v>58.5</v>
      </c>
      <c r="E609">
        <v>70.400000000000006</v>
      </c>
      <c r="F609">
        <v>50.8</v>
      </c>
      <c r="G609" t="s">
        <v>6</v>
      </c>
      <c r="H609">
        <v>19</v>
      </c>
      <c r="I609">
        <v>22.6</v>
      </c>
      <c r="J609">
        <v>15.3</v>
      </c>
      <c r="K609" t="s">
        <v>6</v>
      </c>
      <c r="L609">
        <v>216</v>
      </c>
      <c r="M609" t="s">
        <v>6</v>
      </c>
      <c r="O609" s="6">
        <f t="shared" si="530"/>
        <v>45440.583333333336</v>
      </c>
      <c r="P609">
        <f t="shared" si="531"/>
        <v>58.5</v>
      </c>
      <c r="Q609">
        <f t="shared" si="532"/>
        <v>70.400000000000006</v>
      </c>
      <c r="R609">
        <f t="shared" si="533"/>
        <v>50.8</v>
      </c>
      <c r="S609">
        <f t="shared" si="534"/>
        <v>59.5</v>
      </c>
      <c r="V609" s="6">
        <f t="shared" si="535"/>
        <v>45440.583333333336</v>
      </c>
      <c r="W609">
        <f t="shared" si="536"/>
        <v>19</v>
      </c>
      <c r="X609">
        <f t="shared" si="537"/>
        <v>22.6</v>
      </c>
      <c r="Y609">
        <f t="shared" si="538"/>
        <v>15.3</v>
      </c>
      <c r="Z609">
        <f t="shared" si="539"/>
        <v>20</v>
      </c>
      <c r="BA609" t="s">
        <v>6</v>
      </c>
    </row>
    <row r="610" spans="1:53" x14ac:dyDescent="0.2">
      <c r="A610" s="1">
        <v>45440</v>
      </c>
      <c r="B610" s="2">
        <v>0.625</v>
      </c>
      <c r="C610" s="6">
        <v>45440.625</v>
      </c>
      <c r="D610">
        <v>62.9</v>
      </c>
      <c r="E610">
        <v>70</v>
      </c>
      <c r="F610">
        <v>53</v>
      </c>
      <c r="G610" t="s">
        <v>6</v>
      </c>
      <c r="H610">
        <v>18.2</v>
      </c>
      <c r="I610">
        <v>23.8</v>
      </c>
      <c r="J610">
        <v>12.9</v>
      </c>
      <c r="K610" t="s">
        <v>6</v>
      </c>
      <c r="L610">
        <v>225</v>
      </c>
      <c r="M610" t="s">
        <v>6</v>
      </c>
      <c r="O610" s="6">
        <f t="shared" si="530"/>
        <v>45440.625</v>
      </c>
      <c r="P610">
        <f t="shared" si="531"/>
        <v>62.9</v>
      </c>
      <c r="Q610">
        <f t="shared" si="532"/>
        <v>70</v>
      </c>
      <c r="R610">
        <f t="shared" si="533"/>
        <v>53</v>
      </c>
      <c r="S610">
        <f t="shared" si="534"/>
        <v>63.9</v>
      </c>
      <c r="V610" s="6">
        <f t="shared" si="535"/>
        <v>45440.625</v>
      </c>
      <c r="W610">
        <f t="shared" si="536"/>
        <v>18.2</v>
      </c>
      <c r="X610">
        <f t="shared" si="537"/>
        <v>23.8</v>
      </c>
      <c r="Y610">
        <f t="shared" si="538"/>
        <v>12.9</v>
      </c>
      <c r="Z610">
        <f t="shared" si="539"/>
        <v>19.2</v>
      </c>
      <c r="BA610" t="s">
        <v>6</v>
      </c>
    </row>
    <row r="611" spans="1:53" x14ac:dyDescent="0.2">
      <c r="A611" s="1">
        <v>45440</v>
      </c>
      <c r="B611" s="2">
        <v>0.66666666666666663</v>
      </c>
      <c r="C611" s="6">
        <v>45440.666666666664</v>
      </c>
      <c r="D611">
        <v>55.6</v>
      </c>
      <c r="E611">
        <v>60.6</v>
      </c>
      <c r="F611">
        <v>52.5</v>
      </c>
      <c r="G611" t="s">
        <v>6</v>
      </c>
      <c r="H611">
        <v>20.3</v>
      </c>
      <c r="I611">
        <v>27</v>
      </c>
      <c r="J611">
        <v>15.5</v>
      </c>
      <c r="K611" t="s">
        <v>6</v>
      </c>
      <c r="L611">
        <v>154</v>
      </c>
      <c r="M611" t="s">
        <v>6</v>
      </c>
      <c r="O611" s="6">
        <f t="shared" si="530"/>
        <v>45440.666666666664</v>
      </c>
      <c r="P611">
        <f t="shared" si="531"/>
        <v>55.6</v>
      </c>
      <c r="Q611">
        <f t="shared" si="532"/>
        <v>60.6</v>
      </c>
      <c r="R611">
        <f t="shared" si="533"/>
        <v>52.5</v>
      </c>
      <c r="S611">
        <f t="shared" si="534"/>
        <v>56.6</v>
      </c>
      <c r="V611" s="6">
        <f t="shared" si="535"/>
        <v>45440.666666666664</v>
      </c>
      <c r="W611">
        <f t="shared" si="536"/>
        <v>20.3</v>
      </c>
      <c r="X611">
        <f t="shared" si="537"/>
        <v>27</v>
      </c>
      <c r="Y611">
        <f t="shared" si="538"/>
        <v>15.5</v>
      </c>
      <c r="Z611">
        <f t="shared" si="539"/>
        <v>21.3</v>
      </c>
      <c r="BA611" t="s">
        <v>6</v>
      </c>
    </row>
    <row r="612" spans="1:53" x14ac:dyDescent="0.2">
      <c r="A612" s="1">
        <v>45440</v>
      </c>
      <c r="B612" s="2">
        <v>0.70833333333333337</v>
      </c>
      <c r="C612" s="6">
        <v>45440.708333333336</v>
      </c>
      <c r="D612">
        <v>60.6</v>
      </c>
      <c r="E612">
        <v>64.7</v>
      </c>
      <c r="F612">
        <v>51.3</v>
      </c>
      <c r="G612" t="s">
        <v>6</v>
      </c>
      <c r="H612">
        <v>20.5</v>
      </c>
      <c r="I612">
        <v>24.8</v>
      </c>
      <c r="J612">
        <v>16.5</v>
      </c>
      <c r="K612" t="s">
        <v>6</v>
      </c>
      <c r="L612">
        <v>212</v>
      </c>
      <c r="M612" t="s">
        <v>6</v>
      </c>
      <c r="O612" s="6">
        <f t="shared" si="530"/>
        <v>45440.708333333336</v>
      </c>
      <c r="P612">
        <f t="shared" si="531"/>
        <v>60.6</v>
      </c>
      <c r="Q612">
        <f t="shared" si="532"/>
        <v>64.7</v>
      </c>
      <c r="R612">
        <f t="shared" si="533"/>
        <v>51.3</v>
      </c>
      <c r="S612">
        <f t="shared" si="534"/>
        <v>61.6</v>
      </c>
      <c r="V612" s="6">
        <f t="shared" si="535"/>
        <v>45440.708333333336</v>
      </c>
      <c r="W612">
        <f t="shared" si="536"/>
        <v>20.5</v>
      </c>
      <c r="X612">
        <f t="shared" si="537"/>
        <v>24.8</v>
      </c>
      <c r="Y612">
        <f t="shared" si="538"/>
        <v>16.5</v>
      </c>
      <c r="Z612">
        <f t="shared" si="539"/>
        <v>21.5</v>
      </c>
      <c r="BA612" t="s">
        <v>6</v>
      </c>
    </row>
    <row r="613" spans="1:53" x14ac:dyDescent="0.2">
      <c r="A613" s="1">
        <v>45440</v>
      </c>
      <c r="B613" s="2">
        <v>0.75</v>
      </c>
      <c r="C613" s="6">
        <v>45440.75</v>
      </c>
      <c r="D613">
        <v>57.5</v>
      </c>
      <c r="E613">
        <v>65.2</v>
      </c>
      <c r="F613">
        <v>51.4</v>
      </c>
      <c r="G613" t="s">
        <v>6</v>
      </c>
      <c r="H613">
        <v>19.899999999999999</v>
      </c>
      <c r="I613">
        <v>23.1</v>
      </c>
      <c r="J613">
        <v>16.2</v>
      </c>
      <c r="K613" t="s">
        <v>6</v>
      </c>
      <c r="L613">
        <v>207</v>
      </c>
      <c r="M613" t="s">
        <v>6</v>
      </c>
      <c r="O613" s="6">
        <f t="shared" si="530"/>
        <v>45440.75</v>
      </c>
      <c r="P613">
        <f t="shared" si="531"/>
        <v>57.5</v>
      </c>
      <c r="Q613">
        <f t="shared" si="532"/>
        <v>65.2</v>
      </c>
      <c r="R613">
        <f t="shared" si="533"/>
        <v>51.4</v>
      </c>
      <c r="S613">
        <f t="shared" si="534"/>
        <v>58.5</v>
      </c>
      <c r="V613" s="6">
        <f t="shared" si="535"/>
        <v>45440.75</v>
      </c>
      <c r="W613">
        <f t="shared" si="536"/>
        <v>19.899999999999999</v>
      </c>
      <c r="X613">
        <f t="shared" si="537"/>
        <v>23.1</v>
      </c>
      <c r="Y613">
        <f t="shared" si="538"/>
        <v>16.2</v>
      </c>
      <c r="Z613">
        <f t="shared" si="539"/>
        <v>20.9</v>
      </c>
      <c r="BA613" t="s">
        <v>6</v>
      </c>
    </row>
    <row r="614" spans="1:53" x14ac:dyDescent="0.2">
      <c r="A614" s="1">
        <v>45440</v>
      </c>
      <c r="B614" s="2">
        <v>0.79166666666666663</v>
      </c>
      <c r="C614" s="6">
        <v>45440.791666666664</v>
      </c>
      <c r="D614">
        <v>52.8</v>
      </c>
      <c r="E614">
        <v>56.7</v>
      </c>
      <c r="F614">
        <v>50</v>
      </c>
      <c r="G614" t="s">
        <v>6</v>
      </c>
      <c r="H614">
        <v>20.8</v>
      </c>
      <c r="I614">
        <v>24</v>
      </c>
      <c r="J614">
        <v>17.100000000000001</v>
      </c>
      <c r="K614" t="s">
        <v>6</v>
      </c>
      <c r="L614">
        <v>159</v>
      </c>
      <c r="M614" t="s">
        <v>6</v>
      </c>
      <c r="O614" s="6">
        <f t="shared" si="530"/>
        <v>45440.791666666664</v>
      </c>
      <c r="P614">
        <f t="shared" si="531"/>
        <v>52.8</v>
      </c>
      <c r="Q614">
        <f t="shared" si="532"/>
        <v>56.7</v>
      </c>
      <c r="R614">
        <f t="shared" si="533"/>
        <v>50</v>
      </c>
      <c r="S614">
        <f t="shared" si="534"/>
        <v>53.8</v>
      </c>
      <c r="V614" s="6">
        <f t="shared" si="535"/>
        <v>45440.791666666664</v>
      </c>
      <c r="W614">
        <f t="shared" si="536"/>
        <v>20.8</v>
      </c>
      <c r="X614">
        <f t="shared" si="537"/>
        <v>24</v>
      </c>
      <c r="Y614">
        <f t="shared" si="538"/>
        <v>17.100000000000001</v>
      </c>
      <c r="Z614">
        <f t="shared" si="539"/>
        <v>21.8</v>
      </c>
      <c r="BA614" t="s">
        <v>6</v>
      </c>
    </row>
    <row r="615" spans="1:53" x14ac:dyDescent="0.2">
      <c r="A615" s="1">
        <v>45440</v>
      </c>
      <c r="B615" s="2">
        <v>0.83333333333333337</v>
      </c>
      <c r="C615" s="6">
        <v>45440.833333333336</v>
      </c>
      <c r="D615">
        <v>61.7</v>
      </c>
      <c r="E615">
        <v>71</v>
      </c>
      <c r="F615">
        <v>50.4</v>
      </c>
      <c r="G615" t="s">
        <v>6</v>
      </c>
      <c r="H615">
        <v>19.5</v>
      </c>
      <c r="I615">
        <v>22.1</v>
      </c>
      <c r="J615">
        <v>16.3</v>
      </c>
      <c r="K615" t="s">
        <v>6</v>
      </c>
      <c r="L615">
        <v>215</v>
      </c>
      <c r="M615" t="s">
        <v>6</v>
      </c>
      <c r="O615" s="6">
        <f t="shared" si="530"/>
        <v>45440.833333333336</v>
      </c>
      <c r="P615">
        <f t="shared" si="531"/>
        <v>61.7</v>
      </c>
      <c r="Q615">
        <f t="shared" si="532"/>
        <v>71</v>
      </c>
      <c r="R615">
        <f t="shared" si="533"/>
        <v>50.4</v>
      </c>
      <c r="S615">
        <f t="shared" si="534"/>
        <v>62.7</v>
      </c>
      <c r="V615" s="6">
        <f t="shared" si="535"/>
        <v>45440.833333333336</v>
      </c>
      <c r="W615">
        <f t="shared" si="536"/>
        <v>19.5</v>
      </c>
      <c r="X615">
        <f t="shared" si="537"/>
        <v>22.1</v>
      </c>
      <c r="Y615">
        <f t="shared" si="538"/>
        <v>16.3</v>
      </c>
      <c r="Z615">
        <f t="shared" si="539"/>
        <v>20.5</v>
      </c>
      <c r="BA615" t="s">
        <v>6</v>
      </c>
    </row>
    <row r="616" spans="1:53" x14ac:dyDescent="0.2">
      <c r="A616" s="1">
        <v>45440</v>
      </c>
      <c r="B616" s="2">
        <v>0.875</v>
      </c>
      <c r="C616" s="6">
        <v>45440.875</v>
      </c>
      <c r="D616">
        <v>62</v>
      </c>
      <c r="E616">
        <v>69.3</v>
      </c>
      <c r="F616">
        <v>55.6</v>
      </c>
      <c r="G616" t="s">
        <v>6</v>
      </c>
      <c r="H616">
        <v>20.5</v>
      </c>
      <c r="I616">
        <v>24.5</v>
      </c>
      <c r="J616">
        <v>16.3</v>
      </c>
      <c r="K616" t="s">
        <v>6</v>
      </c>
      <c r="L616">
        <v>212</v>
      </c>
      <c r="M616" t="s">
        <v>6</v>
      </c>
      <c r="O616" s="6">
        <f t="shared" si="530"/>
        <v>45440.875</v>
      </c>
      <c r="P616">
        <f t="shared" si="531"/>
        <v>62</v>
      </c>
      <c r="Q616">
        <f t="shared" si="532"/>
        <v>69.3</v>
      </c>
      <c r="R616">
        <f t="shared" si="533"/>
        <v>55.6</v>
      </c>
      <c r="S616">
        <f t="shared" si="534"/>
        <v>63</v>
      </c>
      <c r="V616" s="6">
        <f t="shared" si="535"/>
        <v>45440.875</v>
      </c>
      <c r="W616">
        <f t="shared" si="536"/>
        <v>20.5</v>
      </c>
      <c r="X616">
        <f t="shared" si="537"/>
        <v>24.5</v>
      </c>
      <c r="Y616">
        <f t="shared" si="538"/>
        <v>16.3</v>
      </c>
      <c r="Z616">
        <f t="shared" si="539"/>
        <v>21.5</v>
      </c>
      <c r="BA616" t="s">
        <v>6</v>
      </c>
    </row>
    <row r="617" spans="1:53" x14ac:dyDescent="0.2">
      <c r="A617" s="1">
        <v>45440</v>
      </c>
      <c r="B617" s="2">
        <v>0.91666666666666663</v>
      </c>
      <c r="C617" s="6">
        <v>45440.916666666664</v>
      </c>
      <c r="D617">
        <v>58.4</v>
      </c>
      <c r="E617">
        <v>64.400000000000006</v>
      </c>
      <c r="F617">
        <v>52.1</v>
      </c>
      <c r="G617" t="s">
        <v>6</v>
      </c>
      <c r="H617">
        <v>18.5</v>
      </c>
      <c r="I617">
        <v>21.4</v>
      </c>
      <c r="J617">
        <v>16</v>
      </c>
      <c r="K617" t="s">
        <v>6</v>
      </c>
      <c r="L617">
        <v>226</v>
      </c>
      <c r="M617" t="s">
        <v>6</v>
      </c>
      <c r="O617" s="6">
        <f t="shared" si="530"/>
        <v>45440.916666666664</v>
      </c>
      <c r="P617">
        <f t="shared" si="531"/>
        <v>58.4</v>
      </c>
      <c r="Q617">
        <f t="shared" si="532"/>
        <v>64.400000000000006</v>
      </c>
      <c r="R617">
        <f t="shared" si="533"/>
        <v>52.1</v>
      </c>
      <c r="S617">
        <f t="shared" si="534"/>
        <v>59.4</v>
      </c>
      <c r="V617" s="6">
        <f t="shared" si="535"/>
        <v>45440.916666666664</v>
      </c>
      <c r="W617">
        <f t="shared" si="536"/>
        <v>18.5</v>
      </c>
      <c r="X617">
        <f t="shared" si="537"/>
        <v>21.4</v>
      </c>
      <c r="Y617">
        <f t="shared" si="538"/>
        <v>16</v>
      </c>
      <c r="Z617">
        <f t="shared" si="539"/>
        <v>19.5</v>
      </c>
      <c r="BA617" t="s">
        <v>6</v>
      </c>
    </row>
    <row r="618" spans="1:53" x14ac:dyDescent="0.2">
      <c r="A618" s="1">
        <v>45440</v>
      </c>
      <c r="B618" s="2">
        <v>0.95833333333333337</v>
      </c>
      <c r="C618" s="6">
        <v>45440.958333333336</v>
      </c>
      <c r="D618">
        <v>57.1</v>
      </c>
      <c r="E618">
        <v>61.8</v>
      </c>
      <c r="F618">
        <v>54</v>
      </c>
      <c r="G618" t="s">
        <v>6</v>
      </c>
      <c r="H618">
        <v>19.8</v>
      </c>
      <c r="I618">
        <v>25.2</v>
      </c>
      <c r="J618">
        <v>13.2</v>
      </c>
      <c r="K618" t="s">
        <v>6</v>
      </c>
      <c r="L618">
        <v>93</v>
      </c>
      <c r="M618" t="s">
        <v>6</v>
      </c>
      <c r="O618" s="6">
        <f t="shared" si="530"/>
        <v>45440.958333333336</v>
      </c>
      <c r="P618">
        <f t="shared" si="531"/>
        <v>57.1</v>
      </c>
      <c r="Q618">
        <f t="shared" si="532"/>
        <v>61.8</v>
      </c>
      <c r="R618">
        <f t="shared" si="533"/>
        <v>54</v>
      </c>
      <c r="S618">
        <f t="shared" si="534"/>
        <v>58.1</v>
      </c>
      <c r="V618" s="6">
        <f t="shared" si="535"/>
        <v>45440.958333333336</v>
      </c>
      <c r="W618">
        <f t="shared" si="536"/>
        <v>19.8</v>
      </c>
      <c r="X618">
        <f t="shared" si="537"/>
        <v>25.2</v>
      </c>
      <c r="Y618">
        <f t="shared" si="538"/>
        <v>13.2</v>
      </c>
      <c r="Z618">
        <f t="shared" si="539"/>
        <v>20.8</v>
      </c>
      <c r="BA618" t="s">
        <v>6</v>
      </c>
    </row>
    <row r="619" spans="1:53" x14ac:dyDescent="0.2">
      <c r="A619" s="14">
        <v>45441</v>
      </c>
      <c r="B619" s="7">
        <v>0.33333333333333331</v>
      </c>
      <c r="C619" s="8">
        <v>45441.333333333336</v>
      </c>
      <c r="D619" s="9">
        <v>55.4</v>
      </c>
      <c r="E619" s="9">
        <v>59</v>
      </c>
      <c r="F619" s="9">
        <v>53.1</v>
      </c>
      <c r="G619" s="9" t="s">
        <v>6</v>
      </c>
      <c r="H619" s="9">
        <v>19.3</v>
      </c>
      <c r="I619" s="9">
        <v>23.7</v>
      </c>
      <c r="J619" s="9">
        <v>15</v>
      </c>
      <c r="K619" s="9" t="s">
        <v>6</v>
      </c>
      <c r="L619" s="9">
        <v>100</v>
      </c>
      <c r="M619" t="s">
        <v>6</v>
      </c>
      <c r="O619" s="6">
        <f t="shared" si="530"/>
        <v>45441.333333333336</v>
      </c>
      <c r="P619">
        <f t="shared" si="531"/>
        <v>55.4</v>
      </c>
      <c r="Q619">
        <f t="shared" si="532"/>
        <v>59</v>
      </c>
      <c r="R619">
        <f t="shared" si="533"/>
        <v>53.1</v>
      </c>
      <c r="S619">
        <f t="shared" si="534"/>
        <v>56.4</v>
      </c>
      <c r="V619" s="6">
        <f t="shared" si="535"/>
        <v>45441.333333333336</v>
      </c>
      <c r="W619">
        <f t="shared" si="536"/>
        <v>19.3</v>
      </c>
      <c r="X619">
        <f t="shared" si="537"/>
        <v>23.7</v>
      </c>
      <c r="Y619">
        <f t="shared" si="538"/>
        <v>15</v>
      </c>
      <c r="Z619">
        <f t="shared" si="539"/>
        <v>20.3</v>
      </c>
      <c r="BA619" t="s">
        <v>6</v>
      </c>
    </row>
    <row r="620" spans="1:53" x14ac:dyDescent="0.2">
      <c r="A620" s="13">
        <v>45441</v>
      </c>
      <c r="B620" s="3">
        <v>0.375</v>
      </c>
      <c r="C620" s="4">
        <v>45441.375</v>
      </c>
      <c r="D620" s="5">
        <v>61.3</v>
      </c>
      <c r="E620" s="5">
        <v>67.3</v>
      </c>
      <c r="F620" s="5">
        <v>54.5</v>
      </c>
      <c r="G620" s="5" t="s">
        <v>6</v>
      </c>
      <c r="H620" s="5">
        <v>18</v>
      </c>
      <c r="I620" s="5">
        <v>22.8</v>
      </c>
      <c r="J620" s="5">
        <v>15.3</v>
      </c>
      <c r="K620" s="5" t="s">
        <v>6</v>
      </c>
      <c r="L620" s="5">
        <v>223</v>
      </c>
      <c r="M620" t="s">
        <v>6</v>
      </c>
      <c r="O620" s="6">
        <f t="shared" si="530"/>
        <v>45441.375</v>
      </c>
      <c r="P620">
        <f t="shared" si="531"/>
        <v>61.3</v>
      </c>
      <c r="Q620">
        <f t="shared" si="532"/>
        <v>67.3</v>
      </c>
      <c r="R620">
        <f t="shared" si="533"/>
        <v>54.5</v>
      </c>
      <c r="S620">
        <f t="shared" si="534"/>
        <v>62.3</v>
      </c>
      <c r="V620" s="6">
        <f t="shared" si="535"/>
        <v>45441.375</v>
      </c>
      <c r="W620">
        <f t="shared" si="536"/>
        <v>18</v>
      </c>
      <c r="X620">
        <f t="shared" si="537"/>
        <v>22.8</v>
      </c>
      <c r="Y620">
        <f t="shared" si="538"/>
        <v>15.3</v>
      </c>
      <c r="Z620">
        <f t="shared" si="539"/>
        <v>19</v>
      </c>
      <c r="BA620" t="s">
        <v>6</v>
      </c>
    </row>
    <row r="621" spans="1:53" x14ac:dyDescent="0.2">
      <c r="A621" s="1">
        <v>45441</v>
      </c>
      <c r="B621" s="2">
        <v>0.41666666666666669</v>
      </c>
      <c r="C621" s="6">
        <v>45441.416666666664</v>
      </c>
      <c r="D621">
        <v>56.4</v>
      </c>
      <c r="E621">
        <v>62.9</v>
      </c>
      <c r="F621">
        <v>52.7</v>
      </c>
      <c r="G621" t="s">
        <v>6</v>
      </c>
      <c r="H621">
        <v>17.100000000000001</v>
      </c>
      <c r="I621">
        <v>21</v>
      </c>
      <c r="J621">
        <v>13.7</v>
      </c>
      <c r="K621" t="s">
        <v>6</v>
      </c>
      <c r="L621">
        <v>214</v>
      </c>
      <c r="M621" t="s">
        <v>6</v>
      </c>
      <c r="O621" s="6">
        <f t="shared" si="530"/>
        <v>45441.416666666664</v>
      </c>
      <c r="P621">
        <f t="shared" si="531"/>
        <v>56.4</v>
      </c>
      <c r="Q621">
        <f t="shared" si="532"/>
        <v>62.9</v>
      </c>
      <c r="R621">
        <f t="shared" si="533"/>
        <v>52.7</v>
      </c>
      <c r="S621">
        <f t="shared" si="534"/>
        <v>57.4</v>
      </c>
      <c r="V621" s="6">
        <f t="shared" si="535"/>
        <v>45441.416666666664</v>
      </c>
      <c r="W621">
        <f t="shared" si="536"/>
        <v>17.100000000000001</v>
      </c>
      <c r="X621">
        <f t="shared" si="537"/>
        <v>21</v>
      </c>
      <c r="Y621">
        <f t="shared" si="538"/>
        <v>13.7</v>
      </c>
      <c r="Z621">
        <f t="shared" si="539"/>
        <v>18.100000000000001</v>
      </c>
      <c r="BA621" t="s">
        <v>6</v>
      </c>
    </row>
    <row r="622" spans="1:53" x14ac:dyDescent="0.2">
      <c r="A622" s="1">
        <v>45441</v>
      </c>
      <c r="B622" s="2">
        <v>0.45833333333333331</v>
      </c>
      <c r="C622" s="6">
        <v>45441.458333333336</v>
      </c>
      <c r="D622">
        <v>57.3</v>
      </c>
      <c r="E622">
        <v>64.3</v>
      </c>
      <c r="F622">
        <v>52.6</v>
      </c>
      <c r="G622" t="s">
        <v>6</v>
      </c>
      <c r="H622">
        <v>17.8</v>
      </c>
      <c r="I622">
        <v>25.5</v>
      </c>
      <c r="J622">
        <v>12.7</v>
      </c>
      <c r="K622" t="s">
        <v>6</v>
      </c>
      <c r="L622">
        <v>220</v>
      </c>
      <c r="M622" t="s">
        <v>6</v>
      </c>
      <c r="O622" s="6">
        <f t="shared" si="530"/>
        <v>45441.458333333336</v>
      </c>
      <c r="P622">
        <f t="shared" si="531"/>
        <v>57.3</v>
      </c>
      <c r="Q622">
        <f t="shared" si="532"/>
        <v>64.3</v>
      </c>
      <c r="R622">
        <f t="shared" si="533"/>
        <v>52.6</v>
      </c>
      <c r="S622">
        <f t="shared" si="534"/>
        <v>58.3</v>
      </c>
      <c r="V622" s="6">
        <f t="shared" si="535"/>
        <v>45441.458333333336</v>
      </c>
      <c r="W622">
        <f t="shared" si="536"/>
        <v>17.8</v>
      </c>
      <c r="X622">
        <f t="shared" si="537"/>
        <v>25.5</v>
      </c>
      <c r="Y622">
        <f t="shared" si="538"/>
        <v>12.7</v>
      </c>
      <c r="Z622">
        <f t="shared" si="539"/>
        <v>18.8</v>
      </c>
      <c r="BA622" t="s">
        <v>6</v>
      </c>
    </row>
    <row r="623" spans="1:53" x14ac:dyDescent="0.2">
      <c r="A623" s="1">
        <v>45441</v>
      </c>
      <c r="B623" s="2">
        <v>0.5</v>
      </c>
      <c r="C623" s="6">
        <v>45441.5</v>
      </c>
      <c r="D623">
        <v>58.1</v>
      </c>
      <c r="E623">
        <v>62.7</v>
      </c>
      <c r="F623">
        <v>54.1</v>
      </c>
      <c r="G623" t="s">
        <v>6</v>
      </c>
      <c r="H623">
        <v>18.7</v>
      </c>
      <c r="I623">
        <v>26.6</v>
      </c>
      <c r="J623">
        <v>12.5</v>
      </c>
      <c r="K623" t="s">
        <v>6</v>
      </c>
      <c r="L623">
        <v>198</v>
      </c>
      <c r="M623" t="s">
        <v>6</v>
      </c>
      <c r="O623" s="6">
        <f t="shared" si="530"/>
        <v>45441.5</v>
      </c>
      <c r="P623">
        <f t="shared" si="531"/>
        <v>58.1</v>
      </c>
      <c r="Q623">
        <f t="shared" si="532"/>
        <v>62.7</v>
      </c>
      <c r="R623">
        <f t="shared" si="533"/>
        <v>54.1</v>
      </c>
      <c r="S623">
        <f t="shared" si="534"/>
        <v>59.1</v>
      </c>
      <c r="V623" s="6">
        <f t="shared" si="535"/>
        <v>45441.5</v>
      </c>
      <c r="W623">
        <f t="shared" si="536"/>
        <v>18.7</v>
      </c>
      <c r="X623">
        <f t="shared" si="537"/>
        <v>26.6</v>
      </c>
      <c r="Y623">
        <f t="shared" si="538"/>
        <v>12.5</v>
      </c>
      <c r="Z623">
        <f t="shared" si="539"/>
        <v>19.7</v>
      </c>
      <c r="BA623" t="s">
        <v>6</v>
      </c>
    </row>
    <row r="624" spans="1:53" x14ac:dyDescent="0.2">
      <c r="A624" s="1">
        <v>45441</v>
      </c>
      <c r="B624" s="2">
        <v>0.54166666666666663</v>
      </c>
      <c r="C624" s="6">
        <v>45441.541666666664</v>
      </c>
      <c r="D624">
        <v>60.7</v>
      </c>
      <c r="E624">
        <v>70.400000000000006</v>
      </c>
      <c r="F624">
        <v>52.6</v>
      </c>
      <c r="G624" t="s">
        <v>6</v>
      </c>
      <c r="H624">
        <v>19.3</v>
      </c>
      <c r="I624">
        <v>22.2</v>
      </c>
      <c r="J624">
        <v>16.3</v>
      </c>
      <c r="K624" t="s">
        <v>6</v>
      </c>
      <c r="L624">
        <v>229</v>
      </c>
      <c r="M624" t="s">
        <v>6</v>
      </c>
      <c r="O624" s="6">
        <f t="shared" si="530"/>
        <v>45441.541666666664</v>
      </c>
      <c r="P624">
        <f t="shared" si="531"/>
        <v>60.7</v>
      </c>
      <c r="Q624">
        <f t="shared" si="532"/>
        <v>70.400000000000006</v>
      </c>
      <c r="R624">
        <f t="shared" si="533"/>
        <v>52.6</v>
      </c>
      <c r="S624">
        <f t="shared" si="534"/>
        <v>61.7</v>
      </c>
      <c r="V624" s="6">
        <f t="shared" si="535"/>
        <v>45441.541666666664</v>
      </c>
      <c r="W624">
        <f t="shared" si="536"/>
        <v>19.3</v>
      </c>
      <c r="X624">
        <f t="shared" si="537"/>
        <v>22.2</v>
      </c>
      <c r="Y624">
        <f t="shared" si="538"/>
        <v>16.3</v>
      </c>
      <c r="Z624">
        <f t="shared" si="539"/>
        <v>20.3</v>
      </c>
      <c r="BA624" t="s">
        <v>6</v>
      </c>
    </row>
    <row r="625" spans="1:53" x14ac:dyDescent="0.2">
      <c r="A625" s="1">
        <v>45441</v>
      </c>
      <c r="B625" s="2">
        <v>0.58333333333333337</v>
      </c>
      <c r="C625" s="6">
        <v>45441.583333333336</v>
      </c>
      <c r="D625">
        <v>58</v>
      </c>
      <c r="E625">
        <v>63.1</v>
      </c>
      <c r="F625">
        <v>54.8</v>
      </c>
      <c r="G625" t="s">
        <v>6</v>
      </c>
      <c r="H625">
        <v>19.600000000000001</v>
      </c>
      <c r="I625">
        <v>23.8</v>
      </c>
      <c r="J625">
        <v>15.6</v>
      </c>
      <c r="K625" t="s">
        <v>6</v>
      </c>
      <c r="L625">
        <v>185</v>
      </c>
      <c r="M625" t="s">
        <v>6</v>
      </c>
      <c r="O625" s="6">
        <f t="shared" si="530"/>
        <v>45441.583333333336</v>
      </c>
      <c r="P625">
        <f t="shared" si="531"/>
        <v>58</v>
      </c>
      <c r="Q625">
        <f t="shared" si="532"/>
        <v>63.1</v>
      </c>
      <c r="R625">
        <f t="shared" si="533"/>
        <v>54.8</v>
      </c>
      <c r="S625">
        <f t="shared" si="534"/>
        <v>59</v>
      </c>
      <c r="V625" s="6">
        <f t="shared" si="535"/>
        <v>45441.583333333336</v>
      </c>
      <c r="W625">
        <f t="shared" si="536"/>
        <v>19.600000000000001</v>
      </c>
      <c r="X625">
        <f t="shared" si="537"/>
        <v>23.8</v>
      </c>
      <c r="Y625">
        <f t="shared" si="538"/>
        <v>15.6</v>
      </c>
      <c r="Z625">
        <f t="shared" si="539"/>
        <v>20.6</v>
      </c>
      <c r="BA625" t="s">
        <v>6</v>
      </c>
    </row>
    <row r="626" spans="1:53" x14ac:dyDescent="0.2">
      <c r="A626" s="1">
        <v>45441</v>
      </c>
      <c r="B626" s="2">
        <v>0.625</v>
      </c>
      <c r="C626" s="6">
        <v>45441.625</v>
      </c>
      <c r="D626">
        <v>59</v>
      </c>
      <c r="E626">
        <v>63.7</v>
      </c>
      <c r="F626">
        <v>54.6</v>
      </c>
      <c r="G626" t="s">
        <v>6</v>
      </c>
      <c r="H626">
        <v>18.8</v>
      </c>
      <c r="I626">
        <v>21.1</v>
      </c>
      <c r="J626">
        <v>14.7</v>
      </c>
      <c r="K626" t="s">
        <v>6</v>
      </c>
      <c r="L626">
        <v>225</v>
      </c>
      <c r="M626" t="s">
        <v>6</v>
      </c>
      <c r="O626" s="6">
        <f t="shared" si="530"/>
        <v>45441.625</v>
      </c>
      <c r="P626">
        <f t="shared" si="531"/>
        <v>59</v>
      </c>
      <c r="Q626">
        <f t="shared" si="532"/>
        <v>63.7</v>
      </c>
      <c r="R626">
        <f t="shared" si="533"/>
        <v>54.6</v>
      </c>
      <c r="S626">
        <f t="shared" si="534"/>
        <v>60</v>
      </c>
      <c r="V626" s="6">
        <f t="shared" si="535"/>
        <v>45441.625</v>
      </c>
      <c r="W626">
        <f t="shared" si="536"/>
        <v>18.8</v>
      </c>
      <c r="X626">
        <f t="shared" si="537"/>
        <v>21.1</v>
      </c>
      <c r="Y626">
        <f t="shared" si="538"/>
        <v>14.7</v>
      </c>
      <c r="Z626">
        <f t="shared" si="539"/>
        <v>19.8</v>
      </c>
      <c r="BA626" t="s">
        <v>6</v>
      </c>
    </row>
    <row r="627" spans="1:53" x14ac:dyDescent="0.2">
      <c r="A627" s="1">
        <v>45441</v>
      </c>
      <c r="B627" s="2">
        <v>0.66666666666666663</v>
      </c>
      <c r="C627" s="6">
        <v>45441.666666666664</v>
      </c>
      <c r="D627">
        <v>58.1</v>
      </c>
      <c r="E627">
        <v>61.9</v>
      </c>
      <c r="F627">
        <v>53.5</v>
      </c>
      <c r="G627" t="s">
        <v>6</v>
      </c>
      <c r="H627">
        <v>20.2</v>
      </c>
      <c r="I627">
        <v>24.3</v>
      </c>
      <c r="J627">
        <v>16.100000000000001</v>
      </c>
      <c r="K627" t="s">
        <v>6</v>
      </c>
      <c r="L627">
        <v>181</v>
      </c>
      <c r="M627" t="s">
        <v>6</v>
      </c>
      <c r="O627" s="6">
        <f t="shared" si="530"/>
        <v>45441.666666666664</v>
      </c>
      <c r="P627">
        <f t="shared" si="531"/>
        <v>58.1</v>
      </c>
      <c r="Q627">
        <f t="shared" si="532"/>
        <v>61.9</v>
      </c>
      <c r="R627">
        <f t="shared" si="533"/>
        <v>53.5</v>
      </c>
      <c r="S627">
        <f t="shared" si="534"/>
        <v>59.1</v>
      </c>
      <c r="V627" s="6">
        <f t="shared" si="535"/>
        <v>45441.666666666664</v>
      </c>
      <c r="W627">
        <f t="shared" si="536"/>
        <v>20.2</v>
      </c>
      <c r="X627">
        <f t="shared" si="537"/>
        <v>24.3</v>
      </c>
      <c r="Y627">
        <f t="shared" si="538"/>
        <v>16.100000000000001</v>
      </c>
      <c r="Z627">
        <f t="shared" si="539"/>
        <v>21.2</v>
      </c>
      <c r="BA627" t="s">
        <v>6</v>
      </c>
    </row>
    <row r="628" spans="1:53" x14ac:dyDescent="0.2">
      <c r="A628" s="1">
        <v>45441</v>
      </c>
      <c r="B628" s="2">
        <v>0.70833333333333337</v>
      </c>
      <c r="C628" s="6">
        <v>45441.708333333336</v>
      </c>
      <c r="D628">
        <v>58.4</v>
      </c>
      <c r="E628">
        <v>62.6</v>
      </c>
      <c r="F628">
        <v>50.4</v>
      </c>
      <c r="G628" t="s">
        <v>6</v>
      </c>
      <c r="H628">
        <v>19</v>
      </c>
      <c r="I628">
        <v>25.1</v>
      </c>
      <c r="J628">
        <v>15</v>
      </c>
      <c r="K628" t="s">
        <v>6</v>
      </c>
      <c r="L628">
        <v>217</v>
      </c>
      <c r="M628" t="s">
        <v>6</v>
      </c>
      <c r="O628" s="6">
        <f t="shared" si="530"/>
        <v>45441.708333333336</v>
      </c>
      <c r="P628">
        <f t="shared" si="531"/>
        <v>58.4</v>
      </c>
      <c r="Q628">
        <f t="shared" si="532"/>
        <v>62.6</v>
      </c>
      <c r="R628">
        <f t="shared" si="533"/>
        <v>50.4</v>
      </c>
      <c r="S628">
        <f t="shared" si="534"/>
        <v>59.4</v>
      </c>
      <c r="V628" s="6">
        <f t="shared" si="535"/>
        <v>45441.708333333336</v>
      </c>
      <c r="W628">
        <f t="shared" si="536"/>
        <v>19</v>
      </c>
      <c r="X628">
        <f t="shared" si="537"/>
        <v>25.1</v>
      </c>
      <c r="Y628">
        <f t="shared" si="538"/>
        <v>15</v>
      </c>
      <c r="Z628">
        <f t="shared" si="539"/>
        <v>20</v>
      </c>
      <c r="BA628" t="s">
        <v>6</v>
      </c>
    </row>
    <row r="629" spans="1:53" x14ac:dyDescent="0.2">
      <c r="A629" s="1">
        <v>45441</v>
      </c>
      <c r="B629" s="2">
        <v>0.75</v>
      </c>
      <c r="C629" s="6">
        <v>45441.75</v>
      </c>
      <c r="D629">
        <v>59.4</v>
      </c>
      <c r="E629">
        <v>66</v>
      </c>
      <c r="F629">
        <v>51.6</v>
      </c>
      <c r="G629" t="s">
        <v>6</v>
      </c>
      <c r="H629">
        <v>18.399999999999999</v>
      </c>
      <c r="I629">
        <v>23</v>
      </c>
      <c r="J629">
        <v>14.3</v>
      </c>
      <c r="K629" t="s">
        <v>6</v>
      </c>
      <c r="L629">
        <v>214</v>
      </c>
      <c r="M629" t="s">
        <v>6</v>
      </c>
      <c r="O629" s="6">
        <f t="shared" si="530"/>
        <v>45441.75</v>
      </c>
      <c r="P629">
        <f t="shared" si="531"/>
        <v>59.4</v>
      </c>
      <c r="Q629">
        <f t="shared" si="532"/>
        <v>66</v>
      </c>
      <c r="R629">
        <f t="shared" si="533"/>
        <v>51.6</v>
      </c>
      <c r="S629">
        <f t="shared" si="534"/>
        <v>60.4</v>
      </c>
      <c r="V629" s="6">
        <f t="shared" si="535"/>
        <v>45441.75</v>
      </c>
      <c r="W629">
        <f t="shared" si="536"/>
        <v>18.399999999999999</v>
      </c>
      <c r="X629">
        <f t="shared" si="537"/>
        <v>23</v>
      </c>
      <c r="Y629">
        <f t="shared" si="538"/>
        <v>14.3</v>
      </c>
      <c r="Z629">
        <f t="shared" si="539"/>
        <v>19.399999999999999</v>
      </c>
      <c r="BA629" t="s">
        <v>6</v>
      </c>
    </row>
    <row r="630" spans="1:53" x14ac:dyDescent="0.2">
      <c r="A630" s="1">
        <v>45441</v>
      </c>
      <c r="B630" s="2">
        <v>0.79166666666666663</v>
      </c>
      <c r="C630" s="6">
        <v>45441.791666666664</v>
      </c>
      <c r="D630">
        <v>53.2</v>
      </c>
      <c r="E630">
        <v>58.6</v>
      </c>
      <c r="F630">
        <v>50.9</v>
      </c>
      <c r="G630" t="s">
        <v>6</v>
      </c>
      <c r="H630">
        <v>20.6</v>
      </c>
      <c r="I630">
        <v>26.6</v>
      </c>
      <c r="J630">
        <v>16.100000000000001</v>
      </c>
      <c r="K630" t="s">
        <v>6</v>
      </c>
      <c r="L630">
        <v>215</v>
      </c>
      <c r="M630" t="s">
        <v>6</v>
      </c>
      <c r="O630" s="6">
        <f t="shared" si="530"/>
        <v>45441.791666666664</v>
      </c>
      <c r="P630">
        <f t="shared" si="531"/>
        <v>53.2</v>
      </c>
      <c r="Q630">
        <f t="shared" si="532"/>
        <v>58.6</v>
      </c>
      <c r="R630">
        <f t="shared" si="533"/>
        <v>50.9</v>
      </c>
      <c r="S630">
        <f t="shared" si="534"/>
        <v>54.2</v>
      </c>
      <c r="V630" s="6">
        <f t="shared" si="535"/>
        <v>45441.791666666664</v>
      </c>
      <c r="W630">
        <f t="shared" si="536"/>
        <v>20.6</v>
      </c>
      <c r="X630">
        <f t="shared" si="537"/>
        <v>26.6</v>
      </c>
      <c r="Y630">
        <f t="shared" si="538"/>
        <v>16.100000000000001</v>
      </c>
      <c r="Z630">
        <f t="shared" si="539"/>
        <v>21.6</v>
      </c>
      <c r="BA630" t="s">
        <v>6</v>
      </c>
    </row>
    <row r="631" spans="1:53" x14ac:dyDescent="0.2">
      <c r="A631" s="1">
        <v>45441</v>
      </c>
      <c r="B631" s="2">
        <v>0.83333333333333337</v>
      </c>
      <c r="C631" s="6">
        <v>45441.833333333336</v>
      </c>
      <c r="D631">
        <v>64.5</v>
      </c>
      <c r="E631">
        <v>71.8</v>
      </c>
      <c r="F631">
        <v>51.4</v>
      </c>
      <c r="G631" t="s">
        <v>6</v>
      </c>
      <c r="H631">
        <v>19.2</v>
      </c>
      <c r="I631">
        <v>22.9</v>
      </c>
      <c r="J631">
        <v>13.9</v>
      </c>
      <c r="K631" t="s">
        <v>6</v>
      </c>
      <c r="L631">
        <v>211</v>
      </c>
      <c r="M631" t="s">
        <v>6</v>
      </c>
      <c r="O631" s="6">
        <f t="shared" si="530"/>
        <v>45441.833333333336</v>
      </c>
      <c r="P631">
        <f t="shared" si="531"/>
        <v>64.5</v>
      </c>
      <c r="Q631">
        <f t="shared" si="532"/>
        <v>71.8</v>
      </c>
      <c r="R631">
        <f t="shared" si="533"/>
        <v>51.4</v>
      </c>
      <c r="S631">
        <f t="shared" si="534"/>
        <v>65.5</v>
      </c>
      <c r="V631" s="6">
        <f t="shared" si="535"/>
        <v>45441.833333333336</v>
      </c>
      <c r="W631">
        <f t="shared" si="536"/>
        <v>19.2</v>
      </c>
      <c r="X631">
        <f t="shared" si="537"/>
        <v>22.9</v>
      </c>
      <c r="Y631">
        <f t="shared" si="538"/>
        <v>13.9</v>
      </c>
      <c r="Z631">
        <f t="shared" si="539"/>
        <v>20.2</v>
      </c>
      <c r="BA631" t="s">
        <v>6</v>
      </c>
    </row>
    <row r="632" spans="1:53" x14ac:dyDescent="0.2">
      <c r="A632" s="1">
        <v>45441</v>
      </c>
      <c r="B632" s="2">
        <v>0.875</v>
      </c>
      <c r="C632" s="6">
        <v>45441.875</v>
      </c>
      <c r="D632">
        <v>65.8</v>
      </c>
      <c r="E632">
        <v>74.099999999999994</v>
      </c>
      <c r="F632">
        <v>57.6</v>
      </c>
      <c r="G632" t="s">
        <v>6</v>
      </c>
      <c r="H632">
        <v>20.8</v>
      </c>
      <c r="I632">
        <v>24.4</v>
      </c>
      <c r="J632">
        <v>17.600000000000001</v>
      </c>
      <c r="K632" t="s">
        <v>6</v>
      </c>
      <c r="L632">
        <v>192</v>
      </c>
      <c r="M632" t="s">
        <v>6</v>
      </c>
      <c r="O632" s="6">
        <f t="shared" si="530"/>
        <v>45441.875</v>
      </c>
      <c r="P632">
        <f t="shared" si="531"/>
        <v>65.8</v>
      </c>
      <c r="Q632">
        <f t="shared" si="532"/>
        <v>74.099999999999994</v>
      </c>
      <c r="R632">
        <f t="shared" si="533"/>
        <v>57.6</v>
      </c>
      <c r="S632">
        <f t="shared" si="534"/>
        <v>66.8</v>
      </c>
      <c r="V632" s="6">
        <f t="shared" si="535"/>
        <v>45441.875</v>
      </c>
      <c r="W632">
        <f t="shared" si="536"/>
        <v>20.8</v>
      </c>
      <c r="X632">
        <f t="shared" si="537"/>
        <v>24.4</v>
      </c>
      <c r="Y632">
        <f t="shared" si="538"/>
        <v>17.600000000000001</v>
      </c>
      <c r="Z632">
        <f t="shared" si="539"/>
        <v>21.8</v>
      </c>
      <c r="BA632" t="s">
        <v>6</v>
      </c>
    </row>
    <row r="633" spans="1:53" x14ac:dyDescent="0.2">
      <c r="A633" s="1">
        <v>45441</v>
      </c>
      <c r="B633" s="2">
        <v>0.91666666666666663</v>
      </c>
      <c r="C633" s="6">
        <v>45441.916666666664</v>
      </c>
      <c r="D633">
        <v>70.400000000000006</v>
      </c>
      <c r="E633">
        <v>75.900000000000006</v>
      </c>
      <c r="F633">
        <v>63.6</v>
      </c>
      <c r="G633" t="s">
        <v>6</v>
      </c>
      <c r="H633">
        <v>19.5</v>
      </c>
      <c r="I633">
        <v>21.9</v>
      </c>
      <c r="J633">
        <v>16.7</v>
      </c>
      <c r="K633" t="s">
        <v>6</v>
      </c>
      <c r="L633">
        <v>209</v>
      </c>
      <c r="M633" t="s">
        <v>6</v>
      </c>
      <c r="O633" s="6">
        <f t="shared" si="530"/>
        <v>45441.916666666664</v>
      </c>
      <c r="P633">
        <f t="shared" si="531"/>
        <v>70.400000000000006</v>
      </c>
      <c r="Q633">
        <f t="shared" si="532"/>
        <v>75.900000000000006</v>
      </c>
      <c r="R633">
        <f t="shared" si="533"/>
        <v>63.6</v>
      </c>
      <c r="S633">
        <f t="shared" si="534"/>
        <v>71.400000000000006</v>
      </c>
      <c r="V633" s="6">
        <f t="shared" si="535"/>
        <v>45441.916666666664</v>
      </c>
      <c r="W633">
        <f t="shared" si="536"/>
        <v>19.5</v>
      </c>
      <c r="X633">
        <f t="shared" si="537"/>
        <v>21.9</v>
      </c>
      <c r="Y633">
        <f t="shared" si="538"/>
        <v>16.7</v>
      </c>
      <c r="Z633">
        <f t="shared" si="539"/>
        <v>20.5</v>
      </c>
      <c r="BA633" t="s">
        <v>6</v>
      </c>
    </row>
    <row r="634" spans="1:53" x14ac:dyDescent="0.2">
      <c r="A634" s="1">
        <v>45442</v>
      </c>
      <c r="B634" s="2">
        <v>0.16666666666666666</v>
      </c>
      <c r="C634" s="6">
        <v>45442.166666666664</v>
      </c>
      <c r="D634">
        <v>66</v>
      </c>
      <c r="E634">
        <v>70.099999999999994</v>
      </c>
      <c r="F634">
        <v>59.6</v>
      </c>
      <c r="G634" t="s">
        <v>6</v>
      </c>
      <c r="H634">
        <v>19.7</v>
      </c>
      <c r="I634">
        <v>23.3</v>
      </c>
      <c r="J634">
        <v>15.1</v>
      </c>
      <c r="K634" t="s">
        <v>6</v>
      </c>
      <c r="L634">
        <v>111</v>
      </c>
      <c r="M634" t="s">
        <v>6</v>
      </c>
      <c r="O634" s="6">
        <f t="shared" si="530"/>
        <v>45442.166666666664</v>
      </c>
      <c r="P634">
        <f t="shared" si="531"/>
        <v>66</v>
      </c>
      <c r="Q634">
        <f t="shared" si="532"/>
        <v>70.099999999999994</v>
      </c>
      <c r="R634">
        <f t="shared" si="533"/>
        <v>59.6</v>
      </c>
      <c r="S634">
        <f t="shared" si="534"/>
        <v>67</v>
      </c>
      <c r="V634" s="6">
        <f t="shared" si="535"/>
        <v>45442.166666666664</v>
      </c>
      <c r="W634">
        <f t="shared" si="536"/>
        <v>19.7</v>
      </c>
      <c r="X634">
        <f t="shared" si="537"/>
        <v>23.3</v>
      </c>
      <c r="Y634">
        <f t="shared" si="538"/>
        <v>15.1</v>
      </c>
      <c r="Z634">
        <f t="shared" si="539"/>
        <v>20.7</v>
      </c>
      <c r="BA634" t="s">
        <v>6</v>
      </c>
    </row>
    <row r="635" spans="1:53" x14ac:dyDescent="0.2">
      <c r="A635" s="1">
        <v>45442</v>
      </c>
      <c r="B635" s="2">
        <v>0.20833333333333334</v>
      </c>
      <c r="C635" s="6">
        <v>45442.208333333336</v>
      </c>
      <c r="D635">
        <v>63.3</v>
      </c>
      <c r="E635">
        <v>68.3</v>
      </c>
      <c r="F635">
        <v>58.3</v>
      </c>
      <c r="G635" t="s">
        <v>6</v>
      </c>
      <c r="H635">
        <v>16.5</v>
      </c>
      <c r="I635">
        <v>19.5</v>
      </c>
      <c r="J635">
        <v>13.5</v>
      </c>
      <c r="K635" t="s">
        <v>6</v>
      </c>
      <c r="L635">
        <v>222</v>
      </c>
      <c r="M635" t="s">
        <v>6</v>
      </c>
      <c r="O635" s="6">
        <f t="shared" si="530"/>
        <v>45442.208333333336</v>
      </c>
      <c r="P635">
        <f t="shared" si="531"/>
        <v>63.3</v>
      </c>
      <c r="Q635">
        <f t="shared" si="532"/>
        <v>68.3</v>
      </c>
      <c r="R635">
        <f t="shared" si="533"/>
        <v>58.3</v>
      </c>
      <c r="S635">
        <f t="shared" si="534"/>
        <v>64.3</v>
      </c>
      <c r="V635" s="6">
        <f t="shared" si="535"/>
        <v>45442.208333333336</v>
      </c>
      <c r="W635">
        <f t="shared" si="536"/>
        <v>16.5</v>
      </c>
      <c r="X635">
        <f t="shared" si="537"/>
        <v>19.5</v>
      </c>
      <c r="Y635">
        <f t="shared" si="538"/>
        <v>13.5</v>
      </c>
      <c r="Z635">
        <f t="shared" si="539"/>
        <v>17.5</v>
      </c>
      <c r="BA635" t="s">
        <v>6</v>
      </c>
    </row>
    <row r="636" spans="1:53" x14ac:dyDescent="0.2">
      <c r="A636" s="1">
        <v>45442</v>
      </c>
      <c r="B636" s="2">
        <v>0.25</v>
      </c>
      <c r="C636" s="6">
        <v>45442.25</v>
      </c>
      <c r="D636">
        <v>61.7</v>
      </c>
      <c r="E636">
        <v>69</v>
      </c>
      <c r="F636">
        <v>55.1</v>
      </c>
      <c r="G636" t="s">
        <v>6</v>
      </c>
      <c r="H636">
        <v>18</v>
      </c>
      <c r="I636">
        <v>24.1</v>
      </c>
      <c r="J636">
        <v>13.7</v>
      </c>
      <c r="K636" t="s">
        <v>6</v>
      </c>
      <c r="L636">
        <v>220</v>
      </c>
      <c r="M636" t="s">
        <v>6</v>
      </c>
      <c r="O636" s="6">
        <f t="shared" si="530"/>
        <v>45442.25</v>
      </c>
      <c r="P636">
        <f t="shared" si="531"/>
        <v>61.7</v>
      </c>
      <c r="Q636">
        <f t="shared" si="532"/>
        <v>69</v>
      </c>
      <c r="R636">
        <f t="shared" si="533"/>
        <v>55.1</v>
      </c>
      <c r="S636">
        <f t="shared" si="534"/>
        <v>62.7</v>
      </c>
      <c r="V636" s="6">
        <f t="shared" si="535"/>
        <v>45442.25</v>
      </c>
      <c r="W636">
        <f t="shared" si="536"/>
        <v>18</v>
      </c>
      <c r="X636">
        <f t="shared" si="537"/>
        <v>24.1</v>
      </c>
      <c r="Y636">
        <f t="shared" si="538"/>
        <v>13.7</v>
      </c>
      <c r="Z636">
        <f t="shared" si="539"/>
        <v>19</v>
      </c>
      <c r="BA636" t="s">
        <v>6</v>
      </c>
    </row>
    <row r="637" spans="1:53" x14ac:dyDescent="0.2">
      <c r="A637" s="1">
        <v>45442</v>
      </c>
      <c r="B637" s="2">
        <v>0.29166666666666669</v>
      </c>
      <c r="C637" s="6">
        <v>45442.291666666664</v>
      </c>
      <c r="D637">
        <v>58.3</v>
      </c>
      <c r="E637">
        <v>64.400000000000006</v>
      </c>
      <c r="F637">
        <v>52.2</v>
      </c>
      <c r="G637" t="s">
        <v>6</v>
      </c>
      <c r="H637">
        <v>18.3</v>
      </c>
      <c r="I637">
        <v>21.5</v>
      </c>
      <c r="J637">
        <v>15.7</v>
      </c>
      <c r="K637" t="s">
        <v>6</v>
      </c>
      <c r="L637">
        <v>183</v>
      </c>
      <c r="M637" t="s">
        <v>6</v>
      </c>
      <c r="O637" s="6">
        <f t="shared" si="530"/>
        <v>45442.291666666664</v>
      </c>
      <c r="P637">
        <f t="shared" si="531"/>
        <v>58.3</v>
      </c>
      <c r="Q637">
        <f t="shared" si="532"/>
        <v>64.400000000000006</v>
      </c>
      <c r="R637">
        <f t="shared" si="533"/>
        <v>52.2</v>
      </c>
      <c r="S637">
        <f t="shared" si="534"/>
        <v>59.3</v>
      </c>
      <c r="V637" s="6">
        <f t="shared" si="535"/>
        <v>45442.291666666664</v>
      </c>
      <c r="W637">
        <f t="shared" si="536"/>
        <v>18.3</v>
      </c>
      <c r="X637">
        <f t="shared" si="537"/>
        <v>21.5</v>
      </c>
      <c r="Y637">
        <f t="shared" si="538"/>
        <v>15.7</v>
      </c>
      <c r="Z637">
        <f t="shared" si="539"/>
        <v>19.3</v>
      </c>
      <c r="BA637" t="s">
        <v>6</v>
      </c>
    </row>
    <row r="638" spans="1:53" x14ac:dyDescent="0.2">
      <c r="A638" s="14">
        <v>45442</v>
      </c>
      <c r="B638" s="7">
        <v>0.33333333333333331</v>
      </c>
      <c r="C638" s="8">
        <v>45442.333333333336</v>
      </c>
      <c r="D638" s="9">
        <v>59</v>
      </c>
      <c r="E638" s="9">
        <v>65.599999999999994</v>
      </c>
      <c r="F638" s="9">
        <v>52.6</v>
      </c>
      <c r="G638" s="9" t="s">
        <v>6</v>
      </c>
      <c r="H638" s="9">
        <v>18.3</v>
      </c>
      <c r="I638" s="9">
        <v>22</v>
      </c>
      <c r="J638" s="9">
        <v>12.7</v>
      </c>
      <c r="K638" s="9" t="s">
        <v>6</v>
      </c>
      <c r="L638" s="9">
        <v>210</v>
      </c>
      <c r="M638" t="s">
        <v>6</v>
      </c>
      <c r="O638" s="6">
        <f t="shared" si="530"/>
        <v>45442.333333333336</v>
      </c>
      <c r="P638">
        <f t="shared" si="531"/>
        <v>59</v>
      </c>
      <c r="Q638">
        <f t="shared" si="532"/>
        <v>65.599999999999994</v>
      </c>
      <c r="R638">
        <f t="shared" si="533"/>
        <v>52.6</v>
      </c>
      <c r="S638">
        <f t="shared" si="534"/>
        <v>60</v>
      </c>
      <c r="V638" s="6">
        <f t="shared" si="535"/>
        <v>45442.333333333336</v>
      </c>
      <c r="W638">
        <f t="shared" si="536"/>
        <v>18.3</v>
      </c>
      <c r="X638">
        <f t="shared" si="537"/>
        <v>22</v>
      </c>
      <c r="Y638">
        <f t="shared" si="538"/>
        <v>12.7</v>
      </c>
      <c r="Z638">
        <f t="shared" si="539"/>
        <v>19.3</v>
      </c>
      <c r="BA638" t="s">
        <v>6</v>
      </c>
    </row>
    <row r="639" spans="1:53" x14ac:dyDescent="0.2">
      <c r="A639" s="13">
        <v>45442</v>
      </c>
      <c r="B639" s="3">
        <v>0.375</v>
      </c>
      <c r="C639" s="4">
        <v>45442.375</v>
      </c>
      <c r="D639" s="5">
        <v>69.7</v>
      </c>
      <c r="E639" s="5">
        <v>80.2</v>
      </c>
      <c r="F639" s="5">
        <v>59.9</v>
      </c>
      <c r="G639" s="5" t="s">
        <v>6</v>
      </c>
      <c r="H639" s="5">
        <v>18.5</v>
      </c>
      <c r="I639" s="5">
        <v>21.8</v>
      </c>
      <c r="J639" s="5">
        <v>14.5</v>
      </c>
      <c r="K639" s="5" t="s">
        <v>6</v>
      </c>
      <c r="L639" s="5">
        <v>224</v>
      </c>
      <c r="M639" t="s">
        <v>6</v>
      </c>
      <c r="O639" s="6">
        <f t="shared" si="530"/>
        <v>45442.375</v>
      </c>
      <c r="P639">
        <f t="shared" si="531"/>
        <v>69.7</v>
      </c>
      <c r="Q639">
        <f t="shared" si="532"/>
        <v>80.2</v>
      </c>
      <c r="R639">
        <f t="shared" si="533"/>
        <v>59.9</v>
      </c>
      <c r="S639">
        <f t="shared" si="534"/>
        <v>70.7</v>
      </c>
      <c r="V639" s="6">
        <f t="shared" si="535"/>
        <v>45442.375</v>
      </c>
      <c r="W639">
        <f t="shared" si="536"/>
        <v>18.5</v>
      </c>
      <c r="X639">
        <f t="shared" si="537"/>
        <v>21.8</v>
      </c>
      <c r="Y639">
        <f t="shared" si="538"/>
        <v>14.5</v>
      </c>
      <c r="Z639">
        <f t="shared" si="539"/>
        <v>19.5</v>
      </c>
      <c r="BA639" t="s">
        <v>6</v>
      </c>
    </row>
    <row r="640" spans="1:53" x14ac:dyDescent="0.2">
      <c r="A640" s="1">
        <v>45442</v>
      </c>
      <c r="B640" s="2">
        <v>0.41666666666666669</v>
      </c>
      <c r="C640" s="6">
        <v>45442.416666666664</v>
      </c>
      <c r="D640">
        <v>61.5</v>
      </c>
      <c r="E640">
        <v>66</v>
      </c>
      <c r="F640">
        <v>57.9</v>
      </c>
      <c r="G640" t="s">
        <v>6</v>
      </c>
      <c r="H640">
        <v>20.3</v>
      </c>
      <c r="I640">
        <v>24.6</v>
      </c>
      <c r="J640">
        <v>16.7</v>
      </c>
      <c r="K640" t="s">
        <v>6</v>
      </c>
      <c r="L640">
        <v>114</v>
      </c>
      <c r="M640" t="s">
        <v>6</v>
      </c>
      <c r="O640" s="6">
        <f t="shared" ref="O640:O703" si="540">C640</f>
        <v>45442.416666666664</v>
      </c>
      <c r="P640">
        <f t="shared" ref="P640:P703" si="541">D640</f>
        <v>61.5</v>
      </c>
      <c r="Q640">
        <f t="shared" ref="Q640:Q703" si="542">E640</f>
        <v>66</v>
      </c>
      <c r="R640">
        <f t="shared" ref="R640:R703" si="543">F640</f>
        <v>57.9</v>
      </c>
      <c r="S640">
        <f t="shared" ref="S640:S703" si="544">P640+1</f>
        <v>62.5</v>
      </c>
      <c r="V640" s="6">
        <f t="shared" ref="V640:V703" si="545">O640</f>
        <v>45442.416666666664</v>
      </c>
      <c r="W640">
        <f t="shared" ref="W640:W703" si="546">H640</f>
        <v>20.3</v>
      </c>
      <c r="X640">
        <f t="shared" ref="X640:X703" si="547">I640</f>
        <v>24.6</v>
      </c>
      <c r="Y640">
        <f t="shared" ref="Y640:Y703" si="548">J640</f>
        <v>16.7</v>
      </c>
      <c r="Z640">
        <f t="shared" ref="Z640:Z703" si="549">W640+1</f>
        <v>21.3</v>
      </c>
      <c r="BA640" t="s">
        <v>6</v>
      </c>
    </row>
    <row r="641" spans="1:53" x14ac:dyDescent="0.2">
      <c r="A641" s="1">
        <v>45442</v>
      </c>
      <c r="B641" s="2">
        <v>0.45833333333333331</v>
      </c>
      <c r="C641" s="6">
        <v>45442.458333333336</v>
      </c>
      <c r="D641">
        <v>58.3</v>
      </c>
      <c r="E641">
        <v>76.7</v>
      </c>
      <c r="F641">
        <v>51.1</v>
      </c>
      <c r="G641" t="s">
        <v>6</v>
      </c>
      <c r="H641">
        <v>20.6</v>
      </c>
      <c r="I641">
        <v>24.4</v>
      </c>
      <c r="J641">
        <v>15.6</v>
      </c>
      <c r="K641" t="s">
        <v>6</v>
      </c>
      <c r="L641">
        <v>216</v>
      </c>
      <c r="M641" t="s">
        <v>6</v>
      </c>
      <c r="O641" s="6">
        <f t="shared" si="540"/>
        <v>45442.458333333336</v>
      </c>
      <c r="P641">
        <f t="shared" si="541"/>
        <v>58.3</v>
      </c>
      <c r="Q641">
        <f t="shared" si="542"/>
        <v>76.7</v>
      </c>
      <c r="R641">
        <f t="shared" si="543"/>
        <v>51.1</v>
      </c>
      <c r="S641">
        <f t="shared" si="544"/>
        <v>59.3</v>
      </c>
      <c r="V641" s="6">
        <f t="shared" si="545"/>
        <v>45442.458333333336</v>
      </c>
      <c r="W641">
        <f t="shared" si="546"/>
        <v>20.6</v>
      </c>
      <c r="X641">
        <f t="shared" si="547"/>
        <v>24.4</v>
      </c>
      <c r="Y641">
        <f t="shared" si="548"/>
        <v>15.6</v>
      </c>
      <c r="Z641">
        <f t="shared" si="549"/>
        <v>21.6</v>
      </c>
      <c r="BA641" t="s">
        <v>6</v>
      </c>
    </row>
    <row r="642" spans="1:53" x14ac:dyDescent="0.2">
      <c r="A642" s="1">
        <v>45442</v>
      </c>
      <c r="B642" s="2">
        <v>0.5</v>
      </c>
      <c r="C642" s="6">
        <v>45442.5</v>
      </c>
      <c r="D642">
        <v>64.3</v>
      </c>
      <c r="E642">
        <v>71.099999999999994</v>
      </c>
      <c r="F642">
        <v>58.4</v>
      </c>
      <c r="G642" t="s">
        <v>6</v>
      </c>
      <c r="H642">
        <v>20.5</v>
      </c>
      <c r="I642">
        <v>26.5</v>
      </c>
      <c r="J642">
        <v>16.899999999999999</v>
      </c>
      <c r="K642" t="s">
        <v>6</v>
      </c>
      <c r="L642">
        <v>174</v>
      </c>
      <c r="M642" t="s">
        <v>6</v>
      </c>
      <c r="O642" s="6">
        <f t="shared" si="540"/>
        <v>45442.5</v>
      </c>
      <c r="P642">
        <f t="shared" si="541"/>
        <v>64.3</v>
      </c>
      <c r="Q642">
        <f t="shared" si="542"/>
        <v>71.099999999999994</v>
      </c>
      <c r="R642">
        <f t="shared" si="543"/>
        <v>58.4</v>
      </c>
      <c r="S642">
        <f t="shared" si="544"/>
        <v>65.3</v>
      </c>
      <c r="V642" s="6">
        <f t="shared" si="545"/>
        <v>45442.5</v>
      </c>
      <c r="W642">
        <f t="shared" si="546"/>
        <v>20.5</v>
      </c>
      <c r="X642">
        <f t="shared" si="547"/>
        <v>26.5</v>
      </c>
      <c r="Y642">
        <f t="shared" si="548"/>
        <v>16.899999999999999</v>
      </c>
      <c r="Z642">
        <f t="shared" si="549"/>
        <v>21.5</v>
      </c>
      <c r="BA642" t="s">
        <v>6</v>
      </c>
    </row>
    <row r="643" spans="1:53" x14ac:dyDescent="0.2">
      <c r="A643" s="1">
        <v>45442</v>
      </c>
      <c r="B643" s="2">
        <v>0.54166666666666663</v>
      </c>
      <c r="C643" s="6">
        <v>45442.541666666664</v>
      </c>
      <c r="D643">
        <v>57.9</v>
      </c>
      <c r="E643">
        <v>62.3</v>
      </c>
      <c r="F643">
        <v>53.8</v>
      </c>
      <c r="G643" t="s">
        <v>6</v>
      </c>
      <c r="H643">
        <v>20.8</v>
      </c>
      <c r="I643">
        <v>24.3</v>
      </c>
      <c r="J643">
        <v>15.5</v>
      </c>
      <c r="K643" t="s">
        <v>6</v>
      </c>
      <c r="L643">
        <v>200</v>
      </c>
      <c r="M643" t="s">
        <v>6</v>
      </c>
      <c r="O643" s="6">
        <f t="shared" si="540"/>
        <v>45442.541666666664</v>
      </c>
      <c r="P643">
        <f t="shared" si="541"/>
        <v>57.9</v>
      </c>
      <c r="Q643">
        <f t="shared" si="542"/>
        <v>62.3</v>
      </c>
      <c r="R643">
        <f t="shared" si="543"/>
        <v>53.8</v>
      </c>
      <c r="S643">
        <f t="shared" si="544"/>
        <v>58.9</v>
      </c>
      <c r="V643" s="6">
        <f t="shared" si="545"/>
        <v>45442.541666666664</v>
      </c>
      <c r="W643">
        <f t="shared" si="546"/>
        <v>20.8</v>
      </c>
      <c r="X643">
        <f t="shared" si="547"/>
        <v>24.3</v>
      </c>
      <c r="Y643">
        <f t="shared" si="548"/>
        <v>15.5</v>
      </c>
      <c r="Z643">
        <f t="shared" si="549"/>
        <v>21.8</v>
      </c>
      <c r="BA643" t="s">
        <v>6</v>
      </c>
    </row>
    <row r="644" spans="1:53" x14ac:dyDescent="0.2">
      <c r="A644" s="1">
        <v>45442</v>
      </c>
      <c r="B644" s="2">
        <v>0.58333333333333337</v>
      </c>
      <c r="C644" s="6">
        <v>45442.583333333336</v>
      </c>
      <c r="D644">
        <v>62.4</v>
      </c>
      <c r="E644">
        <v>67.099999999999994</v>
      </c>
      <c r="F644">
        <v>52.6</v>
      </c>
      <c r="G644" t="s">
        <v>6</v>
      </c>
      <c r="H644">
        <v>19.600000000000001</v>
      </c>
      <c r="I644">
        <v>27.1</v>
      </c>
      <c r="J644">
        <v>16.8</v>
      </c>
      <c r="K644" t="s">
        <v>6</v>
      </c>
      <c r="L644">
        <v>189</v>
      </c>
      <c r="M644" t="s">
        <v>6</v>
      </c>
      <c r="O644" s="6">
        <f t="shared" si="540"/>
        <v>45442.583333333336</v>
      </c>
      <c r="P644">
        <f t="shared" si="541"/>
        <v>62.4</v>
      </c>
      <c r="Q644">
        <f t="shared" si="542"/>
        <v>67.099999999999994</v>
      </c>
      <c r="R644">
        <f t="shared" si="543"/>
        <v>52.6</v>
      </c>
      <c r="S644">
        <f t="shared" si="544"/>
        <v>63.4</v>
      </c>
      <c r="V644" s="6">
        <f t="shared" si="545"/>
        <v>45442.583333333336</v>
      </c>
      <c r="W644">
        <f t="shared" si="546"/>
        <v>19.600000000000001</v>
      </c>
      <c r="X644">
        <f t="shared" si="547"/>
        <v>27.1</v>
      </c>
      <c r="Y644">
        <f t="shared" si="548"/>
        <v>16.8</v>
      </c>
      <c r="Z644">
        <f t="shared" si="549"/>
        <v>20.6</v>
      </c>
      <c r="BA644" t="s">
        <v>6</v>
      </c>
    </row>
    <row r="645" spans="1:53" x14ac:dyDescent="0.2">
      <c r="A645" s="1">
        <v>45442</v>
      </c>
      <c r="B645" s="2">
        <v>0.625</v>
      </c>
      <c r="C645" s="6">
        <v>45442.625</v>
      </c>
      <c r="D645">
        <v>66.8</v>
      </c>
      <c r="E645">
        <v>79.7</v>
      </c>
      <c r="F645">
        <v>57.4</v>
      </c>
      <c r="G645" t="s">
        <v>6</v>
      </c>
      <c r="H645">
        <v>21</v>
      </c>
      <c r="I645">
        <v>26</v>
      </c>
      <c r="J645">
        <v>15</v>
      </c>
      <c r="K645" t="s">
        <v>6</v>
      </c>
      <c r="L645">
        <v>202</v>
      </c>
      <c r="M645" t="s">
        <v>6</v>
      </c>
      <c r="O645" s="6">
        <f t="shared" si="540"/>
        <v>45442.625</v>
      </c>
      <c r="P645">
        <f t="shared" si="541"/>
        <v>66.8</v>
      </c>
      <c r="Q645">
        <f t="shared" si="542"/>
        <v>79.7</v>
      </c>
      <c r="R645">
        <f t="shared" si="543"/>
        <v>57.4</v>
      </c>
      <c r="S645">
        <f t="shared" si="544"/>
        <v>67.8</v>
      </c>
      <c r="V645" s="6">
        <f t="shared" si="545"/>
        <v>45442.625</v>
      </c>
      <c r="W645">
        <f t="shared" si="546"/>
        <v>21</v>
      </c>
      <c r="X645">
        <f t="shared" si="547"/>
        <v>26</v>
      </c>
      <c r="Y645">
        <f t="shared" si="548"/>
        <v>15</v>
      </c>
      <c r="Z645">
        <f t="shared" si="549"/>
        <v>22</v>
      </c>
      <c r="BA645" t="s">
        <v>6</v>
      </c>
    </row>
    <row r="646" spans="1:53" x14ac:dyDescent="0.2">
      <c r="A646" s="1">
        <v>45442</v>
      </c>
      <c r="B646" s="2">
        <v>0.66666666666666663</v>
      </c>
      <c r="C646" s="6">
        <v>45442.666666666664</v>
      </c>
      <c r="D646">
        <v>60.4</v>
      </c>
      <c r="E646">
        <v>67</v>
      </c>
      <c r="F646">
        <v>53.1</v>
      </c>
      <c r="G646" t="s">
        <v>6</v>
      </c>
      <c r="H646">
        <v>19.2</v>
      </c>
      <c r="I646">
        <v>22.2</v>
      </c>
      <c r="J646">
        <v>16</v>
      </c>
      <c r="K646" t="s">
        <v>6</v>
      </c>
      <c r="L646">
        <v>222</v>
      </c>
      <c r="M646" t="s">
        <v>6</v>
      </c>
      <c r="O646" s="6">
        <f t="shared" si="540"/>
        <v>45442.666666666664</v>
      </c>
      <c r="P646">
        <f t="shared" si="541"/>
        <v>60.4</v>
      </c>
      <c r="Q646">
        <f t="shared" si="542"/>
        <v>67</v>
      </c>
      <c r="R646">
        <f t="shared" si="543"/>
        <v>53.1</v>
      </c>
      <c r="S646">
        <f t="shared" si="544"/>
        <v>61.4</v>
      </c>
      <c r="V646" s="6">
        <f t="shared" si="545"/>
        <v>45442.666666666664</v>
      </c>
      <c r="W646">
        <f t="shared" si="546"/>
        <v>19.2</v>
      </c>
      <c r="X646">
        <f t="shared" si="547"/>
        <v>22.2</v>
      </c>
      <c r="Y646">
        <f t="shared" si="548"/>
        <v>16</v>
      </c>
      <c r="Z646">
        <f t="shared" si="549"/>
        <v>20.2</v>
      </c>
      <c r="BA646" t="s">
        <v>6</v>
      </c>
    </row>
    <row r="647" spans="1:53" x14ac:dyDescent="0.2">
      <c r="A647" s="1">
        <v>45442</v>
      </c>
      <c r="B647" s="2">
        <v>0.70833333333333337</v>
      </c>
      <c r="C647" s="6">
        <v>45442.708333333336</v>
      </c>
      <c r="D647">
        <v>62</v>
      </c>
      <c r="E647">
        <v>65.400000000000006</v>
      </c>
      <c r="F647">
        <v>58.1</v>
      </c>
      <c r="G647" t="s">
        <v>6</v>
      </c>
      <c r="H647">
        <v>19.399999999999999</v>
      </c>
      <c r="I647">
        <v>25.9</v>
      </c>
      <c r="J647">
        <v>13.1</v>
      </c>
      <c r="K647" t="s">
        <v>6</v>
      </c>
      <c r="L647">
        <v>184</v>
      </c>
      <c r="M647" t="s">
        <v>6</v>
      </c>
      <c r="O647" s="6">
        <f t="shared" si="540"/>
        <v>45442.708333333336</v>
      </c>
      <c r="P647">
        <f t="shared" si="541"/>
        <v>62</v>
      </c>
      <c r="Q647">
        <f t="shared" si="542"/>
        <v>65.400000000000006</v>
      </c>
      <c r="R647">
        <f t="shared" si="543"/>
        <v>58.1</v>
      </c>
      <c r="S647">
        <f t="shared" si="544"/>
        <v>63</v>
      </c>
      <c r="V647" s="6">
        <f t="shared" si="545"/>
        <v>45442.708333333336</v>
      </c>
      <c r="W647">
        <f t="shared" si="546"/>
        <v>19.399999999999999</v>
      </c>
      <c r="X647">
        <f t="shared" si="547"/>
        <v>25.9</v>
      </c>
      <c r="Y647">
        <f t="shared" si="548"/>
        <v>13.1</v>
      </c>
      <c r="Z647">
        <f t="shared" si="549"/>
        <v>20.399999999999999</v>
      </c>
      <c r="BA647" t="s">
        <v>6</v>
      </c>
    </row>
    <row r="648" spans="1:53" x14ac:dyDescent="0.2">
      <c r="A648" s="1">
        <v>45442</v>
      </c>
      <c r="B648" s="2">
        <v>0.75</v>
      </c>
      <c r="C648" s="6">
        <v>45442.75</v>
      </c>
      <c r="D648">
        <v>58.6</v>
      </c>
      <c r="E648">
        <v>64.599999999999994</v>
      </c>
      <c r="F648">
        <v>55</v>
      </c>
      <c r="G648" t="s">
        <v>6</v>
      </c>
      <c r="H648">
        <v>20.100000000000001</v>
      </c>
      <c r="I648">
        <v>26.4</v>
      </c>
      <c r="J648">
        <v>14.2</v>
      </c>
      <c r="K648" t="s">
        <v>6</v>
      </c>
      <c r="L648">
        <v>219</v>
      </c>
      <c r="M648" t="s">
        <v>6</v>
      </c>
      <c r="O648" s="6">
        <f t="shared" si="540"/>
        <v>45442.75</v>
      </c>
      <c r="P648">
        <f t="shared" si="541"/>
        <v>58.6</v>
      </c>
      <c r="Q648">
        <f t="shared" si="542"/>
        <v>64.599999999999994</v>
      </c>
      <c r="R648">
        <f t="shared" si="543"/>
        <v>55</v>
      </c>
      <c r="S648">
        <f t="shared" si="544"/>
        <v>59.6</v>
      </c>
      <c r="V648" s="6">
        <f t="shared" si="545"/>
        <v>45442.75</v>
      </c>
      <c r="W648">
        <f t="shared" si="546"/>
        <v>20.100000000000001</v>
      </c>
      <c r="X648">
        <f t="shared" si="547"/>
        <v>26.4</v>
      </c>
      <c r="Y648">
        <f t="shared" si="548"/>
        <v>14.2</v>
      </c>
      <c r="Z648">
        <f t="shared" si="549"/>
        <v>21.1</v>
      </c>
      <c r="BA648" t="s">
        <v>6</v>
      </c>
    </row>
    <row r="649" spans="1:53" x14ac:dyDescent="0.2">
      <c r="A649" s="1">
        <v>45442</v>
      </c>
      <c r="B649" s="2">
        <v>0.79166666666666663</v>
      </c>
      <c r="C649" s="6">
        <v>45442.791666666664</v>
      </c>
      <c r="D649">
        <v>50.6</v>
      </c>
      <c r="E649">
        <v>56.1</v>
      </c>
      <c r="F649">
        <v>47.8</v>
      </c>
      <c r="G649" t="s">
        <v>6</v>
      </c>
      <c r="H649">
        <v>19.100000000000001</v>
      </c>
      <c r="I649">
        <v>22.5</v>
      </c>
      <c r="J649">
        <v>12</v>
      </c>
      <c r="K649" t="s">
        <v>6</v>
      </c>
      <c r="L649">
        <v>216</v>
      </c>
      <c r="M649" t="s">
        <v>6</v>
      </c>
      <c r="O649" s="6">
        <f t="shared" si="540"/>
        <v>45442.791666666664</v>
      </c>
      <c r="P649">
        <f t="shared" si="541"/>
        <v>50.6</v>
      </c>
      <c r="Q649">
        <f t="shared" si="542"/>
        <v>56.1</v>
      </c>
      <c r="R649">
        <f t="shared" si="543"/>
        <v>47.8</v>
      </c>
      <c r="S649">
        <f t="shared" si="544"/>
        <v>51.6</v>
      </c>
      <c r="V649" s="6">
        <f t="shared" si="545"/>
        <v>45442.791666666664</v>
      </c>
      <c r="W649">
        <f t="shared" si="546"/>
        <v>19.100000000000001</v>
      </c>
      <c r="X649">
        <f t="shared" si="547"/>
        <v>22.5</v>
      </c>
      <c r="Y649">
        <f t="shared" si="548"/>
        <v>12</v>
      </c>
      <c r="Z649">
        <f t="shared" si="549"/>
        <v>20.100000000000001</v>
      </c>
      <c r="BA649" t="s">
        <v>6</v>
      </c>
    </row>
    <row r="650" spans="1:53" x14ac:dyDescent="0.2">
      <c r="A650" s="1">
        <v>45442</v>
      </c>
      <c r="B650" s="2">
        <v>0.83333333333333337</v>
      </c>
      <c r="C650" s="6">
        <v>45442.833333333336</v>
      </c>
      <c r="D650">
        <v>58.3</v>
      </c>
      <c r="E650">
        <v>65.3</v>
      </c>
      <c r="F650">
        <v>49.6</v>
      </c>
      <c r="G650" t="s">
        <v>6</v>
      </c>
      <c r="H650">
        <v>19.100000000000001</v>
      </c>
      <c r="I650">
        <v>21.3</v>
      </c>
      <c r="J650">
        <v>15.8</v>
      </c>
      <c r="K650" t="s">
        <v>6</v>
      </c>
      <c r="L650">
        <v>218</v>
      </c>
      <c r="M650" t="s">
        <v>6</v>
      </c>
      <c r="O650" s="6">
        <f t="shared" si="540"/>
        <v>45442.833333333336</v>
      </c>
      <c r="P650">
        <f t="shared" si="541"/>
        <v>58.3</v>
      </c>
      <c r="Q650">
        <f t="shared" si="542"/>
        <v>65.3</v>
      </c>
      <c r="R650">
        <f t="shared" si="543"/>
        <v>49.6</v>
      </c>
      <c r="S650">
        <f t="shared" si="544"/>
        <v>59.3</v>
      </c>
      <c r="V650" s="6">
        <f t="shared" si="545"/>
        <v>45442.833333333336</v>
      </c>
      <c r="W650">
        <f t="shared" si="546"/>
        <v>19.100000000000001</v>
      </c>
      <c r="X650">
        <f t="shared" si="547"/>
        <v>21.3</v>
      </c>
      <c r="Y650">
        <f t="shared" si="548"/>
        <v>15.8</v>
      </c>
      <c r="Z650">
        <f t="shared" si="549"/>
        <v>20.100000000000001</v>
      </c>
      <c r="BA650" t="s">
        <v>6</v>
      </c>
    </row>
    <row r="651" spans="1:53" x14ac:dyDescent="0.2">
      <c r="A651" s="1">
        <v>45442</v>
      </c>
      <c r="B651" s="2">
        <v>0.875</v>
      </c>
      <c r="C651" s="6">
        <v>45442.875</v>
      </c>
      <c r="D651">
        <v>62.2</v>
      </c>
      <c r="E651">
        <v>70.3</v>
      </c>
      <c r="F651">
        <v>53.9</v>
      </c>
      <c r="G651" t="s">
        <v>6</v>
      </c>
      <c r="H651">
        <v>20</v>
      </c>
      <c r="I651">
        <v>24.1</v>
      </c>
      <c r="J651">
        <v>15.3</v>
      </c>
      <c r="K651" t="s">
        <v>6</v>
      </c>
      <c r="L651">
        <v>178</v>
      </c>
      <c r="M651" t="s">
        <v>6</v>
      </c>
      <c r="O651" s="6">
        <f t="shared" si="540"/>
        <v>45442.875</v>
      </c>
      <c r="P651">
        <f t="shared" si="541"/>
        <v>62.2</v>
      </c>
      <c r="Q651">
        <f t="shared" si="542"/>
        <v>70.3</v>
      </c>
      <c r="R651">
        <f t="shared" si="543"/>
        <v>53.9</v>
      </c>
      <c r="S651">
        <f t="shared" si="544"/>
        <v>63.2</v>
      </c>
      <c r="V651" s="6">
        <f t="shared" si="545"/>
        <v>45442.875</v>
      </c>
      <c r="W651">
        <f t="shared" si="546"/>
        <v>20</v>
      </c>
      <c r="X651">
        <f t="shared" si="547"/>
        <v>24.1</v>
      </c>
      <c r="Y651">
        <f t="shared" si="548"/>
        <v>15.3</v>
      </c>
      <c r="Z651">
        <f t="shared" si="549"/>
        <v>21</v>
      </c>
      <c r="BA651" t="s">
        <v>6</v>
      </c>
    </row>
    <row r="652" spans="1:53" x14ac:dyDescent="0.2">
      <c r="A652" s="1">
        <v>45442</v>
      </c>
      <c r="B652" s="2">
        <v>0.91666666666666663</v>
      </c>
      <c r="C652" s="6">
        <v>45442.916666666664</v>
      </c>
      <c r="D652">
        <v>61.6</v>
      </c>
      <c r="E652">
        <v>65.8</v>
      </c>
      <c r="F652">
        <v>59.2</v>
      </c>
      <c r="G652" t="s">
        <v>6</v>
      </c>
      <c r="H652">
        <v>18.8</v>
      </c>
      <c r="I652">
        <v>22.5</v>
      </c>
      <c r="J652">
        <v>13.2</v>
      </c>
      <c r="K652" t="s">
        <v>6</v>
      </c>
      <c r="L652">
        <v>132</v>
      </c>
      <c r="M652" t="s">
        <v>6</v>
      </c>
      <c r="O652" s="6">
        <f t="shared" si="540"/>
        <v>45442.916666666664</v>
      </c>
      <c r="P652">
        <f t="shared" si="541"/>
        <v>61.6</v>
      </c>
      <c r="Q652">
        <f t="shared" si="542"/>
        <v>65.8</v>
      </c>
      <c r="R652">
        <f t="shared" si="543"/>
        <v>59.2</v>
      </c>
      <c r="S652">
        <f t="shared" si="544"/>
        <v>62.6</v>
      </c>
      <c r="V652" s="6">
        <f t="shared" si="545"/>
        <v>45442.916666666664</v>
      </c>
      <c r="W652">
        <f t="shared" si="546"/>
        <v>18.8</v>
      </c>
      <c r="X652">
        <f t="shared" si="547"/>
        <v>22.5</v>
      </c>
      <c r="Y652">
        <f t="shared" si="548"/>
        <v>13.2</v>
      </c>
      <c r="Z652">
        <f t="shared" si="549"/>
        <v>19.8</v>
      </c>
      <c r="BA652" t="s">
        <v>6</v>
      </c>
    </row>
    <row r="653" spans="1:53" x14ac:dyDescent="0.2">
      <c r="A653" s="1">
        <v>45443</v>
      </c>
      <c r="B653" s="2">
        <v>0</v>
      </c>
      <c r="C653" s="6">
        <v>45443</v>
      </c>
      <c r="D653">
        <v>65.400000000000006</v>
      </c>
      <c r="E653">
        <v>65.400000000000006</v>
      </c>
      <c r="F653">
        <v>65.400000000000006</v>
      </c>
      <c r="G653" t="s">
        <v>6</v>
      </c>
      <c r="H653">
        <v>19.3</v>
      </c>
      <c r="I653">
        <v>19.3</v>
      </c>
      <c r="J653">
        <v>19.3</v>
      </c>
      <c r="K653" t="s">
        <v>6</v>
      </c>
      <c r="L653">
        <v>1</v>
      </c>
      <c r="M653" t="s">
        <v>6</v>
      </c>
      <c r="O653" s="6">
        <f t="shared" si="540"/>
        <v>45443</v>
      </c>
      <c r="P653">
        <f t="shared" si="541"/>
        <v>65.400000000000006</v>
      </c>
      <c r="Q653">
        <f t="shared" si="542"/>
        <v>65.400000000000006</v>
      </c>
      <c r="R653">
        <f t="shared" si="543"/>
        <v>65.400000000000006</v>
      </c>
      <c r="S653">
        <f t="shared" si="544"/>
        <v>66.400000000000006</v>
      </c>
      <c r="V653" s="6">
        <f t="shared" si="545"/>
        <v>45443</v>
      </c>
      <c r="W653">
        <f t="shared" si="546"/>
        <v>19.3</v>
      </c>
      <c r="X653">
        <f t="shared" si="547"/>
        <v>19.3</v>
      </c>
      <c r="Y653">
        <f t="shared" si="548"/>
        <v>19.3</v>
      </c>
      <c r="Z653">
        <f t="shared" si="549"/>
        <v>20.3</v>
      </c>
      <c r="BA653" t="s">
        <v>6</v>
      </c>
    </row>
    <row r="654" spans="1:53" x14ac:dyDescent="0.2">
      <c r="A654" s="1">
        <v>45443</v>
      </c>
      <c r="B654" s="2">
        <v>0.29166666666666669</v>
      </c>
      <c r="C654" s="6">
        <v>45443.291666666664</v>
      </c>
      <c r="D654">
        <v>60.1</v>
      </c>
      <c r="E654">
        <v>66.599999999999994</v>
      </c>
      <c r="F654">
        <v>49.3</v>
      </c>
      <c r="G654" t="s">
        <v>6</v>
      </c>
      <c r="H654">
        <v>18.2</v>
      </c>
      <c r="I654">
        <v>23.2</v>
      </c>
      <c r="J654">
        <v>13.8</v>
      </c>
      <c r="K654" t="s">
        <v>6</v>
      </c>
      <c r="L654">
        <v>159</v>
      </c>
      <c r="M654" t="s">
        <v>6</v>
      </c>
      <c r="O654" s="6">
        <f t="shared" si="540"/>
        <v>45443.291666666664</v>
      </c>
      <c r="P654">
        <f t="shared" si="541"/>
        <v>60.1</v>
      </c>
      <c r="Q654">
        <f t="shared" si="542"/>
        <v>66.599999999999994</v>
      </c>
      <c r="R654">
        <f t="shared" si="543"/>
        <v>49.3</v>
      </c>
      <c r="S654">
        <f t="shared" si="544"/>
        <v>61.1</v>
      </c>
      <c r="V654" s="6">
        <f t="shared" si="545"/>
        <v>45443.291666666664</v>
      </c>
      <c r="W654">
        <f t="shared" si="546"/>
        <v>18.2</v>
      </c>
      <c r="X654">
        <f t="shared" si="547"/>
        <v>23.2</v>
      </c>
      <c r="Y654">
        <f t="shared" si="548"/>
        <v>13.8</v>
      </c>
      <c r="Z654">
        <f t="shared" si="549"/>
        <v>19.2</v>
      </c>
      <c r="BA654" t="s">
        <v>6</v>
      </c>
    </row>
    <row r="655" spans="1:53" x14ac:dyDescent="0.2">
      <c r="A655" s="14">
        <v>45443</v>
      </c>
      <c r="B655" s="7">
        <v>0.33333333333333331</v>
      </c>
      <c r="C655" s="8">
        <v>45443.333333333336</v>
      </c>
      <c r="D655" s="9">
        <v>64</v>
      </c>
      <c r="E655" s="9">
        <v>76.599999999999994</v>
      </c>
      <c r="F655" s="9">
        <v>54.6</v>
      </c>
      <c r="G655" s="9" t="s">
        <v>6</v>
      </c>
      <c r="H655" s="9">
        <v>17.5</v>
      </c>
      <c r="I655" s="9">
        <v>23.6</v>
      </c>
      <c r="J655" s="9">
        <v>15</v>
      </c>
      <c r="K655" s="9" t="s">
        <v>6</v>
      </c>
      <c r="L655" s="9">
        <v>226</v>
      </c>
      <c r="M655" t="s">
        <v>6</v>
      </c>
      <c r="O655" s="6">
        <f t="shared" si="540"/>
        <v>45443.333333333336</v>
      </c>
      <c r="P655">
        <f t="shared" si="541"/>
        <v>64</v>
      </c>
      <c r="Q655">
        <f t="shared" si="542"/>
        <v>76.599999999999994</v>
      </c>
      <c r="R655">
        <f t="shared" si="543"/>
        <v>54.6</v>
      </c>
      <c r="S655">
        <f t="shared" si="544"/>
        <v>65</v>
      </c>
      <c r="V655" s="6">
        <f t="shared" si="545"/>
        <v>45443.333333333336</v>
      </c>
      <c r="W655">
        <f t="shared" si="546"/>
        <v>17.5</v>
      </c>
      <c r="X655">
        <f t="shared" si="547"/>
        <v>23.6</v>
      </c>
      <c r="Y655">
        <f t="shared" si="548"/>
        <v>15</v>
      </c>
      <c r="Z655">
        <f t="shared" si="549"/>
        <v>18.5</v>
      </c>
      <c r="BA655" t="s">
        <v>6</v>
      </c>
    </row>
    <row r="656" spans="1:53" x14ac:dyDescent="0.2">
      <c r="A656" s="13">
        <v>45443</v>
      </c>
      <c r="B656" s="3">
        <v>0.375</v>
      </c>
      <c r="C656" s="4">
        <v>45443.375</v>
      </c>
      <c r="D656" s="5">
        <v>60.4</v>
      </c>
      <c r="E656" s="5">
        <v>66.599999999999994</v>
      </c>
      <c r="F656" s="5">
        <v>56.7</v>
      </c>
      <c r="G656" s="5" t="s">
        <v>6</v>
      </c>
      <c r="H656" s="5">
        <v>17.100000000000001</v>
      </c>
      <c r="I656" s="5">
        <v>21.4</v>
      </c>
      <c r="J656" s="5">
        <v>15.1</v>
      </c>
      <c r="K656" s="5" t="s">
        <v>6</v>
      </c>
      <c r="L656" s="5">
        <v>229</v>
      </c>
      <c r="M656" t="s">
        <v>6</v>
      </c>
      <c r="O656" s="6">
        <f t="shared" si="540"/>
        <v>45443.375</v>
      </c>
      <c r="P656">
        <f t="shared" si="541"/>
        <v>60.4</v>
      </c>
      <c r="Q656">
        <f t="shared" si="542"/>
        <v>66.599999999999994</v>
      </c>
      <c r="R656">
        <f t="shared" si="543"/>
        <v>56.7</v>
      </c>
      <c r="S656">
        <f t="shared" si="544"/>
        <v>61.4</v>
      </c>
      <c r="V656" s="6">
        <f t="shared" si="545"/>
        <v>45443.375</v>
      </c>
      <c r="W656">
        <f t="shared" si="546"/>
        <v>17.100000000000001</v>
      </c>
      <c r="X656">
        <f t="shared" si="547"/>
        <v>21.4</v>
      </c>
      <c r="Y656">
        <f t="shared" si="548"/>
        <v>15.1</v>
      </c>
      <c r="Z656">
        <f t="shared" si="549"/>
        <v>18.100000000000001</v>
      </c>
      <c r="BA656" t="s">
        <v>6</v>
      </c>
    </row>
    <row r="657" spans="1:53" x14ac:dyDescent="0.2">
      <c r="A657" s="1">
        <v>45443</v>
      </c>
      <c r="B657" s="2">
        <v>0.41666666666666669</v>
      </c>
      <c r="C657" s="6">
        <v>45443.416666666664</v>
      </c>
      <c r="D657">
        <v>60.9</v>
      </c>
      <c r="E657">
        <v>64.900000000000006</v>
      </c>
      <c r="F657">
        <v>56.3</v>
      </c>
      <c r="G657" t="s">
        <v>6</v>
      </c>
      <c r="H657">
        <v>19.100000000000001</v>
      </c>
      <c r="I657">
        <v>24</v>
      </c>
      <c r="J657">
        <v>16.399999999999999</v>
      </c>
      <c r="K657" t="s">
        <v>6</v>
      </c>
      <c r="L657">
        <v>188</v>
      </c>
      <c r="M657" t="s">
        <v>6</v>
      </c>
      <c r="O657" s="6">
        <f t="shared" si="540"/>
        <v>45443.416666666664</v>
      </c>
      <c r="P657">
        <f t="shared" si="541"/>
        <v>60.9</v>
      </c>
      <c r="Q657">
        <f t="shared" si="542"/>
        <v>64.900000000000006</v>
      </c>
      <c r="R657">
        <f t="shared" si="543"/>
        <v>56.3</v>
      </c>
      <c r="S657">
        <f t="shared" si="544"/>
        <v>61.9</v>
      </c>
      <c r="V657" s="6">
        <f t="shared" si="545"/>
        <v>45443.416666666664</v>
      </c>
      <c r="W657">
        <f t="shared" si="546"/>
        <v>19.100000000000001</v>
      </c>
      <c r="X657">
        <f t="shared" si="547"/>
        <v>24</v>
      </c>
      <c r="Y657">
        <f t="shared" si="548"/>
        <v>16.399999999999999</v>
      </c>
      <c r="Z657">
        <f t="shared" si="549"/>
        <v>20.100000000000001</v>
      </c>
      <c r="BA657" t="s">
        <v>6</v>
      </c>
    </row>
    <row r="658" spans="1:53" x14ac:dyDescent="0.2">
      <c r="A658" s="1">
        <v>45443</v>
      </c>
      <c r="B658" s="2">
        <v>0.45833333333333331</v>
      </c>
      <c r="C658" s="6">
        <v>45443.458333333336</v>
      </c>
      <c r="D658">
        <v>62.5</v>
      </c>
      <c r="E658">
        <v>70.900000000000006</v>
      </c>
      <c r="F658">
        <v>58.6</v>
      </c>
      <c r="G658" t="s">
        <v>6</v>
      </c>
      <c r="H658">
        <v>18.2</v>
      </c>
      <c r="I658">
        <v>21.8</v>
      </c>
      <c r="J658">
        <v>15.2</v>
      </c>
      <c r="K658" t="s">
        <v>6</v>
      </c>
      <c r="L658">
        <v>218</v>
      </c>
      <c r="M658" t="s">
        <v>6</v>
      </c>
      <c r="O658" s="6">
        <f t="shared" si="540"/>
        <v>45443.458333333336</v>
      </c>
      <c r="P658">
        <f t="shared" si="541"/>
        <v>62.5</v>
      </c>
      <c r="Q658">
        <f t="shared" si="542"/>
        <v>70.900000000000006</v>
      </c>
      <c r="R658">
        <f t="shared" si="543"/>
        <v>58.6</v>
      </c>
      <c r="S658">
        <f t="shared" si="544"/>
        <v>63.5</v>
      </c>
      <c r="V658" s="6">
        <f t="shared" si="545"/>
        <v>45443.458333333336</v>
      </c>
      <c r="W658">
        <f t="shared" si="546"/>
        <v>18.2</v>
      </c>
      <c r="X658">
        <f t="shared" si="547"/>
        <v>21.8</v>
      </c>
      <c r="Y658">
        <f t="shared" si="548"/>
        <v>15.2</v>
      </c>
      <c r="Z658">
        <f t="shared" si="549"/>
        <v>19.2</v>
      </c>
      <c r="BA658" t="s">
        <v>6</v>
      </c>
    </row>
    <row r="659" spans="1:53" x14ac:dyDescent="0.2">
      <c r="A659" s="1">
        <v>45443</v>
      </c>
      <c r="B659" s="2">
        <v>0.5</v>
      </c>
      <c r="C659" s="6">
        <v>45443.5</v>
      </c>
      <c r="D659">
        <v>60.4</v>
      </c>
      <c r="E659">
        <v>66.3</v>
      </c>
      <c r="F659">
        <v>55.6</v>
      </c>
      <c r="G659" t="s">
        <v>6</v>
      </c>
      <c r="H659">
        <v>18.399999999999999</v>
      </c>
      <c r="I659">
        <v>23.1</v>
      </c>
      <c r="J659">
        <v>13.9</v>
      </c>
      <c r="K659" t="s">
        <v>6</v>
      </c>
      <c r="L659">
        <v>204</v>
      </c>
      <c r="M659" t="s">
        <v>6</v>
      </c>
      <c r="O659" s="6">
        <f t="shared" si="540"/>
        <v>45443.5</v>
      </c>
      <c r="P659">
        <f t="shared" si="541"/>
        <v>60.4</v>
      </c>
      <c r="Q659">
        <f t="shared" si="542"/>
        <v>66.3</v>
      </c>
      <c r="R659">
        <f t="shared" si="543"/>
        <v>55.6</v>
      </c>
      <c r="S659">
        <f t="shared" si="544"/>
        <v>61.4</v>
      </c>
      <c r="V659" s="6">
        <f t="shared" si="545"/>
        <v>45443.5</v>
      </c>
      <c r="W659">
        <f t="shared" si="546"/>
        <v>18.399999999999999</v>
      </c>
      <c r="X659">
        <f t="shared" si="547"/>
        <v>23.1</v>
      </c>
      <c r="Y659">
        <f t="shared" si="548"/>
        <v>13.9</v>
      </c>
      <c r="Z659">
        <f t="shared" si="549"/>
        <v>19.399999999999999</v>
      </c>
      <c r="BA659" t="s">
        <v>6</v>
      </c>
    </row>
    <row r="660" spans="1:53" x14ac:dyDescent="0.2">
      <c r="A660" s="1">
        <v>45443</v>
      </c>
      <c r="B660" s="2">
        <v>0.54166666666666663</v>
      </c>
      <c r="C660" s="6">
        <v>45443.541666666664</v>
      </c>
      <c r="D660">
        <v>57.1</v>
      </c>
      <c r="E660">
        <v>62.2</v>
      </c>
      <c r="F660">
        <v>50.5</v>
      </c>
      <c r="G660" t="s">
        <v>6</v>
      </c>
      <c r="H660">
        <v>18.7</v>
      </c>
      <c r="I660">
        <v>24.1</v>
      </c>
      <c r="J660">
        <v>13.5</v>
      </c>
      <c r="K660" t="s">
        <v>6</v>
      </c>
      <c r="L660">
        <v>214</v>
      </c>
      <c r="M660" t="s">
        <v>6</v>
      </c>
      <c r="O660" s="6">
        <f t="shared" si="540"/>
        <v>45443.541666666664</v>
      </c>
      <c r="P660">
        <f t="shared" si="541"/>
        <v>57.1</v>
      </c>
      <c r="Q660">
        <f t="shared" si="542"/>
        <v>62.2</v>
      </c>
      <c r="R660">
        <f t="shared" si="543"/>
        <v>50.5</v>
      </c>
      <c r="S660">
        <f t="shared" si="544"/>
        <v>58.1</v>
      </c>
      <c r="V660" s="6">
        <f t="shared" si="545"/>
        <v>45443.541666666664</v>
      </c>
      <c r="W660">
        <f t="shared" si="546"/>
        <v>18.7</v>
      </c>
      <c r="X660">
        <f t="shared" si="547"/>
        <v>24.1</v>
      </c>
      <c r="Y660">
        <f t="shared" si="548"/>
        <v>13.5</v>
      </c>
      <c r="Z660">
        <f t="shared" si="549"/>
        <v>19.7</v>
      </c>
      <c r="BA660" t="s">
        <v>6</v>
      </c>
    </row>
    <row r="661" spans="1:53" x14ac:dyDescent="0.2">
      <c r="A661" s="1">
        <v>45443</v>
      </c>
      <c r="B661" s="2">
        <v>0.58333333333333337</v>
      </c>
      <c r="C661" s="6">
        <v>45443.583333333336</v>
      </c>
      <c r="D661">
        <v>61.9</v>
      </c>
      <c r="E661">
        <v>69.2</v>
      </c>
      <c r="F661">
        <v>53.4</v>
      </c>
      <c r="G661" t="s">
        <v>6</v>
      </c>
      <c r="H661">
        <v>19.600000000000001</v>
      </c>
      <c r="I661">
        <v>25.1</v>
      </c>
      <c r="J661">
        <v>13.6</v>
      </c>
      <c r="K661" t="s">
        <v>6</v>
      </c>
      <c r="L661">
        <v>196</v>
      </c>
      <c r="M661" t="s">
        <v>6</v>
      </c>
      <c r="O661" s="6">
        <f t="shared" si="540"/>
        <v>45443.583333333336</v>
      </c>
      <c r="P661">
        <f t="shared" si="541"/>
        <v>61.9</v>
      </c>
      <c r="Q661">
        <f t="shared" si="542"/>
        <v>69.2</v>
      </c>
      <c r="R661">
        <f t="shared" si="543"/>
        <v>53.4</v>
      </c>
      <c r="S661">
        <f t="shared" si="544"/>
        <v>62.9</v>
      </c>
      <c r="V661" s="6">
        <f t="shared" si="545"/>
        <v>45443.583333333336</v>
      </c>
      <c r="W661">
        <f t="shared" si="546"/>
        <v>19.600000000000001</v>
      </c>
      <c r="X661">
        <f t="shared" si="547"/>
        <v>25.1</v>
      </c>
      <c r="Y661">
        <f t="shared" si="548"/>
        <v>13.6</v>
      </c>
      <c r="Z661">
        <f t="shared" si="549"/>
        <v>20.6</v>
      </c>
      <c r="BA661" t="s">
        <v>6</v>
      </c>
    </row>
    <row r="662" spans="1:53" x14ac:dyDescent="0.2">
      <c r="A662" s="1">
        <v>45443</v>
      </c>
      <c r="B662" s="2">
        <v>0.625</v>
      </c>
      <c r="C662" s="6">
        <v>45443.625</v>
      </c>
      <c r="D662">
        <v>61.9</v>
      </c>
      <c r="E662">
        <v>71.599999999999994</v>
      </c>
      <c r="F662">
        <v>55</v>
      </c>
      <c r="G662" t="s">
        <v>6</v>
      </c>
      <c r="H662">
        <v>19.100000000000001</v>
      </c>
      <c r="I662">
        <v>24.7</v>
      </c>
      <c r="J662">
        <v>16.399999999999999</v>
      </c>
      <c r="K662" t="s">
        <v>6</v>
      </c>
      <c r="L662">
        <v>216</v>
      </c>
      <c r="M662" t="s">
        <v>6</v>
      </c>
      <c r="O662" s="6">
        <f t="shared" si="540"/>
        <v>45443.625</v>
      </c>
      <c r="P662">
        <f t="shared" si="541"/>
        <v>61.9</v>
      </c>
      <c r="Q662">
        <f t="shared" si="542"/>
        <v>71.599999999999994</v>
      </c>
      <c r="R662">
        <f t="shared" si="543"/>
        <v>55</v>
      </c>
      <c r="S662">
        <f t="shared" si="544"/>
        <v>62.9</v>
      </c>
      <c r="V662" s="6">
        <f t="shared" si="545"/>
        <v>45443.625</v>
      </c>
      <c r="W662">
        <f t="shared" si="546"/>
        <v>19.100000000000001</v>
      </c>
      <c r="X662">
        <f t="shared" si="547"/>
        <v>24.7</v>
      </c>
      <c r="Y662">
        <f t="shared" si="548"/>
        <v>16.399999999999999</v>
      </c>
      <c r="Z662">
        <f t="shared" si="549"/>
        <v>20.100000000000001</v>
      </c>
      <c r="BA662" t="s">
        <v>6</v>
      </c>
    </row>
    <row r="663" spans="1:53" x14ac:dyDescent="0.2">
      <c r="A663" s="1">
        <v>45443</v>
      </c>
      <c r="B663" s="2">
        <v>0.66666666666666663</v>
      </c>
      <c r="C663" s="6">
        <v>45443.666666666664</v>
      </c>
      <c r="D663">
        <v>56.6</v>
      </c>
      <c r="E663">
        <v>60.7</v>
      </c>
      <c r="F663">
        <v>52.3</v>
      </c>
      <c r="G663" t="s">
        <v>6</v>
      </c>
      <c r="H663">
        <v>21.8</v>
      </c>
      <c r="I663">
        <v>34</v>
      </c>
      <c r="J663">
        <v>17.3</v>
      </c>
      <c r="K663" t="s">
        <v>6</v>
      </c>
      <c r="L663">
        <v>171</v>
      </c>
      <c r="M663" t="s">
        <v>6</v>
      </c>
      <c r="O663" s="6">
        <f t="shared" si="540"/>
        <v>45443.666666666664</v>
      </c>
      <c r="P663">
        <f t="shared" si="541"/>
        <v>56.6</v>
      </c>
      <c r="Q663">
        <f t="shared" si="542"/>
        <v>60.7</v>
      </c>
      <c r="R663">
        <f t="shared" si="543"/>
        <v>52.3</v>
      </c>
      <c r="S663">
        <f t="shared" si="544"/>
        <v>57.6</v>
      </c>
      <c r="V663" s="6">
        <f t="shared" si="545"/>
        <v>45443.666666666664</v>
      </c>
      <c r="W663">
        <f t="shared" si="546"/>
        <v>21.8</v>
      </c>
      <c r="X663">
        <f t="shared" si="547"/>
        <v>34</v>
      </c>
      <c r="Y663">
        <f t="shared" si="548"/>
        <v>17.3</v>
      </c>
      <c r="Z663">
        <f t="shared" si="549"/>
        <v>22.8</v>
      </c>
      <c r="BA663" t="s">
        <v>6</v>
      </c>
    </row>
    <row r="664" spans="1:53" x14ac:dyDescent="0.2">
      <c r="A664" s="1">
        <v>45443</v>
      </c>
      <c r="B664" s="2">
        <v>0.70833333333333337</v>
      </c>
      <c r="C664" s="6">
        <v>45443.708333333336</v>
      </c>
      <c r="D664">
        <v>62.3</v>
      </c>
      <c r="E664">
        <v>66.400000000000006</v>
      </c>
      <c r="F664">
        <v>53.1</v>
      </c>
      <c r="G664" t="s">
        <v>6</v>
      </c>
      <c r="H664">
        <v>19.8</v>
      </c>
      <c r="I664">
        <v>23.5</v>
      </c>
      <c r="J664">
        <v>16.600000000000001</v>
      </c>
      <c r="K664" t="s">
        <v>6</v>
      </c>
      <c r="L664">
        <v>222</v>
      </c>
      <c r="M664" t="s">
        <v>6</v>
      </c>
      <c r="O664" s="6">
        <f t="shared" si="540"/>
        <v>45443.708333333336</v>
      </c>
      <c r="P664">
        <f t="shared" si="541"/>
        <v>62.3</v>
      </c>
      <c r="Q664">
        <f t="shared" si="542"/>
        <v>66.400000000000006</v>
      </c>
      <c r="R664">
        <f t="shared" si="543"/>
        <v>53.1</v>
      </c>
      <c r="S664">
        <f t="shared" si="544"/>
        <v>63.3</v>
      </c>
      <c r="V664" s="6">
        <f t="shared" si="545"/>
        <v>45443.708333333336</v>
      </c>
      <c r="W664">
        <f t="shared" si="546"/>
        <v>19.8</v>
      </c>
      <c r="X664">
        <f t="shared" si="547"/>
        <v>23.5</v>
      </c>
      <c r="Y664">
        <f t="shared" si="548"/>
        <v>16.600000000000001</v>
      </c>
      <c r="Z664">
        <f t="shared" si="549"/>
        <v>20.8</v>
      </c>
      <c r="BA664" t="s">
        <v>6</v>
      </c>
    </row>
    <row r="665" spans="1:53" x14ac:dyDescent="0.2">
      <c r="A665" s="1">
        <v>45443</v>
      </c>
      <c r="B665" s="2">
        <v>0.75</v>
      </c>
      <c r="C665" s="6">
        <v>45443.75</v>
      </c>
      <c r="D665">
        <v>62</v>
      </c>
      <c r="E665">
        <v>65.099999999999994</v>
      </c>
      <c r="F665">
        <v>57.9</v>
      </c>
      <c r="G665" t="s">
        <v>6</v>
      </c>
      <c r="H665">
        <v>19.8</v>
      </c>
      <c r="I665">
        <v>25</v>
      </c>
      <c r="J665">
        <v>14.2</v>
      </c>
      <c r="K665" t="s">
        <v>6</v>
      </c>
      <c r="L665">
        <v>201</v>
      </c>
      <c r="M665" t="s">
        <v>6</v>
      </c>
      <c r="O665" s="6">
        <f t="shared" si="540"/>
        <v>45443.75</v>
      </c>
      <c r="P665">
        <f t="shared" si="541"/>
        <v>62</v>
      </c>
      <c r="Q665">
        <f t="shared" si="542"/>
        <v>65.099999999999994</v>
      </c>
      <c r="R665">
        <f t="shared" si="543"/>
        <v>57.9</v>
      </c>
      <c r="S665">
        <f t="shared" si="544"/>
        <v>63</v>
      </c>
      <c r="V665" s="6">
        <f t="shared" si="545"/>
        <v>45443.75</v>
      </c>
      <c r="W665">
        <f t="shared" si="546"/>
        <v>19.8</v>
      </c>
      <c r="X665">
        <f t="shared" si="547"/>
        <v>25</v>
      </c>
      <c r="Y665">
        <f t="shared" si="548"/>
        <v>14.2</v>
      </c>
      <c r="Z665">
        <f t="shared" si="549"/>
        <v>20.8</v>
      </c>
      <c r="BA665" t="s">
        <v>6</v>
      </c>
    </row>
    <row r="666" spans="1:53" x14ac:dyDescent="0.2">
      <c r="A666" s="1">
        <v>45443</v>
      </c>
      <c r="B666" s="2">
        <v>0.79166666666666663</v>
      </c>
      <c r="C666" s="6">
        <v>45443.791666666664</v>
      </c>
      <c r="D666">
        <v>57.7</v>
      </c>
      <c r="E666">
        <v>62.5</v>
      </c>
      <c r="F666">
        <v>52.7</v>
      </c>
      <c r="G666" t="s">
        <v>6</v>
      </c>
      <c r="H666">
        <v>19.2</v>
      </c>
      <c r="I666">
        <v>23.1</v>
      </c>
      <c r="J666">
        <v>13.2</v>
      </c>
      <c r="K666" t="s">
        <v>6</v>
      </c>
      <c r="L666">
        <v>209</v>
      </c>
      <c r="M666" t="s">
        <v>6</v>
      </c>
      <c r="O666" s="6">
        <f t="shared" si="540"/>
        <v>45443.791666666664</v>
      </c>
      <c r="P666">
        <f t="shared" si="541"/>
        <v>57.7</v>
      </c>
      <c r="Q666">
        <f t="shared" si="542"/>
        <v>62.5</v>
      </c>
      <c r="R666">
        <f t="shared" si="543"/>
        <v>52.7</v>
      </c>
      <c r="S666">
        <f t="shared" si="544"/>
        <v>58.7</v>
      </c>
      <c r="V666" s="6">
        <f t="shared" si="545"/>
        <v>45443.791666666664</v>
      </c>
      <c r="W666">
        <f t="shared" si="546"/>
        <v>19.2</v>
      </c>
      <c r="X666">
        <f t="shared" si="547"/>
        <v>23.1</v>
      </c>
      <c r="Y666">
        <f t="shared" si="548"/>
        <v>13.2</v>
      </c>
      <c r="Z666">
        <f t="shared" si="549"/>
        <v>20.2</v>
      </c>
      <c r="BA666" t="s">
        <v>6</v>
      </c>
    </row>
    <row r="667" spans="1:53" x14ac:dyDescent="0.2">
      <c r="A667" s="1">
        <v>45443</v>
      </c>
      <c r="B667" s="2">
        <v>0.83333333333333337</v>
      </c>
      <c r="C667" s="6">
        <v>45443.833333333336</v>
      </c>
      <c r="D667">
        <v>61.4</v>
      </c>
      <c r="E667">
        <v>65.400000000000006</v>
      </c>
      <c r="F667">
        <v>57.9</v>
      </c>
      <c r="G667" t="s">
        <v>6</v>
      </c>
      <c r="H667">
        <v>20.6</v>
      </c>
      <c r="I667">
        <v>25.1</v>
      </c>
      <c r="J667">
        <v>15.8</v>
      </c>
      <c r="K667" t="s">
        <v>6</v>
      </c>
      <c r="L667">
        <v>169</v>
      </c>
      <c r="M667" t="s">
        <v>6</v>
      </c>
      <c r="O667" s="6">
        <f t="shared" si="540"/>
        <v>45443.833333333336</v>
      </c>
      <c r="P667">
        <f t="shared" si="541"/>
        <v>61.4</v>
      </c>
      <c r="Q667">
        <f t="shared" si="542"/>
        <v>65.400000000000006</v>
      </c>
      <c r="R667">
        <f t="shared" si="543"/>
        <v>57.9</v>
      </c>
      <c r="S667">
        <f t="shared" si="544"/>
        <v>62.4</v>
      </c>
      <c r="V667" s="6">
        <f t="shared" si="545"/>
        <v>45443.833333333336</v>
      </c>
      <c r="W667">
        <f t="shared" si="546"/>
        <v>20.6</v>
      </c>
      <c r="X667">
        <f t="shared" si="547"/>
        <v>25.1</v>
      </c>
      <c r="Y667">
        <f t="shared" si="548"/>
        <v>15.8</v>
      </c>
      <c r="Z667">
        <f t="shared" si="549"/>
        <v>21.6</v>
      </c>
      <c r="BA667" t="s">
        <v>6</v>
      </c>
    </row>
    <row r="668" spans="1:53" x14ac:dyDescent="0.2">
      <c r="A668" s="1">
        <v>45443</v>
      </c>
      <c r="B668" s="2">
        <v>0.875</v>
      </c>
      <c r="C668" s="6">
        <v>45443.875</v>
      </c>
      <c r="D668">
        <v>61.8</v>
      </c>
      <c r="E668">
        <v>67.099999999999994</v>
      </c>
      <c r="F668">
        <v>54</v>
      </c>
      <c r="G668" t="s">
        <v>6</v>
      </c>
      <c r="H668">
        <v>21</v>
      </c>
      <c r="I668">
        <v>23.9</v>
      </c>
      <c r="J668">
        <v>16.3</v>
      </c>
      <c r="K668" t="s">
        <v>6</v>
      </c>
      <c r="L668">
        <v>183</v>
      </c>
      <c r="M668" t="s">
        <v>6</v>
      </c>
      <c r="O668" s="6">
        <f t="shared" si="540"/>
        <v>45443.875</v>
      </c>
      <c r="P668">
        <f t="shared" si="541"/>
        <v>61.8</v>
      </c>
      <c r="Q668">
        <f t="shared" si="542"/>
        <v>67.099999999999994</v>
      </c>
      <c r="R668">
        <f t="shared" si="543"/>
        <v>54</v>
      </c>
      <c r="S668">
        <f t="shared" si="544"/>
        <v>62.8</v>
      </c>
      <c r="V668" s="6">
        <f t="shared" si="545"/>
        <v>45443.875</v>
      </c>
      <c r="W668">
        <f t="shared" si="546"/>
        <v>21</v>
      </c>
      <c r="X668">
        <f t="shared" si="547"/>
        <v>23.9</v>
      </c>
      <c r="Y668">
        <f t="shared" si="548"/>
        <v>16.3</v>
      </c>
      <c r="Z668">
        <f t="shared" si="549"/>
        <v>22</v>
      </c>
      <c r="BA668" t="s">
        <v>6</v>
      </c>
    </row>
    <row r="669" spans="1:53" x14ac:dyDescent="0.2">
      <c r="A669" s="1">
        <v>45444</v>
      </c>
      <c r="B669" s="2">
        <v>0.20833333333333334</v>
      </c>
      <c r="C669" s="6">
        <v>45444.208333333336</v>
      </c>
      <c r="D669">
        <v>63.9</v>
      </c>
      <c r="E669">
        <v>66</v>
      </c>
      <c r="F669">
        <v>62.6</v>
      </c>
      <c r="G669" t="s">
        <v>6</v>
      </c>
      <c r="H669">
        <v>17.5</v>
      </c>
      <c r="I669">
        <v>18.899999999999999</v>
      </c>
      <c r="J669">
        <v>15.4</v>
      </c>
      <c r="K669" t="s">
        <v>6</v>
      </c>
      <c r="L669">
        <v>6</v>
      </c>
      <c r="M669" t="s">
        <v>6</v>
      </c>
      <c r="O669" s="6">
        <f t="shared" si="540"/>
        <v>45444.208333333336</v>
      </c>
      <c r="P669">
        <f t="shared" si="541"/>
        <v>63.9</v>
      </c>
      <c r="Q669">
        <f t="shared" si="542"/>
        <v>66</v>
      </c>
      <c r="R669">
        <f t="shared" si="543"/>
        <v>62.6</v>
      </c>
      <c r="S669">
        <f t="shared" si="544"/>
        <v>64.900000000000006</v>
      </c>
      <c r="V669" s="6">
        <f t="shared" si="545"/>
        <v>45444.208333333336</v>
      </c>
      <c r="W669">
        <f t="shared" si="546"/>
        <v>17.5</v>
      </c>
      <c r="X669">
        <f t="shared" si="547"/>
        <v>18.899999999999999</v>
      </c>
      <c r="Y669">
        <f t="shared" si="548"/>
        <v>15.4</v>
      </c>
      <c r="Z669">
        <f t="shared" si="549"/>
        <v>18.5</v>
      </c>
      <c r="BA669" t="s">
        <v>6</v>
      </c>
    </row>
    <row r="670" spans="1:53" x14ac:dyDescent="0.2">
      <c r="A670" s="14">
        <v>45444</v>
      </c>
      <c r="B670" s="7">
        <v>0.33333333333333331</v>
      </c>
      <c r="C670" s="8">
        <v>45444.333333333336</v>
      </c>
      <c r="D670" s="9">
        <v>67.900000000000006</v>
      </c>
      <c r="E670" s="9">
        <v>75.599999999999994</v>
      </c>
      <c r="F670" s="9">
        <v>59.5</v>
      </c>
      <c r="G670" s="9" t="s">
        <v>6</v>
      </c>
      <c r="H670" s="9">
        <v>18</v>
      </c>
      <c r="I670" s="9">
        <v>23</v>
      </c>
      <c r="J670" s="9">
        <v>14</v>
      </c>
      <c r="K670" s="9" t="s">
        <v>6</v>
      </c>
      <c r="L670" s="9">
        <v>179</v>
      </c>
      <c r="M670" t="s">
        <v>6</v>
      </c>
      <c r="O670" s="6">
        <f t="shared" si="540"/>
        <v>45444.333333333336</v>
      </c>
      <c r="P670">
        <f t="shared" si="541"/>
        <v>67.900000000000006</v>
      </c>
      <c r="Q670">
        <f t="shared" si="542"/>
        <v>75.599999999999994</v>
      </c>
      <c r="R670">
        <f t="shared" si="543"/>
        <v>59.5</v>
      </c>
      <c r="S670">
        <f t="shared" si="544"/>
        <v>68.900000000000006</v>
      </c>
      <c r="V670" s="6">
        <f t="shared" si="545"/>
        <v>45444.333333333336</v>
      </c>
      <c r="W670">
        <f t="shared" si="546"/>
        <v>18</v>
      </c>
      <c r="X670">
        <f t="shared" si="547"/>
        <v>23</v>
      </c>
      <c r="Y670">
        <f t="shared" si="548"/>
        <v>14</v>
      </c>
      <c r="Z670">
        <f t="shared" si="549"/>
        <v>19</v>
      </c>
      <c r="BA670" t="s">
        <v>6</v>
      </c>
    </row>
    <row r="671" spans="1:53" x14ac:dyDescent="0.2">
      <c r="A671" s="13">
        <v>45444</v>
      </c>
      <c r="B671" s="3">
        <v>0.375</v>
      </c>
      <c r="C671" s="4">
        <v>45444.375</v>
      </c>
      <c r="D671" s="5">
        <v>64.099999999999994</v>
      </c>
      <c r="E671" s="5">
        <v>73.2</v>
      </c>
      <c r="F671" s="5">
        <v>57.8</v>
      </c>
      <c r="G671" s="5" t="s">
        <v>6</v>
      </c>
      <c r="H671" s="5">
        <v>17.2</v>
      </c>
      <c r="I671" s="5">
        <v>24.5</v>
      </c>
      <c r="J671" s="5">
        <v>15.1</v>
      </c>
      <c r="K671" s="5" t="s">
        <v>6</v>
      </c>
      <c r="L671" s="5">
        <v>227</v>
      </c>
      <c r="M671" t="s">
        <v>6</v>
      </c>
      <c r="O671" s="6">
        <f t="shared" si="540"/>
        <v>45444.375</v>
      </c>
      <c r="P671">
        <f t="shared" si="541"/>
        <v>64.099999999999994</v>
      </c>
      <c r="Q671">
        <f t="shared" si="542"/>
        <v>73.2</v>
      </c>
      <c r="R671">
        <f t="shared" si="543"/>
        <v>57.8</v>
      </c>
      <c r="S671">
        <f t="shared" si="544"/>
        <v>65.099999999999994</v>
      </c>
      <c r="V671" s="6">
        <f t="shared" si="545"/>
        <v>45444.375</v>
      </c>
      <c r="W671">
        <f t="shared" si="546"/>
        <v>17.2</v>
      </c>
      <c r="X671">
        <f t="shared" si="547"/>
        <v>24.5</v>
      </c>
      <c r="Y671">
        <f t="shared" si="548"/>
        <v>15.1</v>
      </c>
      <c r="Z671">
        <f t="shared" si="549"/>
        <v>18.2</v>
      </c>
      <c r="BA671" t="s">
        <v>6</v>
      </c>
    </row>
    <row r="672" spans="1:53" x14ac:dyDescent="0.2">
      <c r="A672" s="1">
        <v>45444</v>
      </c>
      <c r="B672" s="2">
        <v>0.41666666666666669</v>
      </c>
      <c r="C672" s="6">
        <v>45444.416666666664</v>
      </c>
      <c r="D672">
        <v>60.7</v>
      </c>
      <c r="E672">
        <v>67.900000000000006</v>
      </c>
      <c r="F672">
        <v>55.6</v>
      </c>
      <c r="G672" t="s">
        <v>6</v>
      </c>
      <c r="H672">
        <v>17.2</v>
      </c>
      <c r="I672">
        <v>21.5</v>
      </c>
      <c r="J672">
        <v>14.7</v>
      </c>
      <c r="K672" t="s">
        <v>6</v>
      </c>
      <c r="L672">
        <v>228</v>
      </c>
      <c r="M672" t="s">
        <v>6</v>
      </c>
      <c r="O672" s="6">
        <f t="shared" si="540"/>
        <v>45444.416666666664</v>
      </c>
      <c r="P672">
        <f t="shared" si="541"/>
        <v>60.7</v>
      </c>
      <c r="Q672">
        <f t="shared" si="542"/>
        <v>67.900000000000006</v>
      </c>
      <c r="R672">
        <f t="shared" si="543"/>
        <v>55.6</v>
      </c>
      <c r="S672">
        <f t="shared" si="544"/>
        <v>61.7</v>
      </c>
      <c r="V672" s="6">
        <f t="shared" si="545"/>
        <v>45444.416666666664</v>
      </c>
      <c r="W672">
        <f t="shared" si="546"/>
        <v>17.2</v>
      </c>
      <c r="X672">
        <f t="shared" si="547"/>
        <v>21.5</v>
      </c>
      <c r="Y672">
        <f t="shared" si="548"/>
        <v>14.7</v>
      </c>
      <c r="Z672">
        <f t="shared" si="549"/>
        <v>18.2</v>
      </c>
      <c r="BA672" t="s">
        <v>6</v>
      </c>
    </row>
    <row r="673" spans="1:53" x14ac:dyDescent="0.2">
      <c r="A673" s="1">
        <v>45444</v>
      </c>
      <c r="B673" s="2">
        <v>0.45833333333333331</v>
      </c>
      <c r="C673" s="6">
        <v>45444.458333333336</v>
      </c>
      <c r="D673">
        <v>61.3</v>
      </c>
      <c r="E673">
        <v>69</v>
      </c>
      <c r="F673">
        <v>53.4</v>
      </c>
      <c r="G673" t="s">
        <v>6</v>
      </c>
      <c r="H673">
        <v>19.399999999999999</v>
      </c>
      <c r="I673">
        <v>28.6</v>
      </c>
      <c r="J673">
        <v>14.4</v>
      </c>
      <c r="K673" t="s">
        <v>6</v>
      </c>
      <c r="L673">
        <v>190</v>
      </c>
      <c r="M673" t="s">
        <v>6</v>
      </c>
      <c r="O673" s="6">
        <f t="shared" si="540"/>
        <v>45444.458333333336</v>
      </c>
      <c r="P673">
        <f t="shared" si="541"/>
        <v>61.3</v>
      </c>
      <c r="Q673">
        <f t="shared" si="542"/>
        <v>69</v>
      </c>
      <c r="R673">
        <f t="shared" si="543"/>
        <v>53.4</v>
      </c>
      <c r="S673">
        <f t="shared" si="544"/>
        <v>62.3</v>
      </c>
      <c r="V673" s="6">
        <f t="shared" si="545"/>
        <v>45444.458333333336</v>
      </c>
      <c r="W673">
        <f t="shared" si="546"/>
        <v>19.399999999999999</v>
      </c>
      <c r="X673">
        <f t="shared" si="547"/>
        <v>28.6</v>
      </c>
      <c r="Y673">
        <f t="shared" si="548"/>
        <v>14.4</v>
      </c>
      <c r="Z673">
        <f t="shared" si="549"/>
        <v>20.399999999999999</v>
      </c>
      <c r="BA673" t="s">
        <v>6</v>
      </c>
    </row>
    <row r="674" spans="1:53" x14ac:dyDescent="0.2">
      <c r="A674" s="1">
        <v>45444</v>
      </c>
      <c r="B674" s="2">
        <v>0.5</v>
      </c>
      <c r="C674" s="6">
        <v>45444.5</v>
      </c>
      <c r="D674">
        <v>61</v>
      </c>
      <c r="E674">
        <v>65.8</v>
      </c>
      <c r="F674">
        <v>54.2</v>
      </c>
      <c r="G674" t="s">
        <v>6</v>
      </c>
      <c r="H674">
        <v>18.8</v>
      </c>
      <c r="I674">
        <v>25.3</v>
      </c>
      <c r="J674">
        <v>15.2</v>
      </c>
      <c r="K674" t="s">
        <v>6</v>
      </c>
      <c r="L674">
        <v>214</v>
      </c>
      <c r="M674" t="s">
        <v>6</v>
      </c>
      <c r="O674" s="6">
        <f t="shared" si="540"/>
        <v>45444.5</v>
      </c>
      <c r="P674">
        <f t="shared" si="541"/>
        <v>61</v>
      </c>
      <c r="Q674">
        <f t="shared" si="542"/>
        <v>65.8</v>
      </c>
      <c r="R674">
        <f t="shared" si="543"/>
        <v>54.2</v>
      </c>
      <c r="S674">
        <f t="shared" si="544"/>
        <v>62</v>
      </c>
      <c r="V674" s="6">
        <f t="shared" si="545"/>
        <v>45444.5</v>
      </c>
      <c r="W674">
        <f t="shared" si="546"/>
        <v>18.8</v>
      </c>
      <c r="X674">
        <f t="shared" si="547"/>
        <v>25.3</v>
      </c>
      <c r="Y674">
        <f t="shared" si="548"/>
        <v>15.2</v>
      </c>
      <c r="Z674">
        <f t="shared" si="549"/>
        <v>19.8</v>
      </c>
      <c r="BA674" t="s">
        <v>6</v>
      </c>
    </row>
    <row r="675" spans="1:53" x14ac:dyDescent="0.2">
      <c r="A675" s="1">
        <v>45444</v>
      </c>
      <c r="B675" s="2">
        <v>0.54166666666666663</v>
      </c>
      <c r="C675" s="6">
        <v>45444.541666666664</v>
      </c>
      <c r="D675">
        <v>58.5</v>
      </c>
      <c r="E675">
        <v>64.900000000000006</v>
      </c>
      <c r="F675">
        <v>53</v>
      </c>
      <c r="G675" t="s">
        <v>6</v>
      </c>
      <c r="H675">
        <v>19.8</v>
      </c>
      <c r="I675">
        <v>24</v>
      </c>
      <c r="J675">
        <v>14.1</v>
      </c>
      <c r="K675" t="s">
        <v>6</v>
      </c>
      <c r="L675">
        <v>216</v>
      </c>
      <c r="M675" t="s">
        <v>6</v>
      </c>
      <c r="O675" s="6">
        <f t="shared" si="540"/>
        <v>45444.541666666664</v>
      </c>
      <c r="P675">
        <f t="shared" si="541"/>
        <v>58.5</v>
      </c>
      <c r="Q675">
        <f t="shared" si="542"/>
        <v>64.900000000000006</v>
      </c>
      <c r="R675">
        <f t="shared" si="543"/>
        <v>53</v>
      </c>
      <c r="S675">
        <f t="shared" si="544"/>
        <v>59.5</v>
      </c>
      <c r="V675" s="6">
        <f t="shared" si="545"/>
        <v>45444.541666666664</v>
      </c>
      <c r="W675">
        <f t="shared" si="546"/>
        <v>19.8</v>
      </c>
      <c r="X675">
        <f t="shared" si="547"/>
        <v>24</v>
      </c>
      <c r="Y675">
        <f t="shared" si="548"/>
        <v>14.1</v>
      </c>
      <c r="Z675">
        <f t="shared" si="549"/>
        <v>20.8</v>
      </c>
      <c r="BA675" t="s">
        <v>6</v>
      </c>
    </row>
    <row r="676" spans="1:53" x14ac:dyDescent="0.2">
      <c r="A676" s="1">
        <v>45444</v>
      </c>
      <c r="B676" s="2">
        <v>0.58333333333333337</v>
      </c>
      <c r="C676" s="6">
        <v>45444.583333333336</v>
      </c>
      <c r="D676">
        <v>59.6</v>
      </c>
      <c r="E676">
        <v>71.400000000000006</v>
      </c>
      <c r="F676">
        <v>53.2</v>
      </c>
      <c r="G676" t="s">
        <v>6</v>
      </c>
      <c r="H676">
        <v>17.8</v>
      </c>
      <c r="I676">
        <v>25.1</v>
      </c>
      <c r="J676">
        <v>12.5</v>
      </c>
      <c r="K676" t="s">
        <v>6</v>
      </c>
      <c r="L676">
        <v>224</v>
      </c>
      <c r="M676" t="s">
        <v>6</v>
      </c>
      <c r="O676" s="6">
        <f t="shared" si="540"/>
        <v>45444.583333333336</v>
      </c>
      <c r="P676">
        <f t="shared" si="541"/>
        <v>59.6</v>
      </c>
      <c r="Q676">
        <f t="shared" si="542"/>
        <v>71.400000000000006</v>
      </c>
      <c r="R676">
        <f t="shared" si="543"/>
        <v>53.2</v>
      </c>
      <c r="S676">
        <f t="shared" si="544"/>
        <v>60.6</v>
      </c>
      <c r="V676" s="6">
        <f t="shared" si="545"/>
        <v>45444.583333333336</v>
      </c>
      <c r="W676">
        <f t="shared" si="546"/>
        <v>17.8</v>
      </c>
      <c r="X676">
        <f t="shared" si="547"/>
        <v>25.1</v>
      </c>
      <c r="Y676">
        <f t="shared" si="548"/>
        <v>12.5</v>
      </c>
      <c r="Z676">
        <f t="shared" si="549"/>
        <v>18.8</v>
      </c>
    </row>
    <row r="677" spans="1:53" x14ac:dyDescent="0.2">
      <c r="A677" s="1">
        <v>45444</v>
      </c>
      <c r="B677" s="2">
        <v>0.625</v>
      </c>
      <c r="C677" s="6">
        <v>45444.625</v>
      </c>
      <c r="D677">
        <v>61.3</v>
      </c>
      <c r="E677">
        <v>66.400000000000006</v>
      </c>
      <c r="F677">
        <v>53.7</v>
      </c>
      <c r="G677" t="s">
        <v>6</v>
      </c>
      <c r="H677">
        <v>17.5</v>
      </c>
      <c r="I677">
        <v>20.7</v>
      </c>
      <c r="J677">
        <v>14.4</v>
      </c>
      <c r="K677" t="s">
        <v>6</v>
      </c>
      <c r="L677">
        <v>137</v>
      </c>
      <c r="M677" t="s">
        <v>6</v>
      </c>
      <c r="O677" s="6">
        <f t="shared" si="540"/>
        <v>45444.625</v>
      </c>
      <c r="P677">
        <f t="shared" si="541"/>
        <v>61.3</v>
      </c>
      <c r="Q677">
        <f t="shared" si="542"/>
        <v>66.400000000000006</v>
      </c>
      <c r="R677">
        <f t="shared" si="543"/>
        <v>53.7</v>
      </c>
      <c r="S677">
        <f t="shared" si="544"/>
        <v>62.3</v>
      </c>
      <c r="V677" s="6">
        <f t="shared" si="545"/>
        <v>45444.625</v>
      </c>
      <c r="W677">
        <f t="shared" si="546"/>
        <v>17.5</v>
      </c>
      <c r="X677">
        <f t="shared" si="547"/>
        <v>20.7</v>
      </c>
      <c r="Y677">
        <f t="shared" si="548"/>
        <v>14.4</v>
      </c>
      <c r="Z677">
        <f t="shared" si="549"/>
        <v>18.5</v>
      </c>
    </row>
    <row r="678" spans="1:53" x14ac:dyDescent="0.2">
      <c r="A678" s="1">
        <v>45444</v>
      </c>
      <c r="B678" s="2">
        <v>0.66666666666666663</v>
      </c>
      <c r="C678" s="6">
        <v>45444.666666666664</v>
      </c>
      <c r="D678">
        <v>59</v>
      </c>
      <c r="E678">
        <v>71.8</v>
      </c>
      <c r="F678">
        <v>53.8</v>
      </c>
      <c r="G678" t="s">
        <v>6</v>
      </c>
      <c r="H678">
        <v>19.7</v>
      </c>
      <c r="I678">
        <v>22.7</v>
      </c>
      <c r="J678">
        <v>13.9</v>
      </c>
      <c r="K678" t="s">
        <v>6</v>
      </c>
      <c r="L678">
        <v>193</v>
      </c>
      <c r="M678" t="s">
        <v>6</v>
      </c>
      <c r="O678" s="6">
        <f t="shared" si="540"/>
        <v>45444.666666666664</v>
      </c>
      <c r="P678">
        <f t="shared" si="541"/>
        <v>59</v>
      </c>
      <c r="Q678">
        <f t="shared" si="542"/>
        <v>71.8</v>
      </c>
      <c r="R678">
        <f t="shared" si="543"/>
        <v>53.8</v>
      </c>
      <c r="S678">
        <f t="shared" si="544"/>
        <v>60</v>
      </c>
      <c r="V678" s="6">
        <f t="shared" si="545"/>
        <v>45444.666666666664</v>
      </c>
      <c r="W678">
        <f t="shared" si="546"/>
        <v>19.7</v>
      </c>
      <c r="X678">
        <f t="shared" si="547"/>
        <v>22.7</v>
      </c>
      <c r="Y678">
        <f t="shared" si="548"/>
        <v>13.9</v>
      </c>
      <c r="Z678">
        <f t="shared" si="549"/>
        <v>20.7</v>
      </c>
      <c r="BA678" t="s">
        <v>6</v>
      </c>
    </row>
    <row r="679" spans="1:53" x14ac:dyDescent="0.2">
      <c r="A679" s="1">
        <v>45444</v>
      </c>
      <c r="B679" s="2">
        <v>0.70833333333333337</v>
      </c>
      <c r="C679" s="6">
        <v>45444.708333333336</v>
      </c>
      <c r="D679">
        <v>67.3</v>
      </c>
      <c r="E679">
        <v>72.5</v>
      </c>
      <c r="F679">
        <v>63.5</v>
      </c>
      <c r="G679" t="s">
        <v>6</v>
      </c>
      <c r="H679">
        <v>20.5</v>
      </c>
      <c r="I679">
        <v>25</v>
      </c>
      <c r="J679">
        <v>14.8</v>
      </c>
      <c r="K679" t="s">
        <v>6</v>
      </c>
      <c r="L679">
        <v>207</v>
      </c>
      <c r="M679" t="s">
        <v>6</v>
      </c>
      <c r="O679" s="6">
        <f t="shared" si="540"/>
        <v>45444.708333333336</v>
      </c>
      <c r="P679">
        <f t="shared" si="541"/>
        <v>67.3</v>
      </c>
      <c r="Q679">
        <f t="shared" si="542"/>
        <v>72.5</v>
      </c>
      <c r="R679">
        <f t="shared" si="543"/>
        <v>63.5</v>
      </c>
      <c r="S679">
        <f t="shared" si="544"/>
        <v>68.3</v>
      </c>
      <c r="V679" s="6">
        <f t="shared" si="545"/>
        <v>45444.708333333336</v>
      </c>
      <c r="W679">
        <f t="shared" si="546"/>
        <v>20.5</v>
      </c>
      <c r="X679">
        <f t="shared" si="547"/>
        <v>25</v>
      </c>
      <c r="Y679">
        <f t="shared" si="548"/>
        <v>14.8</v>
      </c>
      <c r="Z679">
        <f t="shared" si="549"/>
        <v>21.5</v>
      </c>
      <c r="BA679" t="s">
        <v>6</v>
      </c>
    </row>
    <row r="680" spans="1:53" x14ac:dyDescent="0.2">
      <c r="A680" s="1">
        <v>45444</v>
      </c>
      <c r="B680" s="2">
        <v>0.75</v>
      </c>
      <c r="C680" s="6">
        <v>45444.75</v>
      </c>
      <c r="D680">
        <v>57.5</v>
      </c>
      <c r="E680">
        <v>68.3</v>
      </c>
      <c r="F680">
        <v>51.6</v>
      </c>
      <c r="G680" t="s">
        <v>6</v>
      </c>
      <c r="H680">
        <v>20.3</v>
      </c>
      <c r="I680">
        <v>32.5</v>
      </c>
      <c r="J680">
        <v>14.3</v>
      </c>
      <c r="K680" t="s">
        <v>6</v>
      </c>
      <c r="L680">
        <v>196</v>
      </c>
      <c r="M680" t="s">
        <v>6</v>
      </c>
      <c r="O680" s="6">
        <f t="shared" si="540"/>
        <v>45444.75</v>
      </c>
      <c r="P680">
        <f t="shared" si="541"/>
        <v>57.5</v>
      </c>
      <c r="Q680">
        <f t="shared" si="542"/>
        <v>68.3</v>
      </c>
      <c r="R680">
        <f t="shared" si="543"/>
        <v>51.6</v>
      </c>
      <c r="S680">
        <f t="shared" si="544"/>
        <v>58.5</v>
      </c>
      <c r="V680" s="6">
        <f t="shared" si="545"/>
        <v>45444.75</v>
      </c>
      <c r="W680">
        <f t="shared" si="546"/>
        <v>20.3</v>
      </c>
      <c r="X680">
        <f t="shared" si="547"/>
        <v>32.5</v>
      </c>
      <c r="Y680">
        <f t="shared" si="548"/>
        <v>14.3</v>
      </c>
      <c r="Z680">
        <f t="shared" si="549"/>
        <v>21.3</v>
      </c>
      <c r="BA680" t="s">
        <v>6</v>
      </c>
    </row>
    <row r="681" spans="1:53" x14ac:dyDescent="0.2">
      <c r="A681" s="1">
        <v>45444</v>
      </c>
      <c r="B681" s="2">
        <v>0.79166666666666663</v>
      </c>
      <c r="C681" s="6">
        <v>45444.791666666664</v>
      </c>
      <c r="D681">
        <v>59</v>
      </c>
      <c r="E681">
        <v>68.599999999999994</v>
      </c>
      <c r="F681">
        <v>50.2</v>
      </c>
      <c r="G681" t="s">
        <v>6</v>
      </c>
      <c r="H681">
        <v>18.8</v>
      </c>
      <c r="I681">
        <v>22.2</v>
      </c>
      <c r="J681">
        <v>13.9</v>
      </c>
      <c r="K681" t="s">
        <v>6</v>
      </c>
      <c r="L681">
        <v>201</v>
      </c>
      <c r="M681" t="s">
        <v>6</v>
      </c>
      <c r="O681" s="6">
        <f t="shared" si="540"/>
        <v>45444.791666666664</v>
      </c>
      <c r="P681">
        <f t="shared" si="541"/>
        <v>59</v>
      </c>
      <c r="Q681">
        <f t="shared" si="542"/>
        <v>68.599999999999994</v>
      </c>
      <c r="R681">
        <f t="shared" si="543"/>
        <v>50.2</v>
      </c>
      <c r="S681">
        <f t="shared" si="544"/>
        <v>60</v>
      </c>
      <c r="V681" s="6">
        <f t="shared" si="545"/>
        <v>45444.791666666664</v>
      </c>
      <c r="W681">
        <f t="shared" si="546"/>
        <v>18.8</v>
      </c>
      <c r="X681">
        <f t="shared" si="547"/>
        <v>22.2</v>
      </c>
      <c r="Y681">
        <f t="shared" si="548"/>
        <v>13.9</v>
      </c>
      <c r="Z681">
        <f t="shared" si="549"/>
        <v>19.8</v>
      </c>
      <c r="BA681" t="s">
        <v>6</v>
      </c>
    </row>
    <row r="682" spans="1:53" x14ac:dyDescent="0.2">
      <c r="A682" s="1">
        <v>45444</v>
      </c>
      <c r="B682" s="2">
        <v>0.83333333333333337</v>
      </c>
      <c r="C682" s="6">
        <v>45444.833333333336</v>
      </c>
      <c r="D682">
        <v>66</v>
      </c>
      <c r="E682">
        <v>70.5</v>
      </c>
      <c r="F682">
        <v>61.6</v>
      </c>
      <c r="G682" t="s">
        <v>6</v>
      </c>
      <c r="H682">
        <v>19.899999999999999</v>
      </c>
      <c r="I682">
        <v>22.3</v>
      </c>
      <c r="J682">
        <v>16.2</v>
      </c>
      <c r="K682" t="s">
        <v>6</v>
      </c>
      <c r="L682">
        <v>207</v>
      </c>
      <c r="M682" t="s">
        <v>6</v>
      </c>
      <c r="O682" s="6">
        <f t="shared" si="540"/>
        <v>45444.833333333336</v>
      </c>
      <c r="P682">
        <f t="shared" si="541"/>
        <v>66</v>
      </c>
      <c r="Q682">
        <f t="shared" si="542"/>
        <v>70.5</v>
      </c>
      <c r="R682">
        <f t="shared" si="543"/>
        <v>61.6</v>
      </c>
      <c r="S682">
        <f t="shared" si="544"/>
        <v>67</v>
      </c>
      <c r="V682" s="6">
        <f t="shared" si="545"/>
        <v>45444.833333333336</v>
      </c>
      <c r="W682">
        <f t="shared" si="546"/>
        <v>19.899999999999999</v>
      </c>
      <c r="X682">
        <f t="shared" si="547"/>
        <v>22.3</v>
      </c>
      <c r="Y682">
        <f t="shared" si="548"/>
        <v>16.2</v>
      </c>
      <c r="Z682">
        <f t="shared" si="549"/>
        <v>20.9</v>
      </c>
      <c r="BA682" t="s">
        <v>6</v>
      </c>
    </row>
    <row r="683" spans="1:53" x14ac:dyDescent="0.2">
      <c r="A683" s="1">
        <v>45444</v>
      </c>
      <c r="B683" s="2">
        <v>0.875</v>
      </c>
      <c r="C683" s="6">
        <v>45444.875</v>
      </c>
      <c r="D683">
        <v>65.7</v>
      </c>
      <c r="E683">
        <v>70.2</v>
      </c>
      <c r="F683">
        <v>62.6</v>
      </c>
      <c r="G683" t="s">
        <v>6</v>
      </c>
      <c r="H683">
        <v>20.6</v>
      </c>
      <c r="I683">
        <v>22.8</v>
      </c>
      <c r="J683">
        <v>18.7</v>
      </c>
      <c r="K683" t="s">
        <v>6</v>
      </c>
      <c r="L683">
        <v>66</v>
      </c>
      <c r="M683" t="s">
        <v>6</v>
      </c>
      <c r="O683" s="6">
        <f t="shared" si="540"/>
        <v>45444.875</v>
      </c>
      <c r="P683">
        <f t="shared" si="541"/>
        <v>65.7</v>
      </c>
      <c r="Q683">
        <f t="shared" si="542"/>
        <v>70.2</v>
      </c>
      <c r="R683">
        <f t="shared" si="543"/>
        <v>62.6</v>
      </c>
      <c r="S683">
        <f t="shared" si="544"/>
        <v>66.7</v>
      </c>
      <c r="V683" s="6">
        <f t="shared" si="545"/>
        <v>45444.875</v>
      </c>
      <c r="W683">
        <f t="shared" si="546"/>
        <v>20.6</v>
      </c>
      <c r="X683">
        <f t="shared" si="547"/>
        <v>22.8</v>
      </c>
      <c r="Y683">
        <f t="shared" si="548"/>
        <v>18.7</v>
      </c>
      <c r="Z683">
        <f t="shared" si="549"/>
        <v>21.6</v>
      </c>
      <c r="BA683" t="s">
        <v>6</v>
      </c>
    </row>
    <row r="684" spans="1:53" x14ac:dyDescent="0.2">
      <c r="A684" s="1">
        <v>45445</v>
      </c>
      <c r="B684" s="2">
        <v>0.29166666666666669</v>
      </c>
      <c r="C684" s="6">
        <v>45445.291666666664</v>
      </c>
      <c r="D684">
        <v>65.5</v>
      </c>
      <c r="E684">
        <v>65.599999999999994</v>
      </c>
      <c r="F684">
        <v>64.7</v>
      </c>
      <c r="G684" t="s">
        <v>6</v>
      </c>
      <c r="H684">
        <v>21.7</v>
      </c>
      <c r="I684">
        <v>25.2</v>
      </c>
      <c r="J684">
        <v>18.5</v>
      </c>
      <c r="K684" t="s">
        <v>6</v>
      </c>
      <c r="L684">
        <v>15</v>
      </c>
      <c r="M684" t="s">
        <v>6</v>
      </c>
      <c r="O684" s="6">
        <f t="shared" si="540"/>
        <v>45445.291666666664</v>
      </c>
      <c r="P684">
        <f t="shared" si="541"/>
        <v>65.5</v>
      </c>
      <c r="Q684">
        <f t="shared" si="542"/>
        <v>65.599999999999994</v>
      </c>
      <c r="R684">
        <f t="shared" si="543"/>
        <v>64.7</v>
      </c>
      <c r="S684">
        <f t="shared" si="544"/>
        <v>66.5</v>
      </c>
      <c r="V684" s="6">
        <f t="shared" si="545"/>
        <v>45445.291666666664</v>
      </c>
      <c r="W684">
        <f t="shared" si="546"/>
        <v>21.7</v>
      </c>
      <c r="X684">
        <f t="shared" si="547"/>
        <v>25.2</v>
      </c>
      <c r="Y684">
        <f t="shared" si="548"/>
        <v>18.5</v>
      </c>
      <c r="Z684">
        <f t="shared" si="549"/>
        <v>22.7</v>
      </c>
      <c r="BA684" t="s">
        <v>6</v>
      </c>
    </row>
    <row r="685" spans="1:53" x14ac:dyDescent="0.2">
      <c r="A685" s="14">
        <v>45445</v>
      </c>
      <c r="B685" s="7">
        <v>0.33333333333333331</v>
      </c>
      <c r="C685" s="8">
        <v>45445.333333333336</v>
      </c>
      <c r="D685" s="9">
        <v>65.2</v>
      </c>
      <c r="E685" s="9">
        <v>75.8</v>
      </c>
      <c r="F685" s="9">
        <v>59.8</v>
      </c>
      <c r="G685" s="9" t="s">
        <v>6</v>
      </c>
      <c r="H685" s="9">
        <v>18.899999999999999</v>
      </c>
      <c r="I685" s="9">
        <v>23.8</v>
      </c>
      <c r="J685" s="9">
        <v>13</v>
      </c>
      <c r="K685" s="9" t="s">
        <v>6</v>
      </c>
      <c r="L685" s="9">
        <v>210</v>
      </c>
      <c r="M685" t="s">
        <v>6</v>
      </c>
      <c r="O685" s="6">
        <f t="shared" si="540"/>
        <v>45445.333333333336</v>
      </c>
      <c r="P685">
        <f t="shared" si="541"/>
        <v>65.2</v>
      </c>
      <c r="Q685">
        <f t="shared" si="542"/>
        <v>75.8</v>
      </c>
      <c r="R685">
        <f t="shared" si="543"/>
        <v>59.8</v>
      </c>
      <c r="S685">
        <f t="shared" si="544"/>
        <v>66.2</v>
      </c>
      <c r="V685" s="6">
        <f t="shared" si="545"/>
        <v>45445.333333333336</v>
      </c>
      <c r="W685">
        <f t="shared" si="546"/>
        <v>18.899999999999999</v>
      </c>
      <c r="X685">
        <f t="shared" si="547"/>
        <v>23.8</v>
      </c>
      <c r="Y685">
        <f t="shared" si="548"/>
        <v>13</v>
      </c>
      <c r="Z685">
        <f t="shared" si="549"/>
        <v>19.899999999999999</v>
      </c>
      <c r="BA685" t="s">
        <v>6</v>
      </c>
    </row>
    <row r="686" spans="1:53" x14ac:dyDescent="0.2">
      <c r="A686" s="13">
        <v>45445</v>
      </c>
      <c r="B686" s="3">
        <v>0.375</v>
      </c>
      <c r="C686" s="4">
        <v>45445.375</v>
      </c>
      <c r="D686" s="5">
        <v>64.3</v>
      </c>
      <c r="E686" s="5">
        <v>76.7</v>
      </c>
      <c r="F686" s="5">
        <v>57.3</v>
      </c>
      <c r="G686" s="5" t="s">
        <v>6</v>
      </c>
      <c r="H686" s="5">
        <v>17.3</v>
      </c>
      <c r="I686" s="5">
        <v>19.3</v>
      </c>
      <c r="J686" s="5">
        <v>15.3</v>
      </c>
      <c r="K686" s="5" t="s">
        <v>6</v>
      </c>
      <c r="L686" s="5">
        <v>225</v>
      </c>
      <c r="M686" t="s">
        <v>6</v>
      </c>
      <c r="O686" s="6">
        <f t="shared" si="540"/>
        <v>45445.375</v>
      </c>
      <c r="P686">
        <f t="shared" si="541"/>
        <v>64.3</v>
      </c>
      <c r="Q686">
        <f t="shared" si="542"/>
        <v>76.7</v>
      </c>
      <c r="R686">
        <f t="shared" si="543"/>
        <v>57.3</v>
      </c>
      <c r="S686">
        <f t="shared" si="544"/>
        <v>65.3</v>
      </c>
      <c r="V686" s="6">
        <f t="shared" si="545"/>
        <v>45445.375</v>
      </c>
      <c r="W686">
        <f t="shared" si="546"/>
        <v>17.3</v>
      </c>
      <c r="X686">
        <f t="shared" si="547"/>
        <v>19.3</v>
      </c>
      <c r="Y686">
        <f t="shared" si="548"/>
        <v>15.3</v>
      </c>
      <c r="Z686">
        <f t="shared" si="549"/>
        <v>18.3</v>
      </c>
      <c r="BA686" t="s">
        <v>6</v>
      </c>
    </row>
    <row r="687" spans="1:53" x14ac:dyDescent="0.2">
      <c r="A687" s="1">
        <v>45445</v>
      </c>
      <c r="B687" s="2">
        <v>0.41666666666666669</v>
      </c>
      <c r="C687" s="6">
        <v>45445.416666666664</v>
      </c>
      <c r="D687">
        <v>63.9</v>
      </c>
      <c r="E687">
        <v>71.8</v>
      </c>
      <c r="F687">
        <v>57.6</v>
      </c>
      <c r="G687" t="s">
        <v>6</v>
      </c>
      <c r="H687">
        <v>18.8</v>
      </c>
      <c r="I687">
        <v>23.5</v>
      </c>
      <c r="J687">
        <v>15.6</v>
      </c>
      <c r="K687" t="s">
        <v>6</v>
      </c>
      <c r="L687">
        <v>223</v>
      </c>
      <c r="M687" t="s">
        <v>6</v>
      </c>
      <c r="O687" s="6">
        <f t="shared" si="540"/>
        <v>45445.416666666664</v>
      </c>
      <c r="P687">
        <f t="shared" si="541"/>
        <v>63.9</v>
      </c>
      <c r="Q687">
        <f t="shared" si="542"/>
        <v>71.8</v>
      </c>
      <c r="R687">
        <f t="shared" si="543"/>
        <v>57.6</v>
      </c>
      <c r="S687">
        <f t="shared" si="544"/>
        <v>64.900000000000006</v>
      </c>
      <c r="V687" s="6">
        <f t="shared" si="545"/>
        <v>45445.416666666664</v>
      </c>
      <c r="W687">
        <f t="shared" si="546"/>
        <v>18.8</v>
      </c>
      <c r="X687">
        <f t="shared" si="547"/>
        <v>23.5</v>
      </c>
      <c r="Y687">
        <f t="shared" si="548"/>
        <v>15.6</v>
      </c>
      <c r="Z687">
        <f t="shared" si="549"/>
        <v>19.8</v>
      </c>
      <c r="BA687" t="s">
        <v>6</v>
      </c>
    </row>
    <row r="688" spans="1:53" x14ac:dyDescent="0.2">
      <c r="A688" s="1">
        <v>45445</v>
      </c>
      <c r="B688" s="2">
        <v>0.45833333333333331</v>
      </c>
      <c r="C688" s="6">
        <v>45445.458333333336</v>
      </c>
      <c r="D688">
        <v>61</v>
      </c>
      <c r="E688">
        <v>71.7</v>
      </c>
      <c r="F688">
        <v>56.4</v>
      </c>
      <c r="G688" t="s">
        <v>6</v>
      </c>
      <c r="H688">
        <v>19.8</v>
      </c>
      <c r="I688">
        <v>23.8</v>
      </c>
      <c r="J688">
        <v>15.9</v>
      </c>
      <c r="K688" t="s">
        <v>6</v>
      </c>
      <c r="L688">
        <v>225</v>
      </c>
      <c r="M688" t="s">
        <v>6</v>
      </c>
      <c r="O688" s="6">
        <f t="shared" si="540"/>
        <v>45445.458333333336</v>
      </c>
      <c r="P688">
        <f t="shared" si="541"/>
        <v>61</v>
      </c>
      <c r="Q688">
        <f t="shared" si="542"/>
        <v>71.7</v>
      </c>
      <c r="R688">
        <f t="shared" si="543"/>
        <v>56.4</v>
      </c>
      <c r="S688">
        <f t="shared" si="544"/>
        <v>62</v>
      </c>
      <c r="V688" s="6">
        <f t="shared" si="545"/>
        <v>45445.458333333336</v>
      </c>
      <c r="W688">
        <f t="shared" si="546"/>
        <v>19.8</v>
      </c>
      <c r="X688">
        <f t="shared" si="547"/>
        <v>23.8</v>
      </c>
      <c r="Y688">
        <f t="shared" si="548"/>
        <v>15.9</v>
      </c>
      <c r="Z688">
        <f t="shared" si="549"/>
        <v>20.8</v>
      </c>
      <c r="BA688" t="s">
        <v>6</v>
      </c>
    </row>
    <row r="689" spans="1:53" x14ac:dyDescent="0.2">
      <c r="A689" s="1">
        <v>45445</v>
      </c>
      <c r="B689" s="2">
        <v>0.5</v>
      </c>
      <c r="C689" s="6">
        <v>45445.5</v>
      </c>
      <c r="D689">
        <v>60</v>
      </c>
      <c r="E689">
        <v>64</v>
      </c>
      <c r="F689">
        <v>52.3</v>
      </c>
      <c r="G689" t="s">
        <v>6</v>
      </c>
      <c r="H689">
        <v>19.899999999999999</v>
      </c>
      <c r="I689">
        <v>24.8</v>
      </c>
      <c r="J689">
        <v>14.4</v>
      </c>
      <c r="K689" t="s">
        <v>6</v>
      </c>
      <c r="L689">
        <v>190</v>
      </c>
      <c r="M689" t="s">
        <v>6</v>
      </c>
      <c r="O689" s="6">
        <f t="shared" si="540"/>
        <v>45445.5</v>
      </c>
      <c r="P689">
        <f t="shared" si="541"/>
        <v>60</v>
      </c>
      <c r="Q689">
        <f t="shared" si="542"/>
        <v>64</v>
      </c>
      <c r="R689">
        <f t="shared" si="543"/>
        <v>52.3</v>
      </c>
      <c r="S689">
        <f t="shared" si="544"/>
        <v>61</v>
      </c>
      <c r="V689" s="6">
        <f t="shared" si="545"/>
        <v>45445.5</v>
      </c>
      <c r="W689">
        <f t="shared" si="546"/>
        <v>19.899999999999999</v>
      </c>
      <c r="X689">
        <f t="shared" si="547"/>
        <v>24.8</v>
      </c>
      <c r="Y689">
        <f t="shared" si="548"/>
        <v>14.4</v>
      </c>
      <c r="Z689">
        <f t="shared" si="549"/>
        <v>20.9</v>
      </c>
      <c r="BA689" t="s">
        <v>6</v>
      </c>
    </row>
    <row r="690" spans="1:53" x14ac:dyDescent="0.2">
      <c r="A690" s="1">
        <v>45445</v>
      </c>
      <c r="B690" s="2">
        <v>0.54166666666666663</v>
      </c>
      <c r="C690" s="6">
        <v>45445.541666666664</v>
      </c>
      <c r="D690">
        <v>60.6</v>
      </c>
      <c r="E690">
        <v>75.400000000000006</v>
      </c>
      <c r="F690">
        <v>51.3</v>
      </c>
      <c r="G690" t="s">
        <v>6</v>
      </c>
      <c r="H690">
        <v>21.2</v>
      </c>
      <c r="I690">
        <v>36.4</v>
      </c>
      <c r="J690">
        <v>15.2</v>
      </c>
      <c r="K690" t="s">
        <v>6</v>
      </c>
      <c r="L690">
        <v>91</v>
      </c>
      <c r="M690" t="s">
        <v>6</v>
      </c>
      <c r="O690" s="6">
        <f t="shared" si="540"/>
        <v>45445.541666666664</v>
      </c>
      <c r="P690">
        <f t="shared" si="541"/>
        <v>60.6</v>
      </c>
      <c r="Q690">
        <f t="shared" si="542"/>
        <v>75.400000000000006</v>
      </c>
      <c r="R690">
        <f t="shared" si="543"/>
        <v>51.3</v>
      </c>
      <c r="S690">
        <f t="shared" si="544"/>
        <v>61.6</v>
      </c>
      <c r="V690" s="6">
        <f t="shared" si="545"/>
        <v>45445.541666666664</v>
      </c>
      <c r="W690">
        <f t="shared" si="546"/>
        <v>21.2</v>
      </c>
      <c r="X690">
        <f t="shared" si="547"/>
        <v>36.4</v>
      </c>
      <c r="Y690">
        <f t="shared" si="548"/>
        <v>15.2</v>
      </c>
      <c r="Z690">
        <f t="shared" si="549"/>
        <v>22.2</v>
      </c>
      <c r="BA690" t="s">
        <v>6</v>
      </c>
    </row>
    <row r="691" spans="1:53" x14ac:dyDescent="0.2">
      <c r="A691" s="1">
        <v>45445</v>
      </c>
      <c r="B691" s="2">
        <v>0.66666666666666663</v>
      </c>
      <c r="C691" s="6">
        <v>45445.666666666664</v>
      </c>
      <c r="D691">
        <v>60.9</v>
      </c>
      <c r="E691">
        <v>71</v>
      </c>
      <c r="F691">
        <v>53.5</v>
      </c>
      <c r="G691" t="s">
        <v>6</v>
      </c>
      <c r="H691">
        <v>21.1</v>
      </c>
      <c r="I691">
        <v>26</v>
      </c>
      <c r="J691">
        <v>17.8</v>
      </c>
      <c r="K691" t="s">
        <v>6</v>
      </c>
      <c r="L691">
        <v>227</v>
      </c>
      <c r="M691" t="s">
        <v>6</v>
      </c>
      <c r="O691" s="6">
        <f t="shared" si="540"/>
        <v>45445.666666666664</v>
      </c>
      <c r="P691">
        <f t="shared" si="541"/>
        <v>60.9</v>
      </c>
      <c r="Q691">
        <f t="shared" si="542"/>
        <v>71</v>
      </c>
      <c r="R691">
        <f t="shared" si="543"/>
        <v>53.5</v>
      </c>
      <c r="S691">
        <f t="shared" si="544"/>
        <v>61.9</v>
      </c>
      <c r="V691" s="6">
        <f t="shared" si="545"/>
        <v>45445.666666666664</v>
      </c>
      <c r="W691">
        <f t="shared" si="546"/>
        <v>21.1</v>
      </c>
      <c r="X691">
        <f t="shared" si="547"/>
        <v>26</v>
      </c>
      <c r="Y691">
        <f t="shared" si="548"/>
        <v>17.8</v>
      </c>
      <c r="Z691">
        <f t="shared" si="549"/>
        <v>22.1</v>
      </c>
      <c r="BA691" t="s">
        <v>6</v>
      </c>
    </row>
    <row r="692" spans="1:53" x14ac:dyDescent="0.2">
      <c r="A692" s="1">
        <v>45445</v>
      </c>
      <c r="B692" s="2">
        <v>0.70833333333333337</v>
      </c>
      <c r="C692" s="6">
        <v>45445.708333333336</v>
      </c>
      <c r="D692">
        <v>61.1</v>
      </c>
      <c r="E692">
        <v>66</v>
      </c>
      <c r="F692">
        <v>56.5</v>
      </c>
      <c r="G692" t="s">
        <v>6</v>
      </c>
      <c r="H692">
        <v>22.4</v>
      </c>
      <c r="I692">
        <v>38.5</v>
      </c>
      <c r="J692">
        <v>16.3</v>
      </c>
      <c r="K692" t="s">
        <v>6</v>
      </c>
      <c r="L692">
        <v>213</v>
      </c>
      <c r="M692" t="s">
        <v>6</v>
      </c>
      <c r="O692" s="6">
        <f t="shared" si="540"/>
        <v>45445.708333333336</v>
      </c>
      <c r="P692">
        <f t="shared" si="541"/>
        <v>61.1</v>
      </c>
      <c r="Q692">
        <f t="shared" si="542"/>
        <v>66</v>
      </c>
      <c r="R692">
        <f t="shared" si="543"/>
        <v>56.5</v>
      </c>
      <c r="S692">
        <f t="shared" si="544"/>
        <v>62.1</v>
      </c>
      <c r="V692" s="6">
        <f t="shared" si="545"/>
        <v>45445.708333333336</v>
      </c>
      <c r="W692">
        <f t="shared" si="546"/>
        <v>22.4</v>
      </c>
      <c r="X692">
        <f t="shared" si="547"/>
        <v>38.5</v>
      </c>
      <c r="Y692">
        <f t="shared" si="548"/>
        <v>16.3</v>
      </c>
      <c r="Z692">
        <f t="shared" si="549"/>
        <v>23.4</v>
      </c>
      <c r="BA692" t="s">
        <v>6</v>
      </c>
    </row>
    <row r="693" spans="1:53" x14ac:dyDescent="0.2">
      <c r="A693" s="1">
        <v>45445</v>
      </c>
      <c r="B693" s="2">
        <v>0.75</v>
      </c>
      <c r="C693" s="6">
        <v>45445.75</v>
      </c>
      <c r="D693">
        <v>59.5</v>
      </c>
      <c r="E693">
        <v>65.7</v>
      </c>
      <c r="F693">
        <v>54.9</v>
      </c>
      <c r="G693" t="s">
        <v>6</v>
      </c>
      <c r="H693">
        <v>22.5</v>
      </c>
      <c r="I693">
        <v>43.5</v>
      </c>
      <c r="J693">
        <v>17</v>
      </c>
      <c r="K693" t="s">
        <v>6</v>
      </c>
      <c r="L693">
        <v>221</v>
      </c>
      <c r="M693" t="s">
        <v>6</v>
      </c>
      <c r="O693" s="6">
        <f t="shared" si="540"/>
        <v>45445.75</v>
      </c>
      <c r="P693">
        <f t="shared" si="541"/>
        <v>59.5</v>
      </c>
      <c r="Q693">
        <f t="shared" si="542"/>
        <v>65.7</v>
      </c>
      <c r="R693">
        <f t="shared" si="543"/>
        <v>54.9</v>
      </c>
      <c r="S693">
        <f t="shared" si="544"/>
        <v>60.5</v>
      </c>
      <c r="V693" s="6">
        <f t="shared" si="545"/>
        <v>45445.75</v>
      </c>
      <c r="W693">
        <f t="shared" si="546"/>
        <v>22.5</v>
      </c>
      <c r="X693">
        <f t="shared" si="547"/>
        <v>43.5</v>
      </c>
      <c r="Y693">
        <f t="shared" si="548"/>
        <v>17</v>
      </c>
      <c r="Z693">
        <f t="shared" si="549"/>
        <v>23.5</v>
      </c>
    </row>
    <row r="694" spans="1:53" x14ac:dyDescent="0.2">
      <c r="A694" s="1">
        <v>45445</v>
      </c>
      <c r="B694" s="2">
        <v>0.79166666666666663</v>
      </c>
      <c r="C694" s="6">
        <v>45445.791666666664</v>
      </c>
      <c r="D694">
        <v>65</v>
      </c>
      <c r="E694">
        <v>79.8</v>
      </c>
      <c r="F694">
        <v>56.3</v>
      </c>
      <c r="G694" t="s">
        <v>6</v>
      </c>
      <c r="H694">
        <v>21.5</v>
      </c>
      <c r="I694">
        <v>24.5</v>
      </c>
      <c r="J694">
        <v>16.399999999999999</v>
      </c>
      <c r="K694" t="s">
        <v>6</v>
      </c>
      <c r="L694">
        <v>205</v>
      </c>
      <c r="M694" t="s">
        <v>6</v>
      </c>
      <c r="O694" s="6">
        <f t="shared" si="540"/>
        <v>45445.791666666664</v>
      </c>
      <c r="P694">
        <f t="shared" si="541"/>
        <v>65</v>
      </c>
      <c r="Q694">
        <f t="shared" si="542"/>
        <v>79.8</v>
      </c>
      <c r="R694">
        <f t="shared" si="543"/>
        <v>56.3</v>
      </c>
      <c r="S694">
        <f t="shared" si="544"/>
        <v>66</v>
      </c>
      <c r="V694" s="6">
        <f t="shared" si="545"/>
        <v>45445.791666666664</v>
      </c>
      <c r="W694">
        <f t="shared" si="546"/>
        <v>21.5</v>
      </c>
      <c r="X694">
        <f t="shared" si="547"/>
        <v>24.5</v>
      </c>
      <c r="Y694">
        <f t="shared" si="548"/>
        <v>16.399999999999999</v>
      </c>
      <c r="Z694">
        <f t="shared" si="549"/>
        <v>22.5</v>
      </c>
    </row>
    <row r="695" spans="1:53" x14ac:dyDescent="0.2">
      <c r="A695" s="1">
        <v>45445</v>
      </c>
      <c r="B695" s="2">
        <v>0.83333333333333337</v>
      </c>
      <c r="C695" s="6">
        <v>45445.833333333336</v>
      </c>
      <c r="D695">
        <v>74.400000000000006</v>
      </c>
      <c r="E695">
        <v>79.8</v>
      </c>
      <c r="F695">
        <v>65.5</v>
      </c>
      <c r="G695" t="s">
        <v>6</v>
      </c>
      <c r="H695">
        <v>21.6</v>
      </c>
      <c r="I695">
        <v>25.1</v>
      </c>
      <c r="J695">
        <v>15.8</v>
      </c>
      <c r="K695" t="s">
        <v>6</v>
      </c>
      <c r="L695">
        <v>228</v>
      </c>
      <c r="M695" t="s">
        <v>6</v>
      </c>
      <c r="O695" s="6">
        <f t="shared" si="540"/>
        <v>45445.833333333336</v>
      </c>
      <c r="P695">
        <f t="shared" si="541"/>
        <v>74.400000000000006</v>
      </c>
      <c r="Q695">
        <f t="shared" si="542"/>
        <v>79.8</v>
      </c>
      <c r="R695">
        <f t="shared" si="543"/>
        <v>65.5</v>
      </c>
      <c r="S695">
        <f t="shared" si="544"/>
        <v>75.400000000000006</v>
      </c>
      <c r="V695" s="6">
        <f t="shared" si="545"/>
        <v>45445.833333333336</v>
      </c>
      <c r="W695">
        <f t="shared" si="546"/>
        <v>21.6</v>
      </c>
      <c r="X695">
        <f t="shared" si="547"/>
        <v>25.1</v>
      </c>
      <c r="Y695">
        <f t="shared" si="548"/>
        <v>15.8</v>
      </c>
      <c r="Z695">
        <f t="shared" si="549"/>
        <v>22.6</v>
      </c>
    </row>
    <row r="696" spans="1:53" x14ac:dyDescent="0.2">
      <c r="A696" s="1">
        <v>45445</v>
      </c>
      <c r="B696" s="2">
        <v>0.875</v>
      </c>
      <c r="C696" s="6">
        <v>45445.875</v>
      </c>
      <c r="D696">
        <v>66.5</v>
      </c>
      <c r="E696">
        <v>74.900000000000006</v>
      </c>
      <c r="F696">
        <v>59.4</v>
      </c>
      <c r="G696" t="s">
        <v>6</v>
      </c>
      <c r="H696">
        <v>22.8</v>
      </c>
      <c r="I696">
        <v>26.1</v>
      </c>
      <c r="J696">
        <v>19.100000000000001</v>
      </c>
      <c r="K696" t="s">
        <v>6</v>
      </c>
      <c r="L696">
        <v>160</v>
      </c>
      <c r="M696" t="s">
        <v>6</v>
      </c>
      <c r="O696" s="6">
        <f t="shared" si="540"/>
        <v>45445.875</v>
      </c>
      <c r="P696">
        <f t="shared" si="541"/>
        <v>66.5</v>
      </c>
      <c r="Q696">
        <f t="shared" si="542"/>
        <v>74.900000000000006</v>
      </c>
      <c r="R696">
        <f t="shared" si="543"/>
        <v>59.4</v>
      </c>
      <c r="S696">
        <f t="shared" si="544"/>
        <v>67.5</v>
      </c>
      <c r="V696" s="6">
        <f t="shared" si="545"/>
        <v>45445.875</v>
      </c>
      <c r="W696">
        <f t="shared" si="546"/>
        <v>22.8</v>
      </c>
      <c r="X696">
        <f t="shared" si="547"/>
        <v>26.1</v>
      </c>
      <c r="Y696">
        <f t="shared" si="548"/>
        <v>19.100000000000001</v>
      </c>
      <c r="Z696">
        <f t="shared" si="549"/>
        <v>23.8</v>
      </c>
    </row>
    <row r="697" spans="1:53" x14ac:dyDescent="0.2">
      <c r="A697" s="1">
        <v>45445</v>
      </c>
      <c r="B697" s="2">
        <v>0.91666666666666663</v>
      </c>
      <c r="C697" s="6">
        <v>45445.916666666664</v>
      </c>
      <c r="D697">
        <v>72.2</v>
      </c>
      <c r="E697">
        <v>78.7</v>
      </c>
      <c r="F697">
        <v>63.1</v>
      </c>
      <c r="G697" t="s">
        <v>6</v>
      </c>
      <c r="H697">
        <v>19.7</v>
      </c>
      <c r="I697">
        <v>23.1</v>
      </c>
      <c r="J697">
        <v>17.100000000000001</v>
      </c>
      <c r="K697" t="s">
        <v>6</v>
      </c>
      <c r="L697">
        <v>227</v>
      </c>
      <c r="M697" t="s">
        <v>6</v>
      </c>
      <c r="O697" s="6">
        <f t="shared" si="540"/>
        <v>45445.916666666664</v>
      </c>
      <c r="P697">
        <f t="shared" si="541"/>
        <v>72.2</v>
      </c>
      <c r="Q697">
        <f t="shared" si="542"/>
        <v>78.7</v>
      </c>
      <c r="R697">
        <f t="shared" si="543"/>
        <v>63.1</v>
      </c>
      <c r="S697">
        <f t="shared" si="544"/>
        <v>73.2</v>
      </c>
      <c r="V697" s="6">
        <f t="shared" si="545"/>
        <v>45445.916666666664</v>
      </c>
      <c r="W697">
        <f t="shared" si="546"/>
        <v>19.7</v>
      </c>
      <c r="X697">
        <f t="shared" si="547"/>
        <v>23.1</v>
      </c>
      <c r="Y697">
        <f t="shared" si="548"/>
        <v>17.100000000000001</v>
      </c>
      <c r="Z697">
        <f t="shared" si="549"/>
        <v>20.7</v>
      </c>
    </row>
    <row r="698" spans="1:53" x14ac:dyDescent="0.2">
      <c r="A698" s="1">
        <v>45445</v>
      </c>
      <c r="B698" s="2">
        <v>0.95833333333333337</v>
      </c>
      <c r="C698" s="6">
        <v>45445.958333333336</v>
      </c>
      <c r="D698">
        <v>62.1</v>
      </c>
      <c r="E698">
        <v>69.3</v>
      </c>
      <c r="F698">
        <v>56.4</v>
      </c>
      <c r="G698" t="s">
        <v>6</v>
      </c>
      <c r="H698">
        <v>18.600000000000001</v>
      </c>
      <c r="I698">
        <v>23.5</v>
      </c>
      <c r="J698">
        <v>12.8</v>
      </c>
      <c r="K698" t="s">
        <v>6</v>
      </c>
      <c r="L698">
        <v>214</v>
      </c>
      <c r="M698" t="s">
        <v>6</v>
      </c>
      <c r="O698" s="6">
        <f t="shared" si="540"/>
        <v>45445.958333333336</v>
      </c>
      <c r="P698">
        <f t="shared" si="541"/>
        <v>62.1</v>
      </c>
      <c r="Q698">
        <f t="shared" si="542"/>
        <v>69.3</v>
      </c>
      <c r="R698">
        <f t="shared" si="543"/>
        <v>56.4</v>
      </c>
      <c r="S698">
        <f t="shared" si="544"/>
        <v>63.1</v>
      </c>
      <c r="V698" s="6">
        <f t="shared" si="545"/>
        <v>45445.958333333336</v>
      </c>
      <c r="W698">
        <f t="shared" si="546"/>
        <v>18.600000000000001</v>
      </c>
      <c r="X698">
        <f t="shared" si="547"/>
        <v>23.5</v>
      </c>
      <c r="Y698">
        <f t="shared" si="548"/>
        <v>12.8</v>
      </c>
      <c r="Z698">
        <f t="shared" si="549"/>
        <v>19.600000000000001</v>
      </c>
    </row>
    <row r="699" spans="1:53" x14ac:dyDescent="0.2">
      <c r="A699" s="1">
        <v>45446</v>
      </c>
      <c r="B699" s="2">
        <v>0</v>
      </c>
      <c r="C699" s="6">
        <v>45446</v>
      </c>
      <c r="D699">
        <v>60.7</v>
      </c>
      <c r="E699">
        <v>65.8</v>
      </c>
      <c r="F699">
        <v>54</v>
      </c>
      <c r="G699" t="s">
        <v>6</v>
      </c>
      <c r="H699">
        <v>19.399999999999999</v>
      </c>
      <c r="I699">
        <v>24.8</v>
      </c>
      <c r="J699">
        <v>14.1</v>
      </c>
      <c r="K699" t="s">
        <v>6</v>
      </c>
      <c r="L699">
        <v>218</v>
      </c>
      <c r="M699" t="s">
        <v>6</v>
      </c>
      <c r="O699" s="6">
        <f t="shared" si="540"/>
        <v>45446</v>
      </c>
      <c r="P699">
        <f t="shared" si="541"/>
        <v>60.7</v>
      </c>
      <c r="Q699">
        <f t="shared" si="542"/>
        <v>65.8</v>
      </c>
      <c r="R699">
        <f t="shared" si="543"/>
        <v>54</v>
      </c>
      <c r="S699">
        <f t="shared" si="544"/>
        <v>61.7</v>
      </c>
      <c r="V699" s="6">
        <f t="shared" si="545"/>
        <v>45446</v>
      </c>
      <c r="W699">
        <f t="shared" si="546"/>
        <v>19.399999999999999</v>
      </c>
      <c r="X699">
        <f t="shared" si="547"/>
        <v>24.8</v>
      </c>
      <c r="Y699">
        <f t="shared" si="548"/>
        <v>14.1</v>
      </c>
      <c r="Z699">
        <f t="shared" si="549"/>
        <v>20.399999999999999</v>
      </c>
    </row>
    <row r="700" spans="1:53" x14ac:dyDescent="0.2">
      <c r="A700" s="1">
        <v>45446</v>
      </c>
      <c r="B700" s="2">
        <v>4.1666666666666664E-2</v>
      </c>
      <c r="C700" s="6">
        <v>45446.041666666664</v>
      </c>
      <c r="D700">
        <v>60.4</v>
      </c>
      <c r="E700">
        <v>64.599999999999994</v>
      </c>
      <c r="F700">
        <v>56.3</v>
      </c>
      <c r="G700" t="s">
        <v>6</v>
      </c>
      <c r="H700">
        <v>19.3</v>
      </c>
      <c r="I700">
        <v>21.3</v>
      </c>
      <c r="J700">
        <v>17.399999999999999</v>
      </c>
      <c r="K700" t="s">
        <v>6</v>
      </c>
      <c r="L700">
        <v>227</v>
      </c>
      <c r="M700" t="s">
        <v>6</v>
      </c>
      <c r="O700" s="6">
        <f t="shared" si="540"/>
        <v>45446.041666666664</v>
      </c>
      <c r="P700">
        <f t="shared" si="541"/>
        <v>60.4</v>
      </c>
      <c r="Q700">
        <f t="shared" si="542"/>
        <v>64.599999999999994</v>
      </c>
      <c r="R700">
        <f t="shared" si="543"/>
        <v>56.3</v>
      </c>
      <c r="S700">
        <f t="shared" si="544"/>
        <v>61.4</v>
      </c>
      <c r="V700" s="6">
        <f t="shared" si="545"/>
        <v>45446.041666666664</v>
      </c>
      <c r="W700">
        <f t="shared" si="546"/>
        <v>19.3</v>
      </c>
      <c r="X700">
        <f t="shared" si="547"/>
        <v>21.3</v>
      </c>
      <c r="Y700">
        <f t="shared" si="548"/>
        <v>17.399999999999999</v>
      </c>
      <c r="Z700">
        <f t="shared" si="549"/>
        <v>20.3</v>
      </c>
    </row>
    <row r="701" spans="1:53" x14ac:dyDescent="0.2">
      <c r="A701" s="1">
        <v>45446</v>
      </c>
      <c r="B701" s="2">
        <v>8.3333333333333329E-2</v>
      </c>
      <c r="C701" s="6">
        <v>45446.083333333336</v>
      </c>
      <c r="D701">
        <v>61.2</v>
      </c>
      <c r="E701">
        <v>67.400000000000006</v>
      </c>
      <c r="F701">
        <v>56.9</v>
      </c>
      <c r="G701" t="s">
        <v>6</v>
      </c>
      <c r="H701">
        <v>19.5</v>
      </c>
      <c r="I701">
        <v>23</v>
      </c>
      <c r="J701">
        <v>16.8</v>
      </c>
      <c r="K701" t="s">
        <v>6</v>
      </c>
      <c r="L701">
        <v>224</v>
      </c>
      <c r="M701" t="s">
        <v>6</v>
      </c>
      <c r="O701" s="6">
        <f t="shared" si="540"/>
        <v>45446.083333333336</v>
      </c>
      <c r="P701">
        <f t="shared" si="541"/>
        <v>61.2</v>
      </c>
      <c r="Q701">
        <f t="shared" si="542"/>
        <v>67.400000000000006</v>
      </c>
      <c r="R701">
        <f t="shared" si="543"/>
        <v>56.9</v>
      </c>
      <c r="S701">
        <f t="shared" si="544"/>
        <v>62.2</v>
      </c>
      <c r="V701" s="6">
        <f t="shared" si="545"/>
        <v>45446.083333333336</v>
      </c>
      <c r="W701">
        <f t="shared" si="546"/>
        <v>19.5</v>
      </c>
      <c r="X701">
        <f t="shared" si="547"/>
        <v>23</v>
      </c>
      <c r="Y701">
        <f t="shared" si="548"/>
        <v>16.8</v>
      </c>
      <c r="Z701">
        <f t="shared" si="549"/>
        <v>20.5</v>
      </c>
    </row>
    <row r="702" spans="1:53" x14ac:dyDescent="0.2">
      <c r="A702" s="1">
        <v>45446</v>
      </c>
      <c r="B702" s="2">
        <v>0.125</v>
      </c>
      <c r="C702" s="6">
        <v>45446.125</v>
      </c>
      <c r="D702">
        <v>59.3</v>
      </c>
      <c r="E702">
        <v>64.2</v>
      </c>
      <c r="F702">
        <v>56.1</v>
      </c>
      <c r="G702" t="s">
        <v>6</v>
      </c>
      <c r="H702">
        <v>19.100000000000001</v>
      </c>
      <c r="I702">
        <v>24.2</v>
      </c>
      <c r="J702">
        <v>14.2</v>
      </c>
      <c r="K702" t="s">
        <v>6</v>
      </c>
      <c r="L702">
        <v>218</v>
      </c>
      <c r="M702" t="s">
        <v>6</v>
      </c>
      <c r="O702" s="6">
        <f t="shared" si="540"/>
        <v>45446.125</v>
      </c>
      <c r="P702">
        <f t="shared" si="541"/>
        <v>59.3</v>
      </c>
      <c r="Q702">
        <f t="shared" si="542"/>
        <v>64.2</v>
      </c>
      <c r="R702">
        <f t="shared" si="543"/>
        <v>56.1</v>
      </c>
      <c r="S702">
        <f t="shared" si="544"/>
        <v>60.3</v>
      </c>
      <c r="V702" s="6">
        <f t="shared" si="545"/>
        <v>45446.125</v>
      </c>
      <c r="W702">
        <f t="shared" si="546"/>
        <v>19.100000000000001</v>
      </c>
      <c r="X702">
        <f t="shared" si="547"/>
        <v>24.2</v>
      </c>
      <c r="Y702">
        <f t="shared" si="548"/>
        <v>14.2</v>
      </c>
      <c r="Z702">
        <f t="shared" si="549"/>
        <v>20.100000000000001</v>
      </c>
    </row>
    <row r="703" spans="1:53" x14ac:dyDescent="0.2">
      <c r="A703" s="1">
        <v>45446</v>
      </c>
      <c r="B703" s="2">
        <v>0.16666666666666666</v>
      </c>
      <c r="C703" s="6">
        <v>45446.166666666664</v>
      </c>
      <c r="D703">
        <v>56.9</v>
      </c>
      <c r="E703">
        <v>60.1</v>
      </c>
      <c r="F703">
        <v>54.6</v>
      </c>
      <c r="G703" t="s">
        <v>6</v>
      </c>
      <c r="H703">
        <v>19.7</v>
      </c>
      <c r="I703">
        <v>23.1</v>
      </c>
      <c r="J703">
        <v>17.2</v>
      </c>
      <c r="K703" t="s">
        <v>6</v>
      </c>
      <c r="L703">
        <v>114</v>
      </c>
      <c r="M703" t="s">
        <v>6</v>
      </c>
      <c r="O703" s="6">
        <f t="shared" si="540"/>
        <v>45446.166666666664</v>
      </c>
      <c r="P703">
        <f t="shared" si="541"/>
        <v>56.9</v>
      </c>
      <c r="Q703">
        <f t="shared" si="542"/>
        <v>60.1</v>
      </c>
      <c r="R703">
        <f t="shared" si="543"/>
        <v>54.6</v>
      </c>
      <c r="S703">
        <f t="shared" si="544"/>
        <v>57.9</v>
      </c>
      <c r="V703" s="6">
        <f t="shared" si="545"/>
        <v>45446.166666666664</v>
      </c>
      <c r="W703">
        <f t="shared" si="546"/>
        <v>19.7</v>
      </c>
      <c r="X703">
        <f t="shared" si="547"/>
        <v>23.1</v>
      </c>
      <c r="Y703">
        <f t="shared" si="548"/>
        <v>17.2</v>
      </c>
      <c r="Z703">
        <f t="shared" si="549"/>
        <v>20.7</v>
      </c>
    </row>
    <row r="704" spans="1:53" x14ac:dyDescent="0.2">
      <c r="A704" s="1">
        <v>45446</v>
      </c>
      <c r="B704" s="2">
        <v>0.25</v>
      </c>
      <c r="C704" s="6">
        <v>45446.25</v>
      </c>
      <c r="D704">
        <v>62</v>
      </c>
      <c r="E704">
        <v>68.8</v>
      </c>
      <c r="F704">
        <v>54.6</v>
      </c>
      <c r="G704" t="s">
        <v>6</v>
      </c>
      <c r="H704">
        <v>19.3</v>
      </c>
      <c r="I704">
        <v>23.7</v>
      </c>
      <c r="J704">
        <v>14.5</v>
      </c>
      <c r="K704" t="s">
        <v>6</v>
      </c>
      <c r="L704">
        <v>140</v>
      </c>
      <c r="M704" t="s">
        <v>6</v>
      </c>
      <c r="O704" s="6">
        <f t="shared" ref="O704:O767" si="550">C704</f>
        <v>45446.25</v>
      </c>
      <c r="P704">
        <f t="shared" ref="P704:P767" si="551">D704</f>
        <v>62</v>
      </c>
      <c r="Q704">
        <f t="shared" ref="Q704:Q767" si="552">E704</f>
        <v>68.8</v>
      </c>
      <c r="R704">
        <f t="shared" ref="R704:R767" si="553">F704</f>
        <v>54.6</v>
      </c>
      <c r="S704">
        <f t="shared" ref="S704:S767" si="554">P704+1</f>
        <v>63</v>
      </c>
      <c r="V704" s="6">
        <f t="shared" ref="V704:V767" si="555">O704</f>
        <v>45446.25</v>
      </c>
      <c r="W704">
        <f t="shared" ref="W704:W767" si="556">H704</f>
        <v>19.3</v>
      </c>
      <c r="X704">
        <f t="shared" ref="X704:X767" si="557">I704</f>
        <v>23.7</v>
      </c>
      <c r="Y704">
        <f t="shared" ref="Y704:Y767" si="558">J704</f>
        <v>14.5</v>
      </c>
      <c r="Z704">
        <f t="shared" ref="Z704:Z767" si="559">W704+1</f>
        <v>20.3</v>
      </c>
    </row>
    <row r="705" spans="1:26" x14ac:dyDescent="0.2">
      <c r="A705" s="1">
        <v>45446</v>
      </c>
      <c r="B705" s="2">
        <v>0.29166666666666669</v>
      </c>
      <c r="C705" s="6">
        <v>45446.291666666664</v>
      </c>
      <c r="D705">
        <v>61.8</v>
      </c>
      <c r="E705">
        <v>69.2</v>
      </c>
      <c r="F705">
        <v>57.5</v>
      </c>
      <c r="G705" t="s">
        <v>6</v>
      </c>
      <c r="H705">
        <v>19.8</v>
      </c>
      <c r="I705">
        <v>30.5</v>
      </c>
      <c r="J705">
        <v>15.8</v>
      </c>
      <c r="K705" t="s">
        <v>6</v>
      </c>
      <c r="L705">
        <v>172</v>
      </c>
      <c r="M705" t="s">
        <v>6</v>
      </c>
      <c r="O705" s="6">
        <f t="shared" si="550"/>
        <v>45446.291666666664</v>
      </c>
      <c r="P705">
        <f t="shared" si="551"/>
        <v>61.8</v>
      </c>
      <c r="Q705">
        <f t="shared" si="552"/>
        <v>69.2</v>
      </c>
      <c r="R705">
        <f t="shared" si="553"/>
        <v>57.5</v>
      </c>
      <c r="S705">
        <f t="shared" si="554"/>
        <v>62.8</v>
      </c>
      <c r="V705" s="6">
        <f t="shared" si="555"/>
        <v>45446.291666666664</v>
      </c>
      <c r="W705">
        <f t="shared" si="556"/>
        <v>19.8</v>
      </c>
      <c r="X705">
        <f t="shared" si="557"/>
        <v>30.5</v>
      </c>
      <c r="Y705">
        <f t="shared" si="558"/>
        <v>15.8</v>
      </c>
      <c r="Z705">
        <f t="shared" si="559"/>
        <v>20.8</v>
      </c>
    </row>
    <row r="706" spans="1:26" x14ac:dyDescent="0.2">
      <c r="A706" s="14">
        <v>45446</v>
      </c>
      <c r="B706" s="7">
        <v>0.33333333333333331</v>
      </c>
      <c r="C706" s="8">
        <v>45446.333333333336</v>
      </c>
      <c r="D706" s="9">
        <v>68.099999999999994</v>
      </c>
      <c r="E706" s="9">
        <v>78.8</v>
      </c>
      <c r="F706" s="9">
        <v>59.3</v>
      </c>
      <c r="G706" s="9" t="s">
        <v>6</v>
      </c>
      <c r="H706" s="9">
        <v>18.5</v>
      </c>
      <c r="I706" s="9">
        <v>22.2</v>
      </c>
      <c r="J706" s="9">
        <v>15.5</v>
      </c>
      <c r="K706" s="9" t="s">
        <v>6</v>
      </c>
      <c r="L706" s="9">
        <v>203</v>
      </c>
      <c r="M706" t="s">
        <v>6</v>
      </c>
      <c r="O706" s="6">
        <f t="shared" si="550"/>
        <v>45446.333333333336</v>
      </c>
      <c r="P706">
        <f t="shared" si="551"/>
        <v>68.099999999999994</v>
      </c>
      <c r="Q706">
        <f t="shared" si="552"/>
        <v>78.8</v>
      </c>
      <c r="R706">
        <f t="shared" si="553"/>
        <v>59.3</v>
      </c>
      <c r="S706">
        <f t="shared" si="554"/>
        <v>69.099999999999994</v>
      </c>
      <c r="V706" s="6">
        <f t="shared" si="555"/>
        <v>45446.333333333336</v>
      </c>
      <c r="W706">
        <f t="shared" si="556"/>
        <v>18.5</v>
      </c>
      <c r="X706">
        <f t="shared" si="557"/>
        <v>22.2</v>
      </c>
      <c r="Y706">
        <f t="shared" si="558"/>
        <v>15.5</v>
      </c>
      <c r="Z706">
        <f t="shared" si="559"/>
        <v>19.5</v>
      </c>
    </row>
    <row r="707" spans="1:26" x14ac:dyDescent="0.2">
      <c r="A707" s="13">
        <v>45446</v>
      </c>
      <c r="B707" s="3">
        <v>0.375</v>
      </c>
      <c r="C707" s="4">
        <v>45446.375</v>
      </c>
      <c r="D707" s="5">
        <v>62.7</v>
      </c>
      <c r="E707" s="5">
        <v>70.599999999999994</v>
      </c>
      <c r="F707" s="5">
        <v>53.8</v>
      </c>
      <c r="G707" s="5" t="s">
        <v>6</v>
      </c>
      <c r="H707" s="5">
        <v>17.600000000000001</v>
      </c>
      <c r="I707" s="5">
        <v>19.8</v>
      </c>
      <c r="J707" s="5">
        <v>15.5</v>
      </c>
      <c r="K707" s="5" t="s">
        <v>6</v>
      </c>
      <c r="L707" s="5">
        <v>228</v>
      </c>
      <c r="M707" t="s">
        <v>6</v>
      </c>
      <c r="O707" s="6">
        <f t="shared" si="550"/>
        <v>45446.375</v>
      </c>
      <c r="P707">
        <f t="shared" si="551"/>
        <v>62.7</v>
      </c>
      <c r="Q707">
        <f t="shared" si="552"/>
        <v>70.599999999999994</v>
      </c>
      <c r="R707">
        <f t="shared" si="553"/>
        <v>53.8</v>
      </c>
      <c r="S707">
        <f t="shared" si="554"/>
        <v>63.7</v>
      </c>
      <c r="V707" s="6">
        <f t="shared" si="555"/>
        <v>45446.375</v>
      </c>
      <c r="W707">
        <f t="shared" si="556"/>
        <v>17.600000000000001</v>
      </c>
      <c r="X707">
        <f t="shared" si="557"/>
        <v>19.8</v>
      </c>
      <c r="Y707">
        <f t="shared" si="558"/>
        <v>15.5</v>
      </c>
      <c r="Z707">
        <f t="shared" si="559"/>
        <v>18.600000000000001</v>
      </c>
    </row>
    <row r="708" spans="1:26" x14ac:dyDescent="0.2">
      <c r="A708" s="1">
        <v>45446</v>
      </c>
      <c r="B708" s="2">
        <v>0.41666666666666669</v>
      </c>
      <c r="C708" s="6">
        <v>45446.416666666664</v>
      </c>
      <c r="D708">
        <v>58.5</v>
      </c>
      <c r="E708">
        <v>64.8</v>
      </c>
      <c r="F708">
        <v>51.2</v>
      </c>
      <c r="G708" t="s">
        <v>6</v>
      </c>
      <c r="H708">
        <v>18.5</v>
      </c>
      <c r="I708">
        <v>23.5</v>
      </c>
      <c r="J708">
        <v>15.9</v>
      </c>
      <c r="K708" t="s">
        <v>6</v>
      </c>
      <c r="L708">
        <v>182</v>
      </c>
      <c r="M708" t="s">
        <v>6</v>
      </c>
      <c r="O708" s="6">
        <f t="shared" si="550"/>
        <v>45446.416666666664</v>
      </c>
      <c r="P708">
        <f t="shared" si="551"/>
        <v>58.5</v>
      </c>
      <c r="Q708">
        <f t="shared" si="552"/>
        <v>64.8</v>
      </c>
      <c r="R708">
        <f t="shared" si="553"/>
        <v>51.2</v>
      </c>
      <c r="S708">
        <f t="shared" si="554"/>
        <v>59.5</v>
      </c>
      <c r="V708" s="6">
        <f t="shared" si="555"/>
        <v>45446.416666666664</v>
      </c>
      <c r="W708">
        <f t="shared" si="556"/>
        <v>18.5</v>
      </c>
      <c r="X708">
        <f t="shared" si="557"/>
        <v>23.5</v>
      </c>
      <c r="Y708">
        <f t="shared" si="558"/>
        <v>15.9</v>
      </c>
      <c r="Z708">
        <f t="shared" si="559"/>
        <v>19.5</v>
      </c>
    </row>
    <row r="709" spans="1:26" x14ac:dyDescent="0.2">
      <c r="A709" s="1">
        <v>45446</v>
      </c>
      <c r="B709" s="2">
        <v>0.45833333333333331</v>
      </c>
      <c r="C709" s="6">
        <v>45446.458333333336</v>
      </c>
      <c r="D709">
        <v>53.4</v>
      </c>
      <c r="E709">
        <v>62.6</v>
      </c>
      <c r="F709">
        <v>49.8</v>
      </c>
      <c r="G709" t="s">
        <v>6</v>
      </c>
      <c r="H709">
        <v>20.3</v>
      </c>
      <c r="I709">
        <v>26</v>
      </c>
      <c r="J709">
        <v>16.100000000000001</v>
      </c>
      <c r="K709" t="s">
        <v>6</v>
      </c>
      <c r="L709">
        <v>190</v>
      </c>
      <c r="M709" t="s">
        <v>6</v>
      </c>
      <c r="O709" s="6">
        <f t="shared" si="550"/>
        <v>45446.458333333336</v>
      </c>
      <c r="P709">
        <f t="shared" si="551"/>
        <v>53.4</v>
      </c>
      <c r="Q709">
        <f t="shared" si="552"/>
        <v>62.6</v>
      </c>
      <c r="R709">
        <f t="shared" si="553"/>
        <v>49.8</v>
      </c>
      <c r="S709">
        <f t="shared" si="554"/>
        <v>54.4</v>
      </c>
      <c r="V709" s="6">
        <f t="shared" si="555"/>
        <v>45446.458333333336</v>
      </c>
      <c r="W709">
        <f t="shared" si="556"/>
        <v>20.3</v>
      </c>
      <c r="X709">
        <f t="shared" si="557"/>
        <v>26</v>
      </c>
      <c r="Y709">
        <f t="shared" si="558"/>
        <v>16.100000000000001</v>
      </c>
      <c r="Z709">
        <f t="shared" si="559"/>
        <v>21.3</v>
      </c>
    </row>
    <row r="710" spans="1:26" x14ac:dyDescent="0.2">
      <c r="A710" s="1">
        <v>45446</v>
      </c>
      <c r="B710" s="2">
        <v>0.5</v>
      </c>
      <c r="C710" s="6">
        <v>45446.5</v>
      </c>
      <c r="D710">
        <v>47.6</v>
      </c>
      <c r="E710">
        <v>51</v>
      </c>
      <c r="F710">
        <v>45.5</v>
      </c>
      <c r="G710" t="s">
        <v>6</v>
      </c>
      <c r="H710">
        <v>20.6</v>
      </c>
      <c r="I710">
        <v>25.4</v>
      </c>
      <c r="J710">
        <v>15.4</v>
      </c>
      <c r="K710" t="s">
        <v>6</v>
      </c>
      <c r="L710">
        <v>201</v>
      </c>
      <c r="M710" t="s">
        <v>6</v>
      </c>
      <c r="O710" s="6">
        <f t="shared" si="550"/>
        <v>45446.5</v>
      </c>
      <c r="P710">
        <f t="shared" si="551"/>
        <v>47.6</v>
      </c>
      <c r="Q710">
        <f t="shared" si="552"/>
        <v>51</v>
      </c>
      <c r="R710">
        <f t="shared" si="553"/>
        <v>45.5</v>
      </c>
      <c r="S710">
        <f t="shared" si="554"/>
        <v>48.6</v>
      </c>
      <c r="V710" s="6">
        <f t="shared" si="555"/>
        <v>45446.5</v>
      </c>
      <c r="W710">
        <f t="shared" si="556"/>
        <v>20.6</v>
      </c>
      <c r="X710">
        <f t="shared" si="557"/>
        <v>25.4</v>
      </c>
      <c r="Y710">
        <f t="shared" si="558"/>
        <v>15.4</v>
      </c>
      <c r="Z710">
        <f t="shared" si="559"/>
        <v>21.6</v>
      </c>
    </row>
    <row r="711" spans="1:26" x14ac:dyDescent="0.2">
      <c r="A711" s="1">
        <v>45446</v>
      </c>
      <c r="B711" s="2">
        <v>0.54166666666666663</v>
      </c>
      <c r="C711" s="6">
        <v>45446.541666666664</v>
      </c>
      <c r="D711">
        <v>55.6</v>
      </c>
      <c r="E711">
        <v>61.4</v>
      </c>
      <c r="F711">
        <v>46.1</v>
      </c>
      <c r="G711" t="s">
        <v>6</v>
      </c>
      <c r="H711">
        <v>18.600000000000001</v>
      </c>
      <c r="I711">
        <v>21.5</v>
      </c>
      <c r="J711">
        <v>15.7</v>
      </c>
      <c r="K711" t="s">
        <v>6</v>
      </c>
      <c r="L711">
        <v>229</v>
      </c>
      <c r="M711" t="s">
        <v>6</v>
      </c>
      <c r="O711" s="6">
        <f t="shared" si="550"/>
        <v>45446.541666666664</v>
      </c>
      <c r="P711">
        <f t="shared" si="551"/>
        <v>55.6</v>
      </c>
      <c r="Q711">
        <f t="shared" si="552"/>
        <v>61.4</v>
      </c>
      <c r="R711">
        <f t="shared" si="553"/>
        <v>46.1</v>
      </c>
      <c r="S711">
        <f t="shared" si="554"/>
        <v>56.6</v>
      </c>
      <c r="V711" s="6">
        <f t="shared" si="555"/>
        <v>45446.541666666664</v>
      </c>
      <c r="W711">
        <f t="shared" si="556"/>
        <v>18.600000000000001</v>
      </c>
      <c r="X711">
        <f t="shared" si="557"/>
        <v>21.5</v>
      </c>
      <c r="Y711">
        <f t="shared" si="558"/>
        <v>15.7</v>
      </c>
      <c r="Z711">
        <f t="shared" si="559"/>
        <v>19.600000000000001</v>
      </c>
    </row>
    <row r="712" spans="1:26" x14ac:dyDescent="0.2">
      <c r="A712" s="1">
        <v>45446</v>
      </c>
      <c r="B712" s="2">
        <v>0.58333333333333337</v>
      </c>
      <c r="C712" s="6">
        <v>45446.583333333336</v>
      </c>
      <c r="D712">
        <v>56.5</v>
      </c>
      <c r="E712">
        <v>59.2</v>
      </c>
      <c r="F712">
        <v>53.7</v>
      </c>
      <c r="G712" t="s">
        <v>6</v>
      </c>
      <c r="H712">
        <v>18.399999999999999</v>
      </c>
      <c r="I712">
        <v>21.4</v>
      </c>
      <c r="J712">
        <v>15.3</v>
      </c>
      <c r="K712" t="s">
        <v>6</v>
      </c>
      <c r="L712">
        <v>191</v>
      </c>
      <c r="M712" t="s">
        <v>6</v>
      </c>
      <c r="O712" s="6">
        <f t="shared" si="550"/>
        <v>45446.583333333336</v>
      </c>
      <c r="P712">
        <f t="shared" si="551"/>
        <v>56.5</v>
      </c>
      <c r="Q712">
        <f t="shared" si="552"/>
        <v>59.2</v>
      </c>
      <c r="R712">
        <f t="shared" si="553"/>
        <v>53.7</v>
      </c>
      <c r="S712">
        <f t="shared" si="554"/>
        <v>57.5</v>
      </c>
      <c r="V712" s="6">
        <f t="shared" si="555"/>
        <v>45446.583333333336</v>
      </c>
      <c r="W712">
        <f t="shared" si="556"/>
        <v>18.399999999999999</v>
      </c>
      <c r="X712">
        <f t="shared" si="557"/>
        <v>21.4</v>
      </c>
      <c r="Y712">
        <f t="shared" si="558"/>
        <v>15.3</v>
      </c>
      <c r="Z712">
        <f t="shared" si="559"/>
        <v>19.399999999999999</v>
      </c>
    </row>
    <row r="713" spans="1:26" x14ac:dyDescent="0.2">
      <c r="A713" s="1">
        <v>45446</v>
      </c>
      <c r="B713" s="2">
        <v>0.625</v>
      </c>
      <c r="C713" s="6">
        <v>45446.625</v>
      </c>
      <c r="D713">
        <v>60.8</v>
      </c>
      <c r="E713">
        <v>64.900000000000006</v>
      </c>
      <c r="F713">
        <v>55</v>
      </c>
      <c r="G713" t="s">
        <v>6</v>
      </c>
      <c r="H713">
        <v>19.899999999999999</v>
      </c>
      <c r="I713">
        <v>26.5</v>
      </c>
      <c r="J713">
        <v>14.6</v>
      </c>
      <c r="K713" t="s">
        <v>6</v>
      </c>
      <c r="L713">
        <v>218</v>
      </c>
      <c r="M713" t="s">
        <v>6</v>
      </c>
      <c r="O713" s="6">
        <f t="shared" si="550"/>
        <v>45446.625</v>
      </c>
      <c r="P713">
        <f t="shared" si="551"/>
        <v>60.8</v>
      </c>
      <c r="Q713">
        <f t="shared" si="552"/>
        <v>64.900000000000006</v>
      </c>
      <c r="R713">
        <f t="shared" si="553"/>
        <v>55</v>
      </c>
      <c r="S713">
        <f t="shared" si="554"/>
        <v>61.8</v>
      </c>
      <c r="V713" s="6">
        <f t="shared" si="555"/>
        <v>45446.625</v>
      </c>
      <c r="W713">
        <f t="shared" si="556"/>
        <v>19.899999999999999</v>
      </c>
      <c r="X713">
        <f t="shared" si="557"/>
        <v>26.5</v>
      </c>
      <c r="Y713">
        <f t="shared" si="558"/>
        <v>14.6</v>
      </c>
      <c r="Z713">
        <f t="shared" si="559"/>
        <v>20.9</v>
      </c>
    </row>
    <row r="714" spans="1:26" x14ac:dyDescent="0.2">
      <c r="A714" s="1">
        <v>45446</v>
      </c>
      <c r="B714" s="2">
        <v>0.66666666666666663</v>
      </c>
      <c r="C714" s="6">
        <v>45446.666666666664</v>
      </c>
      <c r="D714">
        <v>58.7</v>
      </c>
      <c r="E714">
        <v>63.7</v>
      </c>
      <c r="F714">
        <v>53.7</v>
      </c>
      <c r="G714" t="s">
        <v>6</v>
      </c>
      <c r="H714">
        <v>18.899999999999999</v>
      </c>
      <c r="I714">
        <v>23.3</v>
      </c>
      <c r="J714">
        <v>14.8</v>
      </c>
      <c r="K714" t="s">
        <v>6</v>
      </c>
      <c r="L714">
        <v>212</v>
      </c>
      <c r="M714" t="s">
        <v>6</v>
      </c>
      <c r="O714" s="6">
        <f t="shared" si="550"/>
        <v>45446.666666666664</v>
      </c>
      <c r="P714">
        <f t="shared" si="551"/>
        <v>58.7</v>
      </c>
      <c r="Q714">
        <f t="shared" si="552"/>
        <v>63.7</v>
      </c>
      <c r="R714">
        <f t="shared" si="553"/>
        <v>53.7</v>
      </c>
      <c r="S714">
        <f t="shared" si="554"/>
        <v>59.7</v>
      </c>
      <c r="V714" s="6">
        <f t="shared" si="555"/>
        <v>45446.666666666664</v>
      </c>
      <c r="W714">
        <f t="shared" si="556"/>
        <v>18.899999999999999</v>
      </c>
      <c r="X714">
        <f t="shared" si="557"/>
        <v>23.3</v>
      </c>
      <c r="Y714">
        <f t="shared" si="558"/>
        <v>14.8</v>
      </c>
      <c r="Z714">
        <f t="shared" si="559"/>
        <v>19.899999999999999</v>
      </c>
    </row>
    <row r="715" spans="1:26" x14ac:dyDescent="0.2">
      <c r="A715" s="1">
        <v>45446</v>
      </c>
      <c r="B715" s="2">
        <v>0.70833333333333337</v>
      </c>
      <c r="C715" s="6">
        <v>45446.708333333336</v>
      </c>
      <c r="D715">
        <v>55.5</v>
      </c>
      <c r="E715">
        <v>63.1</v>
      </c>
      <c r="F715">
        <v>49.8</v>
      </c>
      <c r="G715" t="s">
        <v>6</v>
      </c>
      <c r="H715">
        <v>19.899999999999999</v>
      </c>
      <c r="I715">
        <v>23.5</v>
      </c>
      <c r="J715">
        <v>15.8</v>
      </c>
      <c r="K715" t="s">
        <v>6</v>
      </c>
      <c r="L715">
        <v>213</v>
      </c>
      <c r="M715" t="s">
        <v>6</v>
      </c>
      <c r="O715" s="6">
        <f t="shared" si="550"/>
        <v>45446.708333333336</v>
      </c>
      <c r="P715">
        <f t="shared" si="551"/>
        <v>55.5</v>
      </c>
      <c r="Q715">
        <f t="shared" si="552"/>
        <v>63.1</v>
      </c>
      <c r="R715">
        <f t="shared" si="553"/>
        <v>49.8</v>
      </c>
      <c r="S715">
        <f t="shared" si="554"/>
        <v>56.5</v>
      </c>
      <c r="V715" s="6">
        <f t="shared" si="555"/>
        <v>45446.708333333336</v>
      </c>
      <c r="W715">
        <f t="shared" si="556"/>
        <v>19.899999999999999</v>
      </c>
      <c r="X715">
        <f t="shared" si="557"/>
        <v>23.5</v>
      </c>
      <c r="Y715">
        <f t="shared" si="558"/>
        <v>15.8</v>
      </c>
      <c r="Z715">
        <f t="shared" si="559"/>
        <v>20.9</v>
      </c>
    </row>
    <row r="716" spans="1:26" x14ac:dyDescent="0.2">
      <c r="A716" s="1">
        <v>45446</v>
      </c>
      <c r="B716" s="2">
        <v>0.75</v>
      </c>
      <c r="C716" s="6">
        <v>45446.75</v>
      </c>
      <c r="D716">
        <v>60.3</v>
      </c>
      <c r="E716">
        <v>65.3</v>
      </c>
      <c r="F716">
        <v>54.7</v>
      </c>
      <c r="G716" t="s">
        <v>6</v>
      </c>
      <c r="H716">
        <v>19.8</v>
      </c>
      <c r="I716">
        <v>23.4</v>
      </c>
      <c r="J716">
        <v>15.3</v>
      </c>
      <c r="K716" t="s">
        <v>6</v>
      </c>
      <c r="L716">
        <v>191</v>
      </c>
      <c r="M716" t="s">
        <v>6</v>
      </c>
      <c r="O716" s="6">
        <f t="shared" si="550"/>
        <v>45446.75</v>
      </c>
      <c r="P716">
        <f t="shared" si="551"/>
        <v>60.3</v>
      </c>
      <c r="Q716">
        <f t="shared" si="552"/>
        <v>65.3</v>
      </c>
      <c r="R716">
        <f t="shared" si="553"/>
        <v>54.7</v>
      </c>
      <c r="S716">
        <f t="shared" si="554"/>
        <v>61.3</v>
      </c>
      <c r="V716" s="6">
        <f t="shared" si="555"/>
        <v>45446.75</v>
      </c>
      <c r="W716">
        <f t="shared" si="556"/>
        <v>19.8</v>
      </c>
      <c r="X716">
        <f t="shared" si="557"/>
        <v>23.4</v>
      </c>
      <c r="Y716">
        <f t="shared" si="558"/>
        <v>15.3</v>
      </c>
      <c r="Z716">
        <f t="shared" si="559"/>
        <v>20.8</v>
      </c>
    </row>
    <row r="717" spans="1:26" x14ac:dyDescent="0.2">
      <c r="A717" s="1">
        <v>45446</v>
      </c>
      <c r="B717" s="2">
        <v>0.79166666666666663</v>
      </c>
      <c r="C717" s="6">
        <v>45446.791666666664</v>
      </c>
      <c r="D717">
        <v>60</v>
      </c>
      <c r="E717">
        <v>65.3</v>
      </c>
      <c r="F717">
        <v>54.6</v>
      </c>
      <c r="G717" t="s">
        <v>6</v>
      </c>
      <c r="H717">
        <v>20.399999999999999</v>
      </c>
      <c r="I717">
        <v>25</v>
      </c>
      <c r="J717">
        <v>15.8</v>
      </c>
      <c r="K717" t="s">
        <v>6</v>
      </c>
      <c r="L717">
        <v>205</v>
      </c>
      <c r="M717" t="s">
        <v>6</v>
      </c>
      <c r="O717" s="6">
        <f t="shared" si="550"/>
        <v>45446.791666666664</v>
      </c>
      <c r="P717">
        <f t="shared" si="551"/>
        <v>60</v>
      </c>
      <c r="Q717">
        <f t="shared" si="552"/>
        <v>65.3</v>
      </c>
      <c r="R717">
        <f t="shared" si="553"/>
        <v>54.6</v>
      </c>
      <c r="S717">
        <f t="shared" si="554"/>
        <v>61</v>
      </c>
      <c r="V717" s="6">
        <f t="shared" si="555"/>
        <v>45446.791666666664</v>
      </c>
      <c r="W717">
        <f t="shared" si="556"/>
        <v>20.399999999999999</v>
      </c>
      <c r="X717">
        <f t="shared" si="557"/>
        <v>25</v>
      </c>
      <c r="Y717">
        <f t="shared" si="558"/>
        <v>15.8</v>
      </c>
      <c r="Z717">
        <f t="shared" si="559"/>
        <v>21.4</v>
      </c>
    </row>
    <row r="718" spans="1:26" x14ac:dyDescent="0.2">
      <c r="A718" s="1">
        <v>45446</v>
      </c>
      <c r="B718" s="2">
        <v>0.83333333333333337</v>
      </c>
      <c r="C718" s="6">
        <v>45446.833333333336</v>
      </c>
      <c r="D718">
        <v>62.6</v>
      </c>
      <c r="E718">
        <v>67.5</v>
      </c>
      <c r="F718">
        <v>54.1</v>
      </c>
      <c r="G718" t="s">
        <v>6</v>
      </c>
      <c r="H718">
        <v>21.1</v>
      </c>
      <c r="I718">
        <v>25.7</v>
      </c>
      <c r="J718">
        <v>18.8</v>
      </c>
      <c r="K718" t="s">
        <v>6</v>
      </c>
      <c r="L718">
        <v>213</v>
      </c>
      <c r="M718" t="s">
        <v>6</v>
      </c>
      <c r="O718" s="6">
        <f t="shared" si="550"/>
        <v>45446.833333333336</v>
      </c>
      <c r="P718">
        <f t="shared" si="551"/>
        <v>62.6</v>
      </c>
      <c r="Q718">
        <f t="shared" si="552"/>
        <v>67.5</v>
      </c>
      <c r="R718">
        <f t="shared" si="553"/>
        <v>54.1</v>
      </c>
      <c r="S718">
        <f t="shared" si="554"/>
        <v>63.6</v>
      </c>
      <c r="V718" s="6">
        <f t="shared" si="555"/>
        <v>45446.833333333336</v>
      </c>
      <c r="W718">
        <f t="shared" si="556"/>
        <v>21.1</v>
      </c>
      <c r="X718">
        <f t="shared" si="557"/>
        <v>25.7</v>
      </c>
      <c r="Y718">
        <f t="shared" si="558"/>
        <v>18.8</v>
      </c>
      <c r="Z718">
        <f t="shared" si="559"/>
        <v>22.1</v>
      </c>
    </row>
    <row r="719" spans="1:26" x14ac:dyDescent="0.2">
      <c r="A719" s="1">
        <v>45446</v>
      </c>
      <c r="B719" s="2">
        <v>0.875</v>
      </c>
      <c r="C719" s="6">
        <v>45446.875</v>
      </c>
      <c r="D719">
        <v>62.9</v>
      </c>
      <c r="E719">
        <v>68.2</v>
      </c>
      <c r="F719">
        <v>58</v>
      </c>
      <c r="G719" t="s">
        <v>6</v>
      </c>
      <c r="H719">
        <v>20.9</v>
      </c>
      <c r="I719">
        <v>24.3</v>
      </c>
      <c r="J719">
        <v>15.7</v>
      </c>
      <c r="K719" t="s">
        <v>6</v>
      </c>
      <c r="L719">
        <v>203</v>
      </c>
      <c r="M719" t="s">
        <v>6</v>
      </c>
      <c r="O719" s="6">
        <f t="shared" si="550"/>
        <v>45446.875</v>
      </c>
      <c r="P719">
        <f t="shared" si="551"/>
        <v>62.9</v>
      </c>
      <c r="Q719">
        <f t="shared" si="552"/>
        <v>68.2</v>
      </c>
      <c r="R719">
        <f t="shared" si="553"/>
        <v>58</v>
      </c>
      <c r="S719">
        <f t="shared" si="554"/>
        <v>63.9</v>
      </c>
      <c r="V719" s="6">
        <f t="shared" si="555"/>
        <v>45446.875</v>
      </c>
      <c r="W719">
        <f t="shared" si="556"/>
        <v>20.9</v>
      </c>
      <c r="X719">
        <f t="shared" si="557"/>
        <v>24.3</v>
      </c>
      <c r="Y719">
        <f t="shared" si="558"/>
        <v>15.7</v>
      </c>
      <c r="Z719">
        <f t="shared" si="559"/>
        <v>21.9</v>
      </c>
    </row>
    <row r="720" spans="1:26" x14ac:dyDescent="0.2">
      <c r="A720" s="1">
        <v>45447</v>
      </c>
      <c r="B720" s="2">
        <v>0.29166666666666669</v>
      </c>
      <c r="C720" s="6">
        <v>45447.291666666664</v>
      </c>
      <c r="D720">
        <v>60.4</v>
      </c>
      <c r="E720">
        <v>64.3</v>
      </c>
      <c r="F720">
        <v>58.3</v>
      </c>
      <c r="G720" t="s">
        <v>6</v>
      </c>
      <c r="H720">
        <v>18.399999999999999</v>
      </c>
      <c r="I720">
        <v>22.8</v>
      </c>
      <c r="J720">
        <v>14</v>
      </c>
      <c r="K720" t="s">
        <v>6</v>
      </c>
      <c r="L720">
        <v>96</v>
      </c>
      <c r="M720" t="s">
        <v>6</v>
      </c>
      <c r="O720" s="6">
        <f t="shared" si="550"/>
        <v>45447.291666666664</v>
      </c>
      <c r="P720">
        <f t="shared" si="551"/>
        <v>60.4</v>
      </c>
      <c r="Q720">
        <f t="shared" si="552"/>
        <v>64.3</v>
      </c>
      <c r="R720">
        <f t="shared" si="553"/>
        <v>58.3</v>
      </c>
      <c r="S720">
        <f t="shared" si="554"/>
        <v>61.4</v>
      </c>
      <c r="V720" s="6">
        <f t="shared" si="555"/>
        <v>45447.291666666664</v>
      </c>
      <c r="W720">
        <f t="shared" si="556"/>
        <v>18.399999999999999</v>
      </c>
      <c r="X720">
        <f t="shared" si="557"/>
        <v>22.8</v>
      </c>
      <c r="Y720">
        <f t="shared" si="558"/>
        <v>14</v>
      </c>
      <c r="Z720">
        <f t="shared" si="559"/>
        <v>19.399999999999999</v>
      </c>
    </row>
    <row r="721" spans="1:26" x14ac:dyDescent="0.2">
      <c r="A721" s="14">
        <v>45447</v>
      </c>
      <c r="B721" s="7">
        <v>0.33333333333333331</v>
      </c>
      <c r="C721" s="8">
        <v>45447.333333333336</v>
      </c>
      <c r="D721" s="9">
        <v>75.8</v>
      </c>
      <c r="E721" s="9">
        <v>84.2</v>
      </c>
      <c r="F721" s="9">
        <v>61.1</v>
      </c>
      <c r="G721" s="9" t="s">
        <v>6</v>
      </c>
      <c r="H721" s="9">
        <v>18.399999999999999</v>
      </c>
      <c r="I721" s="9">
        <v>22.7</v>
      </c>
      <c r="J721" s="9">
        <v>15.3</v>
      </c>
      <c r="K721" s="9" t="s">
        <v>6</v>
      </c>
      <c r="L721" s="9">
        <v>207</v>
      </c>
      <c r="M721" t="s">
        <v>6</v>
      </c>
      <c r="O721" s="6">
        <f t="shared" si="550"/>
        <v>45447.333333333336</v>
      </c>
      <c r="P721">
        <f t="shared" si="551"/>
        <v>75.8</v>
      </c>
      <c r="Q721">
        <f t="shared" si="552"/>
        <v>84.2</v>
      </c>
      <c r="R721">
        <f t="shared" si="553"/>
        <v>61.1</v>
      </c>
      <c r="S721">
        <f t="shared" si="554"/>
        <v>76.8</v>
      </c>
      <c r="V721" s="6">
        <f t="shared" si="555"/>
        <v>45447.333333333336</v>
      </c>
      <c r="W721">
        <f t="shared" si="556"/>
        <v>18.399999999999999</v>
      </c>
      <c r="X721">
        <f t="shared" si="557"/>
        <v>22.7</v>
      </c>
      <c r="Y721">
        <f t="shared" si="558"/>
        <v>15.3</v>
      </c>
      <c r="Z721">
        <f t="shared" si="559"/>
        <v>19.399999999999999</v>
      </c>
    </row>
    <row r="722" spans="1:26" x14ac:dyDescent="0.2">
      <c r="A722" s="13">
        <v>45447</v>
      </c>
      <c r="B722" s="3">
        <v>0.375</v>
      </c>
      <c r="C722" s="4">
        <v>45447.375</v>
      </c>
      <c r="D722" s="5">
        <v>70.7</v>
      </c>
      <c r="E722" s="5">
        <v>79.099999999999994</v>
      </c>
      <c r="F722" s="5">
        <v>62.9</v>
      </c>
      <c r="G722" s="5" t="s">
        <v>6</v>
      </c>
      <c r="H722" s="5">
        <v>18.8</v>
      </c>
      <c r="I722" s="5">
        <v>24.1</v>
      </c>
      <c r="J722" s="5">
        <v>15.4</v>
      </c>
      <c r="K722" s="5" t="s">
        <v>6</v>
      </c>
      <c r="L722" s="5">
        <v>220</v>
      </c>
      <c r="M722" t="s">
        <v>6</v>
      </c>
      <c r="O722" s="6">
        <f t="shared" si="550"/>
        <v>45447.375</v>
      </c>
      <c r="P722">
        <f t="shared" si="551"/>
        <v>70.7</v>
      </c>
      <c r="Q722">
        <f t="shared" si="552"/>
        <v>79.099999999999994</v>
      </c>
      <c r="R722">
        <f t="shared" si="553"/>
        <v>62.9</v>
      </c>
      <c r="S722">
        <f t="shared" si="554"/>
        <v>71.7</v>
      </c>
      <c r="V722" s="6">
        <f t="shared" si="555"/>
        <v>45447.375</v>
      </c>
      <c r="W722">
        <f t="shared" si="556"/>
        <v>18.8</v>
      </c>
      <c r="X722">
        <f t="shared" si="557"/>
        <v>24.1</v>
      </c>
      <c r="Y722">
        <f t="shared" si="558"/>
        <v>15.4</v>
      </c>
      <c r="Z722">
        <f t="shared" si="559"/>
        <v>19.8</v>
      </c>
    </row>
    <row r="723" spans="1:26" x14ac:dyDescent="0.2">
      <c r="A723" s="1">
        <v>45447</v>
      </c>
      <c r="B723" s="2">
        <v>0.41666666666666669</v>
      </c>
      <c r="C723" s="6">
        <v>45447.416666666664</v>
      </c>
      <c r="D723">
        <v>68.8</v>
      </c>
      <c r="E723">
        <v>83.8</v>
      </c>
      <c r="F723">
        <v>56.5</v>
      </c>
      <c r="G723" t="s">
        <v>6</v>
      </c>
      <c r="H723">
        <v>21.3</v>
      </c>
      <c r="I723">
        <v>25.4</v>
      </c>
      <c r="J723">
        <v>18.2</v>
      </c>
      <c r="K723" t="s">
        <v>6</v>
      </c>
      <c r="L723">
        <v>165</v>
      </c>
      <c r="M723" t="s">
        <v>6</v>
      </c>
      <c r="O723" s="6">
        <f t="shared" si="550"/>
        <v>45447.416666666664</v>
      </c>
      <c r="P723">
        <f t="shared" si="551"/>
        <v>68.8</v>
      </c>
      <c r="Q723">
        <f t="shared" si="552"/>
        <v>83.8</v>
      </c>
      <c r="R723">
        <f t="shared" si="553"/>
        <v>56.5</v>
      </c>
      <c r="S723">
        <f t="shared" si="554"/>
        <v>69.8</v>
      </c>
      <c r="V723" s="6">
        <f t="shared" si="555"/>
        <v>45447.416666666664</v>
      </c>
      <c r="W723">
        <f t="shared" si="556"/>
        <v>21.3</v>
      </c>
      <c r="X723">
        <f t="shared" si="557"/>
        <v>25.4</v>
      </c>
      <c r="Y723">
        <f t="shared" si="558"/>
        <v>18.2</v>
      </c>
      <c r="Z723">
        <f t="shared" si="559"/>
        <v>22.3</v>
      </c>
    </row>
    <row r="724" spans="1:26" x14ac:dyDescent="0.2">
      <c r="A724" s="1">
        <v>45447</v>
      </c>
      <c r="B724" s="2">
        <v>0.45833333333333331</v>
      </c>
      <c r="C724" s="6">
        <v>45447.458333333336</v>
      </c>
      <c r="D724">
        <v>66.099999999999994</v>
      </c>
      <c r="E724">
        <v>68.900000000000006</v>
      </c>
      <c r="F724">
        <v>63.3</v>
      </c>
      <c r="G724" t="s">
        <v>6</v>
      </c>
      <c r="H724">
        <v>20.2</v>
      </c>
      <c r="I724">
        <v>22</v>
      </c>
      <c r="J724">
        <v>18.3</v>
      </c>
      <c r="K724" t="s">
        <v>6</v>
      </c>
      <c r="L724">
        <v>19</v>
      </c>
      <c r="M724" t="s">
        <v>6</v>
      </c>
      <c r="O724" s="6">
        <f t="shared" si="550"/>
        <v>45447.458333333336</v>
      </c>
      <c r="P724">
        <f t="shared" si="551"/>
        <v>66.099999999999994</v>
      </c>
      <c r="Q724">
        <f t="shared" si="552"/>
        <v>68.900000000000006</v>
      </c>
      <c r="R724">
        <f t="shared" si="553"/>
        <v>63.3</v>
      </c>
      <c r="S724">
        <f t="shared" si="554"/>
        <v>67.099999999999994</v>
      </c>
      <c r="V724" s="6">
        <f t="shared" si="555"/>
        <v>45447.458333333336</v>
      </c>
      <c r="W724">
        <f t="shared" si="556"/>
        <v>20.2</v>
      </c>
      <c r="X724">
        <f t="shared" si="557"/>
        <v>22</v>
      </c>
      <c r="Y724">
        <f t="shared" si="558"/>
        <v>18.3</v>
      </c>
      <c r="Z724">
        <f t="shared" si="559"/>
        <v>21.2</v>
      </c>
    </row>
    <row r="725" spans="1:26" x14ac:dyDescent="0.2">
      <c r="A725" s="1">
        <v>45447</v>
      </c>
      <c r="B725" s="2">
        <v>0.54166666666666663</v>
      </c>
      <c r="C725" s="6">
        <v>45447.541666666664</v>
      </c>
      <c r="D725">
        <v>59.3</v>
      </c>
      <c r="E725">
        <v>61.7</v>
      </c>
      <c r="F725">
        <v>57.7</v>
      </c>
      <c r="G725" t="s">
        <v>6</v>
      </c>
      <c r="H725">
        <v>19</v>
      </c>
      <c r="I725">
        <v>21.1</v>
      </c>
      <c r="J725">
        <v>17</v>
      </c>
      <c r="K725" t="s">
        <v>6</v>
      </c>
      <c r="L725">
        <v>52</v>
      </c>
      <c r="M725" t="s">
        <v>6</v>
      </c>
      <c r="O725" s="6">
        <f t="shared" si="550"/>
        <v>45447.541666666664</v>
      </c>
      <c r="P725">
        <f t="shared" si="551"/>
        <v>59.3</v>
      </c>
      <c r="Q725">
        <f t="shared" si="552"/>
        <v>61.7</v>
      </c>
      <c r="R725">
        <f t="shared" si="553"/>
        <v>57.7</v>
      </c>
      <c r="S725">
        <f t="shared" si="554"/>
        <v>60.3</v>
      </c>
      <c r="V725" s="6">
        <f t="shared" si="555"/>
        <v>45447.541666666664</v>
      </c>
      <c r="W725">
        <f t="shared" si="556"/>
        <v>19</v>
      </c>
      <c r="X725">
        <f t="shared" si="557"/>
        <v>21.1</v>
      </c>
      <c r="Y725">
        <f t="shared" si="558"/>
        <v>17</v>
      </c>
      <c r="Z725">
        <f t="shared" si="559"/>
        <v>20</v>
      </c>
    </row>
    <row r="726" spans="1:26" x14ac:dyDescent="0.2">
      <c r="A726" s="1">
        <v>45447</v>
      </c>
      <c r="B726" s="2">
        <v>0.58333333333333337</v>
      </c>
      <c r="C726" s="6">
        <v>45447.583333333336</v>
      </c>
      <c r="D726">
        <v>67.599999999999994</v>
      </c>
      <c r="E726">
        <v>78.5</v>
      </c>
      <c r="F726">
        <v>57.7</v>
      </c>
      <c r="G726" t="s">
        <v>6</v>
      </c>
      <c r="H726">
        <v>20.2</v>
      </c>
      <c r="I726">
        <v>23.7</v>
      </c>
      <c r="J726">
        <v>14.2</v>
      </c>
      <c r="K726" t="s">
        <v>6</v>
      </c>
      <c r="L726">
        <v>100</v>
      </c>
      <c r="M726" t="s">
        <v>6</v>
      </c>
      <c r="O726" s="6">
        <f t="shared" si="550"/>
        <v>45447.583333333336</v>
      </c>
      <c r="P726">
        <f t="shared" si="551"/>
        <v>67.599999999999994</v>
      </c>
      <c r="Q726">
        <f t="shared" si="552"/>
        <v>78.5</v>
      </c>
      <c r="R726">
        <f t="shared" si="553"/>
        <v>57.7</v>
      </c>
      <c r="S726">
        <f t="shared" si="554"/>
        <v>68.599999999999994</v>
      </c>
      <c r="V726" s="6">
        <f t="shared" si="555"/>
        <v>45447.583333333336</v>
      </c>
      <c r="W726">
        <f t="shared" si="556"/>
        <v>20.2</v>
      </c>
      <c r="X726">
        <f t="shared" si="557"/>
        <v>23.7</v>
      </c>
      <c r="Y726">
        <f t="shared" si="558"/>
        <v>14.2</v>
      </c>
      <c r="Z726">
        <f t="shared" si="559"/>
        <v>21.2</v>
      </c>
    </row>
    <row r="727" spans="1:26" x14ac:dyDescent="0.2">
      <c r="A727" s="1">
        <v>45447</v>
      </c>
      <c r="B727" s="2">
        <v>0.625</v>
      </c>
      <c r="C727" s="6">
        <v>45447.625</v>
      </c>
      <c r="D727">
        <v>61.3</v>
      </c>
      <c r="E727">
        <v>75.099999999999994</v>
      </c>
      <c r="F727">
        <v>57.2</v>
      </c>
      <c r="G727" t="s">
        <v>6</v>
      </c>
      <c r="H727">
        <v>18.899999999999999</v>
      </c>
      <c r="I727">
        <v>21.5</v>
      </c>
      <c r="J727">
        <v>14.6</v>
      </c>
      <c r="K727" t="s">
        <v>6</v>
      </c>
      <c r="L727">
        <v>168</v>
      </c>
      <c r="M727" t="s">
        <v>6</v>
      </c>
      <c r="O727" s="6">
        <f t="shared" si="550"/>
        <v>45447.625</v>
      </c>
      <c r="P727">
        <f t="shared" si="551"/>
        <v>61.3</v>
      </c>
      <c r="Q727">
        <f t="shared" si="552"/>
        <v>75.099999999999994</v>
      </c>
      <c r="R727">
        <f t="shared" si="553"/>
        <v>57.2</v>
      </c>
      <c r="S727">
        <f t="shared" si="554"/>
        <v>62.3</v>
      </c>
      <c r="V727" s="6">
        <f t="shared" si="555"/>
        <v>45447.625</v>
      </c>
      <c r="W727">
        <f t="shared" si="556"/>
        <v>18.899999999999999</v>
      </c>
      <c r="X727">
        <f t="shared" si="557"/>
        <v>21.5</v>
      </c>
      <c r="Y727">
        <f t="shared" si="558"/>
        <v>14.6</v>
      </c>
      <c r="Z727">
        <f t="shared" si="559"/>
        <v>19.899999999999999</v>
      </c>
    </row>
    <row r="728" spans="1:26" x14ac:dyDescent="0.2">
      <c r="A728" s="1">
        <v>45447</v>
      </c>
      <c r="B728" s="2">
        <v>0.66666666666666663</v>
      </c>
      <c r="C728" s="6">
        <v>45447.666666666664</v>
      </c>
      <c r="D728">
        <v>58.6</v>
      </c>
      <c r="E728">
        <v>66.5</v>
      </c>
      <c r="F728">
        <v>52.1</v>
      </c>
      <c r="G728" t="s">
        <v>6</v>
      </c>
      <c r="H728">
        <v>19.5</v>
      </c>
      <c r="I728">
        <v>22.3</v>
      </c>
      <c r="J728">
        <v>15.4</v>
      </c>
      <c r="K728" t="s">
        <v>6</v>
      </c>
      <c r="L728">
        <v>205</v>
      </c>
      <c r="M728" t="s">
        <v>6</v>
      </c>
      <c r="O728" s="6">
        <f t="shared" si="550"/>
        <v>45447.666666666664</v>
      </c>
      <c r="P728">
        <f t="shared" si="551"/>
        <v>58.6</v>
      </c>
      <c r="Q728">
        <f t="shared" si="552"/>
        <v>66.5</v>
      </c>
      <c r="R728">
        <f t="shared" si="553"/>
        <v>52.1</v>
      </c>
      <c r="S728">
        <f t="shared" si="554"/>
        <v>59.6</v>
      </c>
      <c r="V728" s="6">
        <f t="shared" si="555"/>
        <v>45447.666666666664</v>
      </c>
      <c r="W728">
        <f t="shared" si="556"/>
        <v>19.5</v>
      </c>
      <c r="X728">
        <f t="shared" si="557"/>
        <v>22.3</v>
      </c>
      <c r="Y728">
        <f t="shared" si="558"/>
        <v>15.4</v>
      </c>
      <c r="Z728">
        <f t="shared" si="559"/>
        <v>20.5</v>
      </c>
    </row>
    <row r="729" spans="1:26" x14ac:dyDescent="0.2">
      <c r="A729" s="1">
        <v>45447</v>
      </c>
      <c r="B729" s="2">
        <v>0.70833333333333337</v>
      </c>
      <c r="C729" s="6">
        <v>45447.708333333336</v>
      </c>
      <c r="D729">
        <v>59.6</v>
      </c>
      <c r="E729">
        <v>75.900000000000006</v>
      </c>
      <c r="F729">
        <v>53.4</v>
      </c>
      <c r="G729" t="s">
        <v>6</v>
      </c>
      <c r="H729">
        <v>19.7</v>
      </c>
      <c r="I729">
        <v>23.8</v>
      </c>
      <c r="J729">
        <v>14.4</v>
      </c>
      <c r="K729" t="s">
        <v>6</v>
      </c>
      <c r="L729">
        <v>176</v>
      </c>
      <c r="M729" t="s">
        <v>6</v>
      </c>
      <c r="O729" s="6">
        <f t="shared" si="550"/>
        <v>45447.708333333336</v>
      </c>
      <c r="P729">
        <f t="shared" si="551"/>
        <v>59.6</v>
      </c>
      <c r="Q729">
        <f t="shared" si="552"/>
        <v>75.900000000000006</v>
      </c>
      <c r="R729">
        <f t="shared" si="553"/>
        <v>53.4</v>
      </c>
      <c r="S729">
        <f t="shared" si="554"/>
        <v>60.6</v>
      </c>
      <c r="V729" s="6">
        <f t="shared" si="555"/>
        <v>45447.708333333336</v>
      </c>
      <c r="W729">
        <f t="shared" si="556"/>
        <v>19.7</v>
      </c>
      <c r="X729">
        <f t="shared" si="557"/>
        <v>23.8</v>
      </c>
      <c r="Y729">
        <f t="shared" si="558"/>
        <v>14.4</v>
      </c>
      <c r="Z729">
        <f t="shared" si="559"/>
        <v>20.7</v>
      </c>
    </row>
    <row r="730" spans="1:26" x14ac:dyDescent="0.2">
      <c r="A730" s="1">
        <v>45447</v>
      </c>
      <c r="B730" s="2">
        <v>0.75</v>
      </c>
      <c r="C730" s="6">
        <v>45447.75</v>
      </c>
      <c r="D730">
        <v>55.2</v>
      </c>
      <c r="E730">
        <v>67.3</v>
      </c>
      <c r="F730">
        <v>51</v>
      </c>
      <c r="G730" t="s">
        <v>6</v>
      </c>
      <c r="H730">
        <v>18.8</v>
      </c>
      <c r="I730">
        <v>23.2</v>
      </c>
      <c r="J730">
        <v>13</v>
      </c>
      <c r="K730" t="s">
        <v>6</v>
      </c>
      <c r="L730">
        <v>194</v>
      </c>
      <c r="M730" t="s">
        <v>6</v>
      </c>
      <c r="O730" s="6">
        <f t="shared" si="550"/>
        <v>45447.75</v>
      </c>
      <c r="P730">
        <f t="shared" si="551"/>
        <v>55.2</v>
      </c>
      <c r="Q730">
        <f t="shared" si="552"/>
        <v>67.3</v>
      </c>
      <c r="R730">
        <f t="shared" si="553"/>
        <v>51</v>
      </c>
      <c r="S730">
        <f t="shared" si="554"/>
        <v>56.2</v>
      </c>
      <c r="V730" s="6">
        <f t="shared" si="555"/>
        <v>45447.75</v>
      </c>
      <c r="W730">
        <f t="shared" si="556"/>
        <v>18.8</v>
      </c>
      <c r="X730">
        <f t="shared" si="557"/>
        <v>23.2</v>
      </c>
      <c r="Y730">
        <f t="shared" si="558"/>
        <v>13</v>
      </c>
      <c r="Z730">
        <f t="shared" si="559"/>
        <v>19.8</v>
      </c>
    </row>
    <row r="731" spans="1:26" x14ac:dyDescent="0.2">
      <c r="A731" s="1">
        <v>45447</v>
      </c>
      <c r="B731" s="2">
        <v>0.79166666666666663</v>
      </c>
      <c r="C731" s="6">
        <v>45447.791666666664</v>
      </c>
      <c r="D731">
        <v>53.6</v>
      </c>
      <c r="E731">
        <v>59.9</v>
      </c>
      <c r="F731">
        <v>49.7</v>
      </c>
      <c r="G731" t="s">
        <v>6</v>
      </c>
      <c r="H731">
        <v>19.8</v>
      </c>
      <c r="I731">
        <v>27.2</v>
      </c>
      <c r="J731">
        <v>14.3</v>
      </c>
      <c r="K731" t="s">
        <v>6</v>
      </c>
      <c r="L731">
        <v>168</v>
      </c>
      <c r="M731" t="s">
        <v>6</v>
      </c>
      <c r="O731" s="6">
        <f t="shared" si="550"/>
        <v>45447.791666666664</v>
      </c>
      <c r="P731">
        <f t="shared" si="551"/>
        <v>53.6</v>
      </c>
      <c r="Q731">
        <f t="shared" si="552"/>
        <v>59.9</v>
      </c>
      <c r="R731">
        <f t="shared" si="553"/>
        <v>49.7</v>
      </c>
      <c r="S731">
        <f t="shared" si="554"/>
        <v>54.6</v>
      </c>
      <c r="V731" s="6">
        <f t="shared" si="555"/>
        <v>45447.791666666664</v>
      </c>
      <c r="W731">
        <f t="shared" si="556"/>
        <v>19.8</v>
      </c>
      <c r="X731">
        <f t="shared" si="557"/>
        <v>27.2</v>
      </c>
      <c r="Y731">
        <f t="shared" si="558"/>
        <v>14.3</v>
      </c>
      <c r="Z731">
        <f t="shared" si="559"/>
        <v>20.8</v>
      </c>
    </row>
    <row r="732" spans="1:26" x14ac:dyDescent="0.2">
      <c r="A732" s="1">
        <v>45447</v>
      </c>
      <c r="B732" s="2">
        <v>0.83333333333333337</v>
      </c>
      <c r="C732" s="6">
        <v>45447.833333333336</v>
      </c>
      <c r="D732">
        <v>63.1</v>
      </c>
      <c r="E732">
        <v>70.400000000000006</v>
      </c>
      <c r="F732">
        <v>56.7</v>
      </c>
      <c r="G732" t="s">
        <v>6</v>
      </c>
      <c r="H732">
        <v>21.1</v>
      </c>
      <c r="I732">
        <v>24.9</v>
      </c>
      <c r="J732">
        <v>17.7</v>
      </c>
      <c r="K732" t="s">
        <v>6</v>
      </c>
      <c r="L732">
        <v>203</v>
      </c>
      <c r="M732" t="s">
        <v>6</v>
      </c>
      <c r="O732" s="6">
        <f t="shared" si="550"/>
        <v>45447.833333333336</v>
      </c>
      <c r="P732">
        <f t="shared" si="551"/>
        <v>63.1</v>
      </c>
      <c r="Q732">
        <f t="shared" si="552"/>
        <v>70.400000000000006</v>
      </c>
      <c r="R732">
        <f t="shared" si="553"/>
        <v>56.7</v>
      </c>
      <c r="S732">
        <f t="shared" si="554"/>
        <v>64.099999999999994</v>
      </c>
      <c r="V732" s="6">
        <f t="shared" si="555"/>
        <v>45447.833333333336</v>
      </c>
      <c r="W732">
        <f t="shared" si="556"/>
        <v>21.1</v>
      </c>
      <c r="X732">
        <f t="shared" si="557"/>
        <v>24.9</v>
      </c>
      <c r="Y732">
        <f t="shared" si="558"/>
        <v>17.7</v>
      </c>
      <c r="Z732">
        <f t="shared" si="559"/>
        <v>22.1</v>
      </c>
    </row>
    <row r="733" spans="1:26" x14ac:dyDescent="0.2">
      <c r="A733" s="1">
        <v>45447</v>
      </c>
      <c r="B733" s="2">
        <v>0.875</v>
      </c>
      <c r="C733" s="6">
        <v>45447.875</v>
      </c>
      <c r="D733">
        <v>63.9</v>
      </c>
      <c r="E733">
        <v>69.2</v>
      </c>
      <c r="F733">
        <v>58</v>
      </c>
      <c r="G733" t="s">
        <v>6</v>
      </c>
      <c r="H733">
        <v>22</v>
      </c>
      <c r="I733">
        <v>24.1</v>
      </c>
      <c r="J733">
        <v>19.7</v>
      </c>
      <c r="K733" t="s">
        <v>6</v>
      </c>
      <c r="L733">
        <v>57</v>
      </c>
      <c r="M733" t="s">
        <v>6</v>
      </c>
      <c r="O733" s="6">
        <f t="shared" si="550"/>
        <v>45447.875</v>
      </c>
      <c r="P733">
        <f t="shared" si="551"/>
        <v>63.9</v>
      </c>
      <c r="Q733">
        <f t="shared" si="552"/>
        <v>69.2</v>
      </c>
      <c r="R733">
        <f t="shared" si="553"/>
        <v>58</v>
      </c>
      <c r="S733">
        <f t="shared" si="554"/>
        <v>64.900000000000006</v>
      </c>
      <c r="V733" s="6">
        <f t="shared" si="555"/>
        <v>45447.875</v>
      </c>
      <c r="W733">
        <f t="shared" si="556"/>
        <v>22</v>
      </c>
      <c r="X733">
        <f t="shared" si="557"/>
        <v>24.1</v>
      </c>
      <c r="Y733">
        <f t="shared" si="558"/>
        <v>19.7</v>
      </c>
      <c r="Z733">
        <f t="shared" si="559"/>
        <v>23</v>
      </c>
    </row>
    <row r="734" spans="1:26" x14ac:dyDescent="0.2">
      <c r="A734" s="1">
        <v>45448</v>
      </c>
      <c r="B734" s="2">
        <v>0.25</v>
      </c>
      <c r="C734" s="6">
        <v>45448.25</v>
      </c>
      <c r="D734">
        <v>65.3</v>
      </c>
      <c r="E734">
        <v>69.8</v>
      </c>
      <c r="F734">
        <v>60.7</v>
      </c>
      <c r="G734" t="s">
        <v>6</v>
      </c>
      <c r="H734">
        <v>22.2</v>
      </c>
      <c r="I734">
        <v>23.3</v>
      </c>
      <c r="J734">
        <v>21.2</v>
      </c>
      <c r="K734" t="s">
        <v>6</v>
      </c>
      <c r="L734">
        <v>12</v>
      </c>
      <c r="M734" t="s">
        <v>6</v>
      </c>
      <c r="O734" s="6">
        <f t="shared" si="550"/>
        <v>45448.25</v>
      </c>
      <c r="P734">
        <f t="shared" si="551"/>
        <v>65.3</v>
      </c>
      <c r="Q734">
        <f t="shared" si="552"/>
        <v>69.8</v>
      </c>
      <c r="R734">
        <f t="shared" si="553"/>
        <v>60.7</v>
      </c>
      <c r="S734">
        <f t="shared" si="554"/>
        <v>66.3</v>
      </c>
      <c r="V734" s="6">
        <f t="shared" si="555"/>
        <v>45448.25</v>
      </c>
      <c r="W734">
        <f t="shared" si="556"/>
        <v>22.2</v>
      </c>
      <c r="X734">
        <f t="shared" si="557"/>
        <v>23.3</v>
      </c>
      <c r="Y734">
        <f t="shared" si="558"/>
        <v>21.2</v>
      </c>
      <c r="Z734">
        <f t="shared" si="559"/>
        <v>23.2</v>
      </c>
    </row>
    <row r="735" spans="1:26" x14ac:dyDescent="0.2">
      <c r="A735" s="1">
        <v>45448</v>
      </c>
      <c r="B735" s="2">
        <v>0.29166666666666669</v>
      </c>
      <c r="C735" s="6">
        <v>45448.291666666664</v>
      </c>
      <c r="D735">
        <v>51.5</v>
      </c>
      <c r="E735">
        <v>76.7</v>
      </c>
      <c r="F735">
        <v>45.7</v>
      </c>
      <c r="G735" t="s">
        <v>6</v>
      </c>
      <c r="H735">
        <v>19.100000000000001</v>
      </c>
      <c r="I735">
        <v>25.9</v>
      </c>
      <c r="J735">
        <v>13.5</v>
      </c>
      <c r="K735" t="s">
        <v>6</v>
      </c>
      <c r="L735">
        <v>150</v>
      </c>
      <c r="M735" t="s">
        <v>6</v>
      </c>
      <c r="O735" s="6">
        <f t="shared" si="550"/>
        <v>45448.291666666664</v>
      </c>
      <c r="P735">
        <f t="shared" si="551"/>
        <v>51.5</v>
      </c>
      <c r="Q735">
        <f t="shared" si="552"/>
        <v>76.7</v>
      </c>
      <c r="R735">
        <f t="shared" si="553"/>
        <v>45.7</v>
      </c>
      <c r="S735">
        <f t="shared" si="554"/>
        <v>52.5</v>
      </c>
      <c r="V735" s="6">
        <f t="shared" si="555"/>
        <v>45448.291666666664</v>
      </c>
      <c r="W735">
        <f t="shared" si="556"/>
        <v>19.100000000000001</v>
      </c>
      <c r="X735">
        <f t="shared" si="557"/>
        <v>25.9</v>
      </c>
      <c r="Y735">
        <f t="shared" si="558"/>
        <v>13.5</v>
      </c>
      <c r="Z735">
        <f t="shared" si="559"/>
        <v>20.100000000000001</v>
      </c>
    </row>
    <row r="736" spans="1:26" x14ac:dyDescent="0.2">
      <c r="A736" s="14">
        <v>45448</v>
      </c>
      <c r="B736" s="7">
        <v>0.33333333333333331</v>
      </c>
      <c r="C736" s="8">
        <v>45448.333333333336</v>
      </c>
      <c r="D736" s="9">
        <v>67.3</v>
      </c>
      <c r="E736" s="9">
        <v>77.099999999999994</v>
      </c>
      <c r="F736" s="9">
        <v>58.5</v>
      </c>
      <c r="G736" s="9" t="s">
        <v>6</v>
      </c>
      <c r="H736" s="9">
        <v>18.2</v>
      </c>
      <c r="I736" s="9">
        <v>21.1</v>
      </c>
      <c r="J736" s="9">
        <v>16.100000000000001</v>
      </c>
      <c r="K736" s="9" t="s">
        <v>6</v>
      </c>
      <c r="L736" s="9">
        <v>204</v>
      </c>
      <c r="M736" t="s">
        <v>6</v>
      </c>
      <c r="O736" s="6">
        <f t="shared" si="550"/>
        <v>45448.333333333336</v>
      </c>
      <c r="P736">
        <f t="shared" si="551"/>
        <v>67.3</v>
      </c>
      <c r="Q736">
        <f t="shared" si="552"/>
        <v>77.099999999999994</v>
      </c>
      <c r="R736">
        <f t="shared" si="553"/>
        <v>58.5</v>
      </c>
      <c r="S736">
        <f t="shared" si="554"/>
        <v>68.3</v>
      </c>
      <c r="V736" s="6">
        <f t="shared" si="555"/>
        <v>45448.333333333336</v>
      </c>
      <c r="W736">
        <f t="shared" si="556"/>
        <v>18.2</v>
      </c>
      <c r="X736">
        <f t="shared" si="557"/>
        <v>21.1</v>
      </c>
      <c r="Y736">
        <f t="shared" si="558"/>
        <v>16.100000000000001</v>
      </c>
      <c r="Z736">
        <f t="shared" si="559"/>
        <v>19.2</v>
      </c>
    </row>
    <row r="737" spans="1:26" x14ac:dyDescent="0.2">
      <c r="A737" s="13">
        <v>45448</v>
      </c>
      <c r="B737" s="3">
        <v>0.375</v>
      </c>
      <c r="C737" s="4">
        <v>45448.375</v>
      </c>
      <c r="D737" s="5">
        <v>64.5</v>
      </c>
      <c r="E737" s="5">
        <v>70.3</v>
      </c>
      <c r="F737" s="5">
        <v>61.2</v>
      </c>
      <c r="G737" s="5" t="s">
        <v>6</v>
      </c>
      <c r="H737" s="5">
        <v>18.3</v>
      </c>
      <c r="I737" s="5">
        <v>21.7</v>
      </c>
      <c r="J737" s="5">
        <v>13.7</v>
      </c>
      <c r="K737" s="5" t="s">
        <v>6</v>
      </c>
      <c r="L737" s="5">
        <v>109</v>
      </c>
      <c r="M737" t="s">
        <v>6</v>
      </c>
      <c r="O737" s="6">
        <f t="shared" si="550"/>
        <v>45448.375</v>
      </c>
      <c r="P737">
        <f t="shared" si="551"/>
        <v>64.5</v>
      </c>
      <c r="Q737">
        <f t="shared" si="552"/>
        <v>70.3</v>
      </c>
      <c r="R737">
        <f t="shared" si="553"/>
        <v>61.2</v>
      </c>
      <c r="S737">
        <f t="shared" si="554"/>
        <v>65.5</v>
      </c>
      <c r="V737" s="6">
        <f t="shared" si="555"/>
        <v>45448.375</v>
      </c>
      <c r="W737">
        <f t="shared" si="556"/>
        <v>18.3</v>
      </c>
      <c r="X737">
        <f t="shared" si="557"/>
        <v>21.7</v>
      </c>
      <c r="Y737">
        <f t="shared" si="558"/>
        <v>13.7</v>
      </c>
      <c r="Z737">
        <f t="shared" si="559"/>
        <v>19.3</v>
      </c>
    </row>
    <row r="738" spans="1:26" x14ac:dyDescent="0.2">
      <c r="A738" s="1">
        <v>45448</v>
      </c>
      <c r="B738" s="2">
        <v>0.41666666666666669</v>
      </c>
      <c r="C738" s="6">
        <v>45448.416666666664</v>
      </c>
      <c r="D738">
        <v>64.7</v>
      </c>
      <c r="E738">
        <v>68.599999999999994</v>
      </c>
      <c r="F738">
        <v>62.4</v>
      </c>
      <c r="G738" t="s">
        <v>6</v>
      </c>
      <c r="H738">
        <v>20.5</v>
      </c>
      <c r="I738">
        <v>21.8</v>
      </c>
      <c r="J738">
        <v>14.5</v>
      </c>
      <c r="K738" t="s">
        <v>6</v>
      </c>
      <c r="L738">
        <v>28</v>
      </c>
      <c r="M738" t="s">
        <v>6</v>
      </c>
      <c r="O738" s="6">
        <f t="shared" si="550"/>
        <v>45448.416666666664</v>
      </c>
      <c r="P738">
        <f t="shared" si="551"/>
        <v>64.7</v>
      </c>
      <c r="Q738">
        <f t="shared" si="552"/>
        <v>68.599999999999994</v>
      </c>
      <c r="R738">
        <f t="shared" si="553"/>
        <v>62.4</v>
      </c>
      <c r="S738">
        <f t="shared" si="554"/>
        <v>65.7</v>
      </c>
      <c r="V738" s="6">
        <f t="shared" si="555"/>
        <v>45448.416666666664</v>
      </c>
      <c r="W738">
        <f t="shared" si="556"/>
        <v>20.5</v>
      </c>
      <c r="X738">
        <f t="shared" si="557"/>
        <v>21.8</v>
      </c>
      <c r="Y738">
        <f t="shared" si="558"/>
        <v>14.5</v>
      </c>
      <c r="Z738">
        <f t="shared" si="559"/>
        <v>21.5</v>
      </c>
    </row>
    <row r="739" spans="1:26" x14ac:dyDescent="0.2">
      <c r="A739" s="1">
        <v>45448</v>
      </c>
      <c r="B739" s="2">
        <v>0.45833333333333331</v>
      </c>
      <c r="C739" s="6">
        <v>45448.458333333336</v>
      </c>
      <c r="D739">
        <v>62.4</v>
      </c>
      <c r="E739">
        <v>68.599999999999994</v>
      </c>
      <c r="F739">
        <v>54.4</v>
      </c>
      <c r="G739" t="s">
        <v>6</v>
      </c>
      <c r="H739">
        <v>21</v>
      </c>
      <c r="I739">
        <v>25</v>
      </c>
      <c r="J739">
        <v>9.9</v>
      </c>
      <c r="K739" t="s">
        <v>6</v>
      </c>
      <c r="L739">
        <v>125</v>
      </c>
      <c r="M739" t="s">
        <v>6</v>
      </c>
      <c r="O739" s="6">
        <f t="shared" si="550"/>
        <v>45448.458333333336</v>
      </c>
      <c r="P739">
        <f t="shared" si="551"/>
        <v>62.4</v>
      </c>
      <c r="Q739">
        <f t="shared" si="552"/>
        <v>68.599999999999994</v>
      </c>
      <c r="R739">
        <f t="shared" si="553"/>
        <v>54.4</v>
      </c>
      <c r="S739">
        <f t="shared" si="554"/>
        <v>63.4</v>
      </c>
      <c r="V739" s="6">
        <f t="shared" si="555"/>
        <v>45448.458333333336</v>
      </c>
      <c r="W739">
        <f t="shared" si="556"/>
        <v>21</v>
      </c>
      <c r="X739">
        <f t="shared" si="557"/>
        <v>25</v>
      </c>
      <c r="Y739">
        <f t="shared" si="558"/>
        <v>9.9</v>
      </c>
      <c r="Z739">
        <f t="shared" si="559"/>
        <v>22</v>
      </c>
    </row>
    <row r="740" spans="1:26" x14ac:dyDescent="0.2">
      <c r="A740" s="1">
        <v>45448</v>
      </c>
      <c r="B740" s="2">
        <v>0.5</v>
      </c>
      <c r="C740" s="6">
        <v>45448.5</v>
      </c>
      <c r="D740">
        <v>59.9</v>
      </c>
      <c r="E740">
        <v>68.3</v>
      </c>
      <c r="F740">
        <v>52</v>
      </c>
      <c r="G740" t="s">
        <v>6</v>
      </c>
      <c r="H740">
        <v>20.5</v>
      </c>
      <c r="I740">
        <v>26</v>
      </c>
      <c r="J740">
        <v>12.8</v>
      </c>
      <c r="K740" t="s">
        <v>6</v>
      </c>
      <c r="L740">
        <v>152</v>
      </c>
      <c r="M740" t="s">
        <v>6</v>
      </c>
      <c r="O740" s="6">
        <f t="shared" si="550"/>
        <v>45448.5</v>
      </c>
      <c r="P740">
        <f t="shared" si="551"/>
        <v>59.9</v>
      </c>
      <c r="Q740">
        <f t="shared" si="552"/>
        <v>68.3</v>
      </c>
      <c r="R740">
        <f t="shared" si="553"/>
        <v>52</v>
      </c>
      <c r="S740">
        <f t="shared" si="554"/>
        <v>60.9</v>
      </c>
      <c r="V740" s="6">
        <f t="shared" si="555"/>
        <v>45448.5</v>
      </c>
      <c r="W740">
        <f t="shared" si="556"/>
        <v>20.5</v>
      </c>
      <c r="X740">
        <f t="shared" si="557"/>
        <v>26</v>
      </c>
      <c r="Y740">
        <f t="shared" si="558"/>
        <v>12.8</v>
      </c>
      <c r="Z740">
        <f t="shared" si="559"/>
        <v>21.5</v>
      </c>
    </row>
    <row r="741" spans="1:26" x14ac:dyDescent="0.2">
      <c r="A741" s="1">
        <v>45448</v>
      </c>
      <c r="B741" s="2">
        <v>0.54166666666666663</v>
      </c>
      <c r="C741" s="6">
        <v>45448.541666666664</v>
      </c>
      <c r="D741">
        <v>61.5</v>
      </c>
      <c r="E741">
        <v>70.400000000000006</v>
      </c>
      <c r="F741">
        <v>51.5</v>
      </c>
      <c r="G741" t="s">
        <v>6</v>
      </c>
      <c r="H741">
        <v>20.399999999999999</v>
      </c>
      <c r="I741">
        <v>23.9</v>
      </c>
      <c r="J741">
        <v>14.7</v>
      </c>
      <c r="K741" t="s">
        <v>6</v>
      </c>
      <c r="L741">
        <v>190</v>
      </c>
      <c r="M741" t="s">
        <v>6</v>
      </c>
      <c r="O741" s="6">
        <f t="shared" si="550"/>
        <v>45448.541666666664</v>
      </c>
      <c r="P741">
        <f t="shared" si="551"/>
        <v>61.5</v>
      </c>
      <c r="Q741">
        <f t="shared" si="552"/>
        <v>70.400000000000006</v>
      </c>
      <c r="R741">
        <f t="shared" si="553"/>
        <v>51.5</v>
      </c>
      <c r="S741">
        <f t="shared" si="554"/>
        <v>62.5</v>
      </c>
      <c r="V741" s="6">
        <f t="shared" si="555"/>
        <v>45448.541666666664</v>
      </c>
      <c r="W741">
        <f t="shared" si="556"/>
        <v>20.399999999999999</v>
      </c>
      <c r="X741">
        <f t="shared" si="557"/>
        <v>23.9</v>
      </c>
      <c r="Y741">
        <f t="shared" si="558"/>
        <v>14.7</v>
      </c>
      <c r="Z741">
        <f t="shared" si="559"/>
        <v>21.4</v>
      </c>
    </row>
    <row r="742" spans="1:26" x14ac:dyDescent="0.2">
      <c r="A742" s="1">
        <v>45448</v>
      </c>
      <c r="B742" s="2">
        <v>0.58333333333333337</v>
      </c>
      <c r="C742" s="6">
        <v>45448.583333333336</v>
      </c>
      <c r="D742">
        <v>58.6</v>
      </c>
      <c r="E742">
        <v>65.099999999999994</v>
      </c>
      <c r="F742">
        <v>52.8</v>
      </c>
      <c r="G742" t="s">
        <v>6</v>
      </c>
      <c r="H742">
        <v>20</v>
      </c>
      <c r="I742">
        <v>23</v>
      </c>
      <c r="J742">
        <v>16.100000000000001</v>
      </c>
      <c r="K742" t="s">
        <v>6</v>
      </c>
      <c r="L742">
        <v>189</v>
      </c>
      <c r="M742" t="s">
        <v>6</v>
      </c>
      <c r="O742" s="6">
        <f t="shared" si="550"/>
        <v>45448.583333333336</v>
      </c>
      <c r="P742">
        <f t="shared" si="551"/>
        <v>58.6</v>
      </c>
      <c r="Q742">
        <f t="shared" si="552"/>
        <v>65.099999999999994</v>
      </c>
      <c r="R742">
        <f t="shared" si="553"/>
        <v>52.8</v>
      </c>
      <c r="S742">
        <f t="shared" si="554"/>
        <v>59.6</v>
      </c>
      <c r="V742" s="6">
        <f t="shared" si="555"/>
        <v>45448.583333333336</v>
      </c>
      <c r="W742">
        <f t="shared" si="556"/>
        <v>20</v>
      </c>
      <c r="X742">
        <f t="shared" si="557"/>
        <v>23</v>
      </c>
      <c r="Y742">
        <f t="shared" si="558"/>
        <v>16.100000000000001</v>
      </c>
      <c r="Z742">
        <f t="shared" si="559"/>
        <v>21</v>
      </c>
    </row>
    <row r="743" spans="1:26" x14ac:dyDescent="0.2">
      <c r="A743" s="1">
        <v>45448</v>
      </c>
      <c r="B743" s="2">
        <v>0.625</v>
      </c>
      <c r="C743" s="6">
        <v>45448.625</v>
      </c>
      <c r="D743">
        <v>62.8</v>
      </c>
      <c r="E743">
        <v>69.3</v>
      </c>
      <c r="F743">
        <v>54.9</v>
      </c>
      <c r="G743" t="s">
        <v>6</v>
      </c>
      <c r="H743">
        <v>21.4</v>
      </c>
      <c r="I743">
        <v>24.3</v>
      </c>
      <c r="J743">
        <v>17.5</v>
      </c>
      <c r="K743" t="s">
        <v>6</v>
      </c>
      <c r="L743">
        <v>213</v>
      </c>
      <c r="M743" t="s">
        <v>6</v>
      </c>
      <c r="O743" s="6">
        <f t="shared" si="550"/>
        <v>45448.625</v>
      </c>
      <c r="P743">
        <f t="shared" si="551"/>
        <v>62.8</v>
      </c>
      <c r="Q743">
        <f t="shared" si="552"/>
        <v>69.3</v>
      </c>
      <c r="R743">
        <f t="shared" si="553"/>
        <v>54.9</v>
      </c>
      <c r="S743">
        <f t="shared" si="554"/>
        <v>63.8</v>
      </c>
      <c r="V743" s="6">
        <f t="shared" si="555"/>
        <v>45448.625</v>
      </c>
      <c r="W743">
        <f t="shared" si="556"/>
        <v>21.4</v>
      </c>
      <c r="X743">
        <f t="shared" si="557"/>
        <v>24.3</v>
      </c>
      <c r="Y743">
        <f t="shared" si="558"/>
        <v>17.5</v>
      </c>
      <c r="Z743">
        <f t="shared" si="559"/>
        <v>22.4</v>
      </c>
    </row>
    <row r="744" spans="1:26" x14ac:dyDescent="0.2">
      <c r="A744" s="1">
        <v>45448</v>
      </c>
      <c r="B744" s="2">
        <v>0.66666666666666663</v>
      </c>
      <c r="C744" s="6">
        <v>45448.666666666664</v>
      </c>
      <c r="D744">
        <v>60.6</v>
      </c>
      <c r="E744">
        <v>70.900000000000006</v>
      </c>
      <c r="F744">
        <v>49.2</v>
      </c>
      <c r="G744" t="s">
        <v>6</v>
      </c>
      <c r="H744">
        <v>20.2</v>
      </c>
      <c r="I744">
        <v>25.2</v>
      </c>
      <c r="J744">
        <v>14.9</v>
      </c>
      <c r="K744" t="s">
        <v>6</v>
      </c>
      <c r="L744">
        <v>202</v>
      </c>
      <c r="M744" t="s">
        <v>6</v>
      </c>
      <c r="O744" s="6">
        <f t="shared" si="550"/>
        <v>45448.666666666664</v>
      </c>
      <c r="P744">
        <f t="shared" si="551"/>
        <v>60.6</v>
      </c>
      <c r="Q744">
        <f t="shared" si="552"/>
        <v>70.900000000000006</v>
      </c>
      <c r="R744">
        <f t="shared" si="553"/>
        <v>49.2</v>
      </c>
      <c r="S744">
        <f t="shared" si="554"/>
        <v>61.6</v>
      </c>
      <c r="V744" s="6">
        <f t="shared" si="555"/>
        <v>45448.666666666664</v>
      </c>
      <c r="W744">
        <f t="shared" si="556"/>
        <v>20.2</v>
      </c>
      <c r="X744">
        <f t="shared" si="557"/>
        <v>25.2</v>
      </c>
      <c r="Y744">
        <f t="shared" si="558"/>
        <v>14.9</v>
      </c>
      <c r="Z744">
        <f t="shared" si="559"/>
        <v>21.2</v>
      </c>
    </row>
    <row r="745" spans="1:26" x14ac:dyDescent="0.2">
      <c r="A745" s="1">
        <v>45448</v>
      </c>
      <c r="B745" s="2">
        <v>0.70833333333333337</v>
      </c>
      <c r="C745" s="6">
        <v>45448.708333333336</v>
      </c>
      <c r="D745">
        <v>58.5</v>
      </c>
      <c r="E745">
        <v>67.7</v>
      </c>
      <c r="F745">
        <v>47.8</v>
      </c>
      <c r="G745" t="s">
        <v>6</v>
      </c>
      <c r="H745">
        <v>20.100000000000001</v>
      </c>
      <c r="I745">
        <v>23</v>
      </c>
      <c r="J745">
        <v>14.9</v>
      </c>
      <c r="K745" t="s">
        <v>6</v>
      </c>
      <c r="L745">
        <v>204</v>
      </c>
      <c r="M745" t="s">
        <v>6</v>
      </c>
      <c r="O745" s="6">
        <f t="shared" si="550"/>
        <v>45448.708333333336</v>
      </c>
      <c r="P745">
        <f t="shared" si="551"/>
        <v>58.5</v>
      </c>
      <c r="Q745">
        <f t="shared" si="552"/>
        <v>67.7</v>
      </c>
      <c r="R745">
        <f t="shared" si="553"/>
        <v>47.8</v>
      </c>
      <c r="S745">
        <f t="shared" si="554"/>
        <v>59.5</v>
      </c>
      <c r="V745" s="6">
        <f t="shared" si="555"/>
        <v>45448.708333333336</v>
      </c>
      <c r="W745">
        <f t="shared" si="556"/>
        <v>20.100000000000001</v>
      </c>
      <c r="X745">
        <f t="shared" si="557"/>
        <v>23</v>
      </c>
      <c r="Y745">
        <f t="shared" si="558"/>
        <v>14.9</v>
      </c>
      <c r="Z745">
        <f t="shared" si="559"/>
        <v>21.1</v>
      </c>
    </row>
    <row r="746" spans="1:26" x14ac:dyDescent="0.2">
      <c r="A746" s="1">
        <v>45448</v>
      </c>
      <c r="B746" s="2">
        <v>0.75</v>
      </c>
      <c r="C746" s="6">
        <v>45448.75</v>
      </c>
      <c r="D746">
        <v>58.6</v>
      </c>
      <c r="E746">
        <v>63.8</v>
      </c>
      <c r="F746">
        <v>55.6</v>
      </c>
      <c r="G746" t="s">
        <v>6</v>
      </c>
      <c r="H746">
        <v>20.9</v>
      </c>
      <c r="I746">
        <v>24.6</v>
      </c>
      <c r="J746">
        <v>16.2</v>
      </c>
      <c r="K746" t="s">
        <v>6</v>
      </c>
      <c r="L746">
        <v>182</v>
      </c>
      <c r="M746" t="s">
        <v>6</v>
      </c>
      <c r="O746" s="6">
        <f t="shared" si="550"/>
        <v>45448.75</v>
      </c>
      <c r="P746">
        <f t="shared" si="551"/>
        <v>58.6</v>
      </c>
      <c r="Q746">
        <f t="shared" si="552"/>
        <v>63.8</v>
      </c>
      <c r="R746">
        <f t="shared" si="553"/>
        <v>55.6</v>
      </c>
      <c r="S746">
        <f t="shared" si="554"/>
        <v>59.6</v>
      </c>
      <c r="V746" s="6">
        <f t="shared" si="555"/>
        <v>45448.75</v>
      </c>
      <c r="W746">
        <f t="shared" si="556"/>
        <v>20.9</v>
      </c>
      <c r="X746">
        <f t="shared" si="557"/>
        <v>24.6</v>
      </c>
      <c r="Y746">
        <f t="shared" si="558"/>
        <v>16.2</v>
      </c>
      <c r="Z746">
        <f t="shared" si="559"/>
        <v>21.9</v>
      </c>
    </row>
    <row r="747" spans="1:26" x14ac:dyDescent="0.2">
      <c r="A747" s="1">
        <v>45448</v>
      </c>
      <c r="B747" s="2">
        <v>0.79166666666666663</v>
      </c>
      <c r="C747" s="6">
        <v>45448.791666666664</v>
      </c>
      <c r="D747">
        <v>60.3</v>
      </c>
      <c r="E747">
        <v>71.400000000000006</v>
      </c>
      <c r="F747">
        <v>50.5</v>
      </c>
      <c r="G747" t="s">
        <v>6</v>
      </c>
      <c r="H747">
        <v>21.7</v>
      </c>
      <c r="I747">
        <v>24.4</v>
      </c>
      <c r="J747">
        <v>16.899999999999999</v>
      </c>
      <c r="K747" t="s">
        <v>6</v>
      </c>
      <c r="L747">
        <v>158</v>
      </c>
      <c r="M747" t="s">
        <v>6</v>
      </c>
      <c r="O747" s="6">
        <f t="shared" si="550"/>
        <v>45448.791666666664</v>
      </c>
      <c r="P747">
        <f t="shared" si="551"/>
        <v>60.3</v>
      </c>
      <c r="Q747">
        <f t="shared" si="552"/>
        <v>71.400000000000006</v>
      </c>
      <c r="R747">
        <f t="shared" si="553"/>
        <v>50.5</v>
      </c>
      <c r="S747">
        <f t="shared" si="554"/>
        <v>61.3</v>
      </c>
      <c r="V747" s="6">
        <f t="shared" si="555"/>
        <v>45448.791666666664</v>
      </c>
      <c r="W747">
        <f t="shared" si="556"/>
        <v>21.7</v>
      </c>
      <c r="X747">
        <f t="shared" si="557"/>
        <v>24.4</v>
      </c>
      <c r="Y747">
        <f t="shared" si="558"/>
        <v>16.899999999999999</v>
      </c>
      <c r="Z747">
        <f t="shared" si="559"/>
        <v>22.7</v>
      </c>
    </row>
    <row r="748" spans="1:26" x14ac:dyDescent="0.2">
      <c r="A748" s="1">
        <v>45448</v>
      </c>
      <c r="B748" s="2">
        <v>0.83333333333333337</v>
      </c>
      <c r="C748" s="6">
        <v>45448.833333333336</v>
      </c>
      <c r="D748">
        <v>65.8</v>
      </c>
      <c r="E748">
        <v>69.8</v>
      </c>
      <c r="F748">
        <v>57.1</v>
      </c>
      <c r="G748" t="s">
        <v>6</v>
      </c>
      <c r="H748">
        <v>22.2</v>
      </c>
      <c r="I748">
        <v>24.6</v>
      </c>
      <c r="J748">
        <v>19.899999999999999</v>
      </c>
      <c r="K748" t="s">
        <v>6</v>
      </c>
      <c r="L748">
        <v>208</v>
      </c>
      <c r="M748" t="s">
        <v>6</v>
      </c>
      <c r="O748" s="6">
        <f t="shared" si="550"/>
        <v>45448.833333333336</v>
      </c>
      <c r="P748">
        <f t="shared" si="551"/>
        <v>65.8</v>
      </c>
      <c r="Q748">
        <f t="shared" si="552"/>
        <v>69.8</v>
      </c>
      <c r="R748">
        <f t="shared" si="553"/>
        <v>57.1</v>
      </c>
      <c r="S748">
        <f t="shared" si="554"/>
        <v>66.8</v>
      </c>
      <c r="V748" s="6">
        <f t="shared" si="555"/>
        <v>45448.833333333336</v>
      </c>
      <c r="W748">
        <f t="shared" si="556"/>
        <v>22.2</v>
      </c>
      <c r="X748">
        <f t="shared" si="557"/>
        <v>24.6</v>
      </c>
      <c r="Y748">
        <f t="shared" si="558"/>
        <v>19.899999999999999</v>
      </c>
      <c r="Z748">
        <f t="shared" si="559"/>
        <v>23.2</v>
      </c>
    </row>
    <row r="749" spans="1:26" x14ac:dyDescent="0.2">
      <c r="A749" s="1">
        <v>45448</v>
      </c>
      <c r="B749" s="2">
        <v>0.875</v>
      </c>
      <c r="C749" s="6">
        <v>45448.875</v>
      </c>
      <c r="D749">
        <v>64.400000000000006</v>
      </c>
      <c r="E749">
        <v>71.099999999999994</v>
      </c>
      <c r="F749">
        <v>59.3</v>
      </c>
      <c r="G749" t="s">
        <v>6</v>
      </c>
      <c r="H749">
        <v>21.7</v>
      </c>
      <c r="I749">
        <v>23.9</v>
      </c>
      <c r="J749">
        <v>17.5</v>
      </c>
      <c r="K749" t="s">
        <v>6</v>
      </c>
      <c r="L749">
        <v>188</v>
      </c>
      <c r="M749" t="s">
        <v>6</v>
      </c>
      <c r="O749" s="6">
        <f t="shared" si="550"/>
        <v>45448.875</v>
      </c>
      <c r="P749">
        <f t="shared" si="551"/>
        <v>64.400000000000006</v>
      </c>
      <c r="Q749">
        <f t="shared" si="552"/>
        <v>71.099999999999994</v>
      </c>
      <c r="R749">
        <f t="shared" si="553"/>
        <v>59.3</v>
      </c>
      <c r="S749">
        <f t="shared" si="554"/>
        <v>65.400000000000006</v>
      </c>
      <c r="V749" s="6">
        <f t="shared" si="555"/>
        <v>45448.875</v>
      </c>
      <c r="W749">
        <f t="shared" si="556"/>
        <v>21.7</v>
      </c>
      <c r="X749">
        <f t="shared" si="557"/>
        <v>23.9</v>
      </c>
      <c r="Y749">
        <f t="shared" si="558"/>
        <v>17.5</v>
      </c>
      <c r="Z749">
        <f t="shared" si="559"/>
        <v>22.7</v>
      </c>
    </row>
    <row r="750" spans="1:26" x14ac:dyDescent="0.2">
      <c r="A750" s="1">
        <v>45448</v>
      </c>
      <c r="B750" s="2">
        <v>0.91666666666666663</v>
      </c>
      <c r="C750" s="6">
        <v>45448.916666666664</v>
      </c>
      <c r="D750">
        <v>58.9</v>
      </c>
      <c r="E750">
        <v>58.9</v>
      </c>
      <c r="F750">
        <v>58.9</v>
      </c>
      <c r="G750" t="s">
        <v>6</v>
      </c>
      <c r="H750">
        <v>20.100000000000001</v>
      </c>
      <c r="I750">
        <v>20.399999999999999</v>
      </c>
      <c r="J750">
        <v>19.899999999999999</v>
      </c>
      <c r="K750" t="s">
        <v>6</v>
      </c>
      <c r="L750">
        <v>3</v>
      </c>
      <c r="M750" t="s">
        <v>6</v>
      </c>
      <c r="O750" s="6">
        <f t="shared" si="550"/>
        <v>45448.916666666664</v>
      </c>
      <c r="P750">
        <f t="shared" si="551"/>
        <v>58.9</v>
      </c>
      <c r="Q750">
        <f t="shared" si="552"/>
        <v>58.9</v>
      </c>
      <c r="R750">
        <f t="shared" si="553"/>
        <v>58.9</v>
      </c>
      <c r="S750">
        <f t="shared" si="554"/>
        <v>59.9</v>
      </c>
      <c r="V750" s="6">
        <f t="shared" si="555"/>
        <v>45448.916666666664</v>
      </c>
      <c r="W750">
        <f t="shared" si="556"/>
        <v>20.100000000000001</v>
      </c>
      <c r="X750">
        <f t="shared" si="557"/>
        <v>20.399999999999999</v>
      </c>
      <c r="Y750">
        <f t="shared" si="558"/>
        <v>19.899999999999999</v>
      </c>
      <c r="Z750">
        <f t="shared" si="559"/>
        <v>21.1</v>
      </c>
    </row>
    <row r="751" spans="1:26" x14ac:dyDescent="0.2">
      <c r="A751" s="1">
        <v>45449</v>
      </c>
      <c r="B751" s="2">
        <v>0.29166666666666669</v>
      </c>
      <c r="C751" s="6">
        <v>45449.291666666664</v>
      </c>
      <c r="D751">
        <v>63.2</v>
      </c>
      <c r="E751">
        <v>76.5</v>
      </c>
      <c r="F751">
        <v>52.2</v>
      </c>
      <c r="G751" t="s">
        <v>6</v>
      </c>
      <c r="H751">
        <v>20.9</v>
      </c>
      <c r="I751">
        <v>23.2</v>
      </c>
      <c r="J751">
        <v>13.4</v>
      </c>
      <c r="K751" t="s">
        <v>6</v>
      </c>
      <c r="L751">
        <v>144</v>
      </c>
      <c r="M751" t="s">
        <v>6</v>
      </c>
      <c r="O751" s="6">
        <f t="shared" si="550"/>
        <v>45449.291666666664</v>
      </c>
      <c r="P751">
        <f t="shared" si="551"/>
        <v>63.2</v>
      </c>
      <c r="Q751">
        <f t="shared" si="552"/>
        <v>76.5</v>
      </c>
      <c r="R751">
        <f t="shared" si="553"/>
        <v>52.2</v>
      </c>
      <c r="S751">
        <f t="shared" si="554"/>
        <v>64.2</v>
      </c>
      <c r="V751" s="6">
        <f t="shared" si="555"/>
        <v>45449.291666666664</v>
      </c>
      <c r="W751">
        <f t="shared" si="556"/>
        <v>20.9</v>
      </c>
      <c r="X751">
        <f t="shared" si="557"/>
        <v>23.2</v>
      </c>
      <c r="Y751">
        <f t="shared" si="558"/>
        <v>13.4</v>
      </c>
      <c r="Z751">
        <f t="shared" si="559"/>
        <v>21.9</v>
      </c>
    </row>
    <row r="752" spans="1:26" x14ac:dyDescent="0.2">
      <c r="A752" s="14">
        <v>45449</v>
      </c>
      <c r="B752" s="7">
        <v>0.33333333333333331</v>
      </c>
      <c r="C752" s="8">
        <v>45449.333333333336</v>
      </c>
      <c r="D752" s="9">
        <v>60.5</v>
      </c>
      <c r="E752" s="9">
        <v>69.400000000000006</v>
      </c>
      <c r="F752" s="9">
        <v>53.7</v>
      </c>
      <c r="G752" s="9" t="s">
        <v>6</v>
      </c>
      <c r="H752" s="9">
        <v>21.1</v>
      </c>
      <c r="I752" s="9">
        <v>24</v>
      </c>
      <c r="J752" s="9">
        <v>17.399999999999999</v>
      </c>
      <c r="K752" s="9" t="s">
        <v>6</v>
      </c>
      <c r="L752" s="9">
        <v>198</v>
      </c>
      <c r="M752" t="s">
        <v>6</v>
      </c>
      <c r="O752" s="6">
        <f t="shared" si="550"/>
        <v>45449.333333333336</v>
      </c>
      <c r="P752">
        <f t="shared" si="551"/>
        <v>60.5</v>
      </c>
      <c r="Q752">
        <f t="shared" si="552"/>
        <v>69.400000000000006</v>
      </c>
      <c r="R752">
        <f t="shared" si="553"/>
        <v>53.7</v>
      </c>
      <c r="S752">
        <f t="shared" si="554"/>
        <v>61.5</v>
      </c>
      <c r="V752" s="6">
        <f t="shared" si="555"/>
        <v>45449.333333333336</v>
      </c>
      <c r="W752">
        <f t="shared" si="556"/>
        <v>21.1</v>
      </c>
      <c r="X752">
        <f t="shared" si="557"/>
        <v>24</v>
      </c>
      <c r="Y752">
        <f t="shared" si="558"/>
        <v>17.399999999999999</v>
      </c>
      <c r="Z752">
        <f t="shared" si="559"/>
        <v>22.1</v>
      </c>
    </row>
    <row r="753" spans="1:26" x14ac:dyDescent="0.2">
      <c r="A753" s="13">
        <v>45449</v>
      </c>
      <c r="B753" s="3">
        <v>0.375</v>
      </c>
      <c r="C753" s="4">
        <v>45449.375</v>
      </c>
      <c r="D753" s="5">
        <v>62.4</v>
      </c>
      <c r="E753" s="5">
        <v>69.5</v>
      </c>
      <c r="F753" s="5">
        <v>55.4</v>
      </c>
      <c r="G753" s="5" t="s">
        <v>6</v>
      </c>
      <c r="H753" s="5">
        <v>22</v>
      </c>
      <c r="I753" s="5">
        <v>24.3</v>
      </c>
      <c r="J753" s="5">
        <v>19.100000000000001</v>
      </c>
      <c r="K753" s="5" t="s">
        <v>6</v>
      </c>
      <c r="L753" s="5">
        <v>190</v>
      </c>
      <c r="M753" t="s">
        <v>6</v>
      </c>
      <c r="O753" s="6">
        <f t="shared" si="550"/>
        <v>45449.375</v>
      </c>
      <c r="P753">
        <f t="shared" si="551"/>
        <v>62.4</v>
      </c>
      <c r="Q753">
        <f t="shared" si="552"/>
        <v>69.5</v>
      </c>
      <c r="R753">
        <f t="shared" si="553"/>
        <v>55.4</v>
      </c>
      <c r="S753">
        <f t="shared" si="554"/>
        <v>63.4</v>
      </c>
      <c r="V753" s="6">
        <f t="shared" si="555"/>
        <v>45449.375</v>
      </c>
      <c r="W753">
        <f t="shared" si="556"/>
        <v>22</v>
      </c>
      <c r="X753">
        <f t="shared" si="557"/>
        <v>24.3</v>
      </c>
      <c r="Y753">
        <f t="shared" si="558"/>
        <v>19.100000000000001</v>
      </c>
      <c r="Z753">
        <f t="shared" si="559"/>
        <v>23</v>
      </c>
    </row>
    <row r="754" spans="1:26" x14ac:dyDescent="0.2">
      <c r="A754" s="1">
        <v>45449</v>
      </c>
      <c r="B754" s="2">
        <v>0.41666666666666669</v>
      </c>
      <c r="C754" s="6">
        <v>45449.416666666664</v>
      </c>
      <c r="D754">
        <v>64</v>
      </c>
      <c r="E754">
        <v>73.3</v>
      </c>
      <c r="F754">
        <v>56.9</v>
      </c>
      <c r="G754" t="s">
        <v>6</v>
      </c>
      <c r="H754">
        <v>21</v>
      </c>
      <c r="I754">
        <v>23.8</v>
      </c>
      <c r="J754">
        <v>8.4</v>
      </c>
      <c r="K754" t="s">
        <v>6</v>
      </c>
      <c r="L754">
        <v>117</v>
      </c>
      <c r="M754" t="s">
        <v>6</v>
      </c>
      <c r="O754" s="6">
        <f t="shared" si="550"/>
        <v>45449.416666666664</v>
      </c>
      <c r="P754">
        <f t="shared" si="551"/>
        <v>64</v>
      </c>
      <c r="Q754">
        <f t="shared" si="552"/>
        <v>73.3</v>
      </c>
      <c r="R754">
        <f t="shared" si="553"/>
        <v>56.9</v>
      </c>
      <c r="S754">
        <f t="shared" si="554"/>
        <v>65</v>
      </c>
      <c r="V754" s="6">
        <f t="shared" si="555"/>
        <v>45449.416666666664</v>
      </c>
      <c r="W754">
        <f t="shared" si="556"/>
        <v>21</v>
      </c>
      <c r="X754">
        <f t="shared" si="557"/>
        <v>23.8</v>
      </c>
      <c r="Y754">
        <f t="shared" si="558"/>
        <v>8.4</v>
      </c>
      <c r="Z754">
        <f t="shared" si="559"/>
        <v>22</v>
      </c>
    </row>
    <row r="755" spans="1:26" x14ac:dyDescent="0.2">
      <c r="A755" s="1">
        <v>45449</v>
      </c>
      <c r="B755" s="2">
        <v>0.45833333333333331</v>
      </c>
      <c r="C755" s="6">
        <v>45449.458333333336</v>
      </c>
      <c r="D755">
        <v>62</v>
      </c>
      <c r="E755">
        <v>74.099999999999994</v>
      </c>
      <c r="F755">
        <v>53.9</v>
      </c>
      <c r="G755" t="s">
        <v>6</v>
      </c>
      <c r="H755">
        <v>20</v>
      </c>
      <c r="I755">
        <v>23.6</v>
      </c>
      <c r="J755">
        <v>13.4</v>
      </c>
      <c r="K755" t="s">
        <v>6</v>
      </c>
      <c r="L755">
        <v>170</v>
      </c>
      <c r="M755" t="s">
        <v>6</v>
      </c>
      <c r="O755" s="6">
        <f t="shared" si="550"/>
        <v>45449.458333333336</v>
      </c>
      <c r="P755">
        <f t="shared" si="551"/>
        <v>62</v>
      </c>
      <c r="Q755">
        <f t="shared" si="552"/>
        <v>74.099999999999994</v>
      </c>
      <c r="R755">
        <f t="shared" si="553"/>
        <v>53.9</v>
      </c>
      <c r="S755">
        <f t="shared" si="554"/>
        <v>63</v>
      </c>
      <c r="V755" s="6">
        <f t="shared" si="555"/>
        <v>45449.458333333336</v>
      </c>
      <c r="W755">
        <f t="shared" si="556"/>
        <v>20</v>
      </c>
      <c r="X755">
        <f t="shared" si="557"/>
        <v>23.6</v>
      </c>
      <c r="Y755">
        <f t="shared" si="558"/>
        <v>13.4</v>
      </c>
      <c r="Z755">
        <f t="shared" si="559"/>
        <v>21</v>
      </c>
    </row>
    <row r="756" spans="1:26" x14ac:dyDescent="0.2">
      <c r="A756" s="1">
        <v>45449</v>
      </c>
      <c r="B756" s="2">
        <v>0.5</v>
      </c>
      <c r="C756" s="6">
        <v>45449.5</v>
      </c>
      <c r="D756">
        <v>56</v>
      </c>
      <c r="E756">
        <v>71.2</v>
      </c>
      <c r="F756">
        <v>51.2</v>
      </c>
      <c r="G756" t="s">
        <v>6</v>
      </c>
      <c r="H756">
        <v>22.1</v>
      </c>
      <c r="I756">
        <v>25.8</v>
      </c>
      <c r="J756">
        <v>16.899999999999999</v>
      </c>
      <c r="K756" t="s">
        <v>6</v>
      </c>
      <c r="L756">
        <v>191</v>
      </c>
      <c r="M756" t="s">
        <v>6</v>
      </c>
      <c r="O756" s="6">
        <f t="shared" si="550"/>
        <v>45449.5</v>
      </c>
      <c r="P756">
        <f t="shared" si="551"/>
        <v>56</v>
      </c>
      <c r="Q756">
        <f t="shared" si="552"/>
        <v>71.2</v>
      </c>
      <c r="R756">
        <f t="shared" si="553"/>
        <v>51.2</v>
      </c>
      <c r="S756">
        <f t="shared" si="554"/>
        <v>57</v>
      </c>
      <c r="V756" s="6">
        <f t="shared" si="555"/>
        <v>45449.5</v>
      </c>
      <c r="W756">
        <f t="shared" si="556"/>
        <v>22.1</v>
      </c>
      <c r="X756">
        <f t="shared" si="557"/>
        <v>25.8</v>
      </c>
      <c r="Y756">
        <f t="shared" si="558"/>
        <v>16.899999999999999</v>
      </c>
      <c r="Z756">
        <f t="shared" si="559"/>
        <v>23.1</v>
      </c>
    </row>
    <row r="757" spans="1:26" x14ac:dyDescent="0.2">
      <c r="A757" s="1">
        <v>45449</v>
      </c>
      <c r="B757" s="2">
        <v>0.54166666666666663</v>
      </c>
      <c r="C757" s="6">
        <v>45449.541666666664</v>
      </c>
      <c r="D757">
        <v>56.2</v>
      </c>
      <c r="E757">
        <v>62</v>
      </c>
      <c r="F757">
        <v>51.4</v>
      </c>
      <c r="G757" t="s">
        <v>6</v>
      </c>
      <c r="H757">
        <v>21.8</v>
      </c>
      <c r="I757">
        <v>24.9</v>
      </c>
      <c r="J757">
        <v>18.399999999999999</v>
      </c>
      <c r="K757" t="s">
        <v>6</v>
      </c>
      <c r="L757">
        <v>191</v>
      </c>
      <c r="M757" t="s">
        <v>6</v>
      </c>
      <c r="O757" s="6">
        <f t="shared" si="550"/>
        <v>45449.541666666664</v>
      </c>
      <c r="P757">
        <f t="shared" si="551"/>
        <v>56.2</v>
      </c>
      <c r="Q757">
        <f t="shared" si="552"/>
        <v>62</v>
      </c>
      <c r="R757">
        <f t="shared" si="553"/>
        <v>51.4</v>
      </c>
      <c r="S757">
        <f t="shared" si="554"/>
        <v>57.2</v>
      </c>
      <c r="V757" s="6">
        <f t="shared" si="555"/>
        <v>45449.541666666664</v>
      </c>
      <c r="W757">
        <f t="shared" si="556"/>
        <v>21.8</v>
      </c>
      <c r="X757">
        <f t="shared" si="557"/>
        <v>24.9</v>
      </c>
      <c r="Y757">
        <f t="shared" si="558"/>
        <v>18.399999999999999</v>
      </c>
      <c r="Z757">
        <f t="shared" si="559"/>
        <v>22.8</v>
      </c>
    </row>
    <row r="758" spans="1:26" x14ac:dyDescent="0.2">
      <c r="A758" s="1">
        <v>45449</v>
      </c>
      <c r="B758" s="2">
        <v>0.58333333333333337</v>
      </c>
      <c r="C758" s="6">
        <v>45449.583333333336</v>
      </c>
      <c r="D758">
        <v>60.1</v>
      </c>
      <c r="E758">
        <v>70.8</v>
      </c>
      <c r="F758">
        <v>52.7</v>
      </c>
      <c r="G758" t="s">
        <v>6</v>
      </c>
      <c r="H758">
        <v>20.9</v>
      </c>
      <c r="I758">
        <v>28.1</v>
      </c>
      <c r="J758">
        <v>8.5</v>
      </c>
      <c r="K758" t="s">
        <v>6</v>
      </c>
      <c r="L758">
        <v>201</v>
      </c>
      <c r="M758" t="s">
        <v>6</v>
      </c>
      <c r="O758" s="6">
        <f t="shared" si="550"/>
        <v>45449.583333333336</v>
      </c>
      <c r="P758">
        <f t="shared" si="551"/>
        <v>60.1</v>
      </c>
      <c r="Q758">
        <f t="shared" si="552"/>
        <v>70.8</v>
      </c>
      <c r="R758">
        <f t="shared" si="553"/>
        <v>52.7</v>
      </c>
      <c r="S758">
        <f t="shared" si="554"/>
        <v>61.1</v>
      </c>
      <c r="V758" s="6">
        <f t="shared" si="555"/>
        <v>45449.583333333336</v>
      </c>
      <c r="W758">
        <f t="shared" si="556"/>
        <v>20.9</v>
      </c>
      <c r="X758">
        <f t="shared" si="557"/>
        <v>28.1</v>
      </c>
      <c r="Y758">
        <f t="shared" si="558"/>
        <v>8.5</v>
      </c>
      <c r="Z758">
        <f t="shared" si="559"/>
        <v>21.9</v>
      </c>
    </row>
    <row r="759" spans="1:26" x14ac:dyDescent="0.2">
      <c r="A759" s="1">
        <v>45449</v>
      </c>
      <c r="B759" s="2">
        <v>0.625</v>
      </c>
      <c r="C759" s="6">
        <v>45449.625</v>
      </c>
      <c r="D759">
        <v>63.1</v>
      </c>
      <c r="E759">
        <v>71</v>
      </c>
      <c r="F759">
        <v>57.1</v>
      </c>
      <c r="G759" t="s">
        <v>6</v>
      </c>
      <c r="H759">
        <v>20.8</v>
      </c>
      <c r="I759">
        <v>25.4</v>
      </c>
      <c r="J759">
        <v>15.6</v>
      </c>
      <c r="K759" t="s">
        <v>6</v>
      </c>
      <c r="L759">
        <v>187</v>
      </c>
      <c r="M759" t="s">
        <v>6</v>
      </c>
      <c r="O759" s="6">
        <f t="shared" si="550"/>
        <v>45449.625</v>
      </c>
      <c r="P759">
        <f t="shared" si="551"/>
        <v>63.1</v>
      </c>
      <c r="Q759">
        <f t="shared" si="552"/>
        <v>71</v>
      </c>
      <c r="R759">
        <f t="shared" si="553"/>
        <v>57.1</v>
      </c>
      <c r="S759">
        <f t="shared" si="554"/>
        <v>64.099999999999994</v>
      </c>
      <c r="V759" s="6">
        <f t="shared" si="555"/>
        <v>45449.625</v>
      </c>
      <c r="W759">
        <f t="shared" si="556"/>
        <v>20.8</v>
      </c>
      <c r="X759">
        <f t="shared" si="557"/>
        <v>25.4</v>
      </c>
      <c r="Y759">
        <f t="shared" si="558"/>
        <v>15.6</v>
      </c>
      <c r="Z759">
        <f t="shared" si="559"/>
        <v>21.8</v>
      </c>
    </row>
    <row r="760" spans="1:26" x14ac:dyDescent="0.2">
      <c r="A760" s="1">
        <v>45449</v>
      </c>
      <c r="B760" s="2">
        <v>0.66666666666666663</v>
      </c>
      <c r="C760" s="6">
        <v>45449.666666666664</v>
      </c>
      <c r="D760">
        <v>62.6</v>
      </c>
      <c r="E760">
        <v>71.099999999999994</v>
      </c>
      <c r="F760">
        <v>56.8</v>
      </c>
      <c r="G760" t="s">
        <v>6</v>
      </c>
      <c r="H760">
        <v>21.9</v>
      </c>
      <c r="I760">
        <v>25.2</v>
      </c>
      <c r="J760">
        <v>18.5</v>
      </c>
      <c r="K760" t="s">
        <v>6</v>
      </c>
      <c r="L760">
        <v>161</v>
      </c>
      <c r="M760" t="s">
        <v>6</v>
      </c>
      <c r="O760" s="6">
        <f t="shared" si="550"/>
        <v>45449.666666666664</v>
      </c>
      <c r="P760">
        <f t="shared" si="551"/>
        <v>62.6</v>
      </c>
      <c r="Q760">
        <f t="shared" si="552"/>
        <v>71.099999999999994</v>
      </c>
      <c r="R760">
        <f t="shared" si="553"/>
        <v>56.8</v>
      </c>
      <c r="S760">
        <f t="shared" si="554"/>
        <v>63.6</v>
      </c>
      <c r="V760" s="6">
        <f t="shared" si="555"/>
        <v>45449.666666666664</v>
      </c>
      <c r="W760">
        <f t="shared" si="556"/>
        <v>21.9</v>
      </c>
      <c r="X760">
        <f t="shared" si="557"/>
        <v>25.2</v>
      </c>
      <c r="Y760">
        <f t="shared" si="558"/>
        <v>18.5</v>
      </c>
      <c r="Z760">
        <f t="shared" si="559"/>
        <v>22.9</v>
      </c>
    </row>
    <row r="761" spans="1:26" x14ac:dyDescent="0.2">
      <c r="A761" s="1">
        <v>45449</v>
      </c>
      <c r="B761" s="2">
        <v>0.70833333333333337</v>
      </c>
      <c r="C761" s="6">
        <v>45449.708333333336</v>
      </c>
      <c r="D761">
        <v>63.2</v>
      </c>
      <c r="E761">
        <v>68.400000000000006</v>
      </c>
      <c r="F761">
        <v>58.8</v>
      </c>
      <c r="G761" t="s">
        <v>6</v>
      </c>
      <c r="H761">
        <v>21</v>
      </c>
      <c r="I761">
        <v>25.2</v>
      </c>
      <c r="J761">
        <v>16.100000000000001</v>
      </c>
      <c r="K761" t="s">
        <v>6</v>
      </c>
      <c r="L761">
        <v>223</v>
      </c>
      <c r="M761" t="s">
        <v>6</v>
      </c>
      <c r="O761" s="6">
        <f t="shared" si="550"/>
        <v>45449.708333333336</v>
      </c>
      <c r="P761">
        <f t="shared" si="551"/>
        <v>63.2</v>
      </c>
      <c r="Q761">
        <f t="shared" si="552"/>
        <v>68.400000000000006</v>
      </c>
      <c r="R761">
        <f t="shared" si="553"/>
        <v>58.8</v>
      </c>
      <c r="S761">
        <f t="shared" si="554"/>
        <v>64.2</v>
      </c>
      <c r="V761" s="6">
        <f t="shared" si="555"/>
        <v>45449.708333333336</v>
      </c>
      <c r="W761">
        <f t="shared" si="556"/>
        <v>21</v>
      </c>
      <c r="X761">
        <f t="shared" si="557"/>
        <v>25.2</v>
      </c>
      <c r="Y761">
        <f t="shared" si="558"/>
        <v>16.100000000000001</v>
      </c>
      <c r="Z761">
        <f t="shared" si="559"/>
        <v>22</v>
      </c>
    </row>
    <row r="762" spans="1:26" x14ac:dyDescent="0.2">
      <c r="A762" s="1">
        <v>45449</v>
      </c>
      <c r="B762" s="2">
        <v>0.75</v>
      </c>
      <c r="C762" s="6">
        <v>45449.75</v>
      </c>
      <c r="D762">
        <v>59.3</v>
      </c>
      <c r="E762">
        <v>68</v>
      </c>
      <c r="F762">
        <v>51.8</v>
      </c>
      <c r="G762" t="s">
        <v>6</v>
      </c>
      <c r="H762">
        <v>18.399999999999999</v>
      </c>
      <c r="I762">
        <v>22.6</v>
      </c>
      <c r="J762">
        <v>12.3</v>
      </c>
      <c r="K762" t="s">
        <v>6</v>
      </c>
      <c r="L762">
        <v>99</v>
      </c>
      <c r="M762" t="s">
        <v>6</v>
      </c>
      <c r="O762" s="6">
        <f t="shared" si="550"/>
        <v>45449.75</v>
      </c>
      <c r="P762">
        <f t="shared" si="551"/>
        <v>59.3</v>
      </c>
      <c r="Q762">
        <f t="shared" si="552"/>
        <v>68</v>
      </c>
      <c r="R762">
        <f t="shared" si="553"/>
        <v>51.8</v>
      </c>
      <c r="S762">
        <f t="shared" si="554"/>
        <v>60.3</v>
      </c>
      <c r="V762" s="6">
        <f t="shared" si="555"/>
        <v>45449.75</v>
      </c>
      <c r="W762">
        <f t="shared" si="556"/>
        <v>18.399999999999999</v>
      </c>
      <c r="X762">
        <f t="shared" si="557"/>
        <v>22.6</v>
      </c>
      <c r="Y762">
        <f t="shared" si="558"/>
        <v>12.3</v>
      </c>
      <c r="Z762">
        <f t="shared" si="559"/>
        <v>19.399999999999999</v>
      </c>
    </row>
    <row r="763" spans="1:26" x14ac:dyDescent="0.2">
      <c r="A763" s="1">
        <v>45449</v>
      </c>
      <c r="B763" s="2">
        <v>0.79166666666666663</v>
      </c>
      <c r="C763" s="6">
        <v>45449.791666666664</v>
      </c>
      <c r="D763">
        <v>62.5</v>
      </c>
      <c r="E763">
        <v>69.599999999999994</v>
      </c>
      <c r="F763">
        <v>55.8</v>
      </c>
      <c r="G763" t="s">
        <v>6</v>
      </c>
      <c r="H763">
        <v>20.8</v>
      </c>
      <c r="I763">
        <v>23.9</v>
      </c>
      <c r="J763">
        <v>12.3</v>
      </c>
      <c r="K763" t="s">
        <v>6</v>
      </c>
      <c r="L763">
        <v>189</v>
      </c>
      <c r="M763" t="s">
        <v>6</v>
      </c>
      <c r="O763" s="6">
        <f t="shared" si="550"/>
        <v>45449.791666666664</v>
      </c>
      <c r="P763">
        <f t="shared" si="551"/>
        <v>62.5</v>
      </c>
      <c r="Q763">
        <f t="shared" si="552"/>
        <v>69.599999999999994</v>
      </c>
      <c r="R763">
        <f t="shared" si="553"/>
        <v>55.8</v>
      </c>
      <c r="S763">
        <f t="shared" si="554"/>
        <v>63.5</v>
      </c>
      <c r="V763" s="6">
        <f t="shared" si="555"/>
        <v>45449.791666666664</v>
      </c>
      <c r="W763">
        <f t="shared" si="556"/>
        <v>20.8</v>
      </c>
      <c r="X763">
        <f t="shared" si="557"/>
        <v>23.9</v>
      </c>
      <c r="Y763">
        <f t="shared" si="558"/>
        <v>12.3</v>
      </c>
      <c r="Z763">
        <f t="shared" si="559"/>
        <v>21.8</v>
      </c>
    </row>
    <row r="764" spans="1:26" x14ac:dyDescent="0.2">
      <c r="A764" s="1">
        <v>45449</v>
      </c>
      <c r="B764" s="2">
        <v>0.83333333333333337</v>
      </c>
      <c r="C764" s="6">
        <v>45449.833333333336</v>
      </c>
      <c r="D764">
        <v>61.7</v>
      </c>
      <c r="E764">
        <v>71.099999999999994</v>
      </c>
      <c r="F764">
        <v>58.1</v>
      </c>
      <c r="G764" t="s">
        <v>6</v>
      </c>
      <c r="H764">
        <v>21.1</v>
      </c>
      <c r="I764">
        <v>23.8</v>
      </c>
      <c r="J764">
        <v>16</v>
      </c>
      <c r="K764" t="s">
        <v>6</v>
      </c>
      <c r="L764">
        <v>226</v>
      </c>
      <c r="M764" t="s">
        <v>6</v>
      </c>
      <c r="O764" s="6">
        <f t="shared" si="550"/>
        <v>45449.833333333336</v>
      </c>
      <c r="P764">
        <f t="shared" si="551"/>
        <v>61.7</v>
      </c>
      <c r="Q764">
        <f t="shared" si="552"/>
        <v>71.099999999999994</v>
      </c>
      <c r="R764">
        <f t="shared" si="553"/>
        <v>58.1</v>
      </c>
      <c r="S764">
        <f t="shared" si="554"/>
        <v>62.7</v>
      </c>
      <c r="V764" s="6">
        <f t="shared" si="555"/>
        <v>45449.833333333336</v>
      </c>
      <c r="W764">
        <f t="shared" si="556"/>
        <v>21.1</v>
      </c>
      <c r="X764">
        <f t="shared" si="557"/>
        <v>23.8</v>
      </c>
      <c r="Y764">
        <f t="shared" si="558"/>
        <v>16</v>
      </c>
      <c r="Z764">
        <f t="shared" si="559"/>
        <v>22.1</v>
      </c>
    </row>
    <row r="765" spans="1:26" x14ac:dyDescent="0.2">
      <c r="A765" s="1">
        <v>45449</v>
      </c>
      <c r="B765" s="2">
        <v>0.875</v>
      </c>
      <c r="C765" s="6">
        <v>45449.875</v>
      </c>
      <c r="D765">
        <v>60.6</v>
      </c>
      <c r="E765">
        <v>65.2</v>
      </c>
      <c r="F765">
        <v>56.1</v>
      </c>
      <c r="G765" t="s">
        <v>6</v>
      </c>
      <c r="H765">
        <v>21</v>
      </c>
      <c r="I765">
        <v>25.7</v>
      </c>
      <c r="J765">
        <v>17.100000000000001</v>
      </c>
      <c r="K765" t="s">
        <v>6</v>
      </c>
      <c r="L765">
        <v>192</v>
      </c>
      <c r="M765" t="s">
        <v>6</v>
      </c>
      <c r="O765" s="6">
        <f t="shared" si="550"/>
        <v>45449.875</v>
      </c>
      <c r="P765">
        <f t="shared" si="551"/>
        <v>60.6</v>
      </c>
      <c r="Q765">
        <f t="shared" si="552"/>
        <v>65.2</v>
      </c>
      <c r="R765">
        <f t="shared" si="553"/>
        <v>56.1</v>
      </c>
      <c r="S765">
        <f t="shared" si="554"/>
        <v>61.6</v>
      </c>
      <c r="V765" s="6">
        <f t="shared" si="555"/>
        <v>45449.875</v>
      </c>
      <c r="W765">
        <f t="shared" si="556"/>
        <v>21</v>
      </c>
      <c r="X765">
        <f t="shared" si="557"/>
        <v>25.7</v>
      </c>
      <c r="Y765">
        <f t="shared" si="558"/>
        <v>17.100000000000001</v>
      </c>
      <c r="Z765">
        <f t="shared" si="559"/>
        <v>22</v>
      </c>
    </row>
    <row r="766" spans="1:26" x14ac:dyDescent="0.2">
      <c r="A766" s="1">
        <v>45449</v>
      </c>
      <c r="B766" s="2">
        <v>0.91666666666666663</v>
      </c>
      <c r="C766" s="6">
        <v>45449.916666666664</v>
      </c>
      <c r="D766">
        <v>57.7</v>
      </c>
      <c r="E766">
        <v>63</v>
      </c>
      <c r="F766">
        <v>52</v>
      </c>
      <c r="G766" t="s">
        <v>6</v>
      </c>
      <c r="H766">
        <v>20.6</v>
      </c>
      <c r="I766">
        <v>23.5</v>
      </c>
      <c r="J766">
        <v>17.3</v>
      </c>
      <c r="K766" t="s">
        <v>6</v>
      </c>
      <c r="L766">
        <v>210</v>
      </c>
      <c r="M766" t="s">
        <v>6</v>
      </c>
      <c r="O766" s="6">
        <f t="shared" si="550"/>
        <v>45449.916666666664</v>
      </c>
      <c r="P766">
        <f t="shared" si="551"/>
        <v>57.7</v>
      </c>
      <c r="Q766">
        <f t="shared" si="552"/>
        <v>63</v>
      </c>
      <c r="R766">
        <f t="shared" si="553"/>
        <v>52</v>
      </c>
      <c r="S766">
        <f t="shared" si="554"/>
        <v>58.7</v>
      </c>
      <c r="V766" s="6">
        <f t="shared" si="555"/>
        <v>45449.916666666664</v>
      </c>
      <c r="W766">
        <f t="shared" si="556"/>
        <v>20.6</v>
      </c>
      <c r="X766">
        <f t="shared" si="557"/>
        <v>23.5</v>
      </c>
      <c r="Y766">
        <f t="shared" si="558"/>
        <v>17.3</v>
      </c>
      <c r="Z766">
        <f t="shared" si="559"/>
        <v>21.6</v>
      </c>
    </row>
    <row r="767" spans="1:26" x14ac:dyDescent="0.2">
      <c r="A767" s="1">
        <v>45450</v>
      </c>
      <c r="B767" s="2">
        <v>0.25</v>
      </c>
      <c r="C767" s="6">
        <v>45450.25</v>
      </c>
      <c r="D767">
        <v>60.5</v>
      </c>
      <c r="E767">
        <v>60.9</v>
      </c>
      <c r="F767">
        <v>60.2</v>
      </c>
      <c r="G767" t="s">
        <v>6</v>
      </c>
      <c r="H767">
        <v>17.7</v>
      </c>
      <c r="I767">
        <v>18.100000000000001</v>
      </c>
      <c r="J767">
        <v>17.3</v>
      </c>
      <c r="K767" t="s">
        <v>6</v>
      </c>
      <c r="L767">
        <v>2</v>
      </c>
      <c r="M767" t="s">
        <v>6</v>
      </c>
      <c r="O767" s="6">
        <f t="shared" si="550"/>
        <v>45450.25</v>
      </c>
      <c r="P767">
        <f t="shared" si="551"/>
        <v>60.5</v>
      </c>
      <c r="Q767">
        <f t="shared" si="552"/>
        <v>60.9</v>
      </c>
      <c r="R767">
        <f t="shared" si="553"/>
        <v>60.2</v>
      </c>
      <c r="S767">
        <f t="shared" si="554"/>
        <v>61.5</v>
      </c>
      <c r="V767" s="6">
        <f t="shared" si="555"/>
        <v>45450.25</v>
      </c>
      <c r="W767">
        <f t="shared" si="556"/>
        <v>17.7</v>
      </c>
      <c r="X767">
        <f t="shared" si="557"/>
        <v>18.100000000000001</v>
      </c>
      <c r="Y767">
        <f t="shared" si="558"/>
        <v>17.3</v>
      </c>
      <c r="Z767">
        <f t="shared" si="559"/>
        <v>18.7</v>
      </c>
    </row>
    <row r="768" spans="1:26" x14ac:dyDescent="0.2">
      <c r="A768" s="1">
        <v>45450</v>
      </c>
      <c r="B768" s="2">
        <v>0.29166666666666669</v>
      </c>
      <c r="C768" s="6">
        <v>45450.291666666664</v>
      </c>
      <c r="D768">
        <v>70</v>
      </c>
      <c r="E768">
        <v>78.900000000000006</v>
      </c>
      <c r="F768">
        <v>57.8</v>
      </c>
      <c r="G768" t="s">
        <v>6</v>
      </c>
      <c r="H768">
        <v>19.399999999999999</v>
      </c>
      <c r="I768">
        <v>25</v>
      </c>
      <c r="J768">
        <v>15.8</v>
      </c>
      <c r="K768" t="s">
        <v>6</v>
      </c>
      <c r="L768">
        <v>186</v>
      </c>
      <c r="M768" t="s">
        <v>6</v>
      </c>
      <c r="O768" s="6">
        <f t="shared" ref="O768:O831" si="560">C768</f>
        <v>45450.291666666664</v>
      </c>
      <c r="P768">
        <f t="shared" ref="P768:P831" si="561">D768</f>
        <v>70</v>
      </c>
      <c r="Q768">
        <f t="shared" ref="Q768:Q831" si="562">E768</f>
        <v>78.900000000000006</v>
      </c>
      <c r="R768">
        <f t="shared" ref="R768:R831" si="563">F768</f>
        <v>57.8</v>
      </c>
      <c r="S768">
        <f t="shared" ref="S768:S831" si="564">P768+1</f>
        <v>71</v>
      </c>
      <c r="V768" s="6">
        <f t="shared" ref="V768:V831" si="565">O768</f>
        <v>45450.291666666664</v>
      </c>
      <c r="W768">
        <f t="shared" ref="W768:W831" si="566">H768</f>
        <v>19.399999999999999</v>
      </c>
      <c r="X768">
        <f t="shared" ref="X768:X831" si="567">I768</f>
        <v>25</v>
      </c>
      <c r="Y768">
        <f t="shared" ref="Y768:Y831" si="568">J768</f>
        <v>15.8</v>
      </c>
      <c r="Z768">
        <f t="shared" ref="Z768:Z831" si="569">W768+1</f>
        <v>20.399999999999999</v>
      </c>
    </row>
    <row r="769" spans="1:26" x14ac:dyDescent="0.2">
      <c r="A769" s="14">
        <v>45450</v>
      </c>
      <c r="B769" s="7">
        <v>0.33333333333333331</v>
      </c>
      <c r="C769" s="8">
        <v>45450.333333333336</v>
      </c>
      <c r="D769" s="9">
        <v>68</v>
      </c>
      <c r="E769" s="9">
        <v>76</v>
      </c>
      <c r="F769" s="9">
        <v>58.3</v>
      </c>
      <c r="G769" s="9" t="s">
        <v>6</v>
      </c>
      <c r="H769" s="9">
        <v>18.5</v>
      </c>
      <c r="I769" s="9">
        <v>22.5</v>
      </c>
      <c r="J769" s="9">
        <v>14.5</v>
      </c>
      <c r="K769" s="9" t="s">
        <v>6</v>
      </c>
      <c r="L769" s="9">
        <v>129</v>
      </c>
      <c r="M769" t="s">
        <v>6</v>
      </c>
      <c r="O769" s="6">
        <f t="shared" si="560"/>
        <v>45450.333333333336</v>
      </c>
      <c r="P769">
        <f t="shared" si="561"/>
        <v>68</v>
      </c>
      <c r="Q769">
        <f t="shared" si="562"/>
        <v>76</v>
      </c>
      <c r="R769">
        <f t="shared" si="563"/>
        <v>58.3</v>
      </c>
      <c r="S769">
        <f t="shared" si="564"/>
        <v>69</v>
      </c>
      <c r="V769" s="6">
        <f t="shared" si="565"/>
        <v>45450.333333333336</v>
      </c>
      <c r="W769">
        <f t="shared" si="566"/>
        <v>18.5</v>
      </c>
      <c r="X769">
        <f t="shared" si="567"/>
        <v>22.5</v>
      </c>
      <c r="Y769">
        <f t="shared" si="568"/>
        <v>14.5</v>
      </c>
      <c r="Z769">
        <f t="shared" si="569"/>
        <v>19.5</v>
      </c>
    </row>
    <row r="770" spans="1:26" x14ac:dyDescent="0.2">
      <c r="A770" s="13">
        <v>45450</v>
      </c>
      <c r="B770" s="3">
        <v>0.375</v>
      </c>
      <c r="C770" s="4">
        <v>45450.375</v>
      </c>
      <c r="D770" s="5">
        <v>58</v>
      </c>
      <c r="E770" s="5">
        <v>64.099999999999994</v>
      </c>
      <c r="F770" s="5">
        <v>53.9</v>
      </c>
      <c r="G770" s="5" t="s">
        <v>6</v>
      </c>
      <c r="H770" s="5">
        <v>18.399999999999999</v>
      </c>
      <c r="I770" s="5">
        <v>22.6</v>
      </c>
      <c r="J770" s="5">
        <v>12.7</v>
      </c>
      <c r="K770" s="5" t="s">
        <v>6</v>
      </c>
      <c r="L770" s="5">
        <v>215</v>
      </c>
      <c r="M770" t="s">
        <v>6</v>
      </c>
      <c r="O770" s="6">
        <f t="shared" si="560"/>
        <v>45450.375</v>
      </c>
      <c r="P770">
        <f t="shared" si="561"/>
        <v>58</v>
      </c>
      <c r="Q770">
        <f t="shared" si="562"/>
        <v>64.099999999999994</v>
      </c>
      <c r="R770">
        <f t="shared" si="563"/>
        <v>53.9</v>
      </c>
      <c r="S770">
        <f t="shared" si="564"/>
        <v>59</v>
      </c>
      <c r="V770" s="6">
        <f t="shared" si="565"/>
        <v>45450.375</v>
      </c>
      <c r="W770">
        <f t="shared" si="566"/>
        <v>18.399999999999999</v>
      </c>
      <c r="X770">
        <f t="shared" si="567"/>
        <v>22.6</v>
      </c>
      <c r="Y770">
        <f t="shared" si="568"/>
        <v>12.7</v>
      </c>
      <c r="Z770">
        <f t="shared" si="569"/>
        <v>19.399999999999999</v>
      </c>
    </row>
    <row r="771" spans="1:26" x14ac:dyDescent="0.2">
      <c r="A771" s="1">
        <v>45450</v>
      </c>
      <c r="B771" s="2">
        <v>0.41666666666666669</v>
      </c>
      <c r="C771" s="6">
        <v>45450.416666666664</v>
      </c>
      <c r="D771">
        <v>57.7</v>
      </c>
      <c r="E771">
        <v>62.1</v>
      </c>
      <c r="F771">
        <v>54.1</v>
      </c>
      <c r="G771" t="s">
        <v>6</v>
      </c>
      <c r="H771">
        <v>19.600000000000001</v>
      </c>
      <c r="I771">
        <v>24.6</v>
      </c>
      <c r="J771">
        <v>15.7</v>
      </c>
      <c r="K771" t="s">
        <v>6</v>
      </c>
      <c r="L771">
        <v>165</v>
      </c>
      <c r="M771" t="s">
        <v>6</v>
      </c>
      <c r="O771" s="6">
        <f t="shared" si="560"/>
        <v>45450.416666666664</v>
      </c>
      <c r="P771">
        <f t="shared" si="561"/>
        <v>57.7</v>
      </c>
      <c r="Q771">
        <f t="shared" si="562"/>
        <v>62.1</v>
      </c>
      <c r="R771">
        <f t="shared" si="563"/>
        <v>54.1</v>
      </c>
      <c r="S771">
        <f t="shared" si="564"/>
        <v>58.7</v>
      </c>
      <c r="V771" s="6">
        <f t="shared" si="565"/>
        <v>45450.416666666664</v>
      </c>
      <c r="W771">
        <f t="shared" si="566"/>
        <v>19.600000000000001</v>
      </c>
      <c r="X771">
        <f t="shared" si="567"/>
        <v>24.6</v>
      </c>
      <c r="Y771">
        <f t="shared" si="568"/>
        <v>15.7</v>
      </c>
      <c r="Z771">
        <f t="shared" si="569"/>
        <v>20.6</v>
      </c>
    </row>
    <row r="772" spans="1:26" x14ac:dyDescent="0.2">
      <c r="A772" s="1">
        <v>45450</v>
      </c>
      <c r="B772" s="2">
        <v>0.45833333333333331</v>
      </c>
      <c r="C772" s="6">
        <v>45450.458333333336</v>
      </c>
      <c r="D772">
        <v>59.6</v>
      </c>
      <c r="E772">
        <v>67.3</v>
      </c>
      <c r="F772">
        <v>55.3</v>
      </c>
      <c r="G772" t="s">
        <v>6</v>
      </c>
      <c r="H772">
        <v>20.2</v>
      </c>
      <c r="I772">
        <v>22.6</v>
      </c>
      <c r="J772">
        <v>16.899999999999999</v>
      </c>
      <c r="K772" t="s">
        <v>6</v>
      </c>
      <c r="L772">
        <v>215</v>
      </c>
      <c r="M772" t="s">
        <v>6</v>
      </c>
      <c r="O772" s="6">
        <f t="shared" si="560"/>
        <v>45450.458333333336</v>
      </c>
      <c r="P772">
        <f t="shared" si="561"/>
        <v>59.6</v>
      </c>
      <c r="Q772">
        <f t="shared" si="562"/>
        <v>67.3</v>
      </c>
      <c r="R772">
        <f t="shared" si="563"/>
        <v>55.3</v>
      </c>
      <c r="S772">
        <f t="shared" si="564"/>
        <v>60.6</v>
      </c>
      <c r="V772" s="6">
        <f t="shared" si="565"/>
        <v>45450.458333333336</v>
      </c>
      <c r="W772">
        <f t="shared" si="566"/>
        <v>20.2</v>
      </c>
      <c r="X772">
        <f t="shared" si="567"/>
        <v>22.6</v>
      </c>
      <c r="Y772">
        <f t="shared" si="568"/>
        <v>16.899999999999999</v>
      </c>
      <c r="Z772">
        <f t="shared" si="569"/>
        <v>21.2</v>
      </c>
    </row>
    <row r="773" spans="1:26" x14ac:dyDescent="0.2">
      <c r="A773" s="1">
        <v>45450</v>
      </c>
      <c r="B773" s="2">
        <v>0.5</v>
      </c>
      <c r="C773" s="6">
        <v>45450.5</v>
      </c>
      <c r="D773">
        <v>58</v>
      </c>
      <c r="E773">
        <v>67.3</v>
      </c>
      <c r="F773">
        <v>51.5</v>
      </c>
      <c r="G773" t="s">
        <v>6</v>
      </c>
      <c r="H773">
        <v>20.8</v>
      </c>
      <c r="I773">
        <v>24.1</v>
      </c>
      <c r="J773">
        <v>16.8</v>
      </c>
      <c r="K773" t="s">
        <v>6</v>
      </c>
      <c r="L773">
        <v>198</v>
      </c>
      <c r="M773" t="s">
        <v>6</v>
      </c>
      <c r="O773" s="6">
        <f t="shared" si="560"/>
        <v>45450.5</v>
      </c>
      <c r="P773">
        <f t="shared" si="561"/>
        <v>58</v>
      </c>
      <c r="Q773">
        <f t="shared" si="562"/>
        <v>67.3</v>
      </c>
      <c r="R773">
        <f t="shared" si="563"/>
        <v>51.5</v>
      </c>
      <c r="S773">
        <f t="shared" si="564"/>
        <v>59</v>
      </c>
      <c r="V773" s="6">
        <f t="shared" si="565"/>
        <v>45450.5</v>
      </c>
      <c r="W773">
        <f t="shared" si="566"/>
        <v>20.8</v>
      </c>
      <c r="X773">
        <f t="shared" si="567"/>
        <v>24.1</v>
      </c>
      <c r="Y773">
        <f t="shared" si="568"/>
        <v>16.8</v>
      </c>
      <c r="Z773">
        <f t="shared" si="569"/>
        <v>21.8</v>
      </c>
    </row>
    <row r="774" spans="1:26" x14ac:dyDescent="0.2">
      <c r="A774" s="1">
        <v>45450</v>
      </c>
      <c r="B774" s="2">
        <v>0.54166666666666663</v>
      </c>
      <c r="C774" s="6">
        <v>45450.541666666664</v>
      </c>
      <c r="D774">
        <v>59</v>
      </c>
      <c r="E774">
        <v>72.8</v>
      </c>
      <c r="F774">
        <v>46.8</v>
      </c>
      <c r="G774" t="s">
        <v>6</v>
      </c>
      <c r="H774">
        <v>19.899999999999999</v>
      </c>
      <c r="I774">
        <v>22.9</v>
      </c>
      <c r="J774">
        <v>16.8</v>
      </c>
      <c r="K774" t="s">
        <v>6</v>
      </c>
      <c r="L774">
        <v>191</v>
      </c>
      <c r="M774" t="s">
        <v>6</v>
      </c>
      <c r="O774" s="6">
        <f t="shared" si="560"/>
        <v>45450.541666666664</v>
      </c>
      <c r="P774">
        <f t="shared" si="561"/>
        <v>59</v>
      </c>
      <c r="Q774">
        <f t="shared" si="562"/>
        <v>72.8</v>
      </c>
      <c r="R774">
        <f t="shared" si="563"/>
        <v>46.8</v>
      </c>
      <c r="S774">
        <f t="shared" si="564"/>
        <v>60</v>
      </c>
      <c r="V774" s="6">
        <f t="shared" si="565"/>
        <v>45450.541666666664</v>
      </c>
      <c r="W774">
        <f t="shared" si="566"/>
        <v>19.899999999999999</v>
      </c>
      <c r="X774">
        <f t="shared" si="567"/>
        <v>22.9</v>
      </c>
      <c r="Y774">
        <f t="shared" si="568"/>
        <v>16.8</v>
      </c>
      <c r="Z774">
        <f t="shared" si="569"/>
        <v>20.9</v>
      </c>
    </row>
    <row r="775" spans="1:26" x14ac:dyDescent="0.2">
      <c r="A775" s="1">
        <v>45450</v>
      </c>
      <c r="B775" s="2">
        <v>0.58333333333333337</v>
      </c>
      <c r="C775" s="6">
        <v>45450.583333333336</v>
      </c>
      <c r="D775">
        <v>56.2</v>
      </c>
      <c r="E775">
        <v>67.2</v>
      </c>
      <c r="F775">
        <v>51.6</v>
      </c>
      <c r="G775" t="s">
        <v>6</v>
      </c>
      <c r="H775">
        <v>18.2</v>
      </c>
      <c r="I775">
        <v>23.5</v>
      </c>
      <c r="J775">
        <v>13.8</v>
      </c>
      <c r="K775" t="s">
        <v>6</v>
      </c>
      <c r="L775">
        <v>224</v>
      </c>
      <c r="M775" t="s">
        <v>6</v>
      </c>
      <c r="O775" s="6">
        <f t="shared" si="560"/>
        <v>45450.583333333336</v>
      </c>
      <c r="P775">
        <f t="shared" si="561"/>
        <v>56.2</v>
      </c>
      <c r="Q775">
        <f t="shared" si="562"/>
        <v>67.2</v>
      </c>
      <c r="R775">
        <f t="shared" si="563"/>
        <v>51.6</v>
      </c>
      <c r="S775">
        <f t="shared" si="564"/>
        <v>57.2</v>
      </c>
      <c r="V775" s="6">
        <f t="shared" si="565"/>
        <v>45450.583333333336</v>
      </c>
      <c r="W775">
        <f t="shared" si="566"/>
        <v>18.2</v>
      </c>
      <c r="X775">
        <f t="shared" si="567"/>
        <v>23.5</v>
      </c>
      <c r="Y775">
        <f t="shared" si="568"/>
        <v>13.8</v>
      </c>
      <c r="Z775">
        <f t="shared" si="569"/>
        <v>19.2</v>
      </c>
    </row>
    <row r="776" spans="1:26" x14ac:dyDescent="0.2">
      <c r="A776" s="1">
        <v>45450</v>
      </c>
      <c r="B776" s="2">
        <v>0.625</v>
      </c>
      <c r="C776" s="6">
        <v>45450.625</v>
      </c>
      <c r="D776">
        <v>61.8</v>
      </c>
      <c r="E776">
        <v>70</v>
      </c>
      <c r="F776">
        <v>53.9</v>
      </c>
      <c r="G776" t="s">
        <v>6</v>
      </c>
      <c r="H776">
        <v>20.9</v>
      </c>
      <c r="I776">
        <v>23.6</v>
      </c>
      <c r="J776">
        <v>16.2</v>
      </c>
      <c r="K776" t="s">
        <v>6</v>
      </c>
      <c r="L776">
        <v>200</v>
      </c>
      <c r="M776" t="s">
        <v>6</v>
      </c>
      <c r="O776" s="6">
        <f t="shared" si="560"/>
        <v>45450.625</v>
      </c>
      <c r="P776">
        <f t="shared" si="561"/>
        <v>61.8</v>
      </c>
      <c r="Q776">
        <f t="shared" si="562"/>
        <v>70</v>
      </c>
      <c r="R776">
        <f t="shared" si="563"/>
        <v>53.9</v>
      </c>
      <c r="S776">
        <f t="shared" si="564"/>
        <v>62.8</v>
      </c>
      <c r="V776" s="6">
        <f t="shared" si="565"/>
        <v>45450.625</v>
      </c>
      <c r="W776">
        <f t="shared" si="566"/>
        <v>20.9</v>
      </c>
      <c r="X776">
        <f t="shared" si="567"/>
        <v>23.6</v>
      </c>
      <c r="Y776">
        <f t="shared" si="568"/>
        <v>16.2</v>
      </c>
      <c r="Z776">
        <f t="shared" si="569"/>
        <v>21.9</v>
      </c>
    </row>
    <row r="777" spans="1:26" x14ac:dyDescent="0.2">
      <c r="A777" s="1">
        <v>45450</v>
      </c>
      <c r="B777" s="2">
        <v>0.66666666666666663</v>
      </c>
      <c r="C777" s="6">
        <v>45450.666666666664</v>
      </c>
      <c r="D777">
        <v>57</v>
      </c>
      <c r="E777">
        <v>61.1</v>
      </c>
      <c r="F777">
        <v>53.3</v>
      </c>
      <c r="G777" t="s">
        <v>6</v>
      </c>
      <c r="H777">
        <v>20.100000000000001</v>
      </c>
      <c r="I777">
        <v>32.4</v>
      </c>
      <c r="J777">
        <v>13.5</v>
      </c>
      <c r="K777" t="s">
        <v>6</v>
      </c>
      <c r="L777">
        <v>212</v>
      </c>
      <c r="M777" t="s">
        <v>6</v>
      </c>
      <c r="O777" s="6">
        <f t="shared" si="560"/>
        <v>45450.666666666664</v>
      </c>
      <c r="P777">
        <f t="shared" si="561"/>
        <v>57</v>
      </c>
      <c r="Q777">
        <f t="shared" si="562"/>
        <v>61.1</v>
      </c>
      <c r="R777">
        <f t="shared" si="563"/>
        <v>53.3</v>
      </c>
      <c r="S777">
        <f t="shared" si="564"/>
        <v>58</v>
      </c>
      <c r="V777" s="6">
        <f t="shared" si="565"/>
        <v>45450.666666666664</v>
      </c>
      <c r="W777">
        <f t="shared" si="566"/>
        <v>20.100000000000001</v>
      </c>
      <c r="X777">
        <f t="shared" si="567"/>
        <v>32.4</v>
      </c>
      <c r="Y777">
        <f t="shared" si="568"/>
        <v>13.5</v>
      </c>
      <c r="Z777">
        <f t="shared" si="569"/>
        <v>21.1</v>
      </c>
    </row>
    <row r="778" spans="1:26" x14ac:dyDescent="0.2">
      <c r="A778" s="1">
        <v>45450</v>
      </c>
      <c r="B778" s="2">
        <v>0.70833333333333337</v>
      </c>
      <c r="C778" s="6">
        <v>45450.708333333336</v>
      </c>
      <c r="D778">
        <v>58.1</v>
      </c>
      <c r="E778">
        <v>64.7</v>
      </c>
      <c r="F778">
        <v>53.5</v>
      </c>
      <c r="G778" t="s">
        <v>6</v>
      </c>
      <c r="H778">
        <v>20.7</v>
      </c>
      <c r="I778">
        <v>24.1</v>
      </c>
      <c r="J778">
        <v>15.8</v>
      </c>
      <c r="K778" t="s">
        <v>6</v>
      </c>
      <c r="L778">
        <v>195</v>
      </c>
      <c r="M778" t="s">
        <v>6</v>
      </c>
      <c r="O778" s="6">
        <f t="shared" si="560"/>
        <v>45450.708333333336</v>
      </c>
      <c r="P778">
        <f t="shared" si="561"/>
        <v>58.1</v>
      </c>
      <c r="Q778">
        <f t="shared" si="562"/>
        <v>64.7</v>
      </c>
      <c r="R778">
        <f t="shared" si="563"/>
        <v>53.5</v>
      </c>
      <c r="S778">
        <f t="shared" si="564"/>
        <v>59.1</v>
      </c>
      <c r="V778" s="6">
        <f t="shared" si="565"/>
        <v>45450.708333333336</v>
      </c>
      <c r="W778">
        <f t="shared" si="566"/>
        <v>20.7</v>
      </c>
      <c r="X778">
        <f t="shared" si="567"/>
        <v>24.1</v>
      </c>
      <c r="Y778">
        <f t="shared" si="568"/>
        <v>15.8</v>
      </c>
      <c r="Z778">
        <f t="shared" si="569"/>
        <v>21.7</v>
      </c>
    </row>
    <row r="779" spans="1:26" x14ac:dyDescent="0.2">
      <c r="A779" s="1">
        <v>45450</v>
      </c>
      <c r="B779" s="2">
        <v>0.75</v>
      </c>
      <c r="C779" s="6">
        <v>45450.75</v>
      </c>
      <c r="D779">
        <v>55.8</v>
      </c>
      <c r="E779">
        <v>65.099999999999994</v>
      </c>
      <c r="F779">
        <v>51</v>
      </c>
      <c r="G779" t="s">
        <v>6</v>
      </c>
      <c r="H779">
        <v>20.8</v>
      </c>
      <c r="I779">
        <v>24.2</v>
      </c>
      <c r="J779">
        <v>16.2</v>
      </c>
      <c r="K779" t="s">
        <v>6</v>
      </c>
      <c r="L779">
        <v>212</v>
      </c>
      <c r="M779" t="s">
        <v>6</v>
      </c>
      <c r="O779" s="6">
        <f t="shared" si="560"/>
        <v>45450.75</v>
      </c>
      <c r="P779">
        <f t="shared" si="561"/>
        <v>55.8</v>
      </c>
      <c r="Q779">
        <f t="shared" si="562"/>
        <v>65.099999999999994</v>
      </c>
      <c r="R779">
        <f t="shared" si="563"/>
        <v>51</v>
      </c>
      <c r="S779">
        <f t="shared" si="564"/>
        <v>56.8</v>
      </c>
      <c r="V779" s="6">
        <f t="shared" si="565"/>
        <v>45450.75</v>
      </c>
      <c r="W779">
        <f t="shared" si="566"/>
        <v>20.8</v>
      </c>
      <c r="X779">
        <f t="shared" si="567"/>
        <v>24.2</v>
      </c>
      <c r="Y779">
        <f t="shared" si="568"/>
        <v>16.2</v>
      </c>
      <c r="Z779">
        <f t="shared" si="569"/>
        <v>21.8</v>
      </c>
    </row>
    <row r="780" spans="1:26" x14ac:dyDescent="0.2">
      <c r="A780" s="1">
        <v>45450</v>
      </c>
      <c r="B780" s="2">
        <v>0.79166666666666663</v>
      </c>
      <c r="C780" s="6">
        <v>45450.791666666664</v>
      </c>
      <c r="D780">
        <v>52.7</v>
      </c>
      <c r="E780">
        <v>61.4</v>
      </c>
      <c r="F780">
        <v>48.4</v>
      </c>
      <c r="G780" t="s">
        <v>6</v>
      </c>
      <c r="H780">
        <v>21.2</v>
      </c>
      <c r="I780">
        <v>26</v>
      </c>
      <c r="J780">
        <v>16.600000000000001</v>
      </c>
      <c r="K780" t="s">
        <v>6</v>
      </c>
      <c r="L780">
        <v>199</v>
      </c>
      <c r="M780" t="s">
        <v>6</v>
      </c>
      <c r="O780" s="6">
        <f t="shared" si="560"/>
        <v>45450.791666666664</v>
      </c>
      <c r="P780">
        <f t="shared" si="561"/>
        <v>52.7</v>
      </c>
      <c r="Q780">
        <f t="shared" si="562"/>
        <v>61.4</v>
      </c>
      <c r="R780">
        <f t="shared" si="563"/>
        <v>48.4</v>
      </c>
      <c r="S780">
        <f t="shared" si="564"/>
        <v>53.7</v>
      </c>
      <c r="V780" s="6">
        <f t="shared" si="565"/>
        <v>45450.791666666664</v>
      </c>
      <c r="W780">
        <f t="shared" si="566"/>
        <v>21.2</v>
      </c>
      <c r="X780">
        <f t="shared" si="567"/>
        <v>26</v>
      </c>
      <c r="Y780">
        <f t="shared" si="568"/>
        <v>16.600000000000001</v>
      </c>
      <c r="Z780">
        <f t="shared" si="569"/>
        <v>22.2</v>
      </c>
    </row>
    <row r="781" spans="1:26" x14ac:dyDescent="0.2">
      <c r="A781" s="1">
        <v>45450</v>
      </c>
      <c r="B781" s="2">
        <v>0.83333333333333337</v>
      </c>
      <c r="C781" s="6">
        <v>45450.833333333336</v>
      </c>
      <c r="D781">
        <v>63.4</v>
      </c>
      <c r="E781">
        <v>70</v>
      </c>
      <c r="F781">
        <v>59</v>
      </c>
      <c r="G781" t="s">
        <v>6</v>
      </c>
      <c r="H781">
        <v>20.8</v>
      </c>
      <c r="I781">
        <v>23.6</v>
      </c>
      <c r="J781">
        <v>18.8</v>
      </c>
      <c r="K781" t="s">
        <v>6</v>
      </c>
      <c r="L781">
        <v>224</v>
      </c>
      <c r="M781" t="s">
        <v>6</v>
      </c>
      <c r="O781" s="6">
        <f t="shared" si="560"/>
        <v>45450.833333333336</v>
      </c>
      <c r="P781">
        <f t="shared" si="561"/>
        <v>63.4</v>
      </c>
      <c r="Q781">
        <f t="shared" si="562"/>
        <v>70</v>
      </c>
      <c r="R781">
        <f t="shared" si="563"/>
        <v>59</v>
      </c>
      <c r="S781">
        <f t="shared" si="564"/>
        <v>64.400000000000006</v>
      </c>
      <c r="V781" s="6">
        <f t="shared" si="565"/>
        <v>45450.833333333336</v>
      </c>
      <c r="W781">
        <f t="shared" si="566"/>
        <v>20.8</v>
      </c>
      <c r="X781">
        <f t="shared" si="567"/>
        <v>23.6</v>
      </c>
      <c r="Y781">
        <f t="shared" si="568"/>
        <v>18.8</v>
      </c>
      <c r="Z781">
        <f t="shared" si="569"/>
        <v>21.8</v>
      </c>
    </row>
    <row r="782" spans="1:26" x14ac:dyDescent="0.2">
      <c r="A782" s="1">
        <v>45450</v>
      </c>
      <c r="B782" s="2">
        <v>0.875</v>
      </c>
      <c r="C782" s="6">
        <v>45450.875</v>
      </c>
      <c r="D782">
        <v>62.5</v>
      </c>
      <c r="E782">
        <v>69</v>
      </c>
      <c r="F782">
        <v>52.3</v>
      </c>
      <c r="G782" t="s">
        <v>6</v>
      </c>
      <c r="H782">
        <v>21.1</v>
      </c>
      <c r="I782">
        <v>24.7</v>
      </c>
      <c r="J782">
        <v>17.2</v>
      </c>
      <c r="K782" t="s">
        <v>6</v>
      </c>
      <c r="L782">
        <v>184</v>
      </c>
      <c r="M782" t="s">
        <v>6</v>
      </c>
      <c r="O782" s="6">
        <f t="shared" si="560"/>
        <v>45450.875</v>
      </c>
      <c r="P782">
        <f t="shared" si="561"/>
        <v>62.5</v>
      </c>
      <c r="Q782">
        <f t="shared" si="562"/>
        <v>69</v>
      </c>
      <c r="R782">
        <f t="shared" si="563"/>
        <v>52.3</v>
      </c>
      <c r="S782">
        <f t="shared" si="564"/>
        <v>63.5</v>
      </c>
      <c r="V782" s="6">
        <f t="shared" si="565"/>
        <v>45450.875</v>
      </c>
      <c r="W782">
        <f t="shared" si="566"/>
        <v>21.1</v>
      </c>
      <c r="X782">
        <f t="shared" si="567"/>
        <v>24.7</v>
      </c>
      <c r="Y782">
        <f t="shared" si="568"/>
        <v>17.2</v>
      </c>
      <c r="Z782">
        <f t="shared" si="569"/>
        <v>22.1</v>
      </c>
    </row>
    <row r="783" spans="1:26" x14ac:dyDescent="0.2">
      <c r="A783" s="1">
        <v>45450</v>
      </c>
      <c r="B783" s="2">
        <v>0.91666666666666663</v>
      </c>
      <c r="C783" s="6">
        <v>45450.916666666664</v>
      </c>
      <c r="D783">
        <v>64.599999999999994</v>
      </c>
      <c r="E783">
        <v>69.599999999999994</v>
      </c>
      <c r="F783">
        <v>59.5</v>
      </c>
      <c r="G783" t="s">
        <v>6</v>
      </c>
      <c r="H783">
        <v>20.100000000000001</v>
      </c>
      <c r="I783">
        <v>23.7</v>
      </c>
      <c r="J783">
        <v>17</v>
      </c>
      <c r="K783" t="s">
        <v>6</v>
      </c>
      <c r="L783">
        <v>225</v>
      </c>
      <c r="M783" t="s">
        <v>6</v>
      </c>
      <c r="O783" s="6">
        <f t="shared" si="560"/>
        <v>45450.916666666664</v>
      </c>
      <c r="P783">
        <f t="shared" si="561"/>
        <v>64.599999999999994</v>
      </c>
      <c r="Q783">
        <f t="shared" si="562"/>
        <v>69.599999999999994</v>
      </c>
      <c r="R783">
        <f t="shared" si="563"/>
        <v>59.5</v>
      </c>
      <c r="S783">
        <f t="shared" si="564"/>
        <v>65.599999999999994</v>
      </c>
      <c r="V783" s="6">
        <f t="shared" si="565"/>
        <v>45450.916666666664</v>
      </c>
      <c r="W783">
        <f t="shared" si="566"/>
        <v>20.100000000000001</v>
      </c>
      <c r="X783">
        <f t="shared" si="567"/>
        <v>23.7</v>
      </c>
      <c r="Y783">
        <f t="shared" si="568"/>
        <v>17</v>
      </c>
      <c r="Z783">
        <f t="shared" si="569"/>
        <v>21.1</v>
      </c>
    </row>
    <row r="784" spans="1:26" x14ac:dyDescent="0.2">
      <c r="A784" s="1">
        <v>45450</v>
      </c>
      <c r="B784" s="2">
        <v>0.95833333333333337</v>
      </c>
      <c r="C784" s="6">
        <v>45450.958333333336</v>
      </c>
      <c r="D784">
        <v>66.2</v>
      </c>
      <c r="E784">
        <v>69.400000000000006</v>
      </c>
      <c r="F784">
        <v>60</v>
      </c>
      <c r="G784" t="s">
        <v>6</v>
      </c>
      <c r="H784">
        <v>19.7</v>
      </c>
      <c r="I784">
        <v>20.8</v>
      </c>
      <c r="J784">
        <v>17.899999999999999</v>
      </c>
      <c r="K784" t="s">
        <v>6</v>
      </c>
      <c r="L784">
        <v>24</v>
      </c>
      <c r="M784" t="s">
        <v>6</v>
      </c>
      <c r="O784" s="6">
        <f t="shared" si="560"/>
        <v>45450.958333333336</v>
      </c>
      <c r="P784">
        <f t="shared" si="561"/>
        <v>66.2</v>
      </c>
      <c r="Q784">
        <f t="shared" si="562"/>
        <v>69.400000000000006</v>
      </c>
      <c r="R784">
        <f t="shared" si="563"/>
        <v>60</v>
      </c>
      <c r="S784">
        <f t="shared" si="564"/>
        <v>67.2</v>
      </c>
      <c r="V784" s="6">
        <f t="shared" si="565"/>
        <v>45450.958333333336</v>
      </c>
      <c r="W784">
        <f t="shared" si="566"/>
        <v>19.7</v>
      </c>
      <c r="X784">
        <f t="shared" si="567"/>
        <v>20.8</v>
      </c>
      <c r="Y784">
        <f t="shared" si="568"/>
        <v>17.899999999999999</v>
      </c>
      <c r="Z784">
        <f t="shared" si="569"/>
        <v>20.7</v>
      </c>
    </row>
    <row r="785" spans="1:26" x14ac:dyDescent="0.2">
      <c r="A785" s="1">
        <v>45451</v>
      </c>
      <c r="B785" s="2">
        <v>0.25</v>
      </c>
      <c r="C785" s="6">
        <v>45451.25</v>
      </c>
      <c r="D785">
        <v>72.3</v>
      </c>
      <c r="E785">
        <v>82.6</v>
      </c>
      <c r="F785">
        <v>63.7</v>
      </c>
      <c r="G785" t="s">
        <v>6</v>
      </c>
      <c r="H785">
        <v>19.399999999999999</v>
      </c>
      <c r="I785">
        <v>21.9</v>
      </c>
      <c r="J785">
        <v>17</v>
      </c>
      <c r="K785" t="s">
        <v>6</v>
      </c>
      <c r="L785">
        <v>126</v>
      </c>
      <c r="M785" t="s">
        <v>6</v>
      </c>
      <c r="O785" s="6">
        <f t="shared" si="560"/>
        <v>45451.25</v>
      </c>
      <c r="P785">
        <f t="shared" si="561"/>
        <v>72.3</v>
      </c>
      <c r="Q785">
        <f t="shared" si="562"/>
        <v>82.6</v>
      </c>
      <c r="R785">
        <f t="shared" si="563"/>
        <v>63.7</v>
      </c>
      <c r="S785">
        <f t="shared" si="564"/>
        <v>73.3</v>
      </c>
      <c r="V785" s="6">
        <f t="shared" si="565"/>
        <v>45451.25</v>
      </c>
      <c r="W785">
        <f t="shared" si="566"/>
        <v>19.399999999999999</v>
      </c>
      <c r="X785">
        <f t="shared" si="567"/>
        <v>21.9</v>
      </c>
      <c r="Y785">
        <f t="shared" si="568"/>
        <v>17</v>
      </c>
      <c r="Z785">
        <f t="shared" si="569"/>
        <v>20.399999999999999</v>
      </c>
    </row>
    <row r="786" spans="1:26" x14ac:dyDescent="0.2">
      <c r="A786" s="1">
        <v>45451</v>
      </c>
      <c r="B786" s="2">
        <v>0.29166666666666669</v>
      </c>
      <c r="C786" s="6">
        <v>45451.291666666664</v>
      </c>
      <c r="D786">
        <v>65.400000000000006</v>
      </c>
      <c r="E786">
        <v>69.2</v>
      </c>
      <c r="F786">
        <v>60.4</v>
      </c>
      <c r="G786" t="s">
        <v>6</v>
      </c>
      <c r="H786">
        <v>18.7</v>
      </c>
      <c r="I786">
        <v>22.8</v>
      </c>
      <c r="J786">
        <v>15.4</v>
      </c>
      <c r="K786" t="s">
        <v>6</v>
      </c>
      <c r="L786">
        <v>222</v>
      </c>
      <c r="M786" t="s">
        <v>6</v>
      </c>
      <c r="O786" s="6">
        <f t="shared" si="560"/>
        <v>45451.291666666664</v>
      </c>
      <c r="P786">
        <f t="shared" si="561"/>
        <v>65.400000000000006</v>
      </c>
      <c r="Q786">
        <f t="shared" si="562"/>
        <v>69.2</v>
      </c>
      <c r="R786">
        <f t="shared" si="563"/>
        <v>60.4</v>
      </c>
      <c r="S786">
        <f t="shared" si="564"/>
        <v>66.400000000000006</v>
      </c>
      <c r="V786" s="6">
        <f t="shared" si="565"/>
        <v>45451.291666666664</v>
      </c>
      <c r="W786">
        <f t="shared" si="566"/>
        <v>18.7</v>
      </c>
      <c r="X786">
        <f t="shared" si="567"/>
        <v>22.8</v>
      </c>
      <c r="Y786">
        <f t="shared" si="568"/>
        <v>15.4</v>
      </c>
      <c r="Z786">
        <f t="shared" si="569"/>
        <v>19.7</v>
      </c>
    </row>
    <row r="787" spans="1:26" x14ac:dyDescent="0.2">
      <c r="A787" s="14">
        <v>45451</v>
      </c>
      <c r="B787" s="7">
        <v>0.33333333333333331</v>
      </c>
      <c r="C787" s="8">
        <v>45451.333333333336</v>
      </c>
      <c r="D787" s="9">
        <v>64.3</v>
      </c>
      <c r="E787" s="9">
        <v>70.7</v>
      </c>
      <c r="F787" s="9">
        <v>57.9</v>
      </c>
      <c r="G787" s="9" t="s">
        <v>6</v>
      </c>
      <c r="H787" s="9">
        <v>19</v>
      </c>
      <c r="I787" s="9">
        <v>22.6</v>
      </c>
      <c r="J787" s="9">
        <v>16.3</v>
      </c>
      <c r="K787" s="9" t="s">
        <v>6</v>
      </c>
      <c r="L787" s="9">
        <v>210</v>
      </c>
      <c r="M787" t="s">
        <v>6</v>
      </c>
      <c r="O787" s="6">
        <f t="shared" si="560"/>
        <v>45451.333333333336</v>
      </c>
      <c r="P787">
        <f t="shared" si="561"/>
        <v>64.3</v>
      </c>
      <c r="Q787">
        <f t="shared" si="562"/>
        <v>70.7</v>
      </c>
      <c r="R787">
        <f t="shared" si="563"/>
        <v>57.9</v>
      </c>
      <c r="S787">
        <f t="shared" si="564"/>
        <v>65.3</v>
      </c>
      <c r="V787" s="6">
        <f t="shared" si="565"/>
        <v>45451.333333333336</v>
      </c>
      <c r="W787">
        <f t="shared" si="566"/>
        <v>19</v>
      </c>
      <c r="X787">
        <f t="shared" si="567"/>
        <v>22.6</v>
      </c>
      <c r="Y787">
        <f t="shared" si="568"/>
        <v>16.3</v>
      </c>
      <c r="Z787">
        <f t="shared" si="569"/>
        <v>20</v>
      </c>
    </row>
    <row r="788" spans="1:26" x14ac:dyDescent="0.2">
      <c r="A788" s="13">
        <v>45451</v>
      </c>
      <c r="B788" s="3">
        <v>0.375</v>
      </c>
      <c r="C788" s="4">
        <v>45451.375</v>
      </c>
      <c r="D788" s="5">
        <v>69.400000000000006</v>
      </c>
      <c r="E788" s="5">
        <v>80.2</v>
      </c>
      <c r="F788" s="5">
        <v>63</v>
      </c>
      <c r="G788" s="5" t="s">
        <v>6</v>
      </c>
      <c r="H788" s="5">
        <v>19</v>
      </c>
      <c r="I788" s="5">
        <v>22.3</v>
      </c>
      <c r="J788" s="5">
        <v>14.3</v>
      </c>
      <c r="K788" s="5" t="s">
        <v>6</v>
      </c>
      <c r="L788" s="5">
        <v>136</v>
      </c>
      <c r="M788" t="s">
        <v>6</v>
      </c>
      <c r="O788" s="6">
        <f t="shared" si="560"/>
        <v>45451.375</v>
      </c>
      <c r="P788">
        <f t="shared" si="561"/>
        <v>69.400000000000006</v>
      </c>
      <c r="Q788">
        <f t="shared" si="562"/>
        <v>80.2</v>
      </c>
      <c r="R788">
        <f t="shared" si="563"/>
        <v>63</v>
      </c>
      <c r="S788">
        <f t="shared" si="564"/>
        <v>70.400000000000006</v>
      </c>
      <c r="V788" s="6">
        <f t="shared" si="565"/>
        <v>45451.375</v>
      </c>
      <c r="W788">
        <f t="shared" si="566"/>
        <v>19</v>
      </c>
      <c r="X788">
        <f t="shared" si="567"/>
        <v>22.3</v>
      </c>
      <c r="Y788">
        <f t="shared" si="568"/>
        <v>14.3</v>
      </c>
      <c r="Z788">
        <f t="shared" si="569"/>
        <v>20</v>
      </c>
    </row>
    <row r="789" spans="1:26" x14ac:dyDescent="0.2">
      <c r="A789" s="1">
        <v>45451</v>
      </c>
      <c r="B789" s="2">
        <v>0.41666666666666669</v>
      </c>
      <c r="C789" s="6">
        <v>45451.416666666664</v>
      </c>
      <c r="D789">
        <v>66.900000000000006</v>
      </c>
      <c r="E789">
        <v>74.5</v>
      </c>
      <c r="F789">
        <v>60.5</v>
      </c>
      <c r="G789" t="s">
        <v>6</v>
      </c>
      <c r="H789">
        <v>20.3</v>
      </c>
      <c r="I789">
        <v>26.5</v>
      </c>
      <c r="J789">
        <v>17.5</v>
      </c>
      <c r="K789" t="s">
        <v>6</v>
      </c>
      <c r="L789">
        <v>226</v>
      </c>
      <c r="M789" t="s">
        <v>6</v>
      </c>
      <c r="O789" s="6">
        <f t="shared" si="560"/>
        <v>45451.416666666664</v>
      </c>
      <c r="P789">
        <f t="shared" si="561"/>
        <v>66.900000000000006</v>
      </c>
      <c r="Q789">
        <f t="shared" si="562"/>
        <v>74.5</v>
      </c>
      <c r="R789">
        <f t="shared" si="563"/>
        <v>60.5</v>
      </c>
      <c r="S789">
        <f t="shared" si="564"/>
        <v>67.900000000000006</v>
      </c>
      <c r="V789" s="6">
        <f t="shared" si="565"/>
        <v>45451.416666666664</v>
      </c>
      <c r="W789">
        <f t="shared" si="566"/>
        <v>20.3</v>
      </c>
      <c r="X789">
        <f t="shared" si="567"/>
        <v>26.5</v>
      </c>
      <c r="Y789">
        <f t="shared" si="568"/>
        <v>17.5</v>
      </c>
      <c r="Z789">
        <f t="shared" si="569"/>
        <v>21.3</v>
      </c>
    </row>
    <row r="790" spans="1:26" x14ac:dyDescent="0.2">
      <c r="A790" s="1">
        <v>45451</v>
      </c>
      <c r="B790" s="2">
        <v>0.45833333333333331</v>
      </c>
      <c r="C790" s="6">
        <v>45451.458333333336</v>
      </c>
      <c r="D790">
        <v>62.8</v>
      </c>
      <c r="E790">
        <v>74.3</v>
      </c>
      <c r="F790">
        <v>55.9</v>
      </c>
      <c r="G790" t="s">
        <v>6</v>
      </c>
      <c r="H790">
        <v>19.7</v>
      </c>
      <c r="I790">
        <v>23</v>
      </c>
      <c r="J790">
        <v>16.5</v>
      </c>
      <c r="K790" t="s">
        <v>6</v>
      </c>
      <c r="L790">
        <v>223</v>
      </c>
      <c r="M790" t="s">
        <v>6</v>
      </c>
      <c r="O790" s="6">
        <f t="shared" si="560"/>
        <v>45451.458333333336</v>
      </c>
      <c r="P790">
        <f t="shared" si="561"/>
        <v>62.8</v>
      </c>
      <c r="Q790">
        <f t="shared" si="562"/>
        <v>74.3</v>
      </c>
      <c r="R790">
        <f t="shared" si="563"/>
        <v>55.9</v>
      </c>
      <c r="S790">
        <f t="shared" si="564"/>
        <v>63.8</v>
      </c>
      <c r="V790" s="6">
        <f t="shared" si="565"/>
        <v>45451.458333333336</v>
      </c>
      <c r="W790">
        <f t="shared" si="566"/>
        <v>19.7</v>
      </c>
      <c r="X790">
        <f t="shared" si="567"/>
        <v>23</v>
      </c>
      <c r="Y790">
        <f t="shared" si="568"/>
        <v>16.5</v>
      </c>
      <c r="Z790">
        <f t="shared" si="569"/>
        <v>20.7</v>
      </c>
    </row>
    <row r="791" spans="1:26" x14ac:dyDescent="0.2">
      <c r="A791" s="1">
        <v>45451</v>
      </c>
      <c r="B791" s="2">
        <v>0.5</v>
      </c>
      <c r="C791" s="6">
        <v>45451.5</v>
      </c>
      <c r="D791">
        <v>63.3</v>
      </c>
      <c r="E791">
        <v>70.400000000000006</v>
      </c>
      <c r="F791">
        <v>57.8</v>
      </c>
      <c r="G791" t="s">
        <v>6</v>
      </c>
      <c r="H791">
        <v>20.3</v>
      </c>
      <c r="I791">
        <v>25.2</v>
      </c>
      <c r="J791">
        <v>15.9</v>
      </c>
      <c r="K791" t="s">
        <v>6</v>
      </c>
      <c r="L791">
        <v>211</v>
      </c>
      <c r="M791" t="s">
        <v>6</v>
      </c>
      <c r="O791" s="6">
        <f t="shared" si="560"/>
        <v>45451.5</v>
      </c>
      <c r="P791">
        <f t="shared" si="561"/>
        <v>63.3</v>
      </c>
      <c r="Q791">
        <f t="shared" si="562"/>
        <v>70.400000000000006</v>
      </c>
      <c r="R791">
        <f t="shared" si="563"/>
        <v>57.8</v>
      </c>
      <c r="S791">
        <f t="shared" si="564"/>
        <v>64.3</v>
      </c>
      <c r="V791" s="6">
        <f t="shared" si="565"/>
        <v>45451.5</v>
      </c>
      <c r="W791">
        <f t="shared" si="566"/>
        <v>20.3</v>
      </c>
      <c r="X791">
        <f t="shared" si="567"/>
        <v>25.2</v>
      </c>
      <c r="Y791">
        <f t="shared" si="568"/>
        <v>15.9</v>
      </c>
      <c r="Z791">
        <f t="shared" si="569"/>
        <v>21.3</v>
      </c>
    </row>
    <row r="792" spans="1:26" x14ac:dyDescent="0.2">
      <c r="A792" s="1">
        <v>45451</v>
      </c>
      <c r="B792" s="2">
        <v>0.54166666666666663</v>
      </c>
      <c r="C792" s="6">
        <v>45451.541666666664</v>
      </c>
      <c r="D792">
        <v>62</v>
      </c>
      <c r="E792">
        <v>70.400000000000006</v>
      </c>
      <c r="F792">
        <v>55.4</v>
      </c>
      <c r="G792" t="s">
        <v>6</v>
      </c>
      <c r="H792">
        <v>19.3</v>
      </c>
      <c r="I792">
        <v>23.6</v>
      </c>
      <c r="J792">
        <v>14.4</v>
      </c>
      <c r="K792" t="s">
        <v>6</v>
      </c>
      <c r="L792">
        <v>226</v>
      </c>
      <c r="M792" t="s">
        <v>6</v>
      </c>
      <c r="O792" s="6">
        <f t="shared" si="560"/>
        <v>45451.541666666664</v>
      </c>
      <c r="P792">
        <f t="shared" si="561"/>
        <v>62</v>
      </c>
      <c r="Q792">
        <f t="shared" si="562"/>
        <v>70.400000000000006</v>
      </c>
      <c r="R792">
        <f t="shared" si="563"/>
        <v>55.4</v>
      </c>
      <c r="S792">
        <f t="shared" si="564"/>
        <v>63</v>
      </c>
      <c r="V792" s="6">
        <f t="shared" si="565"/>
        <v>45451.541666666664</v>
      </c>
      <c r="W792">
        <f t="shared" si="566"/>
        <v>19.3</v>
      </c>
      <c r="X792">
        <f t="shared" si="567"/>
        <v>23.6</v>
      </c>
      <c r="Y792">
        <f t="shared" si="568"/>
        <v>14.4</v>
      </c>
      <c r="Z792">
        <f t="shared" si="569"/>
        <v>20.3</v>
      </c>
    </row>
    <row r="793" spans="1:26" x14ac:dyDescent="0.2">
      <c r="A793" s="1">
        <v>45451</v>
      </c>
      <c r="B793" s="2">
        <v>0.58333333333333337</v>
      </c>
      <c r="C793" s="6">
        <v>45451.583333333336</v>
      </c>
      <c r="D793">
        <v>62.7</v>
      </c>
      <c r="E793">
        <v>71</v>
      </c>
      <c r="F793">
        <v>54.5</v>
      </c>
      <c r="G793" t="s">
        <v>6</v>
      </c>
      <c r="H793">
        <v>20.5</v>
      </c>
      <c r="I793">
        <v>23.8</v>
      </c>
      <c r="J793">
        <v>14.9</v>
      </c>
      <c r="K793" t="s">
        <v>6</v>
      </c>
      <c r="L793">
        <v>173</v>
      </c>
      <c r="M793" t="s">
        <v>6</v>
      </c>
      <c r="O793" s="6">
        <f t="shared" si="560"/>
        <v>45451.583333333336</v>
      </c>
      <c r="P793">
        <f t="shared" si="561"/>
        <v>62.7</v>
      </c>
      <c r="Q793">
        <f t="shared" si="562"/>
        <v>71</v>
      </c>
      <c r="R793">
        <f t="shared" si="563"/>
        <v>54.5</v>
      </c>
      <c r="S793">
        <f t="shared" si="564"/>
        <v>63.7</v>
      </c>
      <c r="V793" s="6">
        <f t="shared" si="565"/>
        <v>45451.583333333336</v>
      </c>
      <c r="W793">
        <f t="shared" si="566"/>
        <v>20.5</v>
      </c>
      <c r="X793">
        <f t="shared" si="567"/>
        <v>23.8</v>
      </c>
      <c r="Y793">
        <f t="shared" si="568"/>
        <v>14.9</v>
      </c>
      <c r="Z793">
        <f t="shared" si="569"/>
        <v>21.5</v>
      </c>
    </row>
    <row r="794" spans="1:26" x14ac:dyDescent="0.2">
      <c r="A794" s="1">
        <v>45451</v>
      </c>
      <c r="B794" s="2">
        <v>0.625</v>
      </c>
      <c r="C794" s="6">
        <v>45451.625</v>
      </c>
      <c r="D794">
        <v>64.7</v>
      </c>
      <c r="E794">
        <v>75.8</v>
      </c>
      <c r="F794">
        <v>55.4</v>
      </c>
      <c r="G794" t="s">
        <v>6</v>
      </c>
      <c r="H794">
        <v>20</v>
      </c>
      <c r="I794">
        <v>23.7</v>
      </c>
      <c r="J794">
        <v>14.8</v>
      </c>
      <c r="K794" t="s">
        <v>6</v>
      </c>
      <c r="L794">
        <v>206</v>
      </c>
      <c r="M794" t="s">
        <v>6</v>
      </c>
      <c r="O794" s="6">
        <f t="shared" si="560"/>
        <v>45451.625</v>
      </c>
      <c r="P794">
        <f t="shared" si="561"/>
        <v>64.7</v>
      </c>
      <c r="Q794">
        <f t="shared" si="562"/>
        <v>75.8</v>
      </c>
      <c r="R794">
        <f t="shared" si="563"/>
        <v>55.4</v>
      </c>
      <c r="S794">
        <f t="shared" si="564"/>
        <v>65.7</v>
      </c>
      <c r="V794" s="6">
        <f t="shared" si="565"/>
        <v>45451.625</v>
      </c>
      <c r="W794">
        <f t="shared" si="566"/>
        <v>20</v>
      </c>
      <c r="X794">
        <f t="shared" si="567"/>
        <v>23.7</v>
      </c>
      <c r="Y794">
        <f t="shared" si="568"/>
        <v>14.8</v>
      </c>
      <c r="Z794">
        <f t="shared" si="569"/>
        <v>21</v>
      </c>
    </row>
    <row r="795" spans="1:26" x14ac:dyDescent="0.2">
      <c r="A795" s="1">
        <v>45451</v>
      </c>
      <c r="B795" s="2">
        <v>0.66666666666666663</v>
      </c>
      <c r="C795" s="6">
        <v>45451.666666666664</v>
      </c>
      <c r="D795">
        <v>65.3</v>
      </c>
      <c r="E795">
        <v>73.400000000000006</v>
      </c>
      <c r="F795">
        <v>60.6</v>
      </c>
      <c r="G795" t="s">
        <v>6</v>
      </c>
      <c r="H795">
        <v>21.6</v>
      </c>
      <c r="I795">
        <v>28.4</v>
      </c>
      <c r="J795">
        <v>18.2</v>
      </c>
      <c r="K795" t="s">
        <v>6</v>
      </c>
      <c r="L795">
        <v>195</v>
      </c>
      <c r="M795" t="s">
        <v>6</v>
      </c>
      <c r="O795" s="6">
        <f t="shared" si="560"/>
        <v>45451.666666666664</v>
      </c>
      <c r="P795">
        <f t="shared" si="561"/>
        <v>65.3</v>
      </c>
      <c r="Q795">
        <f t="shared" si="562"/>
        <v>73.400000000000006</v>
      </c>
      <c r="R795">
        <f t="shared" si="563"/>
        <v>60.6</v>
      </c>
      <c r="S795">
        <f t="shared" si="564"/>
        <v>66.3</v>
      </c>
      <c r="V795" s="6">
        <f t="shared" si="565"/>
        <v>45451.666666666664</v>
      </c>
      <c r="W795">
        <f t="shared" si="566"/>
        <v>21.6</v>
      </c>
      <c r="X795">
        <f t="shared" si="567"/>
        <v>28.4</v>
      </c>
      <c r="Y795">
        <f t="shared" si="568"/>
        <v>18.2</v>
      </c>
      <c r="Z795">
        <f t="shared" si="569"/>
        <v>22.6</v>
      </c>
    </row>
    <row r="796" spans="1:26" x14ac:dyDescent="0.2">
      <c r="A796" s="1">
        <v>45451</v>
      </c>
      <c r="B796" s="2">
        <v>0.70833333333333337</v>
      </c>
      <c r="C796" s="6">
        <v>45451.708333333336</v>
      </c>
      <c r="D796">
        <v>64.599999999999994</v>
      </c>
      <c r="E796">
        <v>70.2</v>
      </c>
      <c r="F796">
        <v>58.1</v>
      </c>
      <c r="G796" t="s">
        <v>6</v>
      </c>
      <c r="H796">
        <v>20.7</v>
      </c>
      <c r="I796">
        <v>24</v>
      </c>
      <c r="J796">
        <v>17.7</v>
      </c>
      <c r="K796" t="s">
        <v>6</v>
      </c>
      <c r="L796">
        <v>227</v>
      </c>
      <c r="M796" t="s">
        <v>6</v>
      </c>
      <c r="O796" s="6">
        <f t="shared" si="560"/>
        <v>45451.708333333336</v>
      </c>
      <c r="P796">
        <f t="shared" si="561"/>
        <v>64.599999999999994</v>
      </c>
      <c r="Q796">
        <f t="shared" si="562"/>
        <v>70.2</v>
      </c>
      <c r="R796">
        <f t="shared" si="563"/>
        <v>58.1</v>
      </c>
      <c r="S796">
        <f t="shared" si="564"/>
        <v>65.599999999999994</v>
      </c>
      <c r="V796" s="6">
        <f t="shared" si="565"/>
        <v>45451.708333333336</v>
      </c>
      <c r="W796">
        <f t="shared" si="566"/>
        <v>20.7</v>
      </c>
      <c r="X796">
        <f t="shared" si="567"/>
        <v>24</v>
      </c>
      <c r="Y796">
        <f t="shared" si="568"/>
        <v>17.7</v>
      </c>
      <c r="Z796">
        <f t="shared" si="569"/>
        <v>21.7</v>
      </c>
    </row>
    <row r="797" spans="1:26" x14ac:dyDescent="0.2">
      <c r="A797" s="1">
        <v>45451</v>
      </c>
      <c r="B797" s="2">
        <v>0.75</v>
      </c>
      <c r="C797" s="6">
        <v>45451.75</v>
      </c>
      <c r="D797">
        <v>65.599999999999994</v>
      </c>
      <c r="E797">
        <v>78.099999999999994</v>
      </c>
      <c r="F797">
        <v>58.7</v>
      </c>
      <c r="G797" t="s">
        <v>6</v>
      </c>
      <c r="H797">
        <v>21.7</v>
      </c>
      <c r="I797">
        <v>25.2</v>
      </c>
      <c r="J797">
        <v>15.1</v>
      </c>
      <c r="K797" t="s">
        <v>6</v>
      </c>
      <c r="L797">
        <v>208</v>
      </c>
      <c r="M797" t="s">
        <v>6</v>
      </c>
      <c r="O797" s="6">
        <f t="shared" si="560"/>
        <v>45451.75</v>
      </c>
      <c r="P797">
        <f t="shared" si="561"/>
        <v>65.599999999999994</v>
      </c>
      <c r="Q797">
        <f t="shared" si="562"/>
        <v>78.099999999999994</v>
      </c>
      <c r="R797">
        <f t="shared" si="563"/>
        <v>58.7</v>
      </c>
      <c r="S797">
        <f t="shared" si="564"/>
        <v>66.599999999999994</v>
      </c>
      <c r="V797" s="6">
        <f t="shared" si="565"/>
        <v>45451.75</v>
      </c>
      <c r="W797">
        <f t="shared" si="566"/>
        <v>21.7</v>
      </c>
      <c r="X797">
        <f t="shared" si="567"/>
        <v>25.2</v>
      </c>
      <c r="Y797">
        <f t="shared" si="568"/>
        <v>15.1</v>
      </c>
      <c r="Z797">
        <f t="shared" si="569"/>
        <v>22.7</v>
      </c>
    </row>
    <row r="798" spans="1:26" x14ac:dyDescent="0.2">
      <c r="A798" s="1">
        <v>45451</v>
      </c>
      <c r="B798" s="2">
        <v>0.79166666666666663</v>
      </c>
      <c r="C798" s="6">
        <v>45451.791666666664</v>
      </c>
      <c r="D798">
        <v>62.6</v>
      </c>
      <c r="E798">
        <v>73.8</v>
      </c>
      <c r="F798">
        <v>55.4</v>
      </c>
      <c r="G798" t="s">
        <v>6</v>
      </c>
      <c r="H798">
        <v>21</v>
      </c>
      <c r="I798">
        <v>27.7</v>
      </c>
      <c r="J798">
        <v>18.2</v>
      </c>
      <c r="K798" t="s">
        <v>6</v>
      </c>
      <c r="L798">
        <v>222</v>
      </c>
      <c r="M798" t="s">
        <v>6</v>
      </c>
      <c r="O798" s="6">
        <f t="shared" si="560"/>
        <v>45451.791666666664</v>
      </c>
      <c r="P798">
        <f t="shared" si="561"/>
        <v>62.6</v>
      </c>
      <c r="Q798">
        <f t="shared" si="562"/>
        <v>73.8</v>
      </c>
      <c r="R798">
        <f t="shared" si="563"/>
        <v>55.4</v>
      </c>
      <c r="S798">
        <f t="shared" si="564"/>
        <v>63.6</v>
      </c>
      <c r="V798" s="6">
        <f t="shared" si="565"/>
        <v>45451.791666666664</v>
      </c>
      <c r="W798">
        <f t="shared" si="566"/>
        <v>21</v>
      </c>
      <c r="X798">
        <f t="shared" si="567"/>
        <v>27.7</v>
      </c>
      <c r="Y798">
        <f t="shared" si="568"/>
        <v>18.2</v>
      </c>
      <c r="Z798">
        <f t="shared" si="569"/>
        <v>22</v>
      </c>
    </row>
    <row r="799" spans="1:26" x14ac:dyDescent="0.2">
      <c r="A799" s="1">
        <v>45451</v>
      </c>
      <c r="B799" s="2">
        <v>0.83333333333333337</v>
      </c>
      <c r="C799" s="6">
        <v>45451.833333333336</v>
      </c>
      <c r="D799">
        <v>71.599999999999994</v>
      </c>
      <c r="E799">
        <v>87.2</v>
      </c>
      <c r="F799">
        <v>55.1</v>
      </c>
      <c r="G799" t="s">
        <v>6</v>
      </c>
      <c r="H799">
        <v>21.9</v>
      </c>
      <c r="I799">
        <v>25.8</v>
      </c>
      <c r="J799">
        <v>19.5</v>
      </c>
      <c r="K799" t="s">
        <v>6</v>
      </c>
      <c r="L799">
        <v>173</v>
      </c>
      <c r="M799" t="s">
        <v>6</v>
      </c>
      <c r="O799" s="6">
        <f t="shared" si="560"/>
        <v>45451.833333333336</v>
      </c>
      <c r="P799">
        <f t="shared" si="561"/>
        <v>71.599999999999994</v>
      </c>
      <c r="Q799">
        <f t="shared" si="562"/>
        <v>87.2</v>
      </c>
      <c r="R799">
        <f t="shared" si="563"/>
        <v>55.1</v>
      </c>
      <c r="S799">
        <f t="shared" si="564"/>
        <v>72.599999999999994</v>
      </c>
      <c r="V799" s="6">
        <f t="shared" si="565"/>
        <v>45451.833333333336</v>
      </c>
      <c r="W799">
        <f t="shared" si="566"/>
        <v>21.9</v>
      </c>
      <c r="X799">
        <f t="shared" si="567"/>
        <v>25.8</v>
      </c>
      <c r="Y799">
        <f t="shared" si="568"/>
        <v>19.5</v>
      </c>
      <c r="Z799">
        <f t="shared" si="569"/>
        <v>22.9</v>
      </c>
    </row>
    <row r="800" spans="1:26" x14ac:dyDescent="0.2">
      <c r="A800" s="1">
        <v>45451</v>
      </c>
      <c r="B800" s="2">
        <v>0.875</v>
      </c>
      <c r="C800" s="6">
        <v>45451.875</v>
      </c>
      <c r="D800">
        <v>80.2</v>
      </c>
      <c r="E800">
        <v>94.5</v>
      </c>
      <c r="F800">
        <v>52.3</v>
      </c>
      <c r="G800" t="s">
        <v>6</v>
      </c>
      <c r="H800">
        <v>22</v>
      </c>
      <c r="I800">
        <v>25.8</v>
      </c>
      <c r="J800">
        <v>18.600000000000001</v>
      </c>
      <c r="K800" t="s">
        <v>6</v>
      </c>
      <c r="L800">
        <v>229</v>
      </c>
      <c r="M800" t="s">
        <v>6</v>
      </c>
      <c r="O800" s="6">
        <f t="shared" si="560"/>
        <v>45451.875</v>
      </c>
      <c r="P800">
        <f t="shared" si="561"/>
        <v>80.2</v>
      </c>
      <c r="Q800">
        <f t="shared" si="562"/>
        <v>94.5</v>
      </c>
      <c r="R800">
        <f t="shared" si="563"/>
        <v>52.3</v>
      </c>
      <c r="S800">
        <f t="shared" si="564"/>
        <v>81.2</v>
      </c>
      <c r="V800" s="6">
        <f t="shared" si="565"/>
        <v>45451.875</v>
      </c>
      <c r="W800">
        <f t="shared" si="566"/>
        <v>22</v>
      </c>
      <c r="X800">
        <f t="shared" si="567"/>
        <v>25.8</v>
      </c>
      <c r="Y800">
        <f t="shared" si="568"/>
        <v>18.600000000000001</v>
      </c>
      <c r="Z800">
        <f t="shared" si="569"/>
        <v>23</v>
      </c>
    </row>
    <row r="801" spans="1:26" x14ac:dyDescent="0.2">
      <c r="A801" s="1">
        <v>45451</v>
      </c>
      <c r="B801" s="2">
        <v>0.91666666666666663</v>
      </c>
      <c r="C801" s="6">
        <v>45451.916666666664</v>
      </c>
      <c r="D801">
        <v>65.400000000000006</v>
      </c>
      <c r="E801">
        <v>86.5</v>
      </c>
      <c r="F801">
        <v>54.2</v>
      </c>
      <c r="G801" t="s">
        <v>6</v>
      </c>
      <c r="H801">
        <v>21.1</v>
      </c>
      <c r="I801">
        <v>26.4</v>
      </c>
      <c r="J801">
        <v>15.5</v>
      </c>
      <c r="K801" t="s">
        <v>6</v>
      </c>
      <c r="L801">
        <v>221</v>
      </c>
      <c r="M801" t="s">
        <v>6</v>
      </c>
      <c r="O801" s="6">
        <f t="shared" si="560"/>
        <v>45451.916666666664</v>
      </c>
      <c r="P801">
        <f t="shared" si="561"/>
        <v>65.400000000000006</v>
      </c>
      <c r="Q801">
        <f t="shared" si="562"/>
        <v>86.5</v>
      </c>
      <c r="R801">
        <f t="shared" si="563"/>
        <v>54.2</v>
      </c>
      <c r="S801">
        <f t="shared" si="564"/>
        <v>66.400000000000006</v>
      </c>
      <c r="V801" s="6">
        <f t="shared" si="565"/>
        <v>45451.916666666664</v>
      </c>
      <c r="W801">
        <f t="shared" si="566"/>
        <v>21.1</v>
      </c>
      <c r="X801">
        <f t="shared" si="567"/>
        <v>26.4</v>
      </c>
      <c r="Y801">
        <f t="shared" si="568"/>
        <v>15.5</v>
      </c>
      <c r="Z801">
        <f t="shared" si="569"/>
        <v>22.1</v>
      </c>
    </row>
    <row r="802" spans="1:26" x14ac:dyDescent="0.2">
      <c r="A802" s="1">
        <v>45451</v>
      </c>
      <c r="B802" s="2">
        <v>0.95833333333333337</v>
      </c>
      <c r="C802" s="6">
        <v>45451.958333333336</v>
      </c>
      <c r="D802">
        <v>73</v>
      </c>
      <c r="E802">
        <v>83.1</v>
      </c>
      <c r="F802">
        <v>55.8</v>
      </c>
      <c r="G802" t="s">
        <v>6</v>
      </c>
      <c r="H802">
        <v>18.399999999999999</v>
      </c>
      <c r="I802">
        <v>23</v>
      </c>
      <c r="J802">
        <v>11.5</v>
      </c>
      <c r="K802" t="s">
        <v>6</v>
      </c>
      <c r="L802">
        <v>99</v>
      </c>
      <c r="M802" t="s">
        <v>6</v>
      </c>
      <c r="O802" s="6">
        <f t="shared" si="560"/>
        <v>45451.958333333336</v>
      </c>
      <c r="P802">
        <f t="shared" si="561"/>
        <v>73</v>
      </c>
      <c r="Q802">
        <f t="shared" si="562"/>
        <v>83.1</v>
      </c>
      <c r="R802">
        <f t="shared" si="563"/>
        <v>55.8</v>
      </c>
      <c r="S802">
        <f t="shared" si="564"/>
        <v>74</v>
      </c>
      <c r="V802" s="6">
        <f t="shared" si="565"/>
        <v>45451.958333333336</v>
      </c>
      <c r="W802">
        <f t="shared" si="566"/>
        <v>18.399999999999999</v>
      </c>
      <c r="X802">
        <f t="shared" si="567"/>
        <v>23</v>
      </c>
      <c r="Y802">
        <f t="shared" si="568"/>
        <v>11.5</v>
      </c>
      <c r="Z802">
        <f t="shared" si="569"/>
        <v>19.399999999999999</v>
      </c>
    </row>
    <row r="803" spans="1:26" x14ac:dyDescent="0.2">
      <c r="A803" s="1">
        <v>45452</v>
      </c>
      <c r="B803" s="2">
        <v>4.1666666666666664E-2</v>
      </c>
      <c r="C803" s="6">
        <v>45452.041666666664</v>
      </c>
      <c r="D803">
        <v>72.599999999999994</v>
      </c>
      <c r="E803">
        <v>81.8</v>
      </c>
      <c r="F803">
        <v>62.2</v>
      </c>
      <c r="G803" t="s">
        <v>6</v>
      </c>
      <c r="H803">
        <v>20.100000000000001</v>
      </c>
      <c r="I803">
        <v>23</v>
      </c>
      <c r="J803">
        <v>15.8</v>
      </c>
      <c r="K803" t="s">
        <v>6</v>
      </c>
      <c r="L803">
        <v>114</v>
      </c>
      <c r="M803" t="s">
        <v>6</v>
      </c>
      <c r="O803" s="6">
        <f t="shared" si="560"/>
        <v>45452.041666666664</v>
      </c>
      <c r="P803">
        <f t="shared" si="561"/>
        <v>72.599999999999994</v>
      </c>
      <c r="Q803">
        <f t="shared" si="562"/>
        <v>81.8</v>
      </c>
      <c r="R803">
        <f t="shared" si="563"/>
        <v>62.2</v>
      </c>
      <c r="S803">
        <f t="shared" si="564"/>
        <v>73.599999999999994</v>
      </c>
      <c r="V803" s="6">
        <f t="shared" si="565"/>
        <v>45452.041666666664</v>
      </c>
      <c r="W803">
        <f t="shared" si="566"/>
        <v>20.100000000000001</v>
      </c>
      <c r="X803">
        <f t="shared" si="567"/>
        <v>23</v>
      </c>
      <c r="Y803">
        <f t="shared" si="568"/>
        <v>15.8</v>
      </c>
      <c r="Z803">
        <f t="shared" si="569"/>
        <v>21.1</v>
      </c>
    </row>
    <row r="804" spans="1:26" x14ac:dyDescent="0.2">
      <c r="A804" s="1">
        <v>45452</v>
      </c>
      <c r="B804" s="2">
        <v>8.3333333333333329E-2</v>
      </c>
      <c r="C804" s="6">
        <v>45452.083333333336</v>
      </c>
      <c r="D804">
        <v>68.5</v>
      </c>
      <c r="E804">
        <v>79.5</v>
      </c>
      <c r="F804">
        <v>58</v>
      </c>
      <c r="G804" t="s">
        <v>6</v>
      </c>
      <c r="H804">
        <v>18.100000000000001</v>
      </c>
      <c r="I804">
        <v>23.9</v>
      </c>
      <c r="J804">
        <v>14.9</v>
      </c>
      <c r="K804" t="s">
        <v>6</v>
      </c>
      <c r="L804">
        <v>194</v>
      </c>
      <c r="M804" t="s">
        <v>6</v>
      </c>
      <c r="O804" s="6">
        <f t="shared" si="560"/>
        <v>45452.083333333336</v>
      </c>
      <c r="P804">
        <f t="shared" si="561"/>
        <v>68.5</v>
      </c>
      <c r="Q804">
        <f t="shared" si="562"/>
        <v>79.5</v>
      </c>
      <c r="R804">
        <f t="shared" si="563"/>
        <v>58</v>
      </c>
      <c r="S804">
        <f t="shared" si="564"/>
        <v>69.5</v>
      </c>
      <c r="V804" s="6">
        <f t="shared" si="565"/>
        <v>45452.083333333336</v>
      </c>
      <c r="W804">
        <f t="shared" si="566"/>
        <v>18.100000000000001</v>
      </c>
      <c r="X804">
        <f t="shared" si="567"/>
        <v>23.9</v>
      </c>
      <c r="Y804">
        <f t="shared" si="568"/>
        <v>14.9</v>
      </c>
      <c r="Z804">
        <f t="shared" si="569"/>
        <v>19.100000000000001</v>
      </c>
    </row>
    <row r="805" spans="1:26" x14ac:dyDescent="0.2">
      <c r="A805" s="1">
        <v>45452</v>
      </c>
      <c r="B805" s="2">
        <v>0.125</v>
      </c>
      <c r="C805" s="6">
        <v>45452.125</v>
      </c>
      <c r="D805">
        <v>73.599999999999994</v>
      </c>
      <c r="E805">
        <v>82</v>
      </c>
      <c r="F805">
        <v>65.099999999999994</v>
      </c>
      <c r="G805" t="s">
        <v>6</v>
      </c>
      <c r="H805">
        <v>19</v>
      </c>
      <c r="I805">
        <v>22.7</v>
      </c>
      <c r="J805">
        <v>15.3</v>
      </c>
      <c r="K805" t="s">
        <v>6</v>
      </c>
      <c r="L805">
        <v>218</v>
      </c>
      <c r="M805" t="s">
        <v>6</v>
      </c>
      <c r="O805" s="6">
        <f t="shared" si="560"/>
        <v>45452.125</v>
      </c>
      <c r="P805">
        <f t="shared" si="561"/>
        <v>73.599999999999994</v>
      </c>
      <c r="Q805">
        <f t="shared" si="562"/>
        <v>82</v>
      </c>
      <c r="R805">
        <f t="shared" si="563"/>
        <v>65.099999999999994</v>
      </c>
      <c r="S805">
        <f t="shared" si="564"/>
        <v>74.599999999999994</v>
      </c>
      <c r="V805" s="6">
        <f t="shared" si="565"/>
        <v>45452.125</v>
      </c>
      <c r="W805">
        <f t="shared" si="566"/>
        <v>19</v>
      </c>
      <c r="X805">
        <f t="shared" si="567"/>
        <v>22.7</v>
      </c>
      <c r="Y805">
        <f t="shared" si="568"/>
        <v>15.3</v>
      </c>
      <c r="Z805">
        <f t="shared" si="569"/>
        <v>20</v>
      </c>
    </row>
    <row r="806" spans="1:26" x14ac:dyDescent="0.2">
      <c r="A806" s="1">
        <v>45452</v>
      </c>
      <c r="B806" s="2">
        <v>0.16666666666666666</v>
      </c>
      <c r="C806" s="6">
        <v>45452.166666666664</v>
      </c>
      <c r="D806">
        <v>66.5</v>
      </c>
      <c r="E806">
        <v>70.7</v>
      </c>
      <c r="F806">
        <v>61.3</v>
      </c>
      <c r="G806" t="s">
        <v>6</v>
      </c>
      <c r="H806">
        <v>18.600000000000001</v>
      </c>
      <c r="I806">
        <v>26.7</v>
      </c>
      <c r="J806">
        <v>15</v>
      </c>
      <c r="K806" t="s">
        <v>6</v>
      </c>
      <c r="L806">
        <v>224</v>
      </c>
      <c r="M806" t="s">
        <v>6</v>
      </c>
      <c r="O806" s="6">
        <f t="shared" si="560"/>
        <v>45452.166666666664</v>
      </c>
      <c r="P806">
        <f t="shared" si="561"/>
        <v>66.5</v>
      </c>
      <c r="Q806">
        <f t="shared" si="562"/>
        <v>70.7</v>
      </c>
      <c r="R806">
        <f t="shared" si="563"/>
        <v>61.3</v>
      </c>
      <c r="S806">
        <f t="shared" si="564"/>
        <v>67.5</v>
      </c>
      <c r="V806" s="6">
        <f t="shared" si="565"/>
        <v>45452.166666666664</v>
      </c>
      <c r="W806">
        <f t="shared" si="566"/>
        <v>18.600000000000001</v>
      </c>
      <c r="X806">
        <f t="shared" si="567"/>
        <v>26.7</v>
      </c>
      <c r="Y806">
        <f t="shared" si="568"/>
        <v>15</v>
      </c>
      <c r="Z806">
        <f t="shared" si="569"/>
        <v>19.600000000000001</v>
      </c>
    </row>
    <row r="807" spans="1:26" x14ac:dyDescent="0.2">
      <c r="A807" s="1">
        <v>45452</v>
      </c>
      <c r="B807" s="2">
        <v>0.20833333333333334</v>
      </c>
      <c r="C807" s="6">
        <v>45452.208333333336</v>
      </c>
      <c r="D807">
        <v>65.400000000000006</v>
      </c>
      <c r="E807">
        <v>72.7</v>
      </c>
      <c r="F807">
        <v>60.3</v>
      </c>
      <c r="G807" t="s">
        <v>6</v>
      </c>
      <c r="H807">
        <v>18.600000000000001</v>
      </c>
      <c r="I807">
        <v>22.5</v>
      </c>
      <c r="J807">
        <v>15.1</v>
      </c>
      <c r="K807" t="s">
        <v>6</v>
      </c>
      <c r="L807">
        <v>215</v>
      </c>
      <c r="M807" t="s">
        <v>6</v>
      </c>
      <c r="O807" s="6">
        <f t="shared" si="560"/>
        <v>45452.208333333336</v>
      </c>
      <c r="P807">
        <f t="shared" si="561"/>
        <v>65.400000000000006</v>
      </c>
      <c r="Q807">
        <f t="shared" si="562"/>
        <v>72.7</v>
      </c>
      <c r="R807">
        <f t="shared" si="563"/>
        <v>60.3</v>
      </c>
      <c r="S807">
        <f t="shared" si="564"/>
        <v>66.400000000000006</v>
      </c>
      <c r="V807" s="6">
        <f t="shared" si="565"/>
        <v>45452.208333333336</v>
      </c>
      <c r="W807">
        <f t="shared" si="566"/>
        <v>18.600000000000001</v>
      </c>
      <c r="X807">
        <f t="shared" si="567"/>
        <v>22.5</v>
      </c>
      <c r="Y807">
        <f t="shared" si="568"/>
        <v>15.1</v>
      </c>
      <c r="Z807">
        <f t="shared" si="569"/>
        <v>19.600000000000001</v>
      </c>
    </row>
    <row r="808" spans="1:26" x14ac:dyDescent="0.2">
      <c r="A808" s="1">
        <v>45452</v>
      </c>
      <c r="B808" s="2">
        <v>0.25</v>
      </c>
      <c r="C808" s="6">
        <v>45452.25</v>
      </c>
      <c r="D808">
        <v>65.5</v>
      </c>
      <c r="E808">
        <v>70.5</v>
      </c>
      <c r="F808">
        <v>57.8</v>
      </c>
      <c r="G808" t="s">
        <v>6</v>
      </c>
      <c r="H808">
        <v>18.399999999999999</v>
      </c>
      <c r="I808">
        <v>21.4</v>
      </c>
      <c r="J808">
        <v>14.7</v>
      </c>
      <c r="K808" t="s">
        <v>6</v>
      </c>
      <c r="L808">
        <v>219</v>
      </c>
      <c r="M808" t="s">
        <v>6</v>
      </c>
      <c r="O808" s="6">
        <f t="shared" si="560"/>
        <v>45452.25</v>
      </c>
      <c r="P808">
        <f t="shared" si="561"/>
        <v>65.5</v>
      </c>
      <c r="Q808">
        <f t="shared" si="562"/>
        <v>70.5</v>
      </c>
      <c r="R808">
        <f t="shared" si="563"/>
        <v>57.8</v>
      </c>
      <c r="S808">
        <f t="shared" si="564"/>
        <v>66.5</v>
      </c>
      <c r="V808" s="6">
        <f t="shared" si="565"/>
        <v>45452.25</v>
      </c>
      <c r="W808">
        <f t="shared" si="566"/>
        <v>18.399999999999999</v>
      </c>
      <c r="X808">
        <f t="shared" si="567"/>
        <v>21.4</v>
      </c>
      <c r="Y808">
        <f t="shared" si="568"/>
        <v>14.7</v>
      </c>
      <c r="Z808">
        <f t="shared" si="569"/>
        <v>19.399999999999999</v>
      </c>
    </row>
    <row r="809" spans="1:26" x14ac:dyDescent="0.2">
      <c r="A809" s="1">
        <v>45452</v>
      </c>
      <c r="B809" s="2">
        <v>0.29166666666666669</v>
      </c>
      <c r="C809" s="6">
        <v>45452.291666666664</v>
      </c>
      <c r="D809">
        <v>61.7</v>
      </c>
      <c r="E809">
        <v>68.099999999999994</v>
      </c>
      <c r="F809">
        <v>54.6</v>
      </c>
      <c r="G809" t="s">
        <v>6</v>
      </c>
      <c r="H809">
        <v>20.6</v>
      </c>
      <c r="I809">
        <v>25.6</v>
      </c>
      <c r="J809">
        <v>17.3</v>
      </c>
      <c r="K809" t="s">
        <v>6</v>
      </c>
      <c r="L809">
        <v>169</v>
      </c>
      <c r="M809" t="s">
        <v>6</v>
      </c>
      <c r="O809" s="6">
        <f t="shared" si="560"/>
        <v>45452.291666666664</v>
      </c>
      <c r="P809">
        <f t="shared" si="561"/>
        <v>61.7</v>
      </c>
      <c r="Q809">
        <f t="shared" si="562"/>
        <v>68.099999999999994</v>
      </c>
      <c r="R809">
        <f t="shared" si="563"/>
        <v>54.6</v>
      </c>
      <c r="S809">
        <f t="shared" si="564"/>
        <v>62.7</v>
      </c>
      <c r="V809" s="6">
        <f t="shared" si="565"/>
        <v>45452.291666666664</v>
      </c>
      <c r="W809">
        <f t="shared" si="566"/>
        <v>20.6</v>
      </c>
      <c r="X809">
        <f t="shared" si="567"/>
        <v>25.6</v>
      </c>
      <c r="Y809">
        <f t="shared" si="568"/>
        <v>17.3</v>
      </c>
      <c r="Z809">
        <f t="shared" si="569"/>
        <v>21.6</v>
      </c>
    </row>
    <row r="810" spans="1:26" x14ac:dyDescent="0.2">
      <c r="A810" s="14">
        <v>45452</v>
      </c>
      <c r="B810" s="7">
        <v>0.33333333333333331</v>
      </c>
      <c r="C810" s="8">
        <v>45452.333333333336</v>
      </c>
      <c r="D810" s="9">
        <v>70.7</v>
      </c>
      <c r="E810" s="9">
        <v>88.8</v>
      </c>
      <c r="F810" s="9">
        <v>53.6</v>
      </c>
      <c r="G810" s="9" t="s">
        <v>6</v>
      </c>
      <c r="H810" s="9">
        <v>17.8</v>
      </c>
      <c r="I810" s="9">
        <v>22.2</v>
      </c>
      <c r="J810" s="9">
        <v>14.1</v>
      </c>
      <c r="K810" s="9" t="s">
        <v>6</v>
      </c>
      <c r="L810" s="9">
        <v>216</v>
      </c>
      <c r="M810" t="s">
        <v>6</v>
      </c>
      <c r="O810" s="6">
        <f t="shared" si="560"/>
        <v>45452.333333333336</v>
      </c>
      <c r="P810">
        <f t="shared" si="561"/>
        <v>70.7</v>
      </c>
      <c r="Q810">
        <f t="shared" si="562"/>
        <v>88.8</v>
      </c>
      <c r="R810">
        <f t="shared" si="563"/>
        <v>53.6</v>
      </c>
      <c r="S810">
        <f t="shared" si="564"/>
        <v>71.7</v>
      </c>
      <c r="V810" s="6">
        <f t="shared" si="565"/>
        <v>45452.333333333336</v>
      </c>
      <c r="W810">
        <f t="shared" si="566"/>
        <v>17.8</v>
      </c>
      <c r="X810">
        <f t="shared" si="567"/>
        <v>22.2</v>
      </c>
      <c r="Y810">
        <f t="shared" si="568"/>
        <v>14.1</v>
      </c>
      <c r="Z810">
        <f t="shared" si="569"/>
        <v>18.8</v>
      </c>
    </row>
    <row r="811" spans="1:26" x14ac:dyDescent="0.2">
      <c r="A811" s="13">
        <v>45452</v>
      </c>
      <c r="B811" s="3">
        <v>0.375</v>
      </c>
      <c r="C811" s="4">
        <v>45452.375</v>
      </c>
      <c r="D811" s="5">
        <v>67</v>
      </c>
      <c r="E811" s="5">
        <v>75.7</v>
      </c>
      <c r="F811" s="5">
        <v>61.4</v>
      </c>
      <c r="G811" s="5" t="s">
        <v>6</v>
      </c>
      <c r="H811" s="5">
        <v>17.399999999999999</v>
      </c>
      <c r="I811" s="5">
        <v>21.9</v>
      </c>
      <c r="J811" s="5">
        <v>14.5</v>
      </c>
      <c r="K811" s="5" t="s">
        <v>6</v>
      </c>
      <c r="L811" s="5">
        <v>221</v>
      </c>
      <c r="M811" t="s">
        <v>6</v>
      </c>
      <c r="O811" s="6">
        <f t="shared" si="560"/>
        <v>45452.375</v>
      </c>
      <c r="P811">
        <f t="shared" si="561"/>
        <v>67</v>
      </c>
      <c r="Q811">
        <f t="shared" si="562"/>
        <v>75.7</v>
      </c>
      <c r="R811">
        <f t="shared" si="563"/>
        <v>61.4</v>
      </c>
      <c r="S811">
        <f t="shared" si="564"/>
        <v>68</v>
      </c>
      <c r="V811" s="6">
        <f t="shared" si="565"/>
        <v>45452.375</v>
      </c>
      <c r="W811">
        <f t="shared" si="566"/>
        <v>17.399999999999999</v>
      </c>
      <c r="X811">
        <f t="shared" si="567"/>
        <v>21.9</v>
      </c>
      <c r="Y811">
        <f t="shared" si="568"/>
        <v>14.5</v>
      </c>
      <c r="Z811">
        <f t="shared" si="569"/>
        <v>18.399999999999999</v>
      </c>
    </row>
    <row r="812" spans="1:26" x14ac:dyDescent="0.2">
      <c r="A812" s="1">
        <v>45452</v>
      </c>
      <c r="B812" s="2">
        <v>0.41666666666666669</v>
      </c>
      <c r="C812" s="6">
        <v>45452.416666666664</v>
      </c>
      <c r="D812">
        <v>64.3</v>
      </c>
      <c r="E812">
        <v>69.5</v>
      </c>
      <c r="F812">
        <v>56.2</v>
      </c>
      <c r="G812" t="s">
        <v>6</v>
      </c>
      <c r="H812">
        <v>18.7</v>
      </c>
      <c r="I812">
        <v>22.5</v>
      </c>
      <c r="J812">
        <v>15.8</v>
      </c>
      <c r="K812" t="s">
        <v>6</v>
      </c>
      <c r="L812">
        <v>217</v>
      </c>
      <c r="M812" t="s">
        <v>6</v>
      </c>
      <c r="O812" s="6">
        <f t="shared" si="560"/>
        <v>45452.416666666664</v>
      </c>
      <c r="P812">
        <f t="shared" si="561"/>
        <v>64.3</v>
      </c>
      <c r="Q812">
        <f t="shared" si="562"/>
        <v>69.5</v>
      </c>
      <c r="R812">
        <f t="shared" si="563"/>
        <v>56.2</v>
      </c>
      <c r="S812">
        <f t="shared" si="564"/>
        <v>65.3</v>
      </c>
      <c r="V812" s="6">
        <f t="shared" si="565"/>
        <v>45452.416666666664</v>
      </c>
      <c r="W812">
        <f t="shared" si="566"/>
        <v>18.7</v>
      </c>
      <c r="X812">
        <f t="shared" si="567"/>
        <v>22.5</v>
      </c>
      <c r="Y812">
        <f t="shared" si="568"/>
        <v>15.8</v>
      </c>
      <c r="Z812">
        <f t="shared" si="569"/>
        <v>19.7</v>
      </c>
    </row>
    <row r="813" spans="1:26" x14ac:dyDescent="0.2">
      <c r="A813" s="1">
        <v>45452</v>
      </c>
      <c r="B813" s="2">
        <v>0.45833333333333331</v>
      </c>
      <c r="C813" s="6">
        <v>45452.458333333336</v>
      </c>
      <c r="D813">
        <v>58.3</v>
      </c>
      <c r="E813">
        <v>66.2</v>
      </c>
      <c r="F813">
        <v>51.6</v>
      </c>
      <c r="G813" t="s">
        <v>6</v>
      </c>
      <c r="H813">
        <v>21.6</v>
      </c>
      <c r="I813">
        <v>30.8</v>
      </c>
      <c r="J813">
        <v>16.899999999999999</v>
      </c>
      <c r="K813" t="s">
        <v>6</v>
      </c>
      <c r="L813">
        <v>154</v>
      </c>
      <c r="M813" t="s">
        <v>6</v>
      </c>
      <c r="O813" s="6">
        <f t="shared" si="560"/>
        <v>45452.458333333336</v>
      </c>
      <c r="P813">
        <f t="shared" si="561"/>
        <v>58.3</v>
      </c>
      <c r="Q813">
        <f t="shared" si="562"/>
        <v>66.2</v>
      </c>
      <c r="R813">
        <f t="shared" si="563"/>
        <v>51.6</v>
      </c>
      <c r="S813">
        <f t="shared" si="564"/>
        <v>59.3</v>
      </c>
      <c r="V813" s="6">
        <f t="shared" si="565"/>
        <v>45452.458333333336</v>
      </c>
      <c r="W813">
        <f t="shared" si="566"/>
        <v>21.6</v>
      </c>
      <c r="X813">
        <f t="shared" si="567"/>
        <v>30.8</v>
      </c>
      <c r="Y813">
        <f t="shared" si="568"/>
        <v>16.899999999999999</v>
      </c>
      <c r="Z813">
        <f t="shared" si="569"/>
        <v>22.6</v>
      </c>
    </row>
    <row r="814" spans="1:26" x14ac:dyDescent="0.2">
      <c r="A814" s="1">
        <v>45452</v>
      </c>
      <c r="B814" s="2">
        <v>0.5</v>
      </c>
      <c r="C814" s="6">
        <v>45452.5</v>
      </c>
      <c r="D814">
        <v>53.8</v>
      </c>
      <c r="E814">
        <v>57</v>
      </c>
      <c r="F814">
        <v>50.3</v>
      </c>
      <c r="G814" t="s">
        <v>6</v>
      </c>
      <c r="H814">
        <v>21.4</v>
      </c>
      <c r="I814">
        <v>24.7</v>
      </c>
      <c r="J814">
        <v>16</v>
      </c>
      <c r="K814" t="s">
        <v>6</v>
      </c>
      <c r="L814">
        <v>203</v>
      </c>
      <c r="M814" t="s">
        <v>6</v>
      </c>
      <c r="O814" s="6">
        <f t="shared" si="560"/>
        <v>45452.5</v>
      </c>
      <c r="P814">
        <f t="shared" si="561"/>
        <v>53.8</v>
      </c>
      <c r="Q814">
        <f t="shared" si="562"/>
        <v>57</v>
      </c>
      <c r="R814">
        <f t="shared" si="563"/>
        <v>50.3</v>
      </c>
      <c r="S814">
        <f t="shared" si="564"/>
        <v>54.8</v>
      </c>
      <c r="V814" s="6">
        <f t="shared" si="565"/>
        <v>45452.5</v>
      </c>
      <c r="W814">
        <f t="shared" si="566"/>
        <v>21.4</v>
      </c>
      <c r="X814">
        <f t="shared" si="567"/>
        <v>24.7</v>
      </c>
      <c r="Y814">
        <f t="shared" si="568"/>
        <v>16</v>
      </c>
      <c r="Z814">
        <f t="shared" si="569"/>
        <v>22.4</v>
      </c>
    </row>
    <row r="815" spans="1:26" x14ac:dyDescent="0.2">
      <c r="A815" s="1">
        <v>45452</v>
      </c>
      <c r="B815" s="2">
        <v>0.54166666666666663</v>
      </c>
      <c r="C815" s="6">
        <v>45452.541666666664</v>
      </c>
      <c r="D815">
        <v>55.6</v>
      </c>
      <c r="E815">
        <v>60.6</v>
      </c>
      <c r="F815">
        <v>49.5</v>
      </c>
      <c r="G815" t="s">
        <v>6</v>
      </c>
      <c r="H815">
        <v>20.100000000000001</v>
      </c>
      <c r="I815">
        <v>23.6</v>
      </c>
      <c r="J815">
        <v>17.3</v>
      </c>
      <c r="K815" t="s">
        <v>6</v>
      </c>
      <c r="L815">
        <v>231</v>
      </c>
      <c r="M815" t="s">
        <v>6</v>
      </c>
      <c r="O815" s="6">
        <f t="shared" si="560"/>
        <v>45452.541666666664</v>
      </c>
      <c r="P815">
        <f t="shared" si="561"/>
        <v>55.6</v>
      </c>
      <c r="Q815">
        <f t="shared" si="562"/>
        <v>60.6</v>
      </c>
      <c r="R815">
        <f t="shared" si="563"/>
        <v>49.5</v>
      </c>
      <c r="S815">
        <f t="shared" si="564"/>
        <v>56.6</v>
      </c>
      <c r="V815" s="6">
        <f t="shared" si="565"/>
        <v>45452.541666666664</v>
      </c>
      <c r="W815">
        <f t="shared" si="566"/>
        <v>20.100000000000001</v>
      </c>
      <c r="X815">
        <f t="shared" si="567"/>
        <v>23.6</v>
      </c>
      <c r="Y815">
        <f t="shared" si="568"/>
        <v>17.3</v>
      </c>
      <c r="Z815">
        <f t="shared" si="569"/>
        <v>21.1</v>
      </c>
    </row>
    <row r="816" spans="1:26" x14ac:dyDescent="0.2">
      <c r="A816" s="1">
        <v>45452</v>
      </c>
      <c r="B816" s="2">
        <v>0.58333333333333337</v>
      </c>
      <c r="C816" s="6">
        <v>45452.583333333336</v>
      </c>
      <c r="D816">
        <v>61.8</v>
      </c>
      <c r="E816">
        <v>70.099999999999994</v>
      </c>
      <c r="F816">
        <v>53.7</v>
      </c>
      <c r="G816" t="s">
        <v>6</v>
      </c>
      <c r="H816">
        <v>19.8</v>
      </c>
      <c r="I816">
        <v>24.2</v>
      </c>
      <c r="J816">
        <v>16</v>
      </c>
      <c r="K816" t="s">
        <v>6</v>
      </c>
      <c r="L816">
        <v>186</v>
      </c>
      <c r="M816" t="s">
        <v>6</v>
      </c>
      <c r="O816" s="6">
        <f t="shared" si="560"/>
        <v>45452.583333333336</v>
      </c>
      <c r="P816">
        <f t="shared" si="561"/>
        <v>61.8</v>
      </c>
      <c r="Q816">
        <f t="shared" si="562"/>
        <v>70.099999999999994</v>
      </c>
      <c r="R816">
        <f t="shared" si="563"/>
        <v>53.7</v>
      </c>
      <c r="S816">
        <f t="shared" si="564"/>
        <v>62.8</v>
      </c>
      <c r="V816" s="6">
        <f t="shared" si="565"/>
        <v>45452.583333333336</v>
      </c>
      <c r="W816">
        <f t="shared" si="566"/>
        <v>19.8</v>
      </c>
      <c r="X816">
        <f t="shared" si="567"/>
        <v>24.2</v>
      </c>
      <c r="Y816">
        <f t="shared" si="568"/>
        <v>16</v>
      </c>
      <c r="Z816">
        <f t="shared" si="569"/>
        <v>20.8</v>
      </c>
    </row>
    <row r="817" spans="1:26" x14ac:dyDescent="0.2">
      <c r="A817" s="1">
        <v>45452</v>
      </c>
      <c r="B817" s="2">
        <v>0.625</v>
      </c>
      <c r="C817" s="6">
        <v>45452.625</v>
      </c>
      <c r="D817">
        <v>60.5</v>
      </c>
      <c r="E817">
        <v>67.8</v>
      </c>
      <c r="F817">
        <v>56.5</v>
      </c>
      <c r="G817" t="s">
        <v>6</v>
      </c>
      <c r="H817">
        <v>19</v>
      </c>
      <c r="I817">
        <v>23.3</v>
      </c>
      <c r="J817">
        <v>16.3</v>
      </c>
      <c r="K817" t="s">
        <v>6</v>
      </c>
      <c r="L817">
        <v>229</v>
      </c>
      <c r="M817" t="s">
        <v>6</v>
      </c>
      <c r="O817" s="6">
        <f t="shared" si="560"/>
        <v>45452.625</v>
      </c>
      <c r="P817">
        <f t="shared" si="561"/>
        <v>60.5</v>
      </c>
      <c r="Q817">
        <f t="shared" si="562"/>
        <v>67.8</v>
      </c>
      <c r="R817">
        <f t="shared" si="563"/>
        <v>56.5</v>
      </c>
      <c r="S817">
        <f t="shared" si="564"/>
        <v>61.5</v>
      </c>
      <c r="V817" s="6">
        <f t="shared" si="565"/>
        <v>45452.625</v>
      </c>
      <c r="W817">
        <f t="shared" si="566"/>
        <v>19</v>
      </c>
      <c r="X817">
        <f t="shared" si="567"/>
        <v>23.3</v>
      </c>
      <c r="Y817">
        <f t="shared" si="568"/>
        <v>16.3</v>
      </c>
      <c r="Z817">
        <f t="shared" si="569"/>
        <v>20</v>
      </c>
    </row>
    <row r="818" spans="1:26" x14ac:dyDescent="0.2">
      <c r="A818" s="1">
        <v>45452</v>
      </c>
      <c r="B818" s="2">
        <v>0.66666666666666663</v>
      </c>
      <c r="C818" s="6">
        <v>45452.666666666664</v>
      </c>
      <c r="D818">
        <v>60.4</v>
      </c>
      <c r="E818">
        <v>66.400000000000006</v>
      </c>
      <c r="F818">
        <v>54.4</v>
      </c>
      <c r="G818" t="s">
        <v>6</v>
      </c>
      <c r="H818">
        <v>21.1</v>
      </c>
      <c r="I818">
        <v>25.9</v>
      </c>
      <c r="J818">
        <v>15.8</v>
      </c>
      <c r="K818" t="s">
        <v>6</v>
      </c>
      <c r="L818">
        <v>196</v>
      </c>
      <c r="M818" t="s">
        <v>6</v>
      </c>
      <c r="O818" s="6">
        <f t="shared" si="560"/>
        <v>45452.666666666664</v>
      </c>
      <c r="P818">
        <f t="shared" si="561"/>
        <v>60.4</v>
      </c>
      <c r="Q818">
        <f t="shared" si="562"/>
        <v>66.400000000000006</v>
      </c>
      <c r="R818">
        <f t="shared" si="563"/>
        <v>54.4</v>
      </c>
      <c r="S818">
        <f t="shared" si="564"/>
        <v>61.4</v>
      </c>
      <c r="V818" s="6">
        <f t="shared" si="565"/>
        <v>45452.666666666664</v>
      </c>
      <c r="W818">
        <f t="shared" si="566"/>
        <v>21.1</v>
      </c>
      <c r="X818">
        <f t="shared" si="567"/>
        <v>25.9</v>
      </c>
      <c r="Y818">
        <f t="shared" si="568"/>
        <v>15.8</v>
      </c>
      <c r="Z818">
        <f t="shared" si="569"/>
        <v>22.1</v>
      </c>
    </row>
    <row r="819" spans="1:26" x14ac:dyDescent="0.2">
      <c r="A819" s="1">
        <v>45452</v>
      </c>
      <c r="B819" s="2">
        <v>0.70833333333333337</v>
      </c>
      <c r="C819" s="6">
        <v>45452.708333333336</v>
      </c>
      <c r="D819">
        <v>61.7</v>
      </c>
      <c r="E819">
        <v>67.8</v>
      </c>
      <c r="F819">
        <v>55.8</v>
      </c>
      <c r="G819" t="s">
        <v>6</v>
      </c>
      <c r="H819">
        <v>19.7</v>
      </c>
      <c r="I819">
        <v>28.5</v>
      </c>
      <c r="J819">
        <v>16.100000000000001</v>
      </c>
      <c r="K819" t="s">
        <v>6</v>
      </c>
      <c r="L819">
        <v>224</v>
      </c>
      <c r="M819" t="s">
        <v>6</v>
      </c>
      <c r="O819" s="6">
        <f t="shared" si="560"/>
        <v>45452.708333333336</v>
      </c>
      <c r="P819">
        <f t="shared" si="561"/>
        <v>61.7</v>
      </c>
      <c r="Q819">
        <f t="shared" si="562"/>
        <v>67.8</v>
      </c>
      <c r="R819">
        <f t="shared" si="563"/>
        <v>55.8</v>
      </c>
      <c r="S819">
        <f t="shared" si="564"/>
        <v>62.7</v>
      </c>
      <c r="V819" s="6">
        <f t="shared" si="565"/>
        <v>45452.708333333336</v>
      </c>
      <c r="W819">
        <f t="shared" si="566"/>
        <v>19.7</v>
      </c>
      <c r="X819">
        <f t="shared" si="567"/>
        <v>28.5</v>
      </c>
      <c r="Y819">
        <f t="shared" si="568"/>
        <v>16.100000000000001</v>
      </c>
      <c r="Z819">
        <f t="shared" si="569"/>
        <v>20.7</v>
      </c>
    </row>
    <row r="820" spans="1:26" x14ac:dyDescent="0.2">
      <c r="A820" s="1">
        <v>45452</v>
      </c>
      <c r="B820" s="2">
        <v>0.75</v>
      </c>
      <c r="C820" s="6">
        <v>45452.75</v>
      </c>
      <c r="D820">
        <v>59.1</v>
      </c>
      <c r="E820">
        <v>65.400000000000006</v>
      </c>
      <c r="F820">
        <v>52.2</v>
      </c>
      <c r="G820" t="s">
        <v>6</v>
      </c>
      <c r="H820">
        <v>21.7</v>
      </c>
      <c r="I820">
        <v>25</v>
      </c>
      <c r="J820">
        <v>17.899999999999999</v>
      </c>
      <c r="K820" t="s">
        <v>6</v>
      </c>
      <c r="L820">
        <v>216</v>
      </c>
      <c r="M820" t="s">
        <v>6</v>
      </c>
      <c r="O820" s="6">
        <f t="shared" si="560"/>
        <v>45452.75</v>
      </c>
      <c r="P820">
        <f t="shared" si="561"/>
        <v>59.1</v>
      </c>
      <c r="Q820">
        <f t="shared" si="562"/>
        <v>65.400000000000006</v>
      </c>
      <c r="R820">
        <f t="shared" si="563"/>
        <v>52.2</v>
      </c>
      <c r="S820">
        <f t="shared" si="564"/>
        <v>60.1</v>
      </c>
      <c r="V820" s="6">
        <f t="shared" si="565"/>
        <v>45452.75</v>
      </c>
      <c r="W820">
        <f t="shared" si="566"/>
        <v>21.7</v>
      </c>
      <c r="X820">
        <f t="shared" si="567"/>
        <v>25</v>
      </c>
      <c r="Y820">
        <f t="shared" si="568"/>
        <v>17.899999999999999</v>
      </c>
      <c r="Z820">
        <f t="shared" si="569"/>
        <v>22.7</v>
      </c>
    </row>
    <row r="821" spans="1:26" x14ac:dyDescent="0.2">
      <c r="A821" s="1">
        <v>45452</v>
      </c>
      <c r="B821" s="2">
        <v>0.79166666666666663</v>
      </c>
      <c r="C821" s="6">
        <v>45452.791666666664</v>
      </c>
      <c r="D821">
        <v>57.5</v>
      </c>
      <c r="E821">
        <v>64.400000000000006</v>
      </c>
      <c r="F821">
        <v>51.8</v>
      </c>
      <c r="G821" t="s">
        <v>6</v>
      </c>
      <c r="H821">
        <v>20.7</v>
      </c>
      <c r="I821">
        <v>25.8</v>
      </c>
      <c r="J821">
        <v>14.9</v>
      </c>
      <c r="K821" t="s">
        <v>6</v>
      </c>
      <c r="L821">
        <v>192</v>
      </c>
      <c r="M821" t="s">
        <v>6</v>
      </c>
      <c r="O821" s="6">
        <f t="shared" si="560"/>
        <v>45452.791666666664</v>
      </c>
      <c r="P821">
        <f t="shared" si="561"/>
        <v>57.5</v>
      </c>
      <c r="Q821">
        <f t="shared" si="562"/>
        <v>64.400000000000006</v>
      </c>
      <c r="R821">
        <f t="shared" si="563"/>
        <v>51.8</v>
      </c>
      <c r="S821">
        <f t="shared" si="564"/>
        <v>58.5</v>
      </c>
      <c r="V821" s="6">
        <f t="shared" si="565"/>
        <v>45452.791666666664</v>
      </c>
      <c r="W821">
        <f t="shared" si="566"/>
        <v>20.7</v>
      </c>
      <c r="X821">
        <f t="shared" si="567"/>
        <v>25.8</v>
      </c>
      <c r="Y821">
        <f t="shared" si="568"/>
        <v>14.9</v>
      </c>
      <c r="Z821">
        <f t="shared" si="569"/>
        <v>21.7</v>
      </c>
    </row>
    <row r="822" spans="1:26" x14ac:dyDescent="0.2">
      <c r="A822" s="1">
        <v>45452</v>
      </c>
      <c r="B822" s="2">
        <v>0.83333333333333337</v>
      </c>
      <c r="C822" s="6">
        <v>45452.833333333336</v>
      </c>
      <c r="D822">
        <v>62.2</v>
      </c>
      <c r="E822">
        <v>66.599999999999994</v>
      </c>
      <c r="F822">
        <v>57.5</v>
      </c>
      <c r="G822" t="s">
        <v>6</v>
      </c>
      <c r="H822">
        <v>21.8</v>
      </c>
      <c r="I822">
        <v>24.6</v>
      </c>
      <c r="J822">
        <v>19.600000000000001</v>
      </c>
      <c r="K822" t="s">
        <v>6</v>
      </c>
      <c r="L822">
        <v>223</v>
      </c>
      <c r="M822" t="s">
        <v>6</v>
      </c>
      <c r="O822" s="6">
        <f t="shared" si="560"/>
        <v>45452.833333333336</v>
      </c>
      <c r="P822">
        <f t="shared" si="561"/>
        <v>62.2</v>
      </c>
      <c r="Q822">
        <f t="shared" si="562"/>
        <v>66.599999999999994</v>
      </c>
      <c r="R822">
        <f t="shared" si="563"/>
        <v>57.5</v>
      </c>
      <c r="S822">
        <f t="shared" si="564"/>
        <v>63.2</v>
      </c>
      <c r="V822" s="6">
        <f t="shared" si="565"/>
        <v>45452.833333333336</v>
      </c>
      <c r="W822">
        <f t="shared" si="566"/>
        <v>21.8</v>
      </c>
      <c r="X822">
        <f t="shared" si="567"/>
        <v>24.6</v>
      </c>
      <c r="Y822">
        <f t="shared" si="568"/>
        <v>19.600000000000001</v>
      </c>
      <c r="Z822">
        <f t="shared" si="569"/>
        <v>22.8</v>
      </c>
    </row>
    <row r="823" spans="1:26" x14ac:dyDescent="0.2">
      <c r="A823" s="1">
        <v>45452</v>
      </c>
      <c r="B823" s="2">
        <v>0.875</v>
      </c>
      <c r="C823" s="6">
        <v>45452.875</v>
      </c>
      <c r="D823">
        <v>61.8</v>
      </c>
      <c r="E823">
        <v>65</v>
      </c>
      <c r="F823">
        <v>59.1</v>
      </c>
      <c r="G823" t="s">
        <v>6</v>
      </c>
      <c r="H823">
        <v>22</v>
      </c>
      <c r="I823">
        <v>23.5</v>
      </c>
      <c r="J823">
        <v>19.8</v>
      </c>
      <c r="K823" t="s">
        <v>6</v>
      </c>
      <c r="L823">
        <v>35</v>
      </c>
      <c r="M823" t="s">
        <v>6</v>
      </c>
      <c r="O823" s="6">
        <f t="shared" si="560"/>
        <v>45452.875</v>
      </c>
      <c r="P823">
        <f t="shared" si="561"/>
        <v>61.8</v>
      </c>
      <c r="Q823">
        <f t="shared" si="562"/>
        <v>65</v>
      </c>
      <c r="R823">
        <f t="shared" si="563"/>
        <v>59.1</v>
      </c>
      <c r="S823">
        <f t="shared" si="564"/>
        <v>62.8</v>
      </c>
      <c r="V823" s="6">
        <f t="shared" si="565"/>
        <v>45452.875</v>
      </c>
      <c r="W823">
        <f t="shared" si="566"/>
        <v>22</v>
      </c>
      <c r="X823">
        <f t="shared" si="567"/>
        <v>23.5</v>
      </c>
      <c r="Y823">
        <f t="shared" si="568"/>
        <v>19.8</v>
      </c>
      <c r="Z823">
        <f t="shared" si="569"/>
        <v>23</v>
      </c>
    </row>
    <row r="824" spans="1:26" x14ac:dyDescent="0.2">
      <c r="A824" s="1">
        <v>45452</v>
      </c>
      <c r="B824" s="2">
        <v>0.91666666666666663</v>
      </c>
      <c r="C824" s="6">
        <v>45452.916666666664</v>
      </c>
      <c r="D824">
        <v>59.4</v>
      </c>
      <c r="E824">
        <v>59.4</v>
      </c>
      <c r="F824">
        <v>59.4</v>
      </c>
      <c r="G824" t="s">
        <v>6</v>
      </c>
      <c r="H824">
        <v>19</v>
      </c>
      <c r="I824">
        <v>19</v>
      </c>
      <c r="J824">
        <v>19</v>
      </c>
      <c r="K824" t="s">
        <v>6</v>
      </c>
      <c r="L824">
        <v>1</v>
      </c>
      <c r="M824" t="s">
        <v>6</v>
      </c>
      <c r="O824" s="6">
        <f t="shared" si="560"/>
        <v>45452.916666666664</v>
      </c>
      <c r="P824">
        <f t="shared" si="561"/>
        <v>59.4</v>
      </c>
      <c r="Q824">
        <f t="shared" si="562"/>
        <v>59.4</v>
      </c>
      <c r="R824">
        <f t="shared" si="563"/>
        <v>59.4</v>
      </c>
      <c r="S824">
        <f t="shared" si="564"/>
        <v>60.4</v>
      </c>
      <c r="V824" s="6">
        <f t="shared" si="565"/>
        <v>45452.916666666664</v>
      </c>
      <c r="W824">
        <f t="shared" si="566"/>
        <v>19</v>
      </c>
      <c r="X824">
        <f t="shared" si="567"/>
        <v>19</v>
      </c>
      <c r="Y824">
        <f t="shared" si="568"/>
        <v>19</v>
      </c>
      <c r="Z824">
        <f t="shared" si="569"/>
        <v>20</v>
      </c>
    </row>
    <row r="825" spans="1:26" x14ac:dyDescent="0.2">
      <c r="A825" s="1">
        <v>45453</v>
      </c>
      <c r="B825" s="2">
        <v>0.125</v>
      </c>
      <c r="C825" s="6">
        <v>45453.125</v>
      </c>
      <c r="D825">
        <v>56.3</v>
      </c>
      <c r="E825">
        <v>59.4</v>
      </c>
      <c r="F825">
        <v>53.7</v>
      </c>
      <c r="G825" t="s">
        <v>6</v>
      </c>
      <c r="H825">
        <v>21.2</v>
      </c>
      <c r="I825">
        <v>24</v>
      </c>
      <c r="J825">
        <v>16.8</v>
      </c>
      <c r="K825" t="s">
        <v>6</v>
      </c>
      <c r="L825">
        <v>52</v>
      </c>
      <c r="M825" t="s">
        <v>6</v>
      </c>
      <c r="O825" s="6">
        <f t="shared" si="560"/>
        <v>45453.125</v>
      </c>
      <c r="P825">
        <f t="shared" si="561"/>
        <v>56.3</v>
      </c>
      <c r="Q825">
        <f t="shared" si="562"/>
        <v>59.4</v>
      </c>
      <c r="R825">
        <f t="shared" si="563"/>
        <v>53.7</v>
      </c>
      <c r="S825">
        <f t="shared" si="564"/>
        <v>57.3</v>
      </c>
      <c r="V825" s="6">
        <f t="shared" si="565"/>
        <v>45453.125</v>
      </c>
      <c r="W825">
        <f t="shared" si="566"/>
        <v>21.2</v>
      </c>
      <c r="X825">
        <f t="shared" si="567"/>
        <v>24</v>
      </c>
      <c r="Y825">
        <f t="shared" si="568"/>
        <v>16.8</v>
      </c>
      <c r="Z825">
        <f t="shared" si="569"/>
        <v>22.2</v>
      </c>
    </row>
    <row r="826" spans="1:26" x14ac:dyDescent="0.2">
      <c r="A826" s="1">
        <v>45453</v>
      </c>
      <c r="B826" s="2">
        <v>0.16666666666666666</v>
      </c>
      <c r="C826" s="6">
        <v>45453.166666666664</v>
      </c>
      <c r="D826">
        <v>56.3</v>
      </c>
      <c r="E826">
        <v>63.1</v>
      </c>
      <c r="F826">
        <v>51.1</v>
      </c>
      <c r="G826" t="s">
        <v>6</v>
      </c>
      <c r="H826">
        <v>18.3</v>
      </c>
      <c r="I826">
        <v>21.6</v>
      </c>
      <c r="J826">
        <v>14.6</v>
      </c>
      <c r="K826" t="s">
        <v>6</v>
      </c>
      <c r="L826">
        <v>232</v>
      </c>
      <c r="M826" t="s">
        <v>6</v>
      </c>
      <c r="O826" s="6">
        <f t="shared" si="560"/>
        <v>45453.166666666664</v>
      </c>
      <c r="P826">
        <f t="shared" si="561"/>
        <v>56.3</v>
      </c>
      <c r="Q826">
        <f t="shared" si="562"/>
        <v>63.1</v>
      </c>
      <c r="R826">
        <f t="shared" si="563"/>
        <v>51.1</v>
      </c>
      <c r="S826">
        <f t="shared" si="564"/>
        <v>57.3</v>
      </c>
      <c r="V826" s="6">
        <f t="shared" si="565"/>
        <v>45453.166666666664</v>
      </c>
      <c r="W826">
        <f t="shared" si="566"/>
        <v>18.3</v>
      </c>
      <c r="X826">
        <f t="shared" si="567"/>
        <v>21.6</v>
      </c>
      <c r="Y826">
        <f t="shared" si="568"/>
        <v>14.6</v>
      </c>
      <c r="Z826">
        <f t="shared" si="569"/>
        <v>19.3</v>
      </c>
    </row>
    <row r="827" spans="1:26" x14ac:dyDescent="0.2">
      <c r="A827" s="1">
        <v>45453</v>
      </c>
      <c r="B827" s="2">
        <v>0.20833333333333334</v>
      </c>
      <c r="C827" s="6">
        <v>45453.208333333336</v>
      </c>
      <c r="D827">
        <v>55.8</v>
      </c>
      <c r="E827">
        <v>64.099999999999994</v>
      </c>
      <c r="F827">
        <v>50.5</v>
      </c>
      <c r="G827" t="s">
        <v>6</v>
      </c>
      <c r="H827">
        <v>18.399999999999999</v>
      </c>
      <c r="I827">
        <v>22.5</v>
      </c>
      <c r="J827">
        <v>14.6</v>
      </c>
      <c r="K827" t="s">
        <v>6</v>
      </c>
      <c r="L827">
        <v>228</v>
      </c>
      <c r="M827" t="s">
        <v>6</v>
      </c>
      <c r="O827" s="6">
        <f t="shared" si="560"/>
        <v>45453.208333333336</v>
      </c>
      <c r="P827">
        <f t="shared" si="561"/>
        <v>55.8</v>
      </c>
      <c r="Q827">
        <f t="shared" si="562"/>
        <v>64.099999999999994</v>
      </c>
      <c r="R827">
        <f t="shared" si="563"/>
        <v>50.5</v>
      </c>
      <c r="S827">
        <f t="shared" si="564"/>
        <v>56.8</v>
      </c>
      <c r="V827" s="6">
        <f t="shared" si="565"/>
        <v>45453.208333333336</v>
      </c>
      <c r="W827">
        <f t="shared" si="566"/>
        <v>18.399999999999999</v>
      </c>
      <c r="X827">
        <f t="shared" si="567"/>
        <v>22.5</v>
      </c>
      <c r="Y827">
        <f t="shared" si="568"/>
        <v>14.6</v>
      </c>
      <c r="Z827">
        <f t="shared" si="569"/>
        <v>19.399999999999999</v>
      </c>
    </row>
    <row r="828" spans="1:26" x14ac:dyDescent="0.2">
      <c r="A828" s="1">
        <v>45453</v>
      </c>
      <c r="B828" s="2">
        <v>0.25</v>
      </c>
      <c r="C828" s="6">
        <v>45453.25</v>
      </c>
      <c r="D828">
        <v>58.9</v>
      </c>
      <c r="E828">
        <v>63.6</v>
      </c>
      <c r="F828">
        <v>54.1</v>
      </c>
      <c r="G828" t="s">
        <v>6</v>
      </c>
      <c r="H828">
        <v>18.600000000000001</v>
      </c>
      <c r="I828">
        <v>22.9</v>
      </c>
      <c r="J828">
        <v>13.2</v>
      </c>
      <c r="K828" t="s">
        <v>6</v>
      </c>
      <c r="L828">
        <v>222</v>
      </c>
      <c r="M828" t="s">
        <v>6</v>
      </c>
      <c r="O828" s="6">
        <f t="shared" si="560"/>
        <v>45453.25</v>
      </c>
      <c r="P828">
        <f t="shared" si="561"/>
        <v>58.9</v>
      </c>
      <c r="Q828">
        <f t="shared" si="562"/>
        <v>63.6</v>
      </c>
      <c r="R828">
        <f t="shared" si="563"/>
        <v>54.1</v>
      </c>
      <c r="S828">
        <f t="shared" si="564"/>
        <v>59.9</v>
      </c>
      <c r="V828" s="6">
        <f t="shared" si="565"/>
        <v>45453.25</v>
      </c>
      <c r="W828">
        <f t="shared" si="566"/>
        <v>18.600000000000001</v>
      </c>
      <c r="X828">
        <f t="shared" si="567"/>
        <v>22.9</v>
      </c>
      <c r="Y828">
        <f t="shared" si="568"/>
        <v>13.2</v>
      </c>
      <c r="Z828">
        <f t="shared" si="569"/>
        <v>19.600000000000001</v>
      </c>
    </row>
    <row r="829" spans="1:26" x14ac:dyDescent="0.2">
      <c r="A829" s="1">
        <v>45453</v>
      </c>
      <c r="B829" s="2">
        <v>0.29166666666666669</v>
      </c>
      <c r="C829" s="6">
        <v>45453.291666666664</v>
      </c>
      <c r="D829">
        <v>58.8</v>
      </c>
      <c r="E829">
        <v>64.5</v>
      </c>
      <c r="F829">
        <v>52</v>
      </c>
      <c r="G829" t="s">
        <v>6</v>
      </c>
      <c r="H829">
        <v>19</v>
      </c>
      <c r="I829">
        <v>28.4</v>
      </c>
      <c r="J829">
        <v>13.4</v>
      </c>
      <c r="K829" t="s">
        <v>6</v>
      </c>
      <c r="L829">
        <v>212</v>
      </c>
      <c r="M829" t="s">
        <v>6</v>
      </c>
      <c r="O829" s="6">
        <f t="shared" si="560"/>
        <v>45453.291666666664</v>
      </c>
      <c r="P829">
        <f t="shared" si="561"/>
        <v>58.8</v>
      </c>
      <c r="Q829">
        <f t="shared" si="562"/>
        <v>64.5</v>
      </c>
      <c r="R829">
        <f t="shared" si="563"/>
        <v>52</v>
      </c>
      <c r="S829">
        <f t="shared" si="564"/>
        <v>59.8</v>
      </c>
      <c r="V829" s="6">
        <f t="shared" si="565"/>
        <v>45453.291666666664</v>
      </c>
      <c r="W829">
        <f t="shared" si="566"/>
        <v>19</v>
      </c>
      <c r="X829">
        <f t="shared" si="567"/>
        <v>28.4</v>
      </c>
      <c r="Y829">
        <f t="shared" si="568"/>
        <v>13.4</v>
      </c>
      <c r="Z829">
        <f t="shared" si="569"/>
        <v>20</v>
      </c>
    </row>
    <row r="830" spans="1:26" x14ac:dyDescent="0.2">
      <c r="A830" s="14">
        <v>45453</v>
      </c>
      <c r="B830" s="7">
        <v>0.33333333333333331</v>
      </c>
      <c r="C830" s="8">
        <v>45453.333333333336</v>
      </c>
      <c r="D830" s="9">
        <v>55.7</v>
      </c>
      <c r="E830" s="9">
        <v>63</v>
      </c>
      <c r="F830" s="9">
        <v>49.2</v>
      </c>
      <c r="G830" s="9" t="s">
        <v>6</v>
      </c>
      <c r="H830" s="9">
        <v>20.9</v>
      </c>
      <c r="I830" s="9">
        <v>25.2</v>
      </c>
      <c r="J830" s="9">
        <v>16.7</v>
      </c>
      <c r="K830" s="9" t="s">
        <v>6</v>
      </c>
      <c r="L830" s="9">
        <v>193</v>
      </c>
      <c r="M830" t="s">
        <v>6</v>
      </c>
      <c r="O830" s="6">
        <f t="shared" si="560"/>
        <v>45453.333333333336</v>
      </c>
      <c r="P830">
        <f t="shared" si="561"/>
        <v>55.7</v>
      </c>
      <c r="Q830">
        <f t="shared" si="562"/>
        <v>63</v>
      </c>
      <c r="R830">
        <f t="shared" si="563"/>
        <v>49.2</v>
      </c>
      <c r="S830">
        <f t="shared" si="564"/>
        <v>56.7</v>
      </c>
      <c r="V830" s="6">
        <f t="shared" si="565"/>
        <v>45453.333333333336</v>
      </c>
      <c r="W830">
        <f t="shared" si="566"/>
        <v>20.9</v>
      </c>
      <c r="X830">
        <f t="shared" si="567"/>
        <v>25.2</v>
      </c>
      <c r="Y830">
        <f t="shared" si="568"/>
        <v>16.7</v>
      </c>
      <c r="Z830">
        <f t="shared" si="569"/>
        <v>21.9</v>
      </c>
    </row>
    <row r="831" spans="1:26" x14ac:dyDescent="0.2">
      <c r="A831" s="13">
        <v>45453</v>
      </c>
      <c r="B831" s="3">
        <v>0.375</v>
      </c>
      <c r="C831" s="4">
        <v>45453.375</v>
      </c>
      <c r="D831" s="5">
        <v>62.8</v>
      </c>
      <c r="E831" s="5">
        <v>67.5</v>
      </c>
      <c r="F831" s="5">
        <v>57.1</v>
      </c>
      <c r="G831" s="5" t="s">
        <v>6</v>
      </c>
      <c r="H831" s="5">
        <v>19.100000000000001</v>
      </c>
      <c r="I831" s="5">
        <v>23.3</v>
      </c>
      <c r="J831" s="5">
        <v>15.9</v>
      </c>
      <c r="K831" s="5" t="s">
        <v>6</v>
      </c>
      <c r="L831" s="5">
        <v>227</v>
      </c>
      <c r="M831" t="s">
        <v>6</v>
      </c>
      <c r="O831" s="6">
        <f t="shared" si="560"/>
        <v>45453.375</v>
      </c>
      <c r="P831">
        <f t="shared" si="561"/>
        <v>62.8</v>
      </c>
      <c r="Q831">
        <f t="shared" si="562"/>
        <v>67.5</v>
      </c>
      <c r="R831">
        <f t="shared" si="563"/>
        <v>57.1</v>
      </c>
      <c r="S831">
        <f t="shared" si="564"/>
        <v>63.8</v>
      </c>
      <c r="V831" s="6">
        <f t="shared" si="565"/>
        <v>45453.375</v>
      </c>
      <c r="W831">
        <f t="shared" si="566"/>
        <v>19.100000000000001</v>
      </c>
      <c r="X831">
        <f t="shared" si="567"/>
        <v>23.3</v>
      </c>
      <c r="Y831">
        <f t="shared" si="568"/>
        <v>15.9</v>
      </c>
      <c r="Z831">
        <f t="shared" si="569"/>
        <v>20.100000000000001</v>
      </c>
    </row>
    <row r="832" spans="1:26" x14ac:dyDescent="0.2">
      <c r="A832" s="1">
        <v>45453</v>
      </c>
      <c r="B832" s="2">
        <v>0.41666666666666669</v>
      </c>
      <c r="C832" s="6">
        <v>45453.416666666664</v>
      </c>
      <c r="D832">
        <v>60</v>
      </c>
      <c r="E832">
        <v>65.8</v>
      </c>
      <c r="F832">
        <v>52.3</v>
      </c>
      <c r="G832" t="s">
        <v>6</v>
      </c>
      <c r="H832">
        <v>21.3</v>
      </c>
      <c r="I832">
        <v>24.9</v>
      </c>
      <c r="J832">
        <v>17.399999999999999</v>
      </c>
      <c r="K832" t="s">
        <v>6</v>
      </c>
      <c r="L832">
        <v>211</v>
      </c>
      <c r="M832" t="s">
        <v>6</v>
      </c>
      <c r="O832" s="6">
        <f t="shared" ref="O832:O895" si="570">C832</f>
        <v>45453.416666666664</v>
      </c>
      <c r="P832">
        <f t="shared" ref="P832:P895" si="571">D832</f>
        <v>60</v>
      </c>
      <c r="Q832">
        <f t="shared" ref="Q832:Q895" si="572">E832</f>
        <v>65.8</v>
      </c>
      <c r="R832">
        <f t="shared" ref="R832:R895" si="573">F832</f>
        <v>52.3</v>
      </c>
      <c r="S832">
        <f t="shared" ref="S832:S895" si="574">P832+1</f>
        <v>61</v>
      </c>
      <c r="V832" s="6">
        <f t="shared" ref="V832:V895" si="575">O832</f>
        <v>45453.416666666664</v>
      </c>
      <c r="W832">
        <f t="shared" ref="W832:W895" si="576">H832</f>
        <v>21.3</v>
      </c>
      <c r="X832">
        <f t="shared" ref="X832:X895" si="577">I832</f>
        <v>24.9</v>
      </c>
      <c r="Y832">
        <f t="shared" ref="Y832:Y895" si="578">J832</f>
        <v>17.399999999999999</v>
      </c>
      <c r="Z832">
        <f t="shared" ref="Z832:Z895" si="579">W832+1</f>
        <v>22.3</v>
      </c>
    </row>
    <row r="833" spans="1:26" x14ac:dyDescent="0.2">
      <c r="A833" s="1">
        <v>45453</v>
      </c>
      <c r="B833" s="2">
        <v>0.45833333333333331</v>
      </c>
      <c r="C833" s="6">
        <v>45453.458333333336</v>
      </c>
      <c r="D833">
        <v>61.2</v>
      </c>
      <c r="E833">
        <v>67.8</v>
      </c>
      <c r="F833">
        <v>56.4</v>
      </c>
      <c r="G833" t="s">
        <v>6</v>
      </c>
      <c r="H833">
        <v>19.100000000000001</v>
      </c>
      <c r="I833">
        <v>23.3</v>
      </c>
      <c r="J833">
        <v>15.3</v>
      </c>
      <c r="K833" t="s">
        <v>6</v>
      </c>
      <c r="L833">
        <v>122</v>
      </c>
      <c r="M833" t="s">
        <v>6</v>
      </c>
      <c r="O833" s="6">
        <f t="shared" si="570"/>
        <v>45453.458333333336</v>
      </c>
      <c r="P833">
        <f t="shared" si="571"/>
        <v>61.2</v>
      </c>
      <c r="Q833">
        <f t="shared" si="572"/>
        <v>67.8</v>
      </c>
      <c r="R833">
        <f t="shared" si="573"/>
        <v>56.4</v>
      </c>
      <c r="S833">
        <f t="shared" si="574"/>
        <v>62.2</v>
      </c>
      <c r="V833" s="6">
        <f t="shared" si="575"/>
        <v>45453.458333333336</v>
      </c>
      <c r="W833">
        <f t="shared" si="576"/>
        <v>19.100000000000001</v>
      </c>
      <c r="X833">
        <f t="shared" si="577"/>
        <v>23.3</v>
      </c>
      <c r="Y833">
        <f t="shared" si="578"/>
        <v>15.3</v>
      </c>
      <c r="Z833">
        <f t="shared" si="579"/>
        <v>20.100000000000001</v>
      </c>
    </row>
    <row r="834" spans="1:26" x14ac:dyDescent="0.2">
      <c r="A834" s="1">
        <v>45453</v>
      </c>
      <c r="B834" s="2">
        <v>0.5</v>
      </c>
      <c r="C834" s="6">
        <v>45453.5</v>
      </c>
      <c r="D834">
        <v>57.5</v>
      </c>
      <c r="E834">
        <v>72.900000000000006</v>
      </c>
      <c r="F834">
        <v>50.8</v>
      </c>
      <c r="G834" t="s">
        <v>6</v>
      </c>
      <c r="H834">
        <v>18.899999999999999</v>
      </c>
      <c r="I834">
        <v>21.8</v>
      </c>
      <c r="J834">
        <v>15</v>
      </c>
      <c r="K834" t="s">
        <v>6</v>
      </c>
      <c r="L834">
        <v>205</v>
      </c>
      <c r="M834" t="s">
        <v>6</v>
      </c>
      <c r="O834" s="6">
        <f t="shared" si="570"/>
        <v>45453.5</v>
      </c>
      <c r="P834">
        <f t="shared" si="571"/>
        <v>57.5</v>
      </c>
      <c r="Q834">
        <f t="shared" si="572"/>
        <v>72.900000000000006</v>
      </c>
      <c r="R834">
        <f t="shared" si="573"/>
        <v>50.8</v>
      </c>
      <c r="S834">
        <f t="shared" si="574"/>
        <v>58.5</v>
      </c>
      <c r="V834" s="6">
        <f t="shared" si="575"/>
        <v>45453.5</v>
      </c>
      <c r="W834">
        <f t="shared" si="576"/>
        <v>18.899999999999999</v>
      </c>
      <c r="X834">
        <f t="shared" si="577"/>
        <v>21.8</v>
      </c>
      <c r="Y834">
        <f t="shared" si="578"/>
        <v>15</v>
      </c>
      <c r="Z834">
        <f t="shared" si="579"/>
        <v>19.899999999999999</v>
      </c>
    </row>
    <row r="835" spans="1:26" x14ac:dyDescent="0.2">
      <c r="A835" s="1">
        <v>45453</v>
      </c>
      <c r="B835" s="2">
        <v>0.54166666666666663</v>
      </c>
      <c r="C835" s="6">
        <v>45453.541666666664</v>
      </c>
      <c r="D835">
        <v>60.6</v>
      </c>
      <c r="E835">
        <v>65.599999999999994</v>
      </c>
      <c r="F835">
        <v>56.5</v>
      </c>
      <c r="G835" t="s">
        <v>6</v>
      </c>
      <c r="H835">
        <v>20.5</v>
      </c>
      <c r="I835">
        <v>26.3</v>
      </c>
      <c r="J835">
        <v>13.4</v>
      </c>
      <c r="K835" t="s">
        <v>6</v>
      </c>
      <c r="L835">
        <v>224</v>
      </c>
      <c r="M835" t="s">
        <v>6</v>
      </c>
      <c r="O835" s="6">
        <f t="shared" si="570"/>
        <v>45453.541666666664</v>
      </c>
      <c r="P835">
        <f t="shared" si="571"/>
        <v>60.6</v>
      </c>
      <c r="Q835">
        <f t="shared" si="572"/>
        <v>65.599999999999994</v>
      </c>
      <c r="R835">
        <f t="shared" si="573"/>
        <v>56.5</v>
      </c>
      <c r="S835">
        <f t="shared" si="574"/>
        <v>61.6</v>
      </c>
      <c r="V835" s="6">
        <f t="shared" si="575"/>
        <v>45453.541666666664</v>
      </c>
      <c r="W835">
        <f t="shared" si="576"/>
        <v>20.5</v>
      </c>
      <c r="X835">
        <f t="shared" si="577"/>
        <v>26.3</v>
      </c>
      <c r="Y835">
        <f t="shared" si="578"/>
        <v>13.4</v>
      </c>
      <c r="Z835">
        <f t="shared" si="579"/>
        <v>21.5</v>
      </c>
    </row>
    <row r="836" spans="1:26" x14ac:dyDescent="0.2">
      <c r="A836" s="1">
        <v>45453</v>
      </c>
      <c r="B836" s="2">
        <v>0.58333333333333337</v>
      </c>
      <c r="C836" s="6">
        <v>45453.583333333336</v>
      </c>
      <c r="D836">
        <v>61.5</v>
      </c>
      <c r="E836">
        <v>66.900000000000006</v>
      </c>
      <c r="F836">
        <v>56.3</v>
      </c>
      <c r="G836" t="s">
        <v>6</v>
      </c>
      <c r="H836">
        <v>20.6</v>
      </c>
      <c r="I836">
        <v>25.9</v>
      </c>
      <c r="J836">
        <v>15.5</v>
      </c>
      <c r="K836" t="s">
        <v>6</v>
      </c>
      <c r="L836">
        <v>179</v>
      </c>
      <c r="M836" t="s">
        <v>6</v>
      </c>
      <c r="O836" s="6">
        <f t="shared" si="570"/>
        <v>45453.583333333336</v>
      </c>
      <c r="P836">
        <f t="shared" si="571"/>
        <v>61.5</v>
      </c>
      <c r="Q836">
        <f t="shared" si="572"/>
        <v>66.900000000000006</v>
      </c>
      <c r="R836">
        <f t="shared" si="573"/>
        <v>56.3</v>
      </c>
      <c r="S836">
        <f t="shared" si="574"/>
        <v>62.5</v>
      </c>
      <c r="V836" s="6">
        <f t="shared" si="575"/>
        <v>45453.583333333336</v>
      </c>
      <c r="W836">
        <f t="shared" si="576"/>
        <v>20.6</v>
      </c>
      <c r="X836">
        <f t="shared" si="577"/>
        <v>25.9</v>
      </c>
      <c r="Y836">
        <f t="shared" si="578"/>
        <v>15.5</v>
      </c>
      <c r="Z836">
        <f t="shared" si="579"/>
        <v>21.6</v>
      </c>
    </row>
    <row r="837" spans="1:26" x14ac:dyDescent="0.2">
      <c r="A837" s="1">
        <v>45453</v>
      </c>
      <c r="B837" s="2">
        <v>0.625</v>
      </c>
      <c r="C837" s="6">
        <v>45453.625</v>
      </c>
      <c r="D837">
        <v>62.1</v>
      </c>
      <c r="E837">
        <v>67.7</v>
      </c>
      <c r="F837">
        <v>56.7</v>
      </c>
      <c r="G837" t="s">
        <v>6</v>
      </c>
      <c r="H837">
        <v>21.2</v>
      </c>
      <c r="I837">
        <v>23.9</v>
      </c>
      <c r="J837">
        <v>18.100000000000001</v>
      </c>
      <c r="K837" t="s">
        <v>6</v>
      </c>
      <c r="L837">
        <v>223</v>
      </c>
      <c r="M837" t="s">
        <v>6</v>
      </c>
      <c r="O837" s="6">
        <f t="shared" si="570"/>
        <v>45453.625</v>
      </c>
      <c r="P837">
        <f t="shared" si="571"/>
        <v>62.1</v>
      </c>
      <c r="Q837">
        <f t="shared" si="572"/>
        <v>67.7</v>
      </c>
      <c r="R837">
        <f t="shared" si="573"/>
        <v>56.7</v>
      </c>
      <c r="S837">
        <f t="shared" si="574"/>
        <v>63.1</v>
      </c>
      <c r="V837" s="6">
        <f t="shared" si="575"/>
        <v>45453.625</v>
      </c>
      <c r="W837">
        <f t="shared" si="576"/>
        <v>21.2</v>
      </c>
      <c r="X837">
        <f t="shared" si="577"/>
        <v>23.9</v>
      </c>
      <c r="Y837">
        <f t="shared" si="578"/>
        <v>18.100000000000001</v>
      </c>
      <c r="Z837">
        <f t="shared" si="579"/>
        <v>22.2</v>
      </c>
    </row>
    <row r="838" spans="1:26" x14ac:dyDescent="0.2">
      <c r="A838" s="1">
        <v>45453</v>
      </c>
      <c r="B838" s="2">
        <v>0.66666666666666663</v>
      </c>
      <c r="C838" s="6">
        <v>45453.666666666664</v>
      </c>
      <c r="D838">
        <v>60.8</v>
      </c>
      <c r="E838">
        <v>67.599999999999994</v>
      </c>
      <c r="F838">
        <v>55.4</v>
      </c>
      <c r="G838" t="s">
        <v>6</v>
      </c>
      <c r="H838">
        <v>21.6</v>
      </c>
      <c r="I838">
        <v>24.7</v>
      </c>
      <c r="J838">
        <v>17.5</v>
      </c>
      <c r="K838" t="s">
        <v>6</v>
      </c>
      <c r="L838">
        <v>195</v>
      </c>
      <c r="M838" t="s">
        <v>6</v>
      </c>
      <c r="O838" s="6">
        <f t="shared" si="570"/>
        <v>45453.666666666664</v>
      </c>
      <c r="P838">
        <f t="shared" si="571"/>
        <v>60.8</v>
      </c>
      <c r="Q838">
        <f t="shared" si="572"/>
        <v>67.599999999999994</v>
      </c>
      <c r="R838">
        <f t="shared" si="573"/>
        <v>55.4</v>
      </c>
      <c r="S838">
        <f t="shared" si="574"/>
        <v>61.8</v>
      </c>
      <c r="V838" s="6">
        <f t="shared" si="575"/>
        <v>45453.666666666664</v>
      </c>
      <c r="W838">
        <f t="shared" si="576"/>
        <v>21.6</v>
      </c>
      <c r="X838">
        <f t="shared" si="577"/>
        <v>24.7</v>
      </c>
      <c r="Y838">
        <f t="shared" si="578"/>
        <v>17.5</v>
      </c>
      <c r="Z838">
        <f t="shared" si="579"/>
        <v>22.6</v>
      </c>
    </row>
    <row r="839" spans="1:26" x14ac:dyDescent="0.2">
      <c r="A839" s="1">
        <v>45453</v>
      </c>
      <c r="B839" s="2">
        <v>0.70833333333333337</v>
      </c>
      <c r="C839" s="6">
        <v>45453.708333333336</v>
      </c>
      <c r="D839">
        <v>56.3</v>
      </c>
      <c r="E839">
        <v>61.6</v>
      </c>
      <c r="F839">
        <v>50.9</v>
      </c>
      <c r="G839" t="s">
        <v>6</v>
      </c>
      <c r="H839">
        <v>21.6</v>
      </c>
      <c r="I839">
        <v>28.9</v>
      </c>
      <c r="J839">
        <v>18.7</v>
      </c>
      <c r="K839" t="s">
        <v>6</v>
      </c>
      <c r="L839">
        <v>213</v>
      </c>
      <c r="M839" t="s">
        <v>6</v>
      </c>
      <c r="O839" s="6">
        <f t="shared" si="570"/>
        <v>45453.708333333336</v>
      </c>
      <c r="P839">
        <f t="shared" si="571"/>
        <v>56.3</v>
      </c>
      <c r="Q839">
        <f t="shared" si="572"/>
        <v>61.6</v>
      </c>
      <c r="R839">
        <f t="shared" si="573"/>
        <v>50.9</v>
      </c>
      <c r="S839">
        <f t="shared" si="574"/>
        <v>57.3</v>
      </c>
      <c r="V839" s="6">
        <f t="shared" si="575"/>
        <v>45453.708333333336</v>
      </c>
      <c r="W839">
        <f t="shared" si="576"/>
        <v>21.6</v>
      </c>
      <c r="X839">
        <f t="shared" si="577"/>
        <v>28.9</v>
      </c>
      <c r="Y839">
        <f t="shared" si="578"/>
        <v>18.7</v>
      </c>
      <c r="Z839">
        <f t="shared" si="579"/>
        <v>22.6</v>
      </c>
    </row>
    <row r="840" spans="1:26" x14ac:dyDescent="0.2">
      <c r="A840" s="1">
        <v>45453</v>
      </c>
      <c r="B840" s="2">
        <v>0.75</v>
      </c>
      <c r="C840" s="6">
        <v>45453.75</v>
      </c>
      <c r="D840">
        <v>60.4</v>
      </c>
      <c r="E840">
        <v>66.7</v>
      </c>
      <c r="F840">
        <v>55.3</v>
      </c>
      <c r="G840" t="s">
        <v>6</v>
      </c>
      <c r="H840">
        <v>21.5</v>
      </c>
      <c r="I840">
        <v>25</v>
      </c>
      <c r="J840">
        <v>16.8</v>
      </c>
      <c r="K840" t="s">
        <v>6</v>
      </c>
      <c r="L840">
        <v>216</v>
      </c>
      <c r="M840" t="s">
        <v>6</v>
      </c>
      <c r="O840" s="6">
        <f t="shared" si="570"/>
        <v>45453.75</v>
      </c>
      <c r="P840">
        <f t="shared" si="571"/>
        <v>60.4</v>
      </c>
      <c r="Q840">
        <f t="shared" si="572"/>
        <v>66.7</v>
      </c>
      <c r="R840">
        <f t="shared" si="573"/>
        <v>55.3</v>
      </c>
      <c r="S840">
        <f t="shared" si="574"/>
        <v>61.4</v>
      </c>
      <c r="V840" s="6">
        <f t="shared" si="575"/>
        <v>45453.75</v>
      </c>
      <c r="W840">
        <f t="shared" si="576"/>
        <v>21.5</v>
      </c>
      <c r="X840">
        <f t="shared" si="577"/>
        <v>25</v>
      </c>
      <c r="Y840">
        <f t="shared" si="578"/>
        <v>16.8</v>
      </c>
      <c r="Z840">
        <f t="shared" si="579"/>
        <v>22.5</v>
      </c>
    </row>
    <row r="841" spans="1:26" x14ac:dyDescent="0.2">
      <c r="A841" s="1">
        <v>45453</v>
      </c>
      <c r="B841" s="2">
        <v>0.79166666666666663</v>
      </c>
      <c r="C841" s="6">
        <v>45453.791666666664</v>
      </c>
      <c r="D841">
        <v>53.2</v>
      </c>
      <c r="E841">
        <v>61.5</v>
      </c>
      <c r="F841">
        <v>48</v>
      </c>
      <c r="G841" t="s">
        <v>6</v>
      </c>
      <c r="H841">
        <v>21.5</v>
      </c>
      <c r="I841">
        <v>25.1</v>
      </c>
      <c r="J841">
        <v>15.7</v>
      </c>
      <c r="K841" t="s">
        <v>6</v>
      </c>
      <c r="L841">
        <v>222</v>
      </c>
      <c r="M841" t="s">
        <v>6</v>
      </c>
      <c r="O841" s="6">
        <f t="shared" si="570"/>
        <v>45453.791666666664</v>
      </c>
      <c r="P841">
        <f t="shared" si="571"/>
        <v>53.2</v>
      </c>
      <c r="Q841">
        <f t="shared" si="572"/>
        <v>61.5</v>
      </c>
      <c r="R841">
        <f t="shared" si="573"/>
        <v>48</v>
      </c>
      <c r="S841">
        <f t="shared" si="574"/>
        <v>54.2</v>
      </c>
      <c r="V841" s="6">
        <f t="shared" si="575"/>
        <v>45453.791666666664</v>
      </c>
      <c r="W841">
        <f t="shared" si="576"/>
        <v>21.5</v>
      </c>
      <c r="X841">
        <f t="shared" si="577"/>
        <v>25.1</v>
      </c>
      <c r="Y841">
        <f t="shared" si="578"/>
        <v>15.7</v>
      </c>
      <c r="Z841">
        <f t="shared" si="579"/>
        <v>22.5</v>
      </c>
    </row>
    <row r="842" spans="1:26" x14ac:dyDescent="0.2">
      <c r="A842" s="1">
        <v>45453</v>
      </c>
      <c r="B842" s="2">
        <v>0.83333333333333337</v>
      </c>
      <c r="C842" s="6">
        <v>45453.833333333336</v>
      </c>
      <c r="D842">
        <v>60</v>
      </c>
      <c r="E842">
        <v>64.5</v>
      </c>
      <c r="F842">
        <v>52.8</v>
      </c>
      <c r="G842" t="s">
        <v>6</v>
      </c>
      <c r="H842">
        <v>20.9</v>
      </c>
      <c r="I842">
        <v>24</v>
      </c>
      <c r="J842">
        <v>15.4</v>
      </c>
      <c r="K842" t="s">
        <v>6</v>
      </c>
      <c r="L842">
        <v>204</v>
      </c>
      <c r="M842" t="s">
        <v>6</v>
      </c>
      <c r="O842" s="6">
        <f t="shared" si="570"/>
        <v>45453.833333333336</v>
      </c>
      <c r="P842">
        <f t="shared" si="571"/>
        <v>60</v>
      </c>
      <c r="Q842">
        <f t="shared" si="572"/>
        <v>64.5</v>
      </c>
      <c r="R842">
        <f t="shared" si="573"/>
        <v>52.8</v>
      </c>
      <c r="S842">
        <f t="shared" si="574"/>
        <v>61</v>
      </c>
      <c r="V842" s="6">
        <f t="shared" si="575"/>
        <v>45453.833333333336</v>
      </c>
      <c r="W842">
        <f t="shared" si="576"/>
        <v>20.9</v>
      </c>
      <c r="X842">
        <f t="shared" si="577"/>
        <v>24</v>
      </c>
      <c r="Y842">
        <f t="shared" si="578"/>
        <v>15.4</v>
      </c>
      <c r="Z842">
        <f t="shared" si="579"/>
        <v>21.9</v>
      </c>
    </row>
    <row r="843" spans="1:26" x14ac:dyDescent="0.2">
      <c r="A843" s="1">
        <v>45453</v>
      </c>
      <c r="B843" s="2">
        <v>0.875</v>
      </c>
      <c r="C843" s="6">
        <v>45453.875</v>
      </c>
      <c r="D843">
        <v>58.9</v>
      </c>
      <c r="E843">
        <v>67</v>
      </c>
      <c r="F843">
        <v>53.3</v>
      </c>
      <c r="G843" t="s">
        <v>6</v>
      </c>
      <c r="H843">
        <v>21.3</v>
      </c>
      <c r="I843">
        <v>25.4</v>
      </c>
      <c r="J843">
        <v>15</v>
      </c>
      <c r="K843" t="s">
        <v>6</v>
      </c>
      <c r="L843">
        <v>128</v>
      </c>
      <c r="M843" t="s">
        <v>6</v>
      </c>
      <c r="O843" s="6">
        <f t="shared" si="570"/>
        <v>45453.875</v>
      </c>
      <c r="P843">
        <f t="shared" si="571"/>
        <v>58.9</v>
      </c>
      <c r="Q843">
        <f t="shared" si="572"/>
        <v>67</v>
      </c>
      <c r="R843">
        <f t="shared" si="573"/>
        <v>53.3</v>
      </c>
      <c r="S843">
        <f t="shared" si="574"/>
        <v>59.9</v>
      </c>
      <c r="V843" s="6">
        <f t="shared" si="575"/>
        <v>45453.875</v>
      </c>
      <c r="W843">
        <f t="shared" si="576"/>
        <v>21.3</v>
      </c>
      <c r="X843">
        <f t="shared" si="577"/>
        <v>25.4</v>
      </c>
      <c r="Y843">
        <f t="shared" si="578"/>
        <v>15</v>
      </c>
      <c r="Z843">
        <f t="shared" si="579"/>
        <v>22.3</v>
      </c>
    </row>
    <row r="844" spans="1:26" x14ac:dyDescent="0.2">
      <c r="A844" s="1">
        <v>45454</v>
      </c>
      <c r="B844" s="2">
        <v>0.25</v>
      </c>
      <c r="C844" s="6">
        <v>45454.25</v>
      </c>
      <c r="D844">
        <v>71.3</v>
      </c>
      <c r="E844">
        <v>74.7</v>
      </c>
      <c r="F844">
        <v>66</v>
      </c>
      <c r="G844" t="s">
        <v>6</v>
      </c>
      <c r="H844">
        <v>20.8</v>
      </c>
      <c r="I844">
        <v>25</v>
      </c>
      <c r="J844">
        <v>17.3</v>
      </c>
      <c r="K844" t="s">
        <v>6</v>
      </c>
      <c r="L844">
        <v>87</v>
      </c>
      <c r="M844" t="s">
        <v>6</v>
      </c>
      <c r="O844" s="6">
        <f t="shared" si="570"/>
        <v>45454.25</v>
      </c>
      <c r="P844">
        <f t="shared" si="571"/>
        <v>71.3</v>
      </c>
      <c r="Q844">
        <f t="shared" si="572"/>
        <v>74.7</v>
      </c>
      <c r="R844">
        <f t="shared" si="573"/>
        <v>66</v>
      </c>
      <c r="S844">
        <f t="shared" si="574"/>
        <v>72.3</v>
      </c>
      <c r="V844" s="6">
        <f t="shared" si="575"/>
        <v>45454.25</v>
      </c>
      <c r="W844">
        <f t="shared" si="576"/>
        <v>20.8</v>
      </c>
      <c r="X844">
        <f t="shared" si="577"/>
        <v>25</v>
      </c>
      <c r="Y844">
        <f t="shared" si="578"/>
        <v>17.3</v>
      </c>
      <c r="Z844">
        <f t="shared" si="579"/>
        <v>21.8</v>
      </c>
    </row>
    <row r="845" spans="1:26" x14ac:dyDescent="0.2">
      <c r="A845" s="1">
        <v>45454</v>
      </c>
      <c r="B845" s="2">
        <v>0.29166666666666669</v>
      </c>
      <c r="C845" s="6">
        <v>45454.291666666664</v>
      </c>
      <c r="D845">
        <v>67.5</v>
      </c>
      <c r="E845">
        <v>72.400000000000006</v>
      </c>
      <c r="F845">
        <v>61.9</v>
      </c>
      <c r="G845" t="s">
        <v>6</v>
      </c>
      <c r="H845">
        <v>19</v>
      </c>
      <c r="I845">
        <v>21.6</v>
      </c>
      <c r="J845">
        <v>15.3</v>
      </c>
      <c r="K845" t="s">
        <v>6</v>
      </c>
      <c r="L845">
        <v>210</v>
      </c>
      <c r="M845" t="s">
        <v>6</v>
      </c>
      <c r="O845" s="6">
        <f t="shared" si="570"/>
        <v>45454.291666666664</v>
      </c>
      <c r="P845">
        <f t="shared" si="571"/>
        <v>67.5</v>
      </c>
      <c r="Q845">
        <f t="shared" si="572"/>
        <v>72.400000000000006</v>
      </c>
      <c r="R845">
        <f t="shared" si="573"/>
        <v>61.9</v>
      </c>
      <c r="S845">
        <f t="shared" si="574"/>
        <v>68.5</v>
      </c>
      <c r="V845" s="6">
        <f t="shared" si="575"/>
        <v>45454.291666666664</v>
      </c>
      <c r="W845">
        <f t="shared" si="576"/>
        <v>19</v>
      </c>
      <c r="X845">
        <f t="shared" si="577"/>
        <v>21.6</v>
      </c>
      <c r="Y845">
        <f t="shared" si="578"/>
        <v>15.3</v>
      </c>
      <c r="Z845">
        <f t="shared" si="579"/>
        <v>20</v>
      </c>
    </row>
    <row r="846" spans="1:26" x14ac:dyDescent="0.2">
      <c r="A846" s="14">
        <v>45454</v>
      </c>
      <c r="B846" s="7">
        <v>0.33333333333333331</v>
      </c>
      <c r="C846" s="8">
        <v>45454.333333333336</v>
      </c>
      <c r="D846" s="9">
        <v>64.8</v>
      </c>
      <c r="E846" s="9">
        <v>74.2</v>
      </c>
      <c r="F846" s="9">
        <v>58</v>
      </c>
      <c r="G846" s="9" t="s">
        <v>6</v>
      </c>
      <c r="H846" s="9">
        <v>18.399999999999999</v>
      </c>
      <c r="I846" s="9">
        <v>23</v>
      </c>
      <c r="J846" s="9">
        <v>15.4</v>
      </c>
      <c r="K846" s="9" t="s">
        <v>6</v>
      </c>
      <c r="L846" s="9">
        <v>221</v>
      </c>
      <c r="M846" t="s">
        <v>6</v>
      </c>
      <c r="O846" s="6">
        <f t="shared" si="570"/>
        <v>45454.333333333336</v>
      </c>
      <c r="P846">
        <f t="shared" si="571"/>
        <v>64.8</v>
      </c>
      <c r="Q846">
        <f t="shared" si="572"/>
        <v>74.2</v>
      </c>
      <c r="R846">
        <f t="shared" si="573"/>
        <v>58</v>
      </c>
      <c r="S846">
        <f t="shared" si="574"/>
        <v>65.8</v>
      </c>
      <c r="V846" s="6">
        <f t="shared" si="575"/>
        <v>45454.333333333336</v>
      </c>
      <c r="W846">
        <f t="shared" si="576"/>
        <v>18.399999999999999</v>
      </c>
      <c r="X846">
        <f t="shared" si="577"/>
        <v>23</v>
      </c>
      <c r="Y846">
        <f t="shared" si="578"/>
        <v>15.4</v>
      </c>
      <c r="Z846">
        <f t="shared" si="579"/>
        <v>19.399999999999999</v>
      </c>
    </row>
    <row r="847" spans="1:26" x14ac:dyDescent="0.2">
      <c r="A847" s="13">
        <v>45454</v>
      </c>
      <c r="B847" s="3">
        <v>0.375</v>
      </c>
      <c r="C847" s="4">
        <v>45454.375</v>
      </c>
      <c r="D847" s="5">
        <v>64.2</v>
      </c>
      <c r="E847" s="5">
        <v>70.3</v>
      </c>
      <c r="F847" s="5">
        <v>59.2</v>
      </c>
      <c r="G847" s="5" t="s">
        <v>6</v>
      </c>
      <c r="H847" s="5">
        <v>18.399999999999999</v>
      </c>
      <c r="I847" s="5">
        <v>29.4</v>
      </c>
      <c r="J847" s="5">
        <v>15.2</v>
      </c>
      <c r="K847" s="5" t="s">
        <v>6</v>
      </c>
      <c r="L847" s="5">
        <v>224</v>
      </c>
      <c r="M847" t="s">
        <v>6</v>
      </c>
      <c r="O847" s="6">
        <f t="shared" si="570"/>
        <v>45454.375</v>
      </c>
      <c r="P847">
        <f t="shared" si="571"/>
        <v>64.2</v>
      </c>
      <c r="Q847">
        <f t="shared" si="572"/>
        <v>70.3</v>
      </c>
      <c r="R847">
        <f t="shared" si="573"/>
        <v>59.2</v>
      </c>
      <c r="S847">
        <f t="shared" si="574"/>
        <v>65.2</v>
      </c>
      <c r="V847" s="6">
        <f t="shared" si="575"/>
        <v>45454.375</v>
      </c>
      <c r="W847">
        <f t="shared" si="576"/>
        <v>18.399999999999999</v>
      </c>
      <c r="X847">
        <f t="shared" si="577"/>
        <v>29.4</v>
      </c>
      <c r="Y847">
        <f t="shared" si="578"/>
        <v>15.2</v>
      </c>
      <c r="Z847">
        <f t="shared" si="579"/>
        <v>19.399999999999999</v>
      </c>
    </row>
    <row r="848" spans="1:26" x14ac:dyDescent="0.2">
      <c r="A848" s="1">
        <v>45454</v>
      </c>
      <c r="B848" s="2">
        <v>0.41666666666666669</v>
      </c>
      <c r="C848" s="6">
        <v>45454.416666666664</v>
      </c>
      <c r="D848">
        <v>63.1</v>
      </c>
      <c r="E848">
        <v>73</v>
      </c>
      <c r="F848">
        <v>54.6</v>
      </c>
      <c r="G848" t="s">
        <v>6</v>
      </c>
      <c r="H848">
        <v>19.7</v>
      </c>
      <c r="I848">
        <v>26.4</v>
      </c>
      <c r="J848">
        <v>15.8</v>
      </c>
      <c r="K848" t="s">
        <v>6</v>
      </c>
      <c r="L848">
        <v>189</v>
      </c>
      <c r="M848" t="s">
        <v>6</v>
      </c>
      <c r="O848" s="6">
        <f t="shared" si="570"/>
        <v>45454.416666666664</v>
      </c>
      <c r="P848">
        <f t="shared" si="571"/>
        <v>63.1</v>
      </c>
      <c r="Q848">
        <f t="shared" si="572"/>
        <v>73</v>
      </c>
      <c r="R848">
        <f t="shared" si="573"/>
        <v>54.6</v>
      </c>
      <c r="S848">
        <f t="shared" si="574"/>
        <v>64.099999999999994</v>
      </c>
      <c r="V848" s="6">
        <f t="shared" si="575"/>
        <v>45454.416666666664</v>
      </c>
      <c r="W848">
        <f t="shared" si="576"/>
        <v>19.7</v>
      </c>
      <c r="X848">
        <f t="shared" si="577"/>
        <v>26.4</v>
      </c>
      <c r="Y848">
        <f t="shared" si="578"/>
        <v>15.8</v>
      </c>
      <c r="Z848">
        <f t="shared" si="579"/>
        <v>20.7</v>
      </c>
    </row>
    <row r="849" spans="1:26" x14ac:dyDescent="0.2">
      <c r="A849" s="1">
        <v>45454</v>
      </c>
      <c r="B849" s="2">
        <v>0.45833333333333331</v>
      </c>
      <c r="C849" s="6">
        <v>45454.458333333336</v>
      </c>
      <c r="D849">
        <v>63.4</v>
      </c>
      <c r="E849">
        <v>74.400000000000006</v>
      </c>
      <c r="F849">
        <v>59.1</v>
      </c>
      <c r="G849" t="s">
        <v>6</v>
      </c>
      <c r="H849">
        <v>20.2</v>
      </c>
      <c r="I849">
        <v>23.2</v>
      </c>
      <c r="J849">
        <v>16.8</v>
      </c>
      <c r="K849" t="s">
        <v>6</v>
      </c>
      <c r="L849">
        <v>225</v>
      </c>
      <c r="M849" t="s">
        <v>6</v>
      </c>
      <c r="O849" s="6">
        <f t="shared" si="570"/>
        <v>45454.458333333336</v>
      </c>
      <c r="P849">
        <f t="shared" si="571"/>
        <v>63.4</v>
      </c>
      <c r="Q849">
        <f t="shared" si="572"/>
        <v>74.400000000000006</v>
      </c>
      <c r="R849">
        <f t="shared" si="573"/>
        <v>59.1</v>
      </c>
      <c r="S849">
        <f t="shared" si="574"/>
        <v>64.400000000000006</v>
      </c>
      <c r="V849" s="6">
        <f t="shared" si="575"/>
        <v>45454.458333333336</v>
      </c>
      <c r="W849">
        <f t="shared" si="576"/>
        <v>20.2</v>
      </c>
      <c r="X849">
        <f t="shared" si="577"/>
        <v>23.2</v>
      </c>
      <c r="Y849">
        <f t="shared" si="578"/>
        <v>16.8</v>
      </c>
      <c r="Z849">
        <f t="shared" si="579"/>
        <v>21.2</v>
      </c>
    </row>
    <row r="850" spans="1:26" x14ac:dyDescent="0.2">
      <c r="A850" s="1">
        <v>45454</v>
      </c>
      <c r="B850" s="2">
        <v>0.5</v>
      </c>
      <c r="C850" s="6">
        <v>45454.5</v>
      </c>
      <c r="D850">
        <v>57.8</v>
      </c>
      <c r="E850">
        <v>61.6</v>
      </c>
      <c r="F850">
        <v>53</v>
      </c>
      <c r="G850" t="s">
        <v>6</v>
      </c>
      <c r="H850">
        <v>20.2</v>
      </c>
      <c r="I850">
        <v>24.7</v>
      </c>
      <c r="J850">
        <v>16.399999999999999</v>
      </c>
      <c r="K850" t="s">
        <v>6</v>
      </c>
      <c r="L850">
        <v>183</v>
      </c>
      <c r="M850" t="s">
        <v>6</v>
      </c>
      <c r="O850" s="6">
        <f t="shared" si="570"/>
        <v>45454.5</v>
      </c>
      <c r="P850">
        <f t="shared" si="571"/>
        <v>57.8</v>
      </c>
      <c r="Q850">
        <f t="shared" si="572"/>
        <v>61.6</v>
      </c>
      <c r="R850">
        <f t="shared" si="573"/>
        <v>53</v>
      </c>
      <c r="S850">
        <f t="shared" si="574"/>
        <v>58.8</v>
      </c>
      <c r="V850" s="6">
        <f t="shared" si="575"/>
        <v>45454.5</v>
      </c>
      <c r="W850">
        <f t="shared" si="576"/>
        <v>20.2</v>
      </c>
      <c r="X850">
        <f t="shared" si="577"/>
        <v>24.7</v>
      </c>
      <c r="Y850">
        <f t="shared" si="578"/>
        <v>16.399999999999999</v>
      </c>
      <c r="Z850">
        <f t="shared" si="579"/>
        <v>21.2</v>
      </c>
    </row>
    <row r="851" spans="1:26" x14ac:dyDescent="0.2">
      <c r="A851" s="1">
        <v>45454</v>
      </c>
      <c r="B851" s="2">
        <v>0.54166666666666663</v>
      </c>
      <c r="C851" s="6">
        <v>45454.541666666664</v>
      </c>
      <c r="D851">
        <v>59.2</v>
      </c>
      <c r="E851">
        <v>67</v>
      </c>
      <c r="F851">
        <v>49.6</v>
      </c>
      <c r="G851" t="s">
        <v>6</v>
      </c>
      <c r="H851">
        <v>20.7</v>
      </c>
      <c r="I851">
        <v>25.7</v>
      </c>
      <c r="J851">
        <v>15.7</v>
      </c>
      <c r="K851" t="s">
        <v>6</v>
      </c>
      <c r="L851">
        <v>217</v>
      </c>
      <c r="M851" t="s">
        <v>6</v>
      </c>
      <c r="O851" s="6">
        <f t="shared" si="570"/>
        <v>45454.541666666664</v>
      </c>
      <c r="P851">
        <f t="shared" si="571"/>
        <v>59.2</v>
      </c>
      <c r="Q851">
        <f t="shared" si="572"/>
        <v>67</v>
      </c>
      <c r="R851">
        <f t="shared" si="573"/>
        <v>49.6</v>
      </c>
      <c r="S851">
        <f t="shared" si="574"/>
        <v>60.2</v>
      </c>
      <c r="V851" s="6">
        <f t="shared" si="575"/>
        <v>45454.541666666664</v>
      </c>
      <c r="W851">
        <f t="shared" si="576"/>
        <v>20.7</v>
      </c>
      <c r="X851">
        <f t="shared" si="577"/>
        <v>25.7</v>
      </c>
      <c r="Y851">
        <f t="shared" si="578"/>
        <v>15.7</v>
      </c>
      <c r="Z851">
        <f t="shared" si="579"/>
        <v>21.7</v>
      </c>
    </row>
    <row r="852" spans="1:26" x14ac:dyDescent="0.2">
      <c r="A852" s="1">
        <v>45454</v>
      </c>
      <c r="B852" s="2">
        <v>0.58333333333333337</v>
      </c>
      <c r="C852" s="6">
        <v>45454.583333333336</v>
      </c>
      <c r="D852">
        <v>61.3</v>
      </c>
      <c r="E852">
        <v>67.5</v>
      </c>
      <c r="F852">
        <v>56.4</v>
      </c>
      <c r="G852" t="s">
        <v>6</v>
      </c>
      <c r="H852">
        <v>20.6</v>
      </c>
      <c r="I852">
        <v>24.5</v>
      </c>
      <c r="J852">
        <v>16.8</v>
      </c>
      <c r="K852" t="s">
        <v>6</v>
      </c>
      <c r="L852">
        <v>227</v>
      </c>
      <c r="M852" t="s">
        <v>6</v>
      </c>
      <c r="O852" s="6">
        <f t="shared" si="570"/>
        <v>45454.583333333336</v>
      </c>
      <c r="P852">
        <f t="shared" si="571"/>
        <v>61.3</v>
      </c>
      <c r="Q852">
        <f t="shared" si="572"/>
        <v>67.5</v>
      </c>
      <c r="R852">
        <f t="shared" si="573"/>
        <v>56.4</v>
      </c>
      <c r="S852">
        <f t="shared" si="574"/>
        <v>62.3</v>
      </c>
      <c r="V852" s="6">
        <f t="shared" si="575"/>
        <v>45454.583333333336</v>
      </c>
      <c r="W852">
        <f t="shared" si="576"/>
        <v>20.6</v>
      </c>
      <c r="X852">
        <f t="shared" si="577"/>
        <v>24.5</v>
      </c>
      <c r="Y852">
        <f t="shared" si="578"/>
        <v>16.8</v>
      </c>
      <c r="Z852">
        <f t="shared" si="579"/>
        <v>21.6</v>
      </c>
    </row>
    <row r="853" spans="1:26" x14ac:dyDescent="0.2">
      <c r="A853" s="1">
        <v>45454</v>
      </c>
      <c r="B853" s="2">
        <v>0.625</v>
      </c>
      <c r="C853" s="6">
        <v>45454.625</v>
      </c>
      <c r="D853">
        <v>58.8</v>
      </c>
      <c r="E853">
        <v>63.7</v>
      </c>
      <c r="F853">
        <v>53.5</v>
      </c>
      <c r="G853" t="s">
        <v>6</v>
      </c>
      <c r="H853">
        <v>21.3</v>
      </c>
      <c r="I853">
        <v>24.7</v>
      </c>
      <c r="J853">
        <v>15.7</v>
      </c>
      <c r="K853" t="s">
        <v>6</v>
      </c>
      <c r="L853">
        <v>172</v>
      </c>
      <c r="M853" t="s">
        <v>6</v>
      </c>
      <c r="O853" s="6">
        <f t="shared" si="570"/>
        <v>45454.625</v>
      </c>
      <c r="P853">
        <f t="shared" si="571"/>
        <v>58.8</v>
      </c>
      <c r="Q853">
        <f t="shared" si="572"/>
        <v>63.7</v>
      </c>
      <c r="R853">
        <f t="shared" si="573"/>
        <v>53.5</v>
      </c>
      <c r="S853">
        <f t="shared" si="574"/>
        <v>59.8</v>
      </c>
      <c r="V853" s="6">
        <f t="shared" si="575"/>
        <v>45454.625</v>
      </c>
      <c r="W853">
        <f t="shared" si="576"/>
        <v>21.3</v>
      </c>
      <c r="X853">
        <f t="shared" si="577"/>
        <v>24.7</v>
      </c>
      <c r="Y853">
        <f t="shared" si="578"/>
        <v>15.7</v>
      </c>
      <c r="Z853">
        <f t="shared" si="579"/>
        <v>22.3</v>
      </c>
    </row>
    <row r="854" spans="1:26" x14ac:dyDescent="0.2">
      <c r="A854" s="1">
        <v>45454</v>
      </c>
      <c r="B854" s="2">
        <v>0.66666666666666663</v>
      </c>
      <c r="C854" s="6">
        <v>45454.666666666664</v>
      </c>
      <c r="D854">
        <v>60.3</v>
      </c>
      <c r="E854">
        <v>66.8</v>
      </c>
      <c r="F854">
        <v>52.2</v>
      </c>
      <c r="G854" t="s">
        <v>6</v>
      </c>
      <c r="H854">
        <v>21</v>
      </c>
      <c r="I854">
        <v>23.7</v>
      </c>
      <c r="J854">
        <v>17.600000000000001</v>
      </c>
      <c r="K854" t="s">
        <v>6</v>
      </c>
      <c r="L854">
        <v>216</v>
      </c>
      <c r="M854" t="s">
        <v>6</v>
      </c>
      <c r="O854" s="6">
        <f t="shared" si="570"/>
        <v>45454.666666666664</v>
      </c>
      <c r="P854">
        <f t="shared" si="571"/>
        <v>60.3</v>
      </c>
      <c r="Q854">
        <f t="shared" si="572"/>
        <v>66.8</v>
      </c>
      <c r="R854">
        <f t="shared" si="573"/>
        <v>52.2</v>
      </c>
      <c r="S854">
        <f t="shared" si="574"/>
        <v>61.3</v>
      </c>
      <c r="V854" s="6">
        <f t="shared" si="575"/>
        <v>45454.666666666664</v>
      </c>
      <c r="W854">
        <f t="shared" si="576"/>
        <v>21</v>
      </c>
      <c r="X854">
        <f t="shared" si="577"/>
        <v>23.7</v>
      </c>
      <c r="Y854">
        <f t="shared" si="578"/>
        <v>17.600000000000001</v>
      </c>
      <c r="Z854">
        <f t="shared" si="579"/>
        <v>22</v>
      </c>
    </row>
    <row r="855" spans="1:26" x14ac:dyDescent="0.2">
      <c r="A855" s="1">
        <v>45454</v>
      </c>
      <c r="B855" s="2">
        <v>0.70833333333333337</v>
      </c>
      <c r="C855" s="6">
        <v>45454.708333333336</v>
      </c>
      <c r="D855">
        <v>56.9</v>
      </c>
      <c r="E855">
        <v>66.7</v>
      </c>
      <c r="F855">
        <v>51.6</v>
      </c>
      <c r="G855" t="s">
        <v>6</v>
      </c>
      <c r="H855">
        <v>20.399999999999999</v>
      </c>
      <c r="I855">
        <v>26.1</v>
      </c>
      <c r="J855">
        <v>14.9</v>
      </c>
      <c r="K855" t="s">
        <v>6</v>
      </c>
      <c r="L855">
        <v>211</v>
      </c>
      <c r="M855" t="s">
        <v>6</v>
      </c>
      <c r="O855" s="6">
        <f t="shared" si="570"/>
        <v>45454.708333333336</v>
      </c>
      <c r="P855">
        <f t="shared" si="571"/>
        <v>56.9</v>
      </c>
      <c r="Q855">
        <f t="shared" si="572"/>
        <v>66.7</v>
      </c>
      <c r="R855">
        <f t="shared" si="573"/>
        <v>51.6</v>
      </c>
      <c r="S855">
        <f t="shared" si="574"/>
        <v>57.9</v>
      </c>
      <c r="V855" s="6">
        <f t="shared" si="575"/>
        <v>45454.708333333336</v>
      </c>
      <c r="W855">
        <f t="shared" si="576"/>
        <v>20.399999999999999</v>
      </c>
      <c r="X855">
        <f t="shared" si="577"/>
        <v>26.1</v>
      </c>
      <c r="Y855">
        <f t="shared" si="578"/>
        <v>14.9</v>
      </c>
      <c r="Z855">
        <f t="shared" si="579"/>
        <v>21.4</v>
      </c>
    </row>
    <row r="856" spans="1:26" x14ac:dyDescent="0.2">
      <c r="A856" s="1">
        <v>45454</v>
      </c>
      <c r="B856" s="2">
        <v>0.75</v>
      </c>
      <c r="C856" s="6">
        <v>45454.75</v>
      </c>
      <c r="D856">
        <v>57.3</v>
      </c>
      <c r="E856">
        <v>63.2</v>
      </c>
      <c r="F856">
        <v>51.7</v>
      </c>
      <c r="G856" t="s">
        <v>6</v>
      </c>
      <c r="H856">
        <v>20.9</v>
      </c>
      <c r="I856">
        <v>24.5</v>
      </c>
      <c r="J856">
        <v>14.5</v>
      </c>
      <c r="K856" t="s">
        <v>6</v>
      </c>
      <c r="L856">
        <v>215</v>
      </c>
      <c r="M856" t="s">
        <v>6</v>
      </c>
      <c r="O856" s="6">
        <f t="shared" si="570"/>
        <v>45454.75</v>
      </c>
      <c r="P856">
        <f t="shared" si="571"/>
        <v>57.3</v>
      </c>
      <c r="Q856">
        <f t="shared" si="572"/>
        <v>63.2</v>
      </c>
      <c r="R856">
        <f t="shared" si="573"/>
        <v>51.7</v>
      </c>
      <c r="S856">
        <f t="shared" si="574"/>
        <v>58.3</v>
      </c>
      <c r="V856" s="6">
        <f t="shared" si="575"/>
        <v>45454.75</v>
      </c>
      <c r="W856">
        <f t="shared" si="576"/>
        <v>20.9</v>
      </c>
      <c r="X856">
        <f t="shared" si="577"/>
        <v>24.5</v>
      </c>
      <c r="Y856">
        <f t="shared" si="578"/>
        <v>14.5</v>
      </c>
      <c r="Z856">
        <f t="shared" si="579"/>
        <v>21.9</v>
      </c>
    </row>
    <row r="857" spans="1:26" x14ac:dyDescent="0.2">
      <c r="A857" s="1">
        <v>45454</v>
      </c>
      <c r="B857" s="2">
        <v>0.79166666666666663</v>
      </c>
      <c r="C857" s="6">
        <v>45454.791666666664</v>
      </c>
      <c r="D857">
        <v>54</v>
      </c>
      <c r="E857">
        <v>66.599999999999994</v>
      </c>
      <c r="F857">
        <v>50.4</v>
      </c>
      <c r="G857" t="s">
        <v>6</v>
      </c>
      <c r="H857">
        <v>22.7</v>
      </c>
      <c r="I857">
        <v>33.1</v>
      </c>
      <c r="J857">
        <v>17.600000000000001</v>
      </c>
      <c r="K857" t="s">
        <v>6</v>
      </c>
      <c r="L857">
        <v>187</v>
      </c>
      <c r="M857" t="s">
        <v>6</v>
      </c>
      <c r="O857" s="6">
        <f t="shared" si="570"/>
        <v>45454.791666666664</v>
      </c>
      <c r="P857">
        <f t="shared" si="571"/>
        <v>54</v>
      </c>
      <c r="Q857">
        <f t="shared" si="572"/>
        <v>66.599999999999994</v>
      </c>
      <c r="R857">
        <f t="shared" si="573"/>
        <v>50.4</v>
      </c>
      <c r="S857">
        <f t="shared" si="574"/>
        <v>55</v>
      </c>
      <c r="V857" s="6">
        <f t="shared" si="575"/>
        <v>45454.791666666664</v>
      </c>
      <c r="W857">
        <f t="shared" si="576"/>
        <v>22.7</v>
      </c>
      <c r="X857">
        <f t="shared" si="577"/>
        <v>33.1</v>
      </c>
      <c r="Y857">
        <f t="shared" si="578"/>
        <v>17.600000000000001</v>
      </c>
      <c r="Z857">
        <f t="shared" si="579"/>
        <v>23.7</v>
      </c>
    </row>
    <row r="858" spans="1:26" x14ac:dyDescent="0.2">
      <c r="A858" s="1">
        <v>45454</v>
      </c>
      <c r="B858" s="2">
        <v>0.83333333333333337</v>
      </c>
      <c r="C858" s="6">
        <v>45454.833333333336</v>
      </c>
      <c r="D858">
        <v>62</v>
      </c>
      <c r="E858">
        <v>69</v>
      </c>
      <c r="F858">
        <v>54.6</v>
      </c>
      <c r="G858" t="s">
        <v>6</v>
      </c>
      <c r="H858">
        <v>21.5</v>
      </c>
      <c r="I858">
        <v>24.4</v>
      </c>
      <c r="J858">
        <v>17.8</v>
      </c>
      <c r="K858" t="s">
        <v>6</v>
      </c>
      <c r="L858">
        <v>222</v>
      </c>
      <c r="M858" t="s">
        <v>6</v>
      </c>
      <c r="O858" s="6">
        <f t="shared" si="570"/>
        <v>45454.833333333336</v>
      </c>
      <c r="P858">
        <f t="shared" si="571"/>
        <v>62</v>
      </c>
      <c r="Q858">
        <f t="shared" si="572"/>
        <v>69</v>
      </c>
      <c r="R858">
        <f t="shared" si="573"/>
        <v>54.6</v>
      </c>
      <c r="S858">
        <f t="shared" si="574"/>
        <v>63</v>
      </c>
      <c r="V858" s="6">
        <f t="shared" si="575"/>
        <v>45454.833333333336</v>
      </c>
      <c r="W858">
        <f t="shared" si="576"/>
        <v>21.5</v>
      </c>
      <c r="X858">
        <f t="shared" si="577"/>
        <v>24.4</v>
      </c>
      <c r="Y858">
        <f t="shared" si="578"/>
        <v>17.8</v>
      </c>
      <c r="Z858">
        <f t="shared" si="579"/>
        <v>22.5</v>
      </c>
    </row>
    <row r="859" spans="1:26" x14ac:dyDescent="0.2">
      <c r="A859" s="1">
        <v>45454</v>
      </c>
      <c r="B859" s="2">
        <v>0.875</v>
      </c>
      <c r="C859" s="6">
        <v>45454.875</v>
      </c>
      <c r="D859">
        <v>63.1</v>
      </c>
      <c r="E859">
        <v>69.3</v>
      </c>
      <c r="F859">
        <v>58.4</v>
      </c>
      <c r="G859" t="s">
        <v>6</v>
      </c>
      <c r="H859">
        <v>22.1</v>
      </c>
      <c r="I859">
        <v>24.5</v>
      </c>
      <c r="J859">
        <v>19.3</v>
      </c>
      <c r="K859" t="s">
        <v>6</v>
      </c>
      <c r="L859">
        <v>86</v>
      </c>
      <c r="M859" t="s">
        <v>6</v>
      </c>
      <c r="O859" s="6">
        <f t="shared" si="570"/>
        <v>45454.875</v>
      </c>
      <c r="P859">
        <f t="shared" si="571"/>
        <v>63.1</v>
      </c>
      <c r="Q859">
        <f t="shared" si="572"/>
        <v>69.3</v>
      </c>
      <c r="R859">
        <f t="shared" si="573"/>
        <v>58.4</v>
      </c>
      <c r="S859">
        <f t="shared" si="574"/>
        <v>64.099999999999994</v>
      </c>
      <c r="V859" s="6">
        <f t="shared" si="575"/>
        <v>45454.875</v>
      </c>
      <c r="W859">
        <f t="shared" si="576"/>
        <v>22.1</v>
      </c>
      <c r="X859">
        <f t="shared" si="577"/>
        <v>24.5</v>
      </c>
      <c r="Y859">
        <f t="shared" si="578"/>
        <v>19.3</v>
      </c>
      <c r="Z859">
        <f t="shared" si="579"/>
        <v>23.1</v>
      </c>
    </row>
    <row r="860" spans="1:26" x14ac:dyDescent="0.2">
      <c r="A860" s="1">
        <v>45454</v>
      </c>
      <c r="B860" s="2">
        <v>0.91666666666666663</v>
      </c>
      <c r="C860" s="6">
        <v>45454.916666666664</v>
      </c>
      <c r="D860">
        <v>62.3</v>
      </c>
      <c r="E860">
        <v>64.7</v>
      </c>
      <c r="F860">
        <v>60.9</v>
      </c>
      <c r="G860" t="s">
        <v>6</v>
      </c>
      <c r="H860">
        <v>22.3</v>
      </c>
      <c r="I860">
        <v>25.7</v>
      </c>
      <c r="J860">
        <v>18.2</v>
      </c>
      <c r="K860" t="s">
        <v>6</v>
      </c>
      <c r="L860">
        <v>22</v>
      </c>
      <c r="M860" t="s">
        <v>6</v>
      </c>
      <c r="O860" s="6">
        <f t="shared" si="570"/>
        <v>45454.916666666664</v>
      </c>
      <c r="P860">
        <f t="shared" si="571"/>
        <v>62.3</v>
      </c>
      <c r="Q860">
        <f t="shared" si="572"/>
        <v>64.7</v>
      </c>
      <c r="R860">
        <f t="shared" si="573"/>
        <v>60.9</v>
      </c>
      <c r="S860">
        <f t="shared" si="574"/>
        <v>63.3</v>
      </c>
      <c r="V860" s="6">
        <f t="shared" si="575"/>
        <v>45454.916666666664</v>
      </c>
      <c r="W860">
        <f t="shared" si="576"/>
        <v>22.3</v>
      </c>
      <c r="X860">
        <f t="shared" si="577"/>
        <v>25.7</v>
      </c>
      <c r="Y860">
        <f t="shared" si="578"/>
        <v>18.2</v>
      </c>
      <c r="Z860">
        <f t="shared" si="579"/>
        <v>23.3</v>
      </c>
    </row>
    <row r="861" spans="1:26" x14ac:dyDescent="0.2">
      <c r="A861" s="1">
        <v>45455</v>
      </c>
      <c r="B861" s="2">
        <v>0.25</v>
      </c>
      <c r="C861" s="6">
        <v>45455.25</v>
      </c>
      <c r="D861">
        <v>65.900000000000006</v>
      </c>
      <c r="E861">
        <v>74.3</v>
      </c>
      <c r="F861">
        <v>60.1</v>
      </c>
      <c r="G861" t="s">
        <v>6</v>
      </c>
      <c r="H861">
        <v>18.5</v>
      </c>
      <c r="I861">
        <v>21.3</v>
      </c>
      <c r="J861">
        <v>16</v>
      </c>
      <c r="K861" t="s">
        <v>6</v>
      </c>
      <c r="L861">
        <v>79</v>
      </c>
      <c r="M861" t="s">
        <v>6</v>
      </c>
      <c r="O861" s="6">
        <f t="shared" si="570"/>
        <v>45455.25</v>
      </c>
      <c r="P861">
        <f t="shared" si="571"/>
        <v>65.900000000000006</v>
      </c>
      <c r="Q861">
        <f t="shared" si="572"/>
        <v>74.3</v>
      </c>
      <c r="R861">
        <f t="shared" si="573"/>
        <v>60.1</v>
      </c>
      <c r="S861">
        <f t="shared" si="574"/>
        <v>66.900000000000006</v>
      </c>
      <c r="V861" s="6">
        <f t="shared" si="575"/>
        <v>45455.25</v>
      </c>
      <c r="W861">
        <f t="shared" si="576"/>
        <v>18.5</v>
      </c>
      <c r="X861">
        <f t="shared" si="577"/>
        <v>21.3</v>
      </c>
      <c r="Y861">
        <f t="shared" si="578"/>
        <v>16</v>
      </c>
      <c r="Z861">
        <f t="shared" si="579"/>
        <v>19.5</v>
      </c>
    </row>
    <row r="862" spans="1:26" x14ac:dyDescent="0.2">
      <c r="A862" s="1">
        <v>45455</v>
      </c>
      <c r="B862" s="2">
        <v>0.29166666666666669</v>
      </c>
      <c r="C862" s="6">
        <v>45455.291666666664</v>
      </c>
      <c r="D862">
        <v>63.7</v>
      </c>
      <c r="E862">
        <v>76</v>
      </c>
      <c r="F862">
        <v>57.3</v>
      </c>
      <c r="G862" t="s">
        <v>6</v>
      </c>
      <c r="H862">
        <v>18.5</v>
      </c>
      <c r="I862">
        <v>21.6</v>
      </c>
      <c r="J862">
        <v>12.6</v>
      </c>
      <c r="K862" t="s">
        <v>6</v>
      </c>
      <c r="L862">
        <v>220</v>
      </c>
      <c r="M862" t="s">
        <v>6</v>
      </c>
      <c r="O862" s="6">
        <f t="shared" si="570"/>
        <v>45455.291666666664</v>
      </c>
      <c r="P862">
        <f t="shared" si="571"/>
        <v>63.7</v>
      </c>
      <c r="Q862">
        <f t="shared" si="572"/>
        <v>76</v>
      </c>
      <c r="R862">
        <f t="shared" si="573"/>
        <v>57.3</v>
      </c>
      <c r="S862">
        <f t="shared" si="574"/>
        <v>64.7</v>
      </c>
      <c r="V862" s="6">
        <f t="shared" si="575"/>
        <v>45455.291666666664</v>
      </c>
      <c r="W862">
        <f t="shared" si="576"/>
        <v>18.5</v>
      </c>
      <c r="X862">
        <f t="shared" si="577"/>
        <v>21.6</v>
      </c>
      <c r="Y862">
        <f t="shared" si="578"/>
        <v>12.6</v>
      </c>
      <c r="Z862">
        <f t="shared" si="579"/>
        <v>19.5</v>
      </c>
    </row>
    <row r="863" spans="1:26" x14ac:dyDescent="0.2">
      <c r="A863" s="14">
        <v>45455</v>
      </c>
      <c r="B863" s="7">
        <v>0.33333333333333331</v>
      </c>
      <c r="C863" s="8">
        <v>45455.333333333336</v>
      </c>
      <c r="D863" s="9">
        <v>67.599999999999994</v>
      </c>
      <c r="E863" s="9">
        <v>78.3</v>
      </c>
      <c r="F863" s="9">
        <v>60</v>
      </c>
      <c r="G863" s="9" t="s">
        <v>6</v>
      </c>
      <c r="H863" s="9">
        <v>18.899999999999999</v>
      </c>
      <c r="I863" s="9">
        <v>22.6</v>
      </c>
      <c r="J863" s="9">
        <v>14</v>
      </c>
      <c r="K863" s="9" t="s">
        <v>6</v>
      </c>
      <c r="L863" s="9">
        <v>164</v>
      </c>
      <c r="M863" t="s">
        <v>6</v>
      </c>
      <c r="O863" s="6">
        <f t="shared" si="570"/>
        <v>45455.333333333336</v>
      </c>
      <c r="P863">
        <f t="shared" si="571"/>
        <v>67.599999999999994</v>
      </c>
      <c r="Q863">
        <f t="shared" si="572"/>
        <v>78.3</v>
      </c>
      <c r="R863">
        <f t="shared" si="573"/>
        <v>60</v>
      </c>
      <c r="S863">
        <f t="shared" si="574"/>
        <v>68.599999999999994</v>
      </c>
      <c r="V863" s="6">
        <f t="shared" si="575"/>
        <v>45455.333333333336</v>
      </c>
      <c r="W863">
        <f t="shared" si="576"/>
        <v>18.899999999999999</v>
      </c>
      <c r="X863">
        <f t="shared" si="577"/>
        <v>22.6</v>
      </c>
      <c r="Y863">
        <f t="shared" si="578"/>
        <v>14</v>
      </c>
      <c r="Z863">
        <f t="shared" si="579"/>
        <v>19.899999999999999</v>
      </c>
    </row>
    <row r="864" spans="1:26" x14ac:dyDescent="0.2">
      <c r="A864" s="13">
        <v>45455</v>
      </c>
      <c r="B864" s="3">
        <v>0.375</v>
      </c>
      <c r="C864" s="4">
        <v>45455.375</v>
      </c>
      <c r="D864" s="5">
        <v>64.5</v>
      </c>
      <c r="E864" s="5">
        <v>72.3</v>
      </c>
      <c r="F864" s="5">
        <v>57.4</v>
      </c>
      <c r="G864" s="5" t="s">
        <v>6</v>
      </c>
      <c r="H864" s="5">
        <v>19</v>
      </c>
      <c r="I864" s="5">
        <v>25.1</v>
      </c>
      <c r="J864" s="5">
        <v>16.5</v>
      </c>
      <c r="K864" s="5" t="s">
        <v>6</v>
      </c>
      <c r="L864" s="5">
        <v>230</v>
      </c>
      <c r="M864" t="s">
        <v>6</v>
      </c>
      <c r="O864" s="6">
        <f t="shared" si="570"/>
        <v>45455.375</v>
      </c>
      <c r="P864">
        <f t="shared" si="571"/>
        <v>64.5</v>
      </c>
      <c r="Q864">
        <f t="shared" si="572"/>
        <v>72.3</v>
      </c>
      <c r="R864">
        <f t="shared" si="573"/>
        <v>57.4</v>
      </c>
      <c r="S864">
        <f t="shared" si="574"/>
        <v>65.5</v>
      </c>
      <c r="V864" s="6">
        <f t="shared" si="575"/>
        <v>45455.375</v>
      </c>
      <c r="W864">
        <f t="shared" si="576"/>
        <v>19</v>
      </c>
      <c r="X864">
        <f t="shared" si="577"/>
        <v>25.1</v>
      </c>
      <c r="Y864">
        <f t="shared" si="578"/>
        <v>16.5</v>
      </c>
      <c r="Z864">
        <f t="shared" si="579"/>
        <v>20</v>
      </c>
    </row>
    <row r="865" spans="1:26" x14ac:dyDescent="0.2">
      <c r="A865" s="1">
        <v>45455</v>
      </c>
      <c r="B865" s="2">
        <v>0.41666666666666669</v>
      </c>
      <c r="C865" s="6">
        <v>45455.416666666664</v>
      </c>
      <c r="D865">
        <v>64.2</v>
      </c>
      <c r="E865">
        <v>67.3</v>
      </c>
      <c r="F865">
        <v>60.2</v>
      </c>
      <c r="G865" t="s">
        <v>6</v>
      </c>
      <c r="H865">
        <v>19.8</v>
      </c>
      <c r="I865">
        <v>23.3</v>
      </c>
      <c r="J865">
        <v>16.2</v>
      </c>
      <c r="K865" t="s">
        <v>6</v>
      </c>
      <c r="L865">
        <v>175</v>
      </c>
      <c r="M865" t="s">
        <v>6</v>
      </c>
      <c r="O865" s="6">
        <f t="shared" si="570"/>
        <v>45455.416666666664</v>
      </c>
      <c r="P865">
        <f t="shared" si="571"/>
        <v>64.2</v>
      </c>
      <c r="Q865">
        <f t="shared" si="572"/>
        <v>67.3</v>
      </c>
      <c r="R865">
        <f t="shared" si="573"/>
        <v>60.2</v>
      </c>
      <c r="S865">
        <f t="shared" si="574"/>
        <v>65.2</v>
      </c>
      <c r="V865" s="6">
        <f t="shared" si="575"/>
        <v>45455.416666666664</v>
      </c>
      <c r="W865">
        <f t="shared" si="576"/>
        <v>19.8</v>
      </c>
      <c r="X865">
        <f t="shared" si="577"/>
        <v>23.3</v>
      </c>
      <c r="Y865">
        <f t="shared" si="578"/>
        <v>16.2</v>
      </c>
      <c r="Z865">
        <f t="shared" si="579"/>
        <v>20.8</v>
      </c>
    </row>
    <row r="866" spans="1:26" x14ac:dyDescent="0.2">
      <c r="A866" s="1">
        <v>45455</v>
      </c>
      <c r="B866" s="2">
        <v>0.45833333333333331</v>
      </c>
      <c r="C866" s="6">
        <v>45455.458333333336</v>
      </c>
      <c r="D866">
        <v>61.7</v>
      </c>
      <c r="E866">
        <v>68.8</v>
      </c>
      <c r="F866">
        <v>55.8</v>
      </c>
      <c r="G866" t="s">
        <v>6</v>
      </c>
      <c r="H866">
        <v>19.100000000000001</v>
      </c>
      <c r="I866">
        <v>23.1</v>
      </c>
      <c r="J866">
        <v>16.399999999999999</v>
      </c>
      <c r="K866" t="s">
        <v>6</v>
      </c>
      <c r="L866">
        <v>226</v>
      </c>
      <c r="M866" t="s">
        <v>6</v>
      </c>
      <c r="O866" s="6">
        <f t="shared" si="570"/>
        <v>45455.458333333336</v>
      </c>
      <c r="P866">
        <f t="shared" si="571"/>
        <v>61.7</v>
      </c>
      <c r="Q866">
        <f t="shared" si="572"/>
        <v>68.8</v>
      </c>
      <c r="R866">
        <f t="shared" si="573"/>
        <v>55.8</v>
      </c>
      <c r="S866">
        <f t="shared" si="574"/>
        <v>62.7</v>
      </c>
      <c r="V866" s="6">
        <f t="shared" si="575"/>
        <v>45455.458333333336</v>
      </c>
      <c r="W866">
        <f t="shared" si="576"/>
        <v>19.100000000000001</v>
      </c>
      <c r="X866">
        <f t="shared" si="577"/>
        <v>23.1</v>
      </c>
      <c r="Y866">
        <f t="shared" si="578"/>
        <v>16.399999999999999</v>
      </c>
      <c r="Z866">
        <f t="shared" si="579"/>
        <v>20.100000000000001</v>
      </c>
    </row>
    <row r="867" spans="1:26" x14ac:dyDescent="0.2">
      <c r="A867" s="1">
        <v>45455</v>
      </c>
      <c r="B867" s="2">
        <v>0.5</v>
      </c>
      <c r="C867" s="6">
        <v>45455.5</v>
      </c>
      <c r="D867">
        <v>59.8</v>
      </c>
      <c r="E867">
        <v>63.7</v>
      </c>
      <c r="F867">
        <v>55.4</v>
      </c>
      <c r="G867" t="s">
        <v>6</v>
      </c>
      <c r="H867">
        <v>19.7</v>
      </c>
      <c r="I867">
        <v>24.4</v>
      </c>
      <c r="J867">
        <v>15.8</v>
      </c>
      <c r="K867" t="s">
        <v>6</v>
      </c>
      <c r="L867">
        <v>151</v>
      </c>
      <c r="M867" t="s">
        <v>6</v>
      </c>
      <c r="O867" s="6">
        <f t="shared" si="570"/>
        <v>45455.5</v>
      </c>
      <c r="P867">
        <f t="shared" si="571"/>
        <v>59.8</v>
      </c>
      <c r="Q867">
        <f t="shared" si="572"/>
        <v>63.7</v>
      </c>
      <c r="R867">
        <f t="shared" si="573"/>
        <v>55.4</v>
      </c>
      <c r="S867">
        <f t="shared" si="574"/>
        <v>60.8</v>
      </c>
      <c r="V867" s="6">
        <f t="shared" si="575"/>
        <v>45455.5</v>
      </c>
      <c r="W867">
        <f t="shared" si="576"/>
        <v>19.7</v>
      </c>
      <c r="X867">
        <f t="shared" si="577"/>
        <v>24.4</v>
      </c>
      <c r="Y867">
        <f t="shared" si="578"/>
        <v>15.8</v>
      </c>
      <c r="Z867">
        <f t="shared" si="579"/>
        <v>20.7</v>
      </c>
    </row>
    <row r="868" spans="1:26" x14ac:dyDescent="0.2">
      <c r="A868" s="1">
        <v>45455</v>
      </c>
      <c r="B868" s="2">
        <v>0.54166666666666663</v>
      </c>
      <c r="C868" s="6">
        <v>45455.541666666664</v>
      </c>
      <c r="D868">
        <v>56.1</v>
      </c>
      <c r="E868">
        <v>66.599999999999994</v>
      </c>
      <c r="F868">
        <v>48.8</v>
      </c>
      <c r="G868" t="s">
        <v>6</v>
      </c>
      <c r="H868">
        <v>21.3</v>
      </c>
      <c r="I868">
        <v>25.4</v>
      </c>
      <c r="J868">
        <v>16.2</v>
      </c>
      <c r="K868" t="s">
        <v>6</v>
      </c>
      <c r="L868">
        <v>207</v>
      </c>
      <c r="M868" t="s">
        <v>6</v>
      </c>
      <c r="O868" s="6">
        <f t="shared" si="570"/>
        <v>45455.541666666664</v>
      </c>
      <c r="P868">
        <f t="shared" si="571"/>
        <v>56.1</v>
      </c>
      <c r="Q868">
        <f t="shared" si="572"/>
        <v>66.599999999999994</v>
      </c>
      <c r="R868">
        <f t="shared" si="573"/>
        <v>48.8</v>
      </c>
      <c r="S868">
        <f t="shared" si="574"/>
        <v>57.1</v>
      </c>
      <c r="V868" s="6">
        <f t="shared" si="575"/>
        <v>45455.541666666664</v>
      </c>
      <c r="W868">
        <f t="shared" si="576"/>
        <v>21.3</v>
      </c>
      <c r="X868">
        <f t="shared" si="577"/>
        <v>25.4</v>
      </c>
      <c r="Y868">
        <f t="shared" si="578"/>
        <v>16.2</v>
      </c>
      <c r="Z868">
        <f t="shared" si="579"/>
        <v>22.3</v>
      </c>
    </row>
    <row r="869" spans="1:26" x14ac:dyDescent="0.2">
      <c r="A869" s="1">
        <v>45455</v>
      </c>
      <c r="B869" s="2">
        <v>0.58333333333333337</v>
      </c>
      <c r="C869" s="6">
        <v>45455.583333333336</v>
      </c>
      <c r="D869">
        <v>61.8</v>
      </c>
      <c r="E869">
        <v>65.900000000000006</v>
      </c>
      <c r="F869">
        <v>55.5</v>
      </c>
      <c r="G869" t="s">
        <v>6</v>
      </c>
      <c r="H869">
        <v>19.8</v>
      </c>
      <c r="I869">
        <v>24.7</v>
      </c>
      <c r="J869">
        <v>16.8</v>
      </c>
      <c r="K869" t="s">
        <v>6</v>
      </c>
      <c r="L869">
        <v>229</v>
      </c>
      <c r="M869" t="s">
        <v>6</v>
      </c>
      <c r="O869" s="6">
        <f t="shared" si="570"/>
        <v>45455.583333333336</v>
      </c>
      <c r="P869">
        <f t="shared" si="571"/>
        <v>61.8</v>
      </c>
      <c r="Q869">
        <f t="shared" si="572"/>
        <v>65.900000000000006</v>
      </c>
      <c r="R869">
        <f t="shared" si="573"/>
        <v>55.5</v>
      </c>
      <c r="S869">
        <f t="shared" si="574"/>
        <v>62.8</v>
      </c>
      <c r="V869" s="6">
        <f t="shared" si="575"/>
        <v>45455.583333333336</v>
      </c>
      <c r="W869">
        <f t="shared" si="576"/>
        <v>19.8</v>
      </c>
      <c r="X869">
        <f t="shared" si="577"/>
        <v>24.7</v>
      </c>
      <c r="Y869">
        <f t="shared" si="578"/>
        <v>16.8</v>
      </c>
      <c r="Z869">
        <f t="shared" si="579"/>
        <v>20.8</v>
      </c>
    </row>
    <row r="870" spans="1:26" x14ac:dyDescent="0.2">
      <c r="A870" s="1">
        <v>45455</v>
      </c>
      <c r="B870" s="2">
        <v>0.625</v>
      </c>
      <c r="C870" s="6">
        <v>45455.625</v>
      </c>
      <c r="D870">
        <v>57.6</v>
      </c>
      <c r="E870">
        <v>62.4</v>
      </c>
      <c r="F870">
        <v>52.9</v>
      </c>
      <c r="G870" t="s">
        <v>6</v>
      </c>
      <c r="H870">
        <v>22.4</v>
      </c>
      <c r="I870">
        <v>26.1</v>
      </c>
      <c r="J870">
        <v>18.600000000000001</v>
      </c>
      <c r="K870" t="s">
        <v>6</v>
      </c>
      <c r="L870">
        <v>173</v>
      </c>
      <c r="M870" t="s">
        <v>6</v>
      </c>
      <c r="O870" s="6">
        <f t="shared" si="570"/>
        <v>45455.625</v>
      </c>
      <c r="P870">
        <f t="shared" si="571"/>
        <v>57.6</v>
      </c>
      <c r="Q870">
        <f t="shared" si="572"/>
        <v>62.4</v>
      </c>
      <c r="R870">
        <f t="shared" si="573"/>
        <v>52.9</v>
      </c>
      <c r="S870">
        <f t="shared" si="574"/>
        <v>58.6</v>
      </c>
      <c r="V870" s="6">
        <f t="shared" si="575"/>
        <v>45455.625</v>
      </c>
      <c r="W870">
        <f t="shared" si="576"/>
        <v>22.4</v>
      </c>
      <c r="X870">
        <f t="shared" si="577"/>
        <v>26.1</v>
      </c>
      <c r="Y870">
        <f t="shared" si="578"/>
        <v>18.600000000000001</v>
      </c>
      <c r="Z870">
        <f t="shared" si="579"/>
        <v>23.4</v>
      </c>
    </row>
    <row r="871" spans="1:26" x14ac:dyDescent="0.2">
      <c r="A871" s="1">
        <v>45455</v>
      </c>
      <c r="B871" s="2">
        <v>0.66666666666666663</v>
      </c>
      <c r="C871" s="6">
        <v>45455.666666666664</v>
      </c>
      <c r="D871">
        <v>55.5</v>
      </c>
      <c r="E871">
        <v>62.2</v>
      </c>
      <c r="F871">
        <v>51.2</v>
      </c>
      <c r="G871" t="s">
        <v>6</v>
      </c>
      <c r="H871">
        <v>21.7</v>
      </c>
      <c r="I871">
        <v>27.4</v>
      </c>
      <c r="J871">
        <v>18.3</v>
      </c>
      <c r="K871" t="s">
        <v>6</v>
      </c>
      <c r="L871">
        <v>213</v>
      </c>
      <c r="M871" t="s">
        <v>6</v>
      </c>
      <c r="O871" s="6">
        <f t="shared" si="570"/>
        <v>45455.666666666664</v>
      </c>
      <c r="P871">
        <f t="shared" si="571"/>
        <v>55.5</v>
      </c>
      <c r="Q871">
        <f t="shared" si="572"/>
        <v>62.2</v>
      </c>
      <c r="R871">
        <f t="shared" si="573"/>
        <v>51.2</v>
      </c>
      <c r="S871">
        <f t="shared" si="574"/>
        <v>56.5</v>
      </c>
      <c r="V871" s="6">
        <f t="shared" si="575"/>
        <v>45455.666666666664</v>
      </c>
      <c r="W871">
        <f t="shared" si="576"/>
        <v>21.7</v>
      </c>
      <c r="X871">
        <f t="shared" si="577"/>
        <v>27.4</v>
      </c>
      <c r="Y871">
        <f t="shared" si="578"/>
        <v>18.3</v>
      </c>
      <c r="Z871">
        <f t="shared" si="579"/>
        <v>22.7</v>
      </c>
    </row>
    <row r="872" spans="1:26" x14ac:dyDescent="0.2">
      <c r="A872" s="1">
        <v>45455</v>
      </c>
      <c r="B872" s="2">
        <v>0.70833333333333337</v>
      </c>
      <c r="C872" s="6">
        <v>45455.708333333336</v>
      </c>
      <c r="D872">
        <v>56.1</v>
      </c>
      <c r="E872">
        <v>61.2</v>
      </c>
      <c r="F872">
        <v>51.2</v>
      </c>
      <c r="G872" t="s">
        <v>6</v>
      </c>
      <c r="H872">
        <v>19.7</v>
      </c>
      <c r="I872">
        <v>24.9</v>
      </c>
      <c r="J872">
        <v>15</v>
      </c>
      <c r="K872" t="s">
        <v>6</v>
      </c>
      <c r="L872">
        <v>208</v>
      </c>
      <c r="M872" t="s">
        <v>6</v>
      </c>
      <c r="O872" s="6">
        <f t="shared" si="570"/>
        <v>45455.708333333336</v>
      </c>
      <c r="P872">
        <f t="shared" si="571"/>
        <v>56.1</v>
      </c>
      <c r="Q872">
        <f t="shared" si="572"/>
        <v>61.2</v>
      </c>
      <c r="R872">
        <f t="shared" si="573"/>
        <v>51.2</v>
      </c>
      <c r="S872">
        <f t="shared" si="574"/>
        <v>57.1</v>
      </c>
      <c r="V872" s="6">
        <f t="shared" si="575"/>
        <v>45455.708333333336</v>
      </c>
      <c r="W872">
        <f t="shared" si="576"/>
        <v>19.7</v>
      </c>
      <c r="X872">
        <f t="shared" si="577"/>
        <v>24.9</v>
      </c>
      <c r="Y872">
        <f t="shared" si="578"/>
        <v>15</v>
      </c>
      <c r="Z872">
        <f t="shared" si="579"/>
        <v>20.7</v>
      </c>
    </row>
    <row r="873" spans="1:26" x14ac:dyDescent="0.2">
      <c r="A873" s="1">
        <v>45455</v>
      </c>
      <c r="B873" s="2">
        <v>0.75</v>
      </c>
      <c r="C873" s="6">
        <v>45455.75</v>
      </c>
      <c r="D873">
        <v>57.1</v>
      </c>
      <c r="E873">
        <v>62.9</v>
      </c>
      <c r="F873">
        <v>52.9</v>
      </c>
      <c r="G873" t="s">
        <v>6</v>
      </c>
      <c r="H873">
        <v>22.7</v>
      </c>
      <c r="I873">
        <v>27.5</v>
      </c>
      <c r="J873">
        <v>19.100000000000001</v>
      </c>
      <c r="K873" t="s">
        <v>6</v>
      </c>
      <c r="L873">
        <v>166</v>
      </c>
      <c r="M873" t="s">
        <v>6</v>
      </c>
      <c r="O873" s="6">
        <f t="shared" si="570"/>
        <v>45455.75</v>
      </c>
      <c r="P873">
        <f t="shared" si="571"/>
        <v>57.1</v>
      </c>
      <c r="Q873">
        <f t="shared" si="572"/>
        <v>62.9</v>
      </c>
      <c r="R873">
        <f t="shared" si="573"/>
        <v>52.9</v>
      </c>
      <c r="S873">
        <f t="shared" si="574"/>
        <v>58.1</v>
      </c>
      <c r="V873" s="6">
        <f t="shared" si="575"/>
        <v>45455.75</v>
      </c>
      <c r="W873">
        <f t="shared" si="576"/>
        <v>22.7</v>
      </c>
      <c r="X873">
        <f t="shared" si="577"/>
        <v>27.5</v>
      </c>
      <c r="Y873">
        <f t="shared" si="578"/>
        <v>19.100000000000001</v>
      </c>
      <c r="Z873">
        <f t="shared" si="579"/>
        <v>23.7</v>
      </c>
    </row>
    <row r="874" spans="1:26" x14ac:dyDescent="0.2">
      <c r="A874" s="1">
        <v>45455</v>
      </c>
      <c r="B874" s="2">
        <v>0.79166666666666663</v>
      </c>
      <c r="C874" s="6">
        <v>45455.791666666664</v>
      </c>
      <c r="D874">
        <v>58.2</v>
      </c>
      <c r="E874">
        <v>64.7</v>
      </c>
      <c r="F874">
        <v>50.7</v>
      </c>
      <c r="G874" t="s">
        <v>6</v>
      </c>
      <c r="H874">
        <v>21.1</v>
      </c>
      <c r="I874">
        <v>25.2</v>
      </c>
      <c r="J874">
        <v>15.4</v>
      </c>
      <c r="K874" t="s">
        <v>6</v>
      </c>
      <c r="L874">
        <v>211</v>
      </c>
      <c r="M874" t="s">
        <v>6</v>
      </c>
      <c r="O874" s="6">
        <f t="shared" si="570"/>
        <v>45455.791666666664</v>
      </c>
      <c r="P874">
        <f t="shared" si="571"/>
        <v>58.2</v>
      </c>
      <c r="Q874">
        <f t="shared" si="572"/>
        <v>64.7</v>
      </c>
      <c r="R874">
        <f t="shared" si="573"/>
        <v>50.7</v>
      </c>
      <c r="S874">
        <f t="shared" si="574"/>
        <v>59.2</v>
      </c>
      <c r="V874" s="6">
        <f t="shared" si="575"/>
        <v>45455.791666666664</v>
      </c>
      <c r="W874">
        <f t="shared" si="576"/>
        <v>21.1</v>
      </c>
      <c r="X874">
        <f t="shared" si="577"/>
        <v>25.2</v>
      </c>
      <c r="Y874">
        <f t="shared" si="578"/>
        <v>15.4</v>
      </c>
      <c r="Z874">
        <f t="shared" si="579"/>
        <v>22.1</v>
      </c>
    </row>
    <row r="875" spans="1:26" x14ac:dyDescent="0.2">
      <c r="A875" s="1">
        <v>45455</v>
      </c>
      <c r="B875" s="2">
        <v>0.83333333333333337</v>
      </c>
      <c r="C875" s="6">
        <v>45455.833333333336</v>
      </c>
      <c r="D875">
        <v>58.8</v>
      </c>
      <c r="E875">
        <v>67</v>
      </c>
      <c r="F875">
        <v>49.4</v>
      </c>
      <c r="G875" t="s">
        <v>6</v>
      </c>
      <c r="H875">
        <v>20.6</v>
      </c>
      <c r="I875">
        <v>23.7</v>
      </c>
      <c r="J875">
        <v>17.399999999999999</v>
      </c>
      <c r="K875" t="s">
        <v>6</v>
      </c>
      <c r="L875">
        <v>224</v>
      </c>
      <c r="M875" t="s">
        <v>6</v>
      </c>
      <c r="O875" s="6">
        <f t="shared" si="570"/>
        <v>45455.833333333336</v>
      </c>
      <c r="P875">
        <f t="shared" si="571"/>
        <v>58.8</v>
      </c>
      <c r="Q875">
        <f t="shared" si="572"/>
        <v>67</v>
      </c>
      <c r="R875">
        <f t="shared" si="573"/>
        <v>49.4</v>
      </c>
      <c r="S875">
        <f t="shared" si="574"/>
        <v>59.8</v>
      </c>
      <c r="V875" s="6">
        <f t="shared" si="575"/>
        <v>45455.833333333336</v>
      </c>
      <c r="W875">
        <f t="shared" si="576"/>
        <v>20.6</v>
      </c>
      <c r="X875">
        <f t="shared" si="577"/>
        <v>23.7</v>
      </c>
      <c r="Y875">
        <f t="shared" si="578"/>
        <v>17.399999999999999</v>
      </c>
      <c r="Z875">
        <f t="shared" si="579"/>
        <v>21.6</v>
      </c>
    </row>
    <row r="876" spans="1:26" x14ac:dyDescent="0.2">
      <c r="A876" s="1">
        <v>45455</v>
      </c>
      <c r="B876" s="2">
        <v>0.875</v>
      </c>
      <c r="C876" s="6">
        <v>45455.875</v>
      </c>
      <c r="D876">
        <v>57.4</v>
      </c>
      <c r="E876">
        <v>65.099999999999994</v>
      </c>
      <c r="F876">
        <v>48.8</v>
      </c>
      <c r="G876" t="s">
        <v>6</v>
      </c>
      <c r="H876">
        <v>22.1</v>
      </c>
      <c r="I876">
        <v>26.8</v>
      </c>
      <c r="J876">
        <v>19.2</v>
      </c>
      <c r="K876" t="s">
        <v>6</v>
      </c>
      <c r="L876">
        <v>195</v>
      </c>
      <c r="M876" t="s">
        <v>6</v>
      </c>
      <c r="O876" s="6">
        <f t="shared" si="570"/>
        <v>45455.875</v>
      </c>
      <c r="P876">
        <f t="shared" si="571"/>
        <v>57.4</v>
      </c>
      <c r="Q876">
        <f t="shared" si="572"/>
        <v>65.099999999999994</v>
      </c>
      <c r="R876">
        <f t="shared" si="573"/>
        <v>48.8</v>
      </c>
      <c r="S876">
        <f t="shared" si="574"/>
        <v>58.4</v>
      </c>
      <c r="V876" s="6">
        <f t="shared" si="575"/>
        <v>45455.875</v>
      </c>
      <c r="W876">
        <f t="shared" si="576"/>
        <v>22.1</v>
      </c>
      <c r="X876">
        <f t="shared" si="577"/>
        <v>26.8</v>
      </c>
      <c r="Y876">
        <f t="shared" si="578"/>
        <v>19.2</v>
      </c>
      <c r="Z876">
        <f t="shared" si="579"/>
        <v>23.1</v>
      </c>
    </row>
    <row r="877" spans="1:26" x14ac:dyDescent="0.2">
      <c r="A877" s="1">
        <v>45455</v>
      </c>
      <c r="B877" s="2">
        <v>0.91666666666666663</v>
      </c>
      <c r="C877" s="6">
        <v>45455.916666666664</v>
      </c>
      <c r="D877">
        <v>55.6</v>
      </c>
      <c r="E877">
        <v>67.599999999999994</v>
      </c>
      <c r="F877">
        <v>48.7</v>
      </c>
      <c r="G877" t="s">
        <v>6</v>
      </c>
      <c r="H877">
        <v>20.9</v>
      </c>
      <c r="I877">
        <v>24.5</v>
      </c>
      <c r="J877">
        <v>14.1</v>
      </c>
      <c r="K877" t="s">
        <v>6</v>
      </c>
      <c r="L877">
        <v>92</v>
      </c>
      <c r="M877" t="s">
        <v>6</v>
      </c>
      <c r="O877" s="6">
        <f t="shared" si="570"/>
        <v>45455.916666666664</v>
      </c>
      <c r="P877">
        <f t="shared" si="571"/>
        <v>55.6</v>
      </c>
      <c r="Q877">
        <f t="shared" si="572"/>
        <v>67.599999999999994</v>
      </c>
      <c r="R877">
        <f t="shared" si="573"/>
        <v>48.7</v>
      </c>
      <c r="S877">
        <f t="shared" si="574"/>
        <v>56.6</v>
      </c>
      <c r="V877" s="6">
        <f t="shared" si="575"/>
        <v>45455.916666666664</v>
      </c>
      <c r="W877">
        <f t="shared" si="576"/>
        <v>20.9</v>
      </c>
      <c r="X877">
        <f t="shared" si="577"/>
        <v>24.5</v>
      </c>
      <c r="Y877">
        <f t="shared" si="578"/>
        <v>14.1</v>
      </c>
      <c r="Z877">
        <f t="shared" si="579"/>
        <v>21.9</v>
      </c>
    </row>
    <row r="878" spans="1:26" x14ac:dyDescent="0.2">
      <c r="A878" s="1">
        <v>45456</v>
      </c>
      <c r="B878" s="2">
        <v>0.25</v>
      </c>
      <c r="C878" s="6">
        <v>45456.25</v>
      </c>
      <c r="D878">
        <v>68.400000000000006</v>
      </c>
      <c r="E878">
        <v>79.400000000000006</v>
      </c>
      <c r="F878">
        <v>58.3</v>
      </c>
      <c r="G878" t="s">
        <v>6</v>
      </c>
      <c r="H878">
        <v>20.2</v>
      </c>
      <c r="I878">
        <v>23</v>
      </c>
      <c r="J878">
        <v>13.2</v>
      </c>
      <c r="K878" t="s">
        <v>6</v>
      </c>
      <c r="L878">
        <v>29</v>
      </c>
      <c r="M878" t="s">
        <v>6</v>
      </c>
      <c r="O878" s="6">
        <f t="shared" si="570"/>
        <v>45456.25</v>
      </c>
      <c r="P878">
        <f t="shared" si="571"/>
        <v>68.400000000000006</v>
      </c>
      <c r="Q878">
        <f t="shared" si="572"/>
        <v>79.400000000000006</v>
      </c>
      <c r="R878">
        <f t="shared" si="573"/>
        <v>58.3</v>
      </c>
      <c r="S878">
        <f t="shared" si="574"/>
        <v>69.400000000000006</v>
      </c>
      <c r="V878" s="6">
        <f t="shared" si="575"/>
        <v>45456.25</v>
      </c>
      <c r="W878">
        <f t="shared" si="576"/>
        <v>20.2</v>
      </c>
      <c r="X878">
        <f t="shared" si="577"/>
        <v>23</v>
      </c>
      <c r="Y878">
        <f t="shared" si="578"/>
        <v>13.2</v>
      </c>
      <c r="Z878">
        <f t="shared" si="579"/>
        <v>21.2</v>
      </c>
    </row>
    <row r="879" spans="1:26" x14ac:dyDescent="0.2">
      <c r="A879" s="1">
        <v>45456</v>
      </c>
      <c r="B879" s="2">
        <v>0.29166666666666669</v>
      </c>
      <c r="C879" s="6">
        <v>45456.291666666664</v>
      </c>
      <c r="D879">
        <v>61.1</v>
      </c>
      <c r="E879">
        <v>77.8</v>
      </c>
      <c r="F879">
        <v>52.7</v>
      </c>
      <c r="G879" t="s">
        <v>6</v>
      </c>
      <c r="H879">
        <v>19.5</v>
      </c>
      <c r="I879">
        <v>22.7</v>
      </c>
      <c r="J879">
        <v>15.2</v>
      </c>
      <c r="K879" t="s">
        <v>6</v>
      </c>
      <c r="L879">
        <v>201</v>
      </c>
      <c r="M879" t="s">
        <v>6</v>
      </c>
      <c r="O879" s="6">
        <f t="shared" si="570"/>
        <v>45456.291666666664</v>
      </c>
      <c r="P879">
        <f t="shared" si="571"/>
        <v>61.1</v>
      </c>
      <c r="Q879">
        <f t="shared" si="572"/>
        <v>77.8</v>
      </c>
      <c r="R879">
        <f t="shared" si="573"/>
        <v>52.7</v>
      </c>
      <c r="S879">
        <f t="shared" si="574"/>
        <v>62.1</v>
      </c>
      <c r="V879" s="6">
        <f t="shared" si="575"/>
        <v>45456.291666666664</v>
      </c>
      <c r="W879">
        <f t="shared" si="576"/>
        <v>19.5</v>
      </c>
      <c r="X879">
        <f t="shared" si="577"/>
        <v>22.7</v>
      </c>
      <c r="Y879">
        <f t="shared" si="578"/>
        <v>15.2</v>
      </c>
      <c r="Z879">
        <f t="shared" si="579"/>
        <v>20.5</v>
      </c>
    </row>
    <row r="880" spans="1:26" x14ac:dyDescent="0.2">
      <c r="A880" s="14">
        <v>45456</v>
      </c>
      <c r="B880" s="7">
        <v>0.33333333333333331</v>
      </c>
      <c r="C880" s="8">
        <v>45456.333333333336</v>
      </c>
      <c r="D880" s="9">
        <v>62.2</v>
      </c>
      <c r="E880" s="9">
        <v>68.5</v>
      </c>
      <c r="F880" s="9">
        <v>57</v>
      </c>
      <c r="G880" s="9" t="s">
        <v>6</v>
      </c>
      <c r="H880" s="9">
        <v>18.899999999999999</v>
      </c>
      <c r="I880" s="9">
        <v>24.1</v>
      </c>
      <c r="J880" s="9">
        <v>13.9</v>
      </c>
      <c r="K880" s="9" t="s">
        <v>6</v>
      </c>
      <c r="L880" s="9">
        <v>217</v>
      </c>
      <c r="M880" t="s">
        <v>6</v>
      </c>
      <c r="O880" s="6">
        <f t="shared" si="570"/>
        <v>45456.333333333336</v>
      </c>
      <c r="P880">
        <f t="shared" si="571"/>
        <v>62.2</v>
      </c>
      <c r="Q880">
        <f t="shared" si="572"/>
        <v>68.5</v>
      </c>
      <c r="R880">
        <f t="shared" si="573"/>
        <v>57</v>
      </c>
      <c r="S880">
        <f t="shared" si="574"/>
        <v>63.2</v>
      </c>
      <c r="V880" s="6">
        <f t="shared" si="575"/>
        <v>45456.333333333336</v>
      </c>
      <c r="W880">
        <f t="shared" si="576"/>
        <v>18.899999999999999</v>
      </c>
      <c r="X880">
        <f t="shared" si="577"/>
        <v>24.1</v>
      </c>
      <c r="Y880">
        <f t="shared" si="578"/>
        <v>13.9</v>
      </c>
      <c r="Z880">
        <f t="shared" si="579"/>
        <v>19.899999999999999</v>
      </c>
    </row>
    <row r="881" spans="1:26" x14ac:dyDescent="0.2">
      <c r="A881" s="13">
        <v>45456</v>
      </c>
      <c r="B881" s="3">
        <v>0.375</v>
      </c>
      <c r="C881" s="4">
        <v>45456.375</v>
      </c>
      <c r="D881" s="5">
        <v>61</v>
      </c>
      <c r="E881" s="5">
        <v>66.5</v>
      </c>
      <c r="F881" s="5">
        <v>56.3</v>
      </c>
      <c r="G881" s="5" t="s">
        <v>6</v>
      </c>
      <c r="H881" s="5">
        <v>18.5</v>
      </c>
      <c r="I881" s="5">
        <v>23.2</v>
      </c>
      <c r="J881" s="5">
        <v>15.6</v>
      </c>
      <c r="K881" s="5" t="s">
        <v>6</v>
      </c>
      <c r="L881" s="5">
        <v>210</v>
      </c>
      <c r="M881" t="s">
        <v>6</v>
      </c>
      <c r="O881" s="6">
        <f t="shared" si="570"/>
        <v>45456.375</v>
      </c>
      <c r="P881">
        <f t="shared" si="571"/>
        <v>61</v>
      </c>
      <c r="Q881">
        <f t="shared" si="572"/>
        <v>66.5</v>
      </c>
      <c r="R881">
        <f t="shared" si="573"/>
        <v>56.3</v>
      </c>
      <c r="S881">
        <f t="shared" si="574"/>
        <v>62</v>
      </c>
      <c r="V881" s="6">
        <f t="shared" si="575"/>
        <v>45456.375</v>
      </c>
      <c r="W881">
        <f t="shared" si="576"/>
        <v>18.5</v>
      </c>
      <c r="X881">
        <f t="shared" si="577"/>
        <v>23.2</v>
      </c>
      <c r="Y881">
        <f t="shared" si="578"/>
        <v>15.6</v>
      </c>
      <c r="Z881">
        <f t="shared" si="579"/>
        <v>19.5</v>
      </c>
    </row>
    <row r="882" spans="1:26" x14ac:dyDescent="0.2">
      <c r="A882" s="1">
        <v>45456</v>
      </c>
      <c r="B882" s="2">
        <v>0.41666666666666669</v>
      </c>
      <c r="C882" s="6">
        <v>45456.416666666664</v>
      </c>
      <c r="D882">
        <v>61.3</v>
      </c>
      <c r="E882">
        <v>65.8</v>
      </c>
      <c r="F882">
        <v>53.9</v>
      </c>
      <c r="G882" t="s">
        <v>6</v>
      </c>
      <c r="H882">
        <v>20.8</v>
      </c>
      <c r="I882">
        <v>23.9</v>
      </c>
      <c r="J882">
        <v>12.5</v>
      </c>
      <c r="K882" t="s">
        <v>6</v>
      </c>
      <c r="L882">
        <v>127</v>
      </c>
      <c r="M882" t="s">
        <v>6</v>
      </c>
      <c r="O882" s="6">
        <f t="shared" si="570"/>
        <v>45456.416666666664</v>
      </c>
      <c r="P882">
        <f t="shared" si="571"/>
        <v>61.3</v>
      </c>
      <c r="Q882">
        <f t="shared" si="572"/>
        <v>65.8</v>
      </c>
      <c r="R882">
        <f t="shared" si="573"/>
        <v>53.9</v>
      </c>
      <c r="S882">
        <f t="shared" si="574"/>
        <v>62.3</v>
      </c>
      <c r="V882" s="6">
        <f t="shared" si="575"/>
        <v>45456.416666666664</v>
      </c>
      <c r="W882">
        <f t="shared" si="576"/>
        <v>20.8</v>
      </c>
      <c r="X882">
        <f t="shared" si="577"/>
        <v>23.9</v>
      </c>
      <c r="Y882">
        <f t="shared" si="578"/>
        <v>12.5</v>
      </c>
      <c r="Z882">
        <f t="shared" si="579"/>
        <v>21.8</v>
      </c>
    </row>
    <row r="883" spans="1:26" x14ac:dyDescent="0.2">
      <c r="A883" s="1">
        <v>45456</v>
      </c>
      <c r="B883" s="2">
        <v>0.45833333333333331</v>
      </c>
      <c r="C883" s="6">
        <v>45456.458333333336</v>
      </c>
      <c r="D883">
        <v>60.7</v>
      </c>
      <c r="E883">
        <v>65.900000000000006</v>
      </c>
      <c r="F883">
        <v>56.7</v>
      </c>
      <c r="G883" t="s">
        <v>6</v>
      </c>
      <c r="H883">
        <v>20</v>
      </c>
      <c r="I883">
        <v>25.1</v>
      </c>
      <c r="J883">
        <v>9.4</v>
      </c>
      <c r="K883" t="s">
        <v>6</v>
      </c>
      <c r="L883">
        <v>154</v>
      </c>
      <c r="M883" t="s">
        <v>6</v>
      </c>
      <c r="O883" s="6">
        <f t="shared" si="570"/>
        <v>45456.458333333336</v>
      </c>
      <c r="P883">
        <f t="shared" si="571"/>
        <v>60.7</v>
      </c>
      <c r="Q883">
        <f t="shared" si="572"/>
        <v>65.900000000000006</v>
      </c>
      <c r="R883">
        <f t="shared" si="573"/>
        <v>56.7</v>
      </c>
      <c r="S883">
        <f t="shared" si="574"/>
        <v>61.7</v>
      </c>
      <c r="V883" s="6">
        <f t="shared" si="575"/>
        <v>45456.458333333336</v>
      </c>
      <c r="W883">
        <f t="shared" si="576"/>
        <v>20</v>
      </c>
      <c r="X883">
        <f t="shared" si="577"/>
        <v>25.1</v>
      </c>
      <c r="Y883">
        <f t="shared" si="578"/>
        <v>9.4</v>
      </c>
      <c r="Z883">
        <f t="shared" si="579"/>
        <v>21</v>
      </c>
    </row>
    <row r="884" spans="1:26" x14ac:dyDescent="0.2">
      <c r="A884" s="1">
        <v>45456</v>
      </c>
      <c r="B884" s="2">
        <v>0.5</v>
      </c>
      <c r="C884" s="6">
        <v>45456.5</v>
      </c>
      <c r="D884">
        <v>59.5</v>
      </c>
      <c r="E884">
        <v>65.3</v>
      </c>
      <c r="F884">
        <v>55.5</v>
      </c>
      <c r="G884" t="s">
        <v>6</v>
      </c>
      <c r="H884">
        <v>19.7</v>
      </c>
      <c r="I884">
        <v>23.2</v>
      </c>
      <c r="J884">
        <v>15.6</v>
      </c>
      <c r="K884" t="s">
        <v>6</v>
      </c>
      <c r="L884">
        <v>188</v>
      </c>
      <c r="M884" t="s">
        <v>6</v>
      </c>
      <c r="O884" s="6">
        <f t="shared" si="570"/>
        <v>45456.5</v>
      </c>
      <c r="P884">
        <f t="shared" si="571"/>
        <v>59.5</v>
      </c>
      <c r="Q884">
        <f t="shared" si="572"/>
        <v>65.3</v>
      </c>
      <c r="R884">
        <f t="shared" si="573"/>
        <v>55.5</v>
      </c>
      <c r="S884">
        <f t="shared" si="574"/>
        <v>60.5</v>
      </c>
      <c r="V884" s="6">
        <f t="shared" si="575"/>
        <v>45456.5</v>
      </c>
      <c r="W884">
        <f t="shared" si="576"/>
        <v>19.7</v>
      </c>
      <c r="X884">
        <f t="shared" si="577"/>
        <v>23.2</v>
      </c>
      <c r="Y884">
        <f t="shared" si="578"/>
        <v>15.6</v>
      </c>
      <c r="Z884">
        <f t="shared" si="579"/>
        <v>20.7</v>
      </c>
    </row>
    <row r="885" spans="1:26" x14ac:dyDescent="0.2">
      <c r="A885" s="1">
        <v>45456</v>
      </c>
      <c r="B885" s="2">
        <v>0.54166666666666663</v>
      </c>
      <c r="C885" s="6">
        <v>45456.541666666664</v>
      </c>
      <c r="D885">
        <v>58</v>
      </c>
      <c r="E885">
        <v>66.7</v>
      </c>
      <c r="F885">
        <v>51.9</v>
      </c>
      <c r="G885" t="s">
        <v>6</v>
      </c>
      <c r="H885">
        <v>19</v>
      </c>
      <c r="I885">
        <v>24.6</v>
      </c>
      <c r="J885">
        <v>15.5</v>
      </c>
      <c r="K885" t="s">
        <v>6</v>
      </c>
      <c r="L885">
        <v>217</v>
      </c>
      <c r="M885" t="s">
        <v>6</v>
      </c>
      <c r="O885" s="6">
        <f t="shared" si="570"/>
        <v>45456.541666666664</v>
      </c>
      <c r="P885">
        <f t="shared" si="571"/>
        <v>58</v>
      </c>
      <c r="Q885">
        <f t="shared" si="572"/>
        <v>66.7</v>
      </c>
      <c r="R885">
        <f t="shared" si="573"/>
        <v>51.9</v>
      </c>
      <c r="S885">
        <f t="shared" si="574"/>
        <v>59</v>
      </c>
      <c r="V885" s="6">
        <f t="shared" si="575"/>
        <v>45456.541666666664</v>
      </c>
      <c r="W885">
        <f t="shared" si="576"/>
        <v>19</v>
      </c>
      <c r="X885">
        <f t="shared" si="577"/>
        <v>24.6</v>
      </c>
      <c r="Y885">
        <f t="shared" si="578"/>
        <v>15.5</v>
      </c>
      <c r="Z885">
        <f t="shared" si="579"/>
        <v>20</v>
      </c>
    </row>
    <row r="886" spans="1:26" x14ac:dyDescent="0.2">
      <c r="A886" s="1">
        <v>45456</v>
      </c>
      <c r="B886" s="2">
        <v>0.58333333333333337</v>
      </c>
      <c r="C886" s="6">
        <v>45456.583333333336</v>
      </c>
      <c r="D886">
        <v>53.9</v>
      </c>
      <c r="E886">
        <v>59.6</v>
      </c>
      <c r="F886">
        <v>49.4</v>
      </c>
      <c r="G886" t="s">
        <v>6</v>
      </c>
      <c r="H886">
        <v>18.899999999999999</v>
      </c>
      <c r="I886">
        <v>23.1</v>
      </c>
      <c r="J886">
        <v>16.3</v>
      </c>
      <c r="K886" t="s">
        <v>6</v>
      </c>
      <c r="L886">
        <v>230</v>
      </c>
      <c r="M886" t="s">
        <v>6</v>
      </c>
      <c r="O886" s="6">
        <f t="shared" si="570"/>
        <v>45456.583333333336</v>
      </c>
      <c r="P886">
        <f t="shared" si="571"/>
        <v>53.9</v>
      </c>
      <c r="Q886">
        <f t="shared" si="572"/>
        <v>59.6</v>
      </c>
      <c r="R886">
        <f t="shared" si="573"/>
        <v>49.4</v>
      </c>
      <c r="S886">
        <f t="shared" si="574"/>
        <v>54.9</v>
      </c>
      <c r="V886" s="6">
        <f t="shared" si="575"/>
        <v>45456.583333333336</v>
      </c>
      <c r="W886">
        <f t="shared" si="576"/>
        <v>18.899999999999999</v>
      </c>
      <c r="X886">
        <f t="shared" si="577"/>
        <v>23.1</v>
      </c>
      <c r="Y886">
        <f t="shared" si="578"/>
        <v>16.3</v>
      </c>
      <c r="Z886">
        <f t="shared" si="579"/>
        <v>19.899999999999999</v>
      </c>
    </row>
    <row r="887" spans="1:26" x14ac:dyDescent="0.2">
      <c r="A887" s="1">
        <v>45456</v>
      </c>
      <c r="B887" s="2">
        <v>0.625</v>
      </c>
      <c r="C887" s="6">
        <v>45456.625</v>
      </c>
      <c r="D887">
        <v>54.6</v>
      </c>
      <c r="E887">
        <v>58.6</v>
      </c>
      <c r="F887">
        <v>51.1</v>
      </c>
      <c r="G887" t="s">
        <v>6</v>
      </c>
      <c r="H887">
        <v>19.8</v>
      </c>
      <c r="I887">
        <v>25.9</v>
      </c>
      <c r="J887">
        <v>16.600000000000001</v>
      </c>
      <c r="K887" t="s">
        <v>6</v>
      </c>
      <c r="L887">
        <v>212</v>
      </c>
      <c r="M887" t="s">
        <v>6</v>
      </c>
      <c r="O887" s="6">
        <f t="shared" si="570"/>
        <v>45456.625</v>
      </c>
      <c r="P887">
        <f t="shared" si="571"/>
        <v>54.6</v>
      </c>
      <c r="Q887">
        <f t="shared" si="572"/>
        <v>58.6</v>
      </c>
      <c r="R887">
        <f t="shared" si="573"/>
        <v>51.1</v>
      </c>
      <c r="S887">
        <f t="shared" si="574"/>
        <v>55.6</v>
      </c>
      <c r="V887" s="6">
        <f t="shared" si="575"/>
        <v>45456.625</v>
      </c>
      <c r="W887">
        <f t="shared" si="576"/>
        <v>19.8</v>
      </c>
      <c r="X887">
        <f t="shared" si="577"/>
        <v>25.9</v>
      </c>
      <c r="Y887">
        <f t="shared" si="578"/>
        <v>16.600000000000001</v>
      </c>
      <c r="Z887">
        <f t="shared" si="579"/>
        <v>20.8</v>
      </c>
    </row>
    <row r="888" spans="1:26" x14ac:dyDescent="0.2">
      <c r="A888" s="1">
        <v>45456</v>
      </c>
      <c r="B888" s="2">
        <v>0.66666666666666663</v>
      </c>
      <c r="C888" s="6">
        <v>45456.666666666664</v>
      </c>
      <c r="D888">
        <v>56.5</v>
      </c>
      <c r="E888">
        <v>65</v>
      </c>
      <c r="F888">
        <v>50.7</v>
      </c>
      <c r="G888" t="s">
        <v>6</v>
      </c>
      <c r="H888">
        <v>21</v>
      </c>
      <c r="I888">
        <v>25.6</v>
      </c>
      <c r="J888">
        <v>17.600000000000001</v>
      </c>
      <c r="K888" t="s">
        <v>6</v>
      </c>
      <c r="L888">
        <v>223</v>
      </c>
      <c r="M888" t="s">
        <v>6</v>
      </c>
      <c r="O888" s="6">
        <f t="shared" si="570"/>
        <v>45456.666666666664</v>
      </c>
      <c r="P888">
        <f t="shared" si="571"/>
        <v>56.5</v>
      </c>
      <c r="Q888">
        <f t="shared" si="572"/>
        <v>65</v>
      </c>
      <c r="R888">
        <f t="shared" si="573"/>
        <v>50.7</v>
      </c>
      <c r="S888">
        <f t="shared" si="574"/>
        <v>57.5</v>
      </c>
      <c r="V888" s="6">
        <f t="shared" si="575"/>
        <v>45456.666666666664</v>
      </c>
      <c r="W888">
        <f t="shared" si="576"/>
        <v>21</v>
      </c>
      <c r="X888">
        <f t="shared" si="577"/>
        <v>25.6</v>
      </c>
      <c r="Y888">
        <f t="shared" si="578"/>
        <v>17.600000000000001</v>
      </c>
      <c r="Z888">
        <f t="shared" si="579"/>
        <v>22</v>
      </c>
    </row>
    <row r="889" spans="1:26" x14ac:dyDescent="0.2">
      <c r="A889" s="1">
        <v>45456</v>
      </c>
      <c r="B889" s="2">
        <v>0.70833333333333337</v>
      </c>
      <c r="C889" s="6">
        <v>45456.708333333336</v>
      </c>
      <c r="D889">
        <v>55.4</v>
      </c>
      <c r="E889">
        <v>61.9</v>
      </c>
      <c r="F889">
        <v>49.6</v>
      </c>
      <c r="G889" t="s">
        <v>6</v>
      </c>
      <c r="H889">
        <v>20.100000000000001</v>
      </c>
      <c r="I889">
        <v>23.6</v>
      </c>
      <c r="J889">
        <v>13.9</v>
      </c>
      <c r="K889" t="s">
        <v>6</v>
      </c>
      <c r="L889">
        <v>188</v>
      </c>
      <c r="M889" t="s">
        <v>6</v>
      </c>
      <c r="O889" s="6">
        <f t="shared" si="570"/>
        <v>45456.708333333336</v>
      </c>
      <c r="P889">
        <f t="shared" si="571"/>
        <v>55.4</v>
      </c>
      <c r="Q889">
        <f t="shared" si="572"/>
        <v>61.9</v>
      </c>
      <c r="R889">
        <f t="shared" si="573"/>
        <v>49.6</v>
      </c>
      <c r="S889">
        <f t="shared" si="574"/>
        <v>56.4</v>
      </c>
      <c r="V889" s="6">
        <f t="shared" si="575"/>
        <v>45456.708333333336</v>
      </c>
      <c r="W889">
        <f t="shared" si="576"/>
        <v>20.100000000000001</v>
      </c>
      <c r="X889">
        <f t="shared" si="577"/>
        <v>23.6</v>
      </c>
      <c r="Y889">
        <f t="shared" si="578"/>
        <v>13.9</v>
      </c>
      <c r="Z889">
        <f t="shared" si="579"/>
        <v>21.1</v>
      </c>
    </row>
    <row r="890" spans="1:26" x14ac:dyDescent="0.2">
      <c r="A890" s="1">
        <v>45456</v>
      </c>
      <c r="B890" s="2">
        <v>0.75</v>
      </c>
      <c r="C890" s="6">
        <v>45456.75</v>
      </c>
      <c r="D890">
        <v>57.8</v>
      </c>
      <c r="E890">
        <v>66.5</v>
      </c>
      <c r="F890">
        <v>51.5</v>
      </c>
      <c r="G890" t="s">
        <v>6</v>
      </c>
      <c r="H890">
        <v>21.1</v>
      </c>
      <c r="I890">
        <v>25.8</v>
      </c>
      <c r="J890">
        <v>18.399999999999999</v>
      </c>
      <c r="K890" t="s">
        <v>6</v>
      </c>
      <c r="L890">
        <v>217</v>
      </c>
      <c r="M890" t="s">
        <v>6</v>
      </c>
      <c r="O890" s="6">
        <f t="shared" si="570"/>
        <v>45456.75</v>
      </c>
      <c r="P890">
        <f t="shared" si="571"/>
        <v>57.8</v>
      </c>
      <c r="Q890">
        <f t="shared" si="572"/>
        <v>66.5</v>
      </c>
      <c r="R890">
        <f t="shared" si="573"/>
        <v>51.5</v>
      </c>
      <c r="S890">
        <f t="shared" si="574"/>
        <v>58.8</v>
      </c>
      <c r="V890" s="6">
        <f t="shared" si="575"/>
        <v>45456.75</v>
      </c>
      <c r="W890">
        <f t="shared" si="576"/>
        <v>21.1</v>
      </c>
      <c r="X890">
        <f t="shared" si="577"/>
        <v>25.8</v>
      </c>
      <c r="Y890">
        <f t="shared" si="578"/>
        <v>18.399999999999999</v>
      </c>
      <c r="Z890">
        <f t="shared" si="579"/>
        <v>22.1</v>
      </c>
    </row>
    <row r="891" spans="1:26" x14ac:dyDescent="0.2">
      <c r="A891" s="1">
        <v>45456</v>
      </c>
      <c r="B891" s="2">
        <v>0.79166666666666663</v>
      </c>
      <c r="C891" s="6">
        <v>45456.791666666664</v>
      </c>
      <c r="D891">
        <v>53.5</v>
      </c>
      <c r="E891">
        <v>64.2</v>
      </c>
      <c r="F891">
        <v>48.2</v>
      </c>
      <c r="G891" t="s">
        <v>6</v>
      </c>
      <c r="H891">
        <v>20.100000000000001</v>
      </c>
      <c r="I891">
        <v>24.1</v>
      </c>
      <c r="J891">
        <v>16.899999999999999</v>
      </c>
      <c r="K891" t="s">
        <v>6</v>
      </c>
      <c r="L891">
        <v>224</v>
      </c>
      <c r="M891" t="s">
        <v>6</v>
      </c>
      <c r="O891" s="6">
        <f t="shared" si="570"/>
        <v>45456.791666666664</v>
      </c>
      <c r="P891">
        <f t="shared" si="571"/>
        <v>53.5</v>
      </c>
      <c r="Q891">
        <f t="shared" si="572"/>
        <v>64.2</v>
      </c>
      <c r="R891">
        <f t="shared" si="573"/>
        <v>48.2</v>
      </c>
      <c r="S891">
        <f t="shared" si="574"/>
        <v>54.5</v>
      </c>
      <c r="V891" s="6">
        <f t="shared" si="575"/>
        <v>45456.791666666664</v>
      </c>
      <c r="W891">
        <f t="shared" si="576"/>
        <v>20.100000000000001</v>
      </c>
      <c r="X891">
        <f t="shared" si="577"/>
        <v>24.1</v>
      </c>
      <c r="Y891">
        <f t="shared" si="578"/>
        <v>16.899999999999999</v>
      </c>
      <c r="Z891">
        <f t="shared" si="579"/>
        <v>21.1</v>
      </c>
    </row>
    <row r="892" spans="1:26" x14ac:dyDescent="0.2">
      <c r="A892" s="1">
        <v>45456</v>
      </c>
      <c r="B892" s="2">
        <v>0.83333333333333337</v>
      </c>
      <c r="C892" s="6">
        <v>45456.833333333336</v>
      </c>
      <c r="D892">
        <v>55.8</v>
      </c>
      <c r="E892">
        <v>61.9</v>
      </c>
      <c r="F892">
        <v>51.4</v>
      </c>
      <c r="G892" t="s">
        <v>6</v>
      </c>
      <c r="H892">
        <v>20.399999999999999</v>
      </c>
      <c r="I892">
        <v>23</v>
      </c>
      <c r="J892">
        <v>17.2</v>
      </c>
      <c r="K892" t="s">
        <v>6</v>
      </c>
      <c r="L892">
        <v>221</v>
      </c>
      <c r="M892" t="s">
        <v>6</v>
      </c>
      <c r="O892" s="6">
        <f t="shared" si="570"/>
        <v>45456.833333333336</v>
      </c>
      <c r="P892">
        <f t="shared" si="571"/>
        <v>55.8</v>
      </c>
      <c r="Q892">
        <f t="shared" si="572"/>
        <v>61.9</v>
      </c>
      <c r="R892">
        <f t="shared" si="573"/>
        <v>51.4</v>
      </c>
      <c r="S892">
        <f t="shared" si="574"/>
        <v>56.8</v>
      </c>
      <c r="V892" s="6">
        <f t="shared" si="575"/>
        <v>45456.833333333336</v>
      </c>
      <c r="W892">
        <f t="shared" si="576"/>
        <v>20.399999999999999</v>
      </c>
      <c r="X892">
        <f t="shared" si="577"/>
        <v>23</v>
      </c>
      <c r="Y892">
        <f t="shared" si="578"/>
        <v>17.2</v>
      </c>
      <c r="Z892">
        <f t="shared" si="579"/>
        <v>21.4</v>
      </c>
    </row>
    <row r="893" spans="1:26" x14ac:dyDescent="0.2">
      <c r="A893" s="1">
        <v>45456</v>
      </c>
      <c r="B893" s="2">
        <v>0.875</v>
      </c>
      <c r="C893" s="6">
        <v>45456.875</v>
      </c>
      <c r="D893">
        <v>58.3</v>
      </c>
      <c r="E893">
        <v>59.7</v>
      </c>
      <c r="F893">
        <v>56.6</v>
      </c>
      <c r="G893" t="s">
        <v>6</v>
      </c>
      <c r="H893">
        <v>21</v>
      </c>
      <c r="I893">
        <v>23.3</v>
      </c>
      <c r="J893">
        <v>18.5</v>
      </c>
      <c r="K893" t="s">
        <v>6</v>
      </c>
      <c r="L893">
        <v>52</v>
      </c>
      <c r="M893" t="s">
        <v>6</v>
      </c>
      <c r="O893" s="6">
        <f t="shared" si="570"/>
        <v>45456.875</v>
      </c>
      <c r="P893">
        <f t="shared" si="571"/>
        <v>58.3</v>
      </c>
      <c r="Q893">
        <f t="shared" si="572"/>
        <v>59.7</v>
      </c>
      <c r="R893">
        <f t="shared" si="573"/>
        <v>56.6</v>
      </c>
      <c r="S893">
        <f t="shared" si="574"/>
        <v>59.3</v>
      </c>
      <c r="V893" s="6">
        <f t="shared" si="575"/>
        <v>45456.875</v>
      </c>
      <c r="W893">
        <f t="shared" si="576"/>
        <v>21</v>
      </c>
      <c r="X893">
        <f t="shared" si="577"/>
        <v>23.3</v>
      </c>
      <c r="Y893">
        <f t="shared" si="578"/>
        <v>18.5</v>
      </c>
      <c r="Z893">
        <f t="shared" si="579"/>
        <v>22</v>
      </c>
    </row>
    <row r="894" spans="1:26" x14ac:dyDescent="0.2">
      <c r="A894" s="1">
        <v>45457</v>
      </c>
      <c r="B894" s="2">
        <v>8.3333333333333329E-2</v>
      </c>
      <c r="C894" s="6">
        <v>45457.083333333336</v>
      </c>
      <c r="D894">
        <v>56.8</v>
      </c>
      <c r="E894">
        <v>57.6</v>
      </c>
      <c r="F894">
        <v>56</v>
      </c>
      <c r="G894" t="s">
        <v>6</v>
      </c>
      <c r="H894">
        <v>18.7</v>
      </c>
      <c r="I894">
        <v>19.5</v>
      </c>
      <c r="J894">
        <v>18</v>
      </c>
      <c r="K894" t="s">
        <v>6</v>
      </c>
      <c r="L894">
        <v>4</v>
      </c>
      <c r="M894" t="s">
        <v>6</v>
      </c>
      <c r="O894" s="6">
        <f t="shared" si="570"/>
        <v>45457.083333333336</v>
      </c>
      <c r="P894">
        <f t="shared" si="571"/>
        <v>56.8</v>
      </c>
      <c r="Q894">
        <f t="shared" si="572"/>
        <v>57.6</v>
      </c>
      <c r="R894">
        <f t="shared" si="573"/>
        <v>56</v>
      </c>
      <c r="S894">
        <f t="shared" si="574"/>
        <v>57.8</v>
      </c>
      <c r="V894" s="6">
        <f t="shared" si="575"/>
        <v>45457.083333333336</v>
      </c>
      <c r="W894">
        <f t="shared" si="576"/>
        <v>18.7</v>
      </c>
      <c r="X894">
        <f t="shared" si="577"/>
        <v>19.5</v>
      </c>
      <c r="Y894">
        <f t="shared" si="578"/>
        <v>18</v>
      </c>
      <c r="Z894">
        <f t="shared" si="579"/>
        <v>19.7</v>
      </c>
    </row>
    <row r="895" spans="1:26" x14ac:dyDescent="0.2">
      <c r="A895" s="1">
        <v>45457</v>
      </c>
      <c r="B895" s="2">
        <v>0.25</v>
      </c>
      <c r="C895" s="6">
        <v>45457.25</v>
      </c>
      <c r="D895">
        <v>57.1</v>
      </c>
      <c r="E895">
        <v>57.7</v>
      </c>
      <c r="F895">
        <v>56.7</v>
      </c>
      <c r="G895" t="s">
        <v>6</v>
      </c>
      <c r="H895">
        <v>18.5</v>
      </c>
      <c r="I895">
        <v>19.2</v>
      </c>
      <c r="J895">
        <v>17.899999999999999</v>
      </c>
      <c r="K895" t="s">
        <v>6</v>
      </c>
      <c r="L895">
        <v>3</v>
      </c>
      <c r="M895" t="s">
        <v>6</v>
      </c>
      <c r="O895" s="6">
        <f t="shared" si="570"/>
        <v>45457.25</v>
      </c>
      <c r="P895">
        <f t="shared" si="571"/>
        <v>57.1</v>
      </c>
      <c r="Q895">
        <f t="shared" si="572"/>
        <v>57.7</v>
      </c>
      <c r="R895">
        <f t="shared" si="573"/>
        <v>56.7</v>
      </c>
      <c r="S895">
        <f t="shared" si="574"/>
        <v>58.1</v>
      </c>
      <c r="V895" s="6">
        <f t="shared" si="575"/>
        <v>45457.25</v>
      </c>
      <c r="W895">
        <f t="shared" si="576"/>
        <v>18.5</v>
      </c>
      <c r="X895">
        <f t="shared" si="577"/>
        <v>19.2</v>
      </c>
      <c r="Y895">
        <f t="shared" si="578"/>
        <v>17.899999999999999</v>
      </c>
      <c r="Z895">
        <f t="shared" si="579"/>
        <v>19.5</v>
      </c>
    </row>
    <row r="896" spans="1:26" x14ac:dyDescent="0.2">
      <c r="A896" s="1">
        <v>45457</v>
      </c>
      <c r="B896" s="2">
        <v>0.29166666666666669</v>
      </c>
      <c r="C896" s="6">
        <v>45457.291666666664</v>
      </c>
      <c r="D896">
        <v>69.400000000000006</v>
      </c>
      <c r="E896">
        <v>76.7</v>
      </c>
      <c r="F896">
        <v>55.8</v>
      </c>
      <c r="G896" t="s">
        <v>6</v>
      </c>
      <c r="H896">
        <v>18.8</v>
      </c>
      <c r="I896">
        <v>27.7</v>
      </c>
      <c r="J896">
        <v>15</v>
      </c>
      <c r="K896" t="s">
        <v>6</v>
      </c>
      <c r="L896">
        <v>220</v>
      </c>
      <c r="M896" t="s">
        <v>6</v>
      </c>
      <c r="O896" s="6">
        <f t="shared" ref="O896:O959" si="580">C896</f>
        <v>45457.291666666664</v>
      </c>
      <c r="P896">
        <f t="shared" ref="P896:P959" si="581">D896</f>
        <v>69.400000000000006</v>
      </c>
      <c r="Q896">
        <f t="shared" ref="Q896:Q959" si="582">E896</f>
        <v>76.7</v>
      </c>
      <c r="R896">
        <f t="shared" ref="R896:R959" si="583">F896</f>
        <v>55.8</v>
      </c>
      <c r="S896">
        <f t="shared" ref="S896:S959" si="584">P896+1</f>
        <v>70.400000000000006</v>
      </c>
      <c r="V896" s="6">
        <f t="shared" ref="V896:V959" si="585">O896</f>
        <v>45457.291666666664</v>
      </c>
      <c r="W896">
        <f t="shared" ref="W896:W959" si="586">H896</f>
        <v>18.8</v>
      </c>
      <c r="X896">
        <f t="shared" ref="X896:X959" si="587">I896</f>
        <v>27.7</v>
      </c>
      <c r="Y896">
        <f t="shared" ref="Y896:Y959" si="588">J896</f>
        <v>15</v>
      </c>
      <c r="Z896">
        <f t="shared" ref="Z896:Z959" si="589">W896+1</f>
        <v>19.8</v>
      </c>
    </row>
    <row r="897" spans="1:26" x14ac:dyDescent="0.2">
      <c r="A897" s="14">
        <v>45457</v>
      </c>
      <c r="B897" s="7">
        <v>0.33333333333333331</v>
      </c>
      <c r="C897" s="8">
        <v>45457.333333333336</v>
      </c>
      <c r="D897" s="9">
        <v>68.3</v>
      </c>
      <c r="E897" s="9">
        <v>74.599999999999994</v>
      </c>
      <c r="F897" s="9">
        <v>62.5</v>
      </c>
      <c r="G897" s="9" t="s">
        <v>6</v>
      </c>
      <c r="H897" s="9">
        <v>17.2</v>
      </c>
      <c r="I897" s="9">
        <v>19.8</v>
      </c>
      <c r="J897" s="9">
        <v>15.1</v>
      </c>
      <c r="K897" s="9" t="s">
        <v>6</v>
      </c>
      <c r="L897" s="9">
        <v>228</v>
      </c>
      <c r="M897" t="s">
        <v>6</v>
      </c>
      <c r="O897" s="6">
        <f t="shared" si="580"/>
        <v>45457.333333333336</v>
      </c>
      <c r="P897">
        <f t="shared" si="581"/>
        <v>68.3</v>
      </c>
      <c r="Q897">
        <f t="shared" si="582"/>
        <v>74.599999999999994</v>
      </c>
      <c r="R897">
        <f t="shared" si="583"/>
        <v>62.5</v>
      </c>
      <c r="S897">
        <f t="shared" si="584"/>
        <v>69.3</v>
      </c>
      <c r="V897" s="6">
        <f t="shared" si="585"/>
        <v>45457.333333333336</v>
      </c>
      <c r="W897">
        <f t="shared" si="586"/>
        <v>17.2</v>
      </c>
      <c r="X897">
        <f t="shared" si="587"/>
        <v>19.8</v>
      </c>
      <c r="Y897">
        <f t="shared" si="588"/>
        <v>15.1</v>
      </c>
      <c r="Z897">
        <f t="shared" si="589"/>
        <v>18.2</v>
      </c>
    </row>
    <row r="898" spans="1:26" x14ac:dyDescent="0.2">
      <c r="A898" s="13">
        <v>45457</v>
      </c>
      <c r="B898" s="3">
        <v>0.375</v>
      </c>
      <c r="C898" s="4">
        <v>45457.375</v>
      </c>
      <c r="D898" s="5">
        <v>60.4</v>
      </c>
      <c r="E898" s="5">
        <v>68.7</v>
      </c>
      <c r="F898" s="5">
        <v>56.6</v>
      </c>
      <c r="G898" s="5" t="s">
        <v>6</v>
      </c>
      <c r="H898" s="5">
        <v>18.3</v>
      </c>
      <c r="I898" s="5">
        <v>21.7</v>
      </c>
      <c r="J898" s="5">
        <v>13.4</v>
      </c>
      <c r="K898" s="5" t="s">
        <v>6</v>
      </c>
      <c r="L898" s="5">
        <v>225</v>
      </c>
      <c r="M898" t="s">
        <v>6</v>
      </c>
      <c r="O898" s="6">
        <f t="shared" si="580"/>
        <v>45457.375</v>
      </c>
      <c r="P898">
        <f t="shared" si="581"/>
        <v>60.4</v>
      </c>
      <c r="Q898">
        <f t="shared" si="582"/>
        <v>68.7</v>
      </c>
      <c r="R898">
        <f t="shared" si="583"/>
        <v>56.6</v>
      </c>
      <c r="S898">
        <f t="shared" si="584"/>
        <v>61.4</v>
      </c>
      <c r="V898" s="6">
        <f t="shared" si="585"/>
        <v>45457.375</v>
      </c>
      <c r="W898">
        <f t="shared" si="586"/>
        <v>18.3</v>
      </c>
      <c r="X898">
        <f t="shared" si="587"/>
        <v>21.7</v>
      </c>
      <c r="Y898">
        <f t="shared" si="588"/>
        <v>13.4</v>
      </c>
      <c r="Z898">
        <f t="shared" si="589"/>
        <v>19.3</v>
      </c>
    </row>
    <row r="899" spans="1:26" x14ac:dyDescent="0.2">
      <c r="A899" s="1">
        <v>45457</v>
      </c>
      <c r="B899" s="2">
        <v>0.41666666666666669</v>
      </c>
      <c r="C899" s="6">
        <v>45457.416666666664</v>
      </c>
      <c r="D899">
        <v>58.4</v>
      </c>
      <c r="E899">
        <v>65.599999999999994</v>
      </c>
      <c r="F899">
        <v>52.4</v>
      </c>
      <c r="G899" t="s">
        <v>6</v>
      </c>
      <c r="H899">
        <v>19.399999999999999</v>
      </c>
      <c r="I899">
        <v>25.9</v>
      </c>
      <c r="J899">
        <v>16.3</v>
      </c>
      <c r="K899" t="s">
        <v>6</v>
      </c>
      <c r="L899">
        <v>196</v>
      </c>
      <c r="M899" t="s">
        <v>6</v>
      </c>
      <c r="O899" s="6">
        <f t="shared" si="580"/>
        <v>45457.416666666664</v>
      </c>
      <c r="P899">
        <f t="shared" si="581"/>
        <v>58.4</v>
      </c>
      <c r="Q899">
        <f t="shared" si="582"/>
        <v>65.599999999999994</v>
      </c>
      <c r="R899">
        <f t="shared" si="583"/>
        <v>52.4</v>
      </c>
      <c r="S899">
        <f t="shared" si="584"/>
        <v>59.4</v>
      </c>
      <c r="V899" s="6">
        <f t="shared" si="585"/>
        <v>45457.416666666664</v>
      </c>
      <c r="W899">
        <f t="shared" si="586"/>
        <v>19.399999999999999</v>
      </c>
      <c r="X899">
        <f t="shared" si="587"/>
        <v>25.9</v>
      </c>
      <c r="Y899">
        <f t="shared" si="588"/>
        <v>16.3</v>
      </c>
      <c r="Z899">
        <f t="shared" si="589"/>
        <v>20.399999999999999</v>
      </c>
    </row>
    <row r="900" spans="1:26" x14ac:dyDescent="0.2">
      <c r="A900" s="1">
        <v>45457</v>
      </c>
      <c r="B900" s="2">
        <v>0.45833333333333331</v>
      </c>
      <c r="C900" s="6">
        <v>45457.458333333336</v>
      </c>
      <c r="D900">
        <v>58.1</v>
      </c>
      <c r="E900">
        <v>64.3</v>
      </c>
      <c r="F900">
        <v>53.2</v>
      </c>
      <c r="G900" t="s">
        <v>6</v>
      </c>
      <c r="H900">
        <v>19.100000000000001</v>
      </c>
      <c r="I900">
        <v>21.8</v>
      </c>
      <c r="J900">
        <v>16.5</v>
      </c>
      <c r="K900" t="s">
        <v>6</v>
      </c>
      <c r="L900">
        <v>221</v>
      </c>
      <c r="M900" t="s">
        <v>6</v>
      </c>
      <c r="O900" s="6">
        <f t="shared" si="580"/>
        <v>45457.458333333336</v>
      </c>
      <c r="P900">
        <f t="shared" si="581"/>
        <v>58.1</v>
      </c>
      <c r="Q900">
        <f t="shared" si="582"/>
        <v>64.3</v>
      </c>
      <c r="R900">
        <f t="shared" si="583"/>
        <v>53.2</v>
      </c>
      <c r="S900">
        <f t="shared" si="584"/>
        <v>59.1</v>
      </c>
      <c r="V900" s="6">
        <f t="shared" si="585"/>
        <v>45457.458333333336</v>
      </c>
      <c r="W900">
        <f t="shared" si="586"/>
        <v>19.100000000000001</v>
      </c>
      <c r="X900">
        <f t="shared" si="587"/>
        <v>21.8</v>
      </c>
      <c r="Y900">
        <f t="shared" si="588"/>
        <v>16.5</v>
      </c>
      <c r="Z900">
        <f t="shared" si="589"/>
        <v>20.100000000000001</v>
      </c>
    </row>
    <row r="901" spans="1:26" x14ac:dyDescent="0.2">
      <c r="A901" s="1">
        <v>45457</v>
      </c>
      <c r="B901" s="2">
        <v>0.5</v>
      </c>
      <c r="C901" s="6">
        <v>45457.5</v>
      </c>
      <c r="D901">
        <v>59.5</v>
      </c>
      <c r="E901">
        <v>64.400000000000006</v>
      </c>
      <c r="F901">
        <v>53.2</v>
      </c>
      <c r="G901" t="s">
        <v>6</v>
      </c>
      <c r="H901">
        <v>20.100000000000001</v>
      </c>
      <c r="I901">
        <v>24.6</v>
      </c>
      <c r="J901">
        <v>15.6</v>
      </c>
      <c r="K901" t="s">
        <v>6</v>
      </c>
      <c r="L901">
        <v>196</v>
      </c>
      <c r="M901" t="s">
        <v>6</v>
      </c>
      <c r="O901" s="6">
        <f t="shared" si="580"/>
        <v>45457.5</v>
      </c>
      <c r="P901">
        <f t="shared" si="581"/>
        <v>59.5</v>
      </c>
      <c r="Q901">
        <f t="shared" si="582"/>
        <v>64.400000000000006</v>
      </c>
      <c r="R901">
        <f t="shared" si="583"/>
        <v>53.2</v>
      </c>
      <c r="S901">
        <f t="shared" si="584"/>
        <v>60.5</v>
      </c>
      <c r="V901" s="6">
        <f t="shared" si="585"/>
        <v>45457.5</v>
      </c>
      <c r="W901">
        <f t="shared" si="586"/>
        <v>20.100000000000001</v>
      </c>
      <c r="X901">
        <f t="shared" si="587"/>
        <v>24.6</v>
      </c>
      <c r="Y901">
        <f t="shared" si="588"/>
        <v>15.6</v>
      </c>
      <c r="Z901">
        <f t="shared" si="589"/>
        <v>21.1</v>
      </c>
    </row>
    <row r="902" spans="1:26" x14ac:dyDescent="0.2">
      <c r="A902" s="1">
        <v>45457</v>
      </c>
      <c r="B902" s="2">
        <v>0.54166666666666663</v>
      </c>
      <c r="C902" s="6">
        <v>45457.541666666664</v>
      </c>
      <c r="D902">
        <v>60.3</v>
      </c>
      <c r="E902">
        <v>68.2</v>
      </c>
      <c r="F902">
        <v>55.8</v>
      </c>
      <c r="G902" t="s">
        <v>6</v>
      </c>
      <c r="H902">
        <v>20.6</v>
      </c>
      <c r="I902">
        <v>26</v>
      </c>
      <c r="J902">
        <v>16.899999999999999</v>
      </c>
      <c r="K902" t="s">
        <v>6</v>
      </c>
      <c r="L902">
        <v>219</v>
      </c>
      <c r="M902" t="s">
        <v>6</v>
      </c>
      <c r="O902" s="6">
        <f t="shared" si="580"/>
        <v>45457.541666666664</v>
      </c>
      <c r="P902">
        <f t="shared" si="581"/>
        <v>60.3</v>
      </c>
      <c r="Q902">
        <f t="shared" si="582"/>
        <v>68.2</v>
      </c>
      <c r="R902">
        <f t="shared" si="583"/>
        <v>55.8</v>
      </c>
      <c r="S902">
        <f t="shared" si="584"/>
        <v>61.3</v>
      </c>
      <c r="V902" s="6">
        <f t="shared" si="585"/>
        <v>45457.541666666664</v>
      </c>
      <c r="W902">
        <f t="shared" si="586"/>
        <v>20.6</v>
      </c>
      <c r="X902">
        <f t="shared" si="587"/>
        <v>26</v>
      </c>
      <c r="Y902">
        <f t="shared" si="588"/>
        <v>16.899999999999999</v>
      </c>
      <c r="Z902">
        <f t="shared" si="589"/>
        <v>21.6</v>
      </c>
    </row>
    <row r="903" spans="1:26" x14ac:dyDescent="0.2">
      <c r="A903" s="1">
        <v>45457</v>
      </c>
      <c r="B903" s="2">
        <v>0.58333333333333337</v>
      </c>
      <c r="C903" s="6">
        <v>45457.583333333336</v>
      </c>
      <c r="D903">
        <v>61.4</v>
      </c>
      <c r="E903">
        <v>69</v>
      </c>
      <c r="F903">
        <v>55.8</v>
      </c>
      <c r="G903" t="s">
        <v>6</v>
      </c>
      <c r="H903">
        <v>19.3</v>
      </c>
      <c r="I903">
        <v>25.6</v>
      </c>
      <c r="J903">
        <v>15.2</v>
      </c>
      <c r="K903" t="s">
        <v>6</v>
      </c>
      <c r="L903">
        <v>217</v>
      </c>
      <c r="M903" t="s">
        <v>6</v>
      </c>
      <c r="O903" s="6">
        <f t="shared" si="580"/>
        <v>45457.583333333336</v>
      </c>
      <c r="P903">
        <f t="shared" si="581"/>
        <v>61.4</v>
      </c>
      <c r="Q903">
        <f t="shared" si="582"/>
        <v>69</v>
      </c>
      <c r="R903">
        <f t="shared" si="583"/>
        <v>55.8</v>
      </c>
      <c r="S903">
        <f t="shared" si="584"/>
        <v>62.4</v>
      </c>
      <c r="V903" s="6">
        <f t="shared" si="585"/>
        <v>45457.583333333336</v>
      </c>
      <c r="W903">
        <f t="shared" si="586"/>
        <v>19.3</v>
      </c>
      <c r="X903">
        <f t="shared" si="587"/>
        <v>25.6</v>
      </c>
      <c r="Y903">
        <f t="shared" si="588"/>
        <v>15.2</v>
      </c>
      <c r="Z903">
        <f t="shared" si="589"/>
        <v>20.3</v>
      </c>
    </row>
    <row r="904" spans="1:26" x14ac:dyDescent="0.2">
      <c r="A904" s="1">
        <v>45457</v>
      </c>
      <c r="B904" s="2">
        <v>0.625</v>
      </c>
      <c r="C904" s="6">
        <v>45457.625</v>
      </c>
      <c r="D904">
        <v>62.2</v>
      </c>
      <c r="E904">
        <v>68.2</v>
      </c>
      <c r="F904">
        <v>55.2</v>
      </c>
      <c r="G904" t="s">
        <v>6</v>
      </c>
      <c r="H904">
        <v>20.2</v>
      </c>
      <c r="I904">
        <v>42.2</v>
      </c>
      <c r="J904">
        <v>16.899999999999999</v>
      </c>
      <c r="K904" t="s">
        <v>6</v>
      </c>
      <c r="L904">
        <v>195</v>
      </c>
      <c r="M904" t="s">
        <v>6</v>
      </c>
      <c r="O904" s="6">
        <f t="shared" si="580"/>
        <v>45457.625</v>
      </c>
      <c r="P904">
        <f t="shared" si="581"/>
        <v>62.2</v>
      </c>
      <c r="Q904">
        <f t="shared" si="582"/>
        <v>68.2</v>
      </c>
      <c r="R904">
        <f t="shared" si="583"/>
        <v>55.2</v>
      </c>
      <c r="S904">
        <f t="shared" si="584"/>
        <v>63.2</v>
      </c>
      <c r="V904" s="6">
        <f t="shared" si="585"/>
        <v>45457.625</v>
      </c>
      <c r="W904">
        <f t="shared" si="586"/>
        <v>20.2</v>
      </c>
      <c r="X904">
        <f t="shared" si="587"/>
        <v>42.2</v>
      </c>
      <c r="Y904">
        <f t="shared" si="588"/>
        <v>16.899999999999999</v>
      </c>
      <c r="Z904">
        <f t="shared" si="589"/>
        <v>21.2</v>
      </c>
    </row>
    <row r="905" spans="1:26" x14ac:dyDescent="0.2">
      <c r="A905" s="1">
        <v>45457</v>
      </c>
      <c r="B905" s="2">
        <v>0.66666666666666663</v>
      </c>
      <c r="C905" s="6">
        <v>45457.666666666664</v>
      </c>
      <c r="D905">
        <v>54.6</v>
      </c>
      <c r="E905">
        <v>57.7</v>
      </c>
      <c r="F905">
        <v>51.7</v>
      </c>
      <c r="G905" t="s">
        <v>6</v>
      </c>
      <c r="H905">
        <v>18.5</v>
      </c>
      <c r="I905">
        <v>25.1</v>
      </c>
      <c r="J905">
        <v>13.8</v>
      </c>
      <c r="K905" t="s">
        <v>6</v>
      </c>
      <c r="L905">
        <v>213</v>
      </c>
      <c r="M905" t="s">
        <v>6</v>
      </c>
      <c r="O905" s="6">
        <f t="shared" si="580"/>
        <v>45457.666666666664</v>
      </c>
      <c r="P905">
        <f t="shared" si="581"/>
        <v>54.6</v>
      </c>
      <c r="Q905">
        <f t="shared" si="582"/>
        <v>57.7</v>
      </c>
      <c r="R905">
        <f t="shared" si="583"/>
        <v>51.7</v>
      </c>
      <c r="S905">
        <f t="shared" si="584"/>
        <v>55.6</v>
      </c>
      <c r="V905" s="6">
        <f t="shared" si="585"/>
        <v>45457.666666666664</v>
      </c>
      <c r="W905">
        <f t="shared" si="586"/>
        <v>18.5</v>
      </c>
      <c r="X905">
        <f t="shared" si="587"/>
        <v>25.1</v>
      </c>
      <c r="Y905">
        <f t="shared" si="588"/>
        <v>13.8</v>
      </c>
      <c r="Z905">
        <f t="shared" si="589"/>
        <v>19.5</v>
      </c>
    </row>
    <row r="906" spans="1:26" x14ac:dyDescent="0.2">
      <c r="A906" s="1">
        <v>45457</v>
      </c>
      <c r="B906" s="2">
        <v>0.70833333333333337</v>
      </c>
      <c r="C906" s="6">
        <v>45457.708333333336</v>
      </c>
      <c r="D906">
        <v>56.5</v>
      </c>
      <c r="E906">
        <v>64.400000000000006</v>
      </c>
      <c r="F906">
        <v>51.6</v>
      </c>
      <c r="G906" t="s">
        <v>6</v>
      </c>
      <c r="H906">
        <v>20.7</v>
      </c>
      <c r="I906">
        <v>23.7</v>
      </c>
      <c r="J906">
        <v>16.899999999999999</v>
      </c>
      <c r="K906" t="s">
        <v>6</v>
      </c>
      <c r="L906">
        <v>211</v>
      </c>
      <c r="M906" t="s">
        <v>6</v>
      </c>
      <c r="O906" s="6">
        <f t="shared" si="580"/>
        <v>45457.708333333336</v>
      </c>
      <c r="P906">
        <f t="shared" si="581"/>
        <v>56.5</v>
      </c>
      <c r="Q906">
        <f t="shared" si="582"/>
        <v>64.400000000000006</v>
      </c>
      <c r="R906">
        <f t="shared" si="583"/>
        <v>51.6</v>
      </c>
      <c r="S906">
        <f t="shared" si="584"/>
        <v>57.5</v>
      </c>
      <c r="V906" s="6">
        <f t="shared" si="585"/>
        <v>45457.708333333336</v>
      </c>
      <c r="W906">
        <f t="shared" si="586"/>
        <v>20.7</v>
      </c>
      <c r="X906">
        <f t="shared" si="587"/>
        <v>23.7</v>
      </c>
      <c r="Y906">
        <f t="shared" si="588"/>
        <v>16.899999999999999</v>
      </c>
      <c r="Z906">
        <f t="shared" si="589"/>
        <v>21.7</v>
      </c>
    </row>
    <row r="907" spans="1:26" x14ac:dyDescent="0.2">
      <c r="A907" s="1">
        <v>45457</v>
      </c>
      <c r="B907" s="2">
        <v>0.75</v>
      </c>
      <c r="C907" s="6">
        <v>45457.75</v>
      </c>
      <c r="D907">
        <v>59.3</v>
      </c>
      <c r="E907">
        <v>63.9</v>
      </c>
      <c r="F907">
        <v>53.3</v>
      </c>
      <c r="G907" t="s">
        <v>6</v>
      </c>
      <c r="H907">
        <v>19.899999999999999</v>
      </c>
      <c r="I907">
        <v>22.6</v>
      </c>
      <c r="J907">
        <v>16.7</v>
      </c>
      <c r="K907" t="s">
        <v>6</v>
      </c>
      <c r="L907">
        <v>222</v>
      </c>
      <c r="M907" t="s">
        <v>6</v>
      </c>
      <c r="O907" s="6">
        <f t="shared" si="580"/>
        <v>45457.75</v>
      </c>
      <c r="P907">
        <f t="shared" si="581"/>
        <v>59.3</v>
      </c>
      <c r="Q907">
        <f t="shared" si="582"/>
        <v>63.9</v>
      </c>
      <c r="R907">
        <f t="shared" si="583"/>
        <v>53.3</v>
      </c>
      <c r="S907">
        <f t="shared" si="584"/>
        <v>60.3</v>
      </c>
      <c r="V907" s="6">
        <f t="shared" si="585"/>
        <v>45457.75</v>
      </c>
      <c r="W907">
        <f t="shared" si="586"/>
        <v>19.899999999999999</v>
      </c>
      <c r="X907">
        <f t="shared" si="587"/>
        <v>22.6</v>
      </c>
      <c r="Y907">
        <f t="shared" si="588"/>
        <v>16.7</v>
      </c>
      <c r="Z907">
        <f t="shared" si="589"/>
        <v>20.9</v>
      </c>
    </row>
    <row r="908" spans="1:26" x14ac:dyDescent="0.2">
      <c r="A908" s="1">
        <v>45457</v>
      </c>
      <c r="B908" s="2">
        <v>0.79166666666666663</v>
      </c>
      <c r="C908" s="6">
        <v>45457.791666666664</v>
      </c>
      <c r="D908">
        <v>53.8</v>
      </c>
      <c r="E908">
        <v>63.3</v>
      </c>
      <c r="F908">
        <v>49.4</v>
      </c>
      <c r="G908" t="s">
        <v>6</v>
      </c>
      <c r="H908">
        <v>20.7</v>
      </c>
      <c r="I908">
        <v>26.3</v>
      </c>
      <c r="J908">
        <v>14.5</v>
      </c>
      <c r="K908" t="s">
        <v>6</v>
      </c>
      <c r="L908">
        <v>189</v>
      </c>
      <c r="M908" t="s">
        <v>6</v>
      </c>
      <c r="O908" s="6">
        <f t="shared" si="580"/>
        <v>45457.791666666664</v>
      </c>
      <c r="P908">
        <f t="shared" si="581"/>
        <v>53.8</v>
      </c>
      <c r="Q908">
        <f t="shared" si="582"/>
        <v>63.3</v>
      </c>
      <c r="R908">
        <f t="shared" si="583"/>
        <v>49.4</v>
      </c>
      <c r="S908">
        <f t="shared" si="584"/>
        <v>54.8</v>
      </c>
      <c r="V908" s="6">
        <f t="shared" si="585"/>
        <v>45457.791666666664</v>
      </c>
      <c r="W908">
        <f t="shared" si="586"/>
        <v>20.7</v>
      </c>
      <c r="X908">
        <f t="shared" si="587"/>
        <v>26.3</v>
      </c>
      <c r="Y908">
        <f t="shared" si="588"/>
        <v>14.5</v>
      </c>
      <c r="Z908">
        <f t="shared" si="589"/>
        <v>21.7</v>
      </c>
    </row>
    <row r="909" spans="1:26" x14ac:dyDescent="0.2">
      <c r="A909" s="1">
        <v>45457</v>
      </c>
      <c r="B909" s="2">
        <v>0.83333333333333337</v>
      </c>
      <c r="C909" s="6">
        <v>45457.833333333336</v>
      </c>
      <c r="D909">
        <v>62.6</v>
      </c>
      <c r="E909">
        <v>70.8</v>
      </c>
      <c r="F909">
        <v>56.2</v>
      </c>
      <c r="G909" t="s">
        <v>6</v>
      </c>
      <c r="H909">
        <v>19.600000000000001</v>
      </c>
      <c r="I909">
        <v>24.5</v>
      </c>
      <c r="J909">
        <v>16.3</v>
      </c>
      <c r="K909" t="s">
        <v>6</v>
      </c>
      <c r="L909">
        <v>219</v>
      </c>
      <c r="M909" t="s">
        <v>6</v>
      </c>
      <c r="O909" s="6">
        <f t="shared" si="580"/>
        <v>45457.833333333336</v>
      </c>
      <c r="P909">
        <f t="shared" si="581"/>
        <v>62.6</v>
      </c>
      <c r="Q909">
        <f t="shared" si="582"/>
        <v>70.8</v>
      </c>
      <c r="R909">
        <f t="shared" si="583"/>
        <v>56.2</v>
      </c>
      <c r="S909">
        <f t="shared" si="584"/>
        <v>63.6</v>
      </c>
      <c r="V909" s="6">
        <f t="shared" si="585"/>
        <v>45457.833333333336</v>
      </c>
      <c r="W909">
        <f t="shared" si="586"/>
        <v>19.600000000000001</v>
      </c>
      <c r="X909">
        <f t="shared" si="587"/>
        <v>24.5</v>
      </c>
      <c r="Y909">
        <f t="shared" si="588"/>
        <v>16.3</v>
      </c>
      <c r="Z909">
        <f t="shared" si="589"/>
        <v>20.6</v>
      </c>
    </row>
    <row r="910" spans="1:26" x14ac:dyDescent="0.2">
      <c r="A910" s="1">
        <v>45457</v>
      </c>
      <c r="B910" s="2">
        <v>0.875</v>
      </c>
      <c r="C910" s="6">
        <v>45457.875</v>
      </c>
      <c r="D910">
        <v>64.400000000000006</v>
      </c>
      <c r="E910">
        <v>70.7</v>
      </c>
      <c r="F910">
        <v>57.8</v>
      </c>
      <c r="G910" t="s">
        <v>6</v>
      </c>
      <c r="H910">
        <v>20.399999999999999</v>
      </c>
      <c r="I910">
        <v>23.6</v>
      </c>
      <c r="J910">
        <v>17.7</v>
      </c>
      <c r="K910" t="s">
        <v>6</v>
      </c>
      <c r="L910">
        <v>221</v>
      </c>
      <c r="M910" t="s">
        <v>6</v>
      </c>
      <c r="O910" s="6">
        <f t="shared" si="580"/>
        <v>45457.875</v>
      </c>
      <c r="P910">
        <f t="shared" si="581"/>
        <v>64.400000000000006</v>
      </c>
      <c r="Q910">
        <f t="shared" si="582"/>
        <v>70.7</v>
      </c>
      <c r="R910">
        <f t="shared" si="583"/>
        <v>57.8</v>
      </c>
      <c r="S910">
        <f t="shared" si="584"/>
        <v>65.400000000000006</v>
      </c>
      <c r="V910" s="6">
        <f t="shared" si="585"/>
        <v>45457.875</v>
      </c>
      <c r="W910">
        <f t="shared" si="586"/>
        <v>20.399999999999999</v>
      </c>
      <c r="X910">
        <f t="shared" si="587"/>
        <v>23.6</v>
      </c>
      <c r="Y910">
        <f t="shared" si="588"/>
        <v>17.7</v>
      </c>
      <c r="Z910">
        <f t="shared" si="589"/>
        <v>21.4</v>
      </c>
    </row>
    <row r="911" spans="1:26" x14ac:dyDescent="0.2">
      <c r="A911" s="1">
        <v>45457</v>
      </c>
      <c r="B911" s="2">
        <v>0.91666666666666663</v>
      </c>
      <c r="C911" s="6">
        <v>45457.916666666664</v>
      </c>
      <c r="D911">
        <v>62.4</v>
      </c>
      <c r="E911">
        <v>65.900000000000006</v>
      </c>
      <c r="F911">
        <v>59.7</v>
      </c>
      <c r="G911" t="s">
        <v>6</v>
      </c>
      <c r="H911">
        <v>19.399999999999999</v>
      </c>
      <c r="I911">
        <v>21.3</v>
      </c>
      <c r="J911">
        <v>17.399999999999999</v>
      </c>
      <c r="K911" t="s">
        <v>6</v>
      </c>
      <c r="L911">
        <v>35</v>
      </c>
      <c r="M911" t="s">
        <v>6</v>
      </c>
      <c r="O911" s="6">
        <f t="shared" si="580"/>
        <v>45457.916666666664</v>
      </c>
      <c r="P911">
        <f t="shared" si="581"/>
        <v>62.4</v>
      </c>
      <c r="Q911">
        <f t="shared" si="582"/>
        <v>65.900000000000006</v>
      </c>
      <c r="R911">
        <f t="shared" si="583"/>
        <v>59.7</v>
      </c>
      <c r="S911">
        <f t="shared" si="584"/>
        <v>63.4</v>
      </c>
      <c r="V911" s="6">
        <f t="shared" si="585"/>
        <v>45457.916666666664</v>
      </c>
      <c r="W911">
        <f t="shared" si="586"/>
        <v>19.399999999999999</v>
      </c>
      <c r="X911">
        <f t="shared" si="587"/>
        <v>21.3</v>
      </c>
      <c r="Y911">
        <f t="shared" si="588"/>
        <v>17.399999999999999</v>
      </c>
      <c r="Z911">
        <f t="shared" si="589"/>
        <v>20.399999999999999</v>
      </c>
    </row>
    <row r="912" spans="1:26" x14ac:dyDescent="0.2">
      <c r="A912" s="1">
        <v>45457</v>
      </c>
      <c r="B912" s="2">
        <v>0.95833333333333337</v>
      </c>
      <c r="C912" s="6">
        <v>45457.958333333336</v>
      </c>
      <c r="D912">
        <v>63.5</v>
      </c>
      <c r="E912">
        <v>63.6</v>
      </c>
      <c r="F912">
        <v>63.4</v>
      </c>
      <c r="G912" t="s">
        <v>6</v>
      </c>
      <c r="H912">
        <v>19.399999999999999</v>
      </c>
      <c r="I912">
        <v>19.399999999999999</v>
      </c>
      <c r="J912">
        <v>19.399999999999999</v>
      </c>
      <c r="K912" t="s">
        <v>6</v>
      </c>
      <c r="L912">
        <v>2</v>
      </c>
      <c r="M912" t="s">
        <v>6</v>
      </c>
      <c r="O912" s="6">
        <f t="shared" si="580"/>
        <v>45457.958333333336</v>
      </c>
      <c r="P912">
        <f t="shared" si="581"/>
        <v>63.5</v>
      </c>
      <c r="Q912">
        <f t="shared" si="582"/>
        <v>63.6</v>
      </c>
      <c r="R912">
        <f t="shared" si="583"/>
        <v>63.4</v>
      </c>
      <c r="S912">
        <f t="shared" si="584"/>
        <v>64.5</v>
      </c>
      <c r="V912" s="6">
        <f t="shared" si="585"/>
        <v>45457.958333333336</v>
      </c>
      <c r="W912">
        <f t="shared" si="586"/>
        <v>19.399999999999999</v>
      </c>
      <c r="X912">
        <f t="shared" si="587"/>
        <v>19.399999999999999</v>
      </c>
      <c r="Y912">
        <f t="shared" si="588"/>
        <v>19.399999999999999</v>
      </c>
      <c r="Z912">
        <f t="shared" si="589"/>
        <v>20.399999999999999</v>
      </c>
    </row>
    <row r="913" spans="1:26" x14ac:dyDescent="0.2">
      <c r="A913" s="1">
        <v>45458</v>
      </c>
      <c r="B913" s="2">
        <v>0.25</v>
      </c>
      <c r="C913" s="6">
        <v>45458.25</v>
      </c>
      <c r="D913">
        <v>65.7</v>
      </c>
      <c r="E913">
        <v>72.8</v>
      </c>
      <c r="F913">
        <v>56.6</v>
      </c>
      <c r="G913" t="s">
        <v>6</v>
      </c>
      <c r="H913">
        <v>18.399999999999999</v>
      </c>
      <c r="I913">
        <v>24.8</v>
      </c>
      <c r="J913">
        <v>15.9</v>
      </c>
      <c r="K913" t="s">
        <v>6</v>
      </c>
      <c r="L913">
        <v>202</v>
      </c>
      <c r="M913" t="s">
        <v>6</v>
      </c>
      <c r="O913" s="6">
        <f t="shared" si="580"/>
        <v>45458.25</v>
      </c>
      <c r="P913">
        <f t="shared" si="581"/>
        <v>65.7</v>
      </c>
      <c r="Q913">
        <f t="shared" si="582"/>
        <v>72.8</v>
      </c>
      <c r="R913">
        <f t="shared" si="583"/>
        <v>56.6</v>
      </c>
      <c r="S913">
        <f t="shared" si="584"/>
        <v>66.7</v>
      </c>
      <c r="V913" s="6">
        <f t="shared" si="585"/>
        <v>45458.25</v>
      </c>
      <c r="W913">
        <f t="shared" si="586"/>
        <v>18.399999999999999</v>
      </c>
      <c r="X913">
        <f t="shared" si="587"/>
        <v>24.8</v>
      </c>
      <c r="Y913">
        <f t="shared" si="588"/>
        <v>15.9</v>
      </c>
      <c r="Z913">
        <f t="shared" si="589"/>
        <v>19.399999999999999</v>
      </c>
    </row>
    <row r="914" spans="1:26" x14ac:dyDescent="0.2">
      <c r="A914" s="1">
        <v>45458</v>
      </c>
      <c r="B914" s="2">
        <v>0.29166666666666669</v>
      </c>
      <c r="C914" s="6">
        <v>45458.291666666664</v>
      </c>
      <c r="D914">
        <v>64</v>
      </c>
      <c r="E914">
        <v>69.3</v>
      </c>
      <c r="F914">
        <v>59.5</v>
      </c>
      <c r="G914" t="s">
        <v>6</v>
      </c>
      <c r="H914">
        <v>18.8</v>
      </c>
      <c r="I914">
        <v>22.8</v>
      </c>
      <c r="J914">
        <v>16.100000000000001</v>
      </c>
      <c r="K914" t="s">
        <v>6</v>
      </c>
      <c r="L914">
        <v>219</v>
      </c>
      <c r="M914" t="s">
        <v>6</v>
      </c>
      <c r="O914" s="6">
        <f t="shared" si="580"/>
        <v>45458.291666666664</v>
      </c>
      <c r="P914">
        <f t="shared" si="581"/>
        <v>64</v>
      </c>
      <c r="Q914">
        <f t="shared" si="582"/>
        <v>69.3</v>
      </c>
      <c r="R914">
        <f t="shared" si="583"/>
        <v>59.5</v>
      </c>
      <c r="S914">
        <f t="shared" si="584"/>
        <v>65</v>
      </c>
      <c r="V914" s="6">
        <f t="shared" si="585"/>
        <v>45458.291666666664</v>
      </c>
      <c r="W914">
        <f t="shared" si="586"/>
        <v>18.8</v>
      </c>
      <c r="X914">
        <f t="shared" si="587"/>
        <v>22.8</v>
      </c>
      <c r="Y914">
        <f t="shared" si="588"/>
        <v>16.100000000000001</v>
      </c>
      <c r="Z914">
        <f t="shared" si="589"/>
        <v>19.8</v>
      </c>
    </row>
    <row r="915" spans="1:26" x14ac:dyDescent="0.2">
      <c r="A915" s="14">
        <v>45458</v>
      </c>
      <c r="B915" s="7">
        <v>0.33333333333333331</v>
      </c>
      <c r="C915" s="8">
        <v>45458.333333333336</v>
      </c>
      <c r="D915" s="9">
        <v>64.8</v>
      </c>
      <c r="E915" s="9">
        <v>71.900000000000006</v>
      </c>
      <c r="F915" s="9">
        <v>57.6</v>
      </c>
      <c r="G915" s="9" t="s">
        <v>6</v>
      </c>
      <c r="H915" s="9">
        <v>17.7</v>
      </c>
      <c r="I915" s="9">
        <v>20.100000000000001</v>
      </c>
      <c r="J915" s="9">
        <v>14.9</v>
      </c>
      <c r="K915" s="9" t="s">
        <v>6</v>
      </c>
      <c r="L915" s="9">
        <v>190</v>
      </c>
      <c r="M915" t="s">
        <v>6</v>
      </c>
      <c r="O915" s="6">
        <f t="shared" si="580"/>
        <v>45458.333333333336</v>
      </c>
      <c r="P915">
        <f t="shared" si="581"/>
        <v>64.8</v>
      </c>
      <c r="Q915">
        <f t="shared" si="582"/>
        <v>71.900000000000006</v>
      </c>
      <c r="R915">
        <f t="shared" si="583"/>
        <v>57.6</v>
      </c>
      <c r="S915">
        <f t="shared" si="584"/>
        <v>65.8</v>
      </c>
      <c r="V915" s="6">
        <f t="shared" si="585"/>
        <v>45458.333333333336</v>
      </c>
      <c r="W915">
        <f t="shared" si="586"/>
        <v>17.7</v>
      </c>
      <c r="X915">
        <f t="shared" si="587"/>
        <v>20.100000000000001</v>
      </c>
      <c r="Y915">
        <f t="shared" si="588"/>
        <v>14.9</v>
      </c>
      <c r="Z915">
        <f t="shared" si="589"/>
        <v>18.7</v>
      </c>
    </row>
    <row r="916" spans="1:26" x14ac:dyDescent="0.2">
      <c r="A916" s="13">
        <v>45458</v>
      </c>
      <c r="B916" s="3">
        <v>0.375</v>
      </c>
      <c r="C916" s="4">
        <v>45458.375</v>
      </c>
      <c r="D916" s="5">
        <v>67.099999999999994</v>
      </c>
      <c r="E916" s="5">
        <v>75.400000000000006</v>
      </c>
      <c r="F916" s="5">
        <v>62.2</v>
      </c>
      <c r="G916" s="5" t="s">
        <v>6</v>
      </c>
      <c r="H916" s="5">
        <v>19.8</v>
      </c>
      <c r="I916" s="5">
        <v>23.6</v>
      </c>
      <c r="J916" s="5">
        <v>15.9</v>
      </c>
      <c r="K916" s="5" t="s">
        <v>6</v>
      </c>
      <c r="L916" s="5">
        <v>152</v>
      </c>
      <c r="M916" t="s">
        <v>6</v>
      </c>
      <c r="O916" s="6">
        <f t="shared" si="580"/>
        <v>45458.375</v>
      </c>
      <c r="P916">
        <f t="shared" si="581"/>
        <v>67.099999999999994</v>
      </c>
      <c r="Q916">
        <f t="shared" si="582"/>
        <v>75.400000000000006</v>
      </c>
      <c r="R916">
        <f t="shared" si="583"/>
        <v>62.2</v>
      </c>
      <c r="S916">
        <f t="shared" si="584"/>
        <v>68.099999999999994</v>
      </c>
      <c r="V916" s="6">
        <f t="shared" si="585"/>
        <v>45458.375</v>
      </c>
      <c r="W916">
        <f t="shared" si="586"/>
        <v>19.8</v>
      </c>
      <c r="X916">
        <f t="shared" si="587"/>
        <v>23.6</v>
      </c>
      <c r="Y916">
        <f t="shared" si="588"/>
        <v>15.9</v>
      </c>
      <c r="Z916">
        <f t="shared" si="589"/>
        <v>20.8</v>
      </c>
    </row>
    <row r="917" spans="1:26" x14ac:dyDescent="0.2">
      <c r="A917" s="1">
        <v>45458</v>
      </c>
      <c r="B917" s="2">
        <v>0.41666666666666669</v>
      </c>
      <c r="C917" s="6">
        <v>45458.416666666664</v>
      </c>
      <c r="D917">
        <v>63.2</v>
      </c>
      <c r="E917">
        <v>71.900000000000006</v>
      </c>
      <c r="F917">
        <v>56.9</v>
      </c>
      <c r="G917" t="s">
        <v>6</v>
      </c>
      <c r="H917">
        <v>19.3</v>
      </c>
      <c r="I917">
        <v>24.9</v>
      </c>
      <c r="J917">
        <v>16.100000000000001</v>
      </c>
      <c r="K917" t="s">
        <v>6</v>
      </c>
      <c r="L917">
        <v>228</v>
      </c>
      <c r="M917" t="s">
        <v>6</v>
      </c>
      <c r="O917" s="6">
        <f t="shared" si="580"/>
        <v>45458.416666666664</v>
      </c>
      <c r="P917">
        <f t="shared" si="581"/>
        <v>63.2</v>
      </c>
      <c r="Q917">
        <f t="shared" si="582"/>
        <v>71.900000000000006</v>
      </c>
      <c r="R917">
        <f t="shared" si="583"/>
        <v>56.9</v>
      </c>
      <c r="S917">
        <f t="shared" si="584"/>
        <v>64.2</v>
      </c>
      <c r="V917" s="6">
        <f t="shared" si="585"/>
        <v>45458.416666666664</v>
      </c>
      <c r="W917">
        <f t="shared" si="586"/>
        <v>19.3</v>
      </c>
      <c r="X917">
        <f t="shared" si="587"/>
        <v>24.9</v>
      </c>
      <c r="Y917">
        <f t="shared" si="588"/>
        <v>16.100000000000001</v>
      </c>
      <c r="Z917">
        <f t="shared" si="589"/>
        <v>20.3</v>
      </c>
    </row>
    <row r="918" spans="1:26" x14ac:dyDescent="0.2">
      <c r="A918" s="1">
        <v>45458</v>
      </c>
      <c r="B918" s="2">
        <v>0.45833333333333331</v>
      </c>
      <c r="C918" s="6">
        <v>45458.458333333336</v>
      </c>
      <c r="D918">
        <v>59.9</v>
      </c>
      <c r="E918">
        <v>65.2</v>
      </c>
      <c r="F918">
        <v>53.2</v>
      </c>
      <c r="G918" t="s">
        <v>6</v>
      </c>
      <c r="H918">
        <v>19.899999999999999</v>
      </c>
      <c r="I918">
        <v>23.7</v>
      </c>
      <c r="J918">
        <v>16.3</v>
      </c>
      <c r="K918" t="s">
        <v>6</v>
      </c>
      <c r="L918">
        <v>170</v>
      </c>
      <c r="M918" t="s">
        <v>6</v>
      </c>
      <c r="O918" s="6">
        <f t="shared" si="580"/>
        <v>45458.458333333336</v>
      </c>
      <c r="P918">
        <f t="shared" si="581"/>
        <v>59.9</v>
      </c>
      <c r="Q918">
        <f t="shared" si="582"/>
        <v>65.2</v>
      </c>
      <c r="R918">
        <f t="shared" si="583"/>
        <v>53.2</v>
      </c>
      <c r="S918">
        <f t="shared" si="584"/>
        <v>60.9</v>
      </c>
      <c r="V918" s="6">
        <f t="shared" si="585"/>
        <v>45458.458333333336</v>
      </c>
      <c r="W918">
        <f t="shared" si="586"/>
        <v>19.899999999999999</v>
      </c>
      <c r="X918">
        <f t="shared" si="587"/>
        <v>23.7</v>
      </c>
      <c r="Y918">
        <f t="shared" si="588"/>
        <v>16.3</v>
      </c>
      <c r="Z918">
        <f t="shared" si="589"/>
        <v>20.9</v>
      </c>
    </row>
    <row r="919" spans="1:26" x14ac:dyDescent="0.2">
      <c r="A919" s="1">
        <v>45458</v>
      </c>
      <c r="B919" s="2">
        <v>0.5</v>
      </c>
      <c r="C919" s="6">
        <v>45458.5</v>
      </c>
      <c r="D919">
        <v>57</v>
      </c>
      <c r="E919">
        <v>62.2</v>
      </c>
      <c r="F919">
        <v>52.1</v>
      </c>
      <c r="G919" t="s">
        <v>6</v>
      </c>
      <c r="H919">
        <v>19.3</v>
      </c>
      <c r="I919">
        <v>24.4</v>
      </c>
      <c r="J919">
        <v>13.2</v>
      </c>
      <c r="K919" t="s">
        <v>6</v>
      </c>
      <c r="L919">
        <v>205</v>
      </c>
      <c r="M919" t="s">
        <v>6</v>
      </c>
      <c r="O919" s="6">
        <f t="shared" si="580"/>
        <v>45458.5</v>
      </c>
      <c r="P919">
        <f t="shared" si="581"/>
        <v>57</v>
      </c>
      <c r="Q919">
        <f t="shared" si="582"/>
        <v>62.2</v>
      </c>
      <c r="R919">
        <f t="shared" si="583"/>
        <v>52.1</v>
      </c>
      <c r="S919">
        <f t="shared" si="584"/>
        <v>58</v>
      </c>
      <c r="V919" s="6">
        <f t="shared" si="585"/>
        <v>45458.5</v>
      </c>
      <c r="W919">
        <f t="shared" si="586"/>
        <v>19.3</v>
      </c>
      <c r="X919">
        <f t="shared" si="587"/>
        <v>24.4</v>
      </c>
      <c r="Y919">
        <f t="shared" si="588"/>
        <v>13.2</v>
      </c>
      <c r="Z919">
        <f t="shared" si="589"/>
        <v>20.3</v>
      </c>
    </row>
    <row r="920" spans="1:26" x14ac:dyDescent="0.2">
      <c r="A920" s="1">
        <v>45458</v>
      </c>
      <c r="B920" s="2">
        <v>0.54166666666666663</v>
      </c>
      <c r="C920" s="6">
        <v>45458.541666666664</v>
      </c>
      <c r="D920">
        <v>56.9</v>
      </c>
      <c r="E920">
        <v>65.3</v>
      </c>
      <c r="F920">
        <v>48.3</v>
      </c>
      <c r="G920" t="s">
        <v>6</v>
      </c>
      <c r="H920">
        <v>19.8</v>
      </c>
      <c r="I920">
        <v>24.5</v>
      </c>
      <c r="J920">
        <v>15.5</v>
      </c>
      <c r="K920" t="s">
        <v>6</v>
      </c>
      <c r="L920">
        <v>219</v>
      </c>
      <c r="M920" t="s">
        <v>6</v>
      </c>
      <c r="O920" s="6">
        <f t="shared" si="580"/>
        <v>45458.541666666664</v>
      </c>
      <c r="P920">
        <f t="shared" si="581"/>
        <v>56.9</v>
      </c>
      <c r="Q920">
        <f t="shared" si="582"/>
        <v>65.3</v>
      </c>
      <c r="R920">
        <f t="shared" si="583"/>
        <v>48.3</v>
      </c>
      <c r="S920">
        <f t="shared" si="584"/>
        <v>57.9</v>
      </c>
      <c r="V920" s="6">
        <f t="shared" si="585"/>
        <v>45458.541666666664</v>
      </c>
      <c r="W920">
        <f t="shared" si="586"/>
        <v>19.8</v>
      </c>
      <c r="X920">
        <f t="shared" si="587"/>
        <v>24.5</v>
      </c>
      <c r="Y920">
        <f t="shared" si="588"/>
        <v>15.5</v>
      </c>
      <c r="Z920">
        <f t="shared" si="589"/>
        <v>20.8</v>
      </c>
    </row>
    <row r="921" spans="1:26" x14ac:dyDescent="0.2">
      <c r="A921" s="1">
        <v>45458</v>
      </c>
      <c r="B921" s="2">
        <v>0.58333333333333337</v>
      </c>
      <c r="C921" s="6">
        <v>45458.583333333336</v>
      </c>
      <c r="D921">
        <v>59.5</v>
      </c>
      <c r="E921">
        <v>63.9</v>
      </c>
      <c r="F921">
        <v>56.7</v>
      </c>
      <c r="G921" t="s">
        <v>6</v>
      </c>
      <c r="H921">
        <v>20.3</v>
      </c>
      <c r="I921">
        <v>22.8</v>
      </c>
      <c r="J921">
        <v>17</v>
      </c>
      <c r="K921" t="s">
        <v>6</v>
      </c>
      <c r="L921">
        <v>213</v>
      </c>
      <c r="M921" t="s">
        <v>6</v>
      </c>
      <c r="O921" s="6">
        <f t="shared" si="580"/>
        <v>45458.583333333336</v>
      </c>
      <c r="P921">
        <f t="shared" si="581"/>
        <v>59.5</v>
      </c>
      <c r="Q921">
        <f t="shared" si="582"/>
        <v>63.9</v>
      </c>
      <c r="R921">
        <f t="shared" si="583"/>
        <v>56.7</v>
      </c>
      <c r="S921">
        <f t="shared" si="584"/>
        <v>60.5</v>
      </c>
      <c r="V921" s="6">
        <f t="shared" si="585"/>
        <v>45458.583333333336</v>
      </c>
      <c r="W921">
        <f t="shared" si="586"/>
        <v>20.3</v>
      </c>
      <c r="X921">
        <f t="shared" si="587"/>
        <v>22.8</v>
      </c>
      <c r="Y921">
        <f t="shared" si="588"/>
        <v>17</v>
      </c>
      <c r="Z921">
        <f t="shared" si="589"/>
        <v>21.3</v>
      </c>
    </row>
    <row r="922" spans="1:26" x14ac:dyDescent="0.2">
      <c r="A922" s="1">
        <v>45458</v>
      </c>
      <c r="B922" s="2">
        <v>0.625</v>
      </c>
      <c r="C922" s="6">
        <v>45458.625</v>
      </c>
      <c r="D922">
        <v>58.7</v>
      </c>
      <c r="E922">
        <v>63.6</v>
      </c>
      <c r="F922">
        <v>54.4</v>
      </c>
      <c r="G922" t="s">
        <v>6</v>
      </c>
      <c r="H922">
        <v>20.3</v>
      </c>
      <c r="I922">
        <v>22.7</v>
      </c>
      <c r="J922">
        <v>17.7</v>
      </c>
      <c r="K922" t="s">
        <v>6</v>
      </c>
      <c r="L922">
        <v>110</v>
      </c>
      <c r="M922" t="s">
        <v>6</v>
      </c>
      <c r="O922" s="6">
        <f t="shared" si="580"/>
        <v>45458.625</v>
      </c>
      <c r="P922">
        <f t="shared" si="581"/>
        <v>58.7</v>
      </c>
      <c r="Q922">
        <f t="shared" si="582"/>
        <v>63.6</v>
      </c>
      <c r="R922">
        <f t="shared" si="583"/>
        <v>54.4</v>
      </c>
      <c r="S922">
        <f t="shared" si="584"/>
        <v>59.7</v>
      </c>
      <c r="V922" s="6">
        <f t="shared" si="585"/>
        <v>45458.625</v>
      </c>
      <c r="W922">
        <f t="shared" si="586"/>
        <v>20.3</v>
      </c>
      <c r="X922">
        <f t="shared" si="587"/>
        <v>22.7</v>
      </c>
      <c r="Y922">
        <f t="shared" si="588"/>
        <v>17.7</v>
      </c>
      <c r="Z922">
        <f t="shared" si="589"/>
        <v>21.3</v>
      </c>
    </row>
    <row r="923" spans="1:26" x14ac:dyDescent="0.2">
      <c r="A923" s="1">
        <v>45458</v>
      </c>
      <c r="B923" s="2">
        <v>0.66666666666666663</v>
      </c>
      <c r="C923" s="6">
        <v>45458.666666666664</v>
      </c>
      <c r="D923">
        <v>55.2</v>
      </c>
      <c r="E923">
        <v>61</v>
      </c>
      <c r="F923">
        <v>50.9</v>
      </c>
      <c r="G923" t="s">
        <v>6</v>
      </c>
      <c r="H923">
        <v>19.600000000000001</v>
      </c>
      <c r="I923">
        <v>23.4</v>
      </c>
      <c r="J923">
        <v>16.100000000000001</v>
      </c>
      <c r="K923" t="s">
        <v>6</v>
      </c>
      <c r="L923">
        <v>226</v>
      </c>
      <c r="M923" t="s">
        <v>6</v>
      </c>
      <c r="O923" s="6">
        <f t="shared" si="580"/>
        <v>45458.666666666664</v>
      </c>
      <c r="P923">
        <f t="shared" si="581"/>
        <v>55.2</v>
      </c>
      <c r="Q923">
        <f t="shared" si="582"/>
        <v>61</v>
      </c>
      <c r="R923">
        <f t="shared" si="583"/>
        <v>50.9</v>
      </c>
      <c r="S923">
        <f t="shared" si="584"/>
        <v>56.2</v>
      </c>
      <c r="V923" s="6">
        <f t="shared" si="585"/>
        <v>45458.666666666664</v>
      </c>
      <c r="W923">
        <f t="shared" si="586"/>
        <v>19.600000000000001</v>
      </c>
      <c r="X923">
        <f t="shared" si="587"/>
        <v>23.4</v>
      </c>
      <c r="Y923">
        <f t="shared" si="588"/>
        <v>16.100000000000001</v>
      </c>
      <c r="Z923">
        <f t="shared" si="589"/>
        <v>20.6</v>
      </c>
    </row>
    <row r="924" spans="1:26" x14ac:dyDescent="0.2">
      <c r="A924" s="1">
        <v>45458</v>
      </c>
      <c r="B924" s="2">
        <v>0.70833333333333337</v>
      </c>
      <c r="C924" s="6">
        <v>45458.708333333336</v>
      </c>
      <c r="D924">
        <v>57.9</v>
      </c>
      <c r="E924">
        <v>63.1</v>
      </c>
      <c r="F924">
        <v>52.7</v>
      </c>
      <c r="G924" t="s">
        <v>6</v>
      </c>
      <c r="H924">
        <v>20</v>
      </c>
      <c r="I924">
        <v>24.1</v>
      </c>
      <c r="J924">
        <v>15.5</v>
      </c>
      <c r="K924" t="s">
        <v>6</v>
      </c>
      <c r="L924">
        <v>202</v>
      </c>
      <c r="M924" t="s">
        <v>6</v>
      </c>
      <c r="O924" s="6">
        <f t="shared" si="580"/>
        <v>45458.708333333336</v>
      </c>
      <c r="P924">
        <f t="shared" si="581"/>
        <v>57.9</v>
      </c>
      <c r="Q924">
        <f t="shared" si="582"/>
        <v>63.1</v>
      </c>
      <c r="R924">
        <f t="shared" si="583"/>
        <v>52.7</v>
      </c>
      <c r="S924">
        <f t="shared" si="584"/>
        <v>58.9</v>
      </c>
      <c r="V924" s="6">
        <f t="shared" si="585"/>
        <v>45458.708333333336</v>
      </c>
      <c r="W924">
        <f t="shared" si="586"/>
        <v>20</v>
      </c>
      <c r="X924">
        <f t="shared" si="587"/>
        <v>24.1</v>
      </c>
      <c r="Y924">
        <f t="shared" si="588"/>
        <v>15.5</v>
      </c>
      <c r="Z924">
        <f t="shared" si="589"/>
        <v>21</v>
      </c>
    </row>
    <row r="925" spans="1:26" x14ac:dyDescent="0.2">
      <c r="A925" s="1">
        <v>45458</v>
      </c>
      <c r="B925" s="2">
        <v>0.75</v>
      </c>
      <c r="C925" s="6">
        <v>45458.75</v>
      </c>
      <c r="D925">
        <v>56</v>
      </c>
      <c r="E925">
        <v>60.2</v>
      </c>
      <c r="F925">
        <v>52.3</v>
      </c>
      <c r="G925" t="s">
        <v>6</v>
      </c>
      <c r="H925">
        <v>20</v>
      </c>
      <c r="I925">
        <v>23.5</v>
      </c>
      <c r="J925">
        <v>14.9</v>
      </c>
      <c r="K925" t="s">
        <v>6</v>
      </c>
      <c r="L925">
        <v>212</v>
      </c>
      <c r="M925" t="s">
        <v>6</v>
      </c>
      <c r="O925" s="6">
        <f t="shared" si="580"/>
        <v>45458.75</v>
      </c>
      <c r="P925">
        <f t="shared" si="581"/>
        <v>56</v>
      </c>
      <c r="Q925">
        <f t="shared" si="582"/>
        <v>60.2</v>
      </c>
      <c r="R925">
        <f t="shared" si="583"/>
        <v>52.3</v>
      </c>
      <c r="S925">
        <f t="shared" si="584"/>
        <v>57</v>
      </c>
      <c r="V925" s="6">
        <f t="shared" si="585"/>
        <v>45458.75</v>
      </c>
      <c r="W925">
        <f t="shared" si="586"/>
        <v>20</v>
      </c>
      <c r="X925">
        <f t="shared" si="587"/>
        <v>23.5</v>
      </c>
      <c r="Y925">
        <f t="shared" si="588"/>
        <v>14.9</v>
      </c>
      <c r="Z925">
        <f t="shared" si="589"/>
        <v>21</v>
      </c>
    </row>
    <row r="926" spans="1:26" x14ac:dyDescent="0.2">
      <c r="A926" s="1">
        <v>45458</v>
      </c>
      <c r="B926" s="2">
        <v>0.79166666666666663</v>
      </c>
      <c r="C926" s="6">
        <v>45458.791666666664</v>
      </c>
      <c r="D926">
        <v>51.8</v>
      </c>
      <c r="E926">
        <v>60.4</v>
      </c>
      <c r="F926">
        <v>48.9</v>
      </c>
      <c r="G926" t="s">
        <v>6</v>
      </c>
      <c r="H926">
        <v>20.2</v>
      </c>
      <c r="I926">
        <v>24.2</v>
      </c>
      <c r="J926">
        <v>13.2</v>
      </c>
      <c r="K926" t="s">
        <v>6</v>
      </c>
      <c r="L926">
        <v>214</v>
      </c>
      <c r="M926" t="s">
        <v>6</v>
      </c>
      <c r="O926" s="6">
        <f t="shared" si="580"/>
        <v>45458.791666666664</v>
      </c>
      <c r="P926">
        <f t="shared" si="581"/>
        <v>51.8</v>
      </c>
      <c r="Q926">
        <f t="shared" si="582"/>
        <v>60.4</v>
      </c>
      <c r="R926">
        <f t="shared" si="583"/>
        <v>48.9</v>
      </c>
      <c r="S926">
        <f t="shared" si="584"/>
        <v>52.8</v>
      </c>
      <c r="V926" s="6">
        <f t="shared" si="585"/>
        <v>45458.791666666664</v>
      </c>
      <c r="W926">
        <f t="shared" si="586"/>
        <v>20.2</v>
      </c>
      <c r="X926">
        <f t="shared" si="587"/>
        <v>24.2</v>
      </c>
      <c r="Y926">
        <f t="shared" si="588"/>
        <v>13.2</v>
      </c>
      <c r="Z926">
        <f t="shared" si="589"/>
        <v>21.2</v>
      </c>
    </row>
    <row r="927" spans="1:26" x14ac:dyDescent="0.2">
      <c r="A927" s="1">
        <v>45458</v>
      </c>
      <c r="B927" s="2">
        <v>0.83333333333333337</v>
      </c>
      <c r="C927" s="6">
        <v>45458.833333333336</v>
      </c>
      <c r="D927">
        <v>60.8</v>
      </c>
      <c r="E927">
        <v>66.900000000000006</v>
      </c>
      <c r="F927">
        <v>56.1</v>
      </c>
      <c r="G927" t="s">
        <v>6</v>
      </c>
      <c r="H927">
        <v>19</v>
      </c>
      <c r="I927">
        <v>23.9</v>
      </c>
      <c r="J927">
        <v>14.5</v>
      </c>
      <c r="K927" t="s">
        <v>6</v>
      </c>
      <c r="L927">
        <v>224</v>
      </c>
      <c r="M927" t="s">
        <v>6</v>
      </c>
      <c r="O927" s="6">
        <f t="shared" si="580"/>
        <v>45458.833333333336</v>
      </c>
      <c r="P927">
        <f t="shared" si="581"/>
        <v>60.8</v>
      </c>
      <c r="Q927">
        <f t="shared" si="582"/>
        <v>66.900000000000006</v>
      </c>
      <c r="R927">
        <f t="shared" si="583"/>
        <v>56.1</v>
      </c>
      <c r="S927">
        <f t="shared" si="584"/>
        <v>61.8</v>
      </c>
      <c r="V927" s="6">
        <f t="shared" si="585"/>
        <v>45458.833333333336</v>
      </c>
      <c r="W927">
        <f t="shared" si="586"/>
        <v>19</v>
      </c>
      <c r="X927">
        <f t="shared" si="587"/>
        <v>23.9</v>
      </c>
      <c r="Y927">
        <f t="shared" si="588"/>
        <v>14.5</v>
      </c>
      <c r="Z927">
        <f t="shared" si="589"/>
        <v>20</v>
      </c>
    </row>
    <row r="928" spans="1:26" x14ac:dyDescent="0.2">
      <c r="A928" s="1">
        <v>45458</v>
      </c>
      <c r="B928" s="2">
        <v>0.875</v>
      </c>
      <c r="C928" s="6">
        <v>45458.875</v>
      </c>
      <c r="D928">
        <v>58.3</v>
      </c>
      <c r="E928">
        <v>64.2</v>
      </c>
      <c r="F928">
        <v>54.7</v>
      </c>
      <c r="G928" t="s">
        <v>6</v>
      </c>
      <c r="H928">
        <v>19.899999999999999</v>
      </c>
      <c r="I928">
        <v>22.5</v>
      </c>
      <c r="J928">
        <v>15.5</v>
      </c>
      <c r="K928" t="s">
        <v>6</v>
      </c>
      <c r="L928">
        <v>190</v>
      </c>
      <c r="M928" t="s">
        <v>6</v>
      </c>
      <c r="O928" s="6">
        <f t="shared" si="580"/>
        <v>45458.875</v>
      </c>
      <c r="P928">
        <f t="shared" si="581"/>
        <v>58.3</v>
      </c>
      <c r="Q928">
        <f t="shared" si="582"/>
        <v>64.2</v>
      </c>
      <c r="R928">
        <f t="shared" si="583"/>
        <v>54.7</v>
      </c>
      <c r="S928">
        <f t="shared" si="584"/>
        <v>59.3</v>
      </c>
      <c r="V928" s="6">
        <f t="shared" si="585"/>
        <v>45458.875</v>
      </c>
      <c r="W928">
        <f t="shared" si="586"/>
        <v>19.899999999999999</v>
      </c>
      <c r="X928">
        <f t="shared" si="587"/>
        <v>22.5</v>
      </c>
      <c r="Y928">
        <f t="shared" si="588"/>
        <v>15.5</v>
      </c>
      <c r="Z928">
        <f t="shared" si="589"/>
        <v>20.9</v>
      </c>
    </row>
    <row r="929" spans="1:26" x14ac:dyDescent="0.2">
      <c r="A929" s="1">
        <v>45458</v>
      </c>
      <c r="B929" s="2">
        <v>0.91666666666666663</v>
      </c>
      <c r="C929" s="6">
        <v>45458.916666666664</v>
      </c>
      <c r="D929">
        <v>58</v>
      </c>
      <c r="E929">
        <v>66.599999999999994</v>
      </c>
      <c r="F929">
        <v>50.1</v>
      </c>
      <c r="G929" t="s">
        <v>6</v>
      </c>
      <c r="H929">
        <v>20.6</v>
      </c>
      <c r="I929">
        <v>26.3</v>
      </c>
      <c r="J929">
        <v>18.5</v>
      </c>
      <c r="K929" t="s">
        <v>6</v>
      </c>
      <c r="L929">
        <v>149</v>
      </c>
      <c r="M929" t="s">
        <v>6</v>
      </c>
      <c r="O929" s="6">
        <f t="shared" si="580"/>
        <v>45458.916666666664</v>
      </c>
      <c r="P929">
        <f t="shared" si="581"/>
        <v>58</v>
      </c>
      <c r="Q929">
        <f t="shared" si="582"/>
        <v>66.599999999999994</v>
      </c>
      <c r="R929">
        <f t="shared" si="583"/>
        <v>50.1</v>
      </c>
      <c r="S929">
        <f t="shared" si="584"/>
        <v>59</v>
      </c>
      <c r="V929" s="6">
        <f t="shared" si="585"/>
        <v>45458.916666666664</v>
      </c>
      <c r="W929">
        <f t="shared" si="586"/>
        <v>20.6</v>
      </c>
      <c r="X929">
        <f t="shared" si="587"/>
        <v>26.3</v>
      </c>
      <c r="Y929">
        <f t="shared" si="588"/>
        <v>18.5</v>
      </c>
      <c r="Z929">
        <f t="shared" si="589"/>
        <v>21.6</v>
      </c>
    </row>
    <row r="930" spans="1:26" x14ac:dyDescent="0.2">
      <c r="A930" s="1">
        <v>45459</v>
      </c>
      <c r="B930" s="2">
        <v>0.16666666666666666</v>
      </c>
      <c r="C930" s="6">
        <v>45459.166666666664</v>
      </c>
      <c r="D930">
        <v>59.3</v>
      </c>
      <c r="E930">
        <v>59.3</v>
      </c>
      <c r="F930">
        <v>59.3</v>
      </c>
      <c r="G930" t="s">
        <v>6</v>
      </c>
      <c r="H930">
        <v>21.3</v>
      </c>
      <c r="I930">
        <v>21.3</v>
      </c>
      <c r="J930">
        <v>21.3</v>
      </c>
      <c r="K930" t="s">
        <v>6</v>
      </c>
      <c r="L930">
        <v>1</v>
      </c>
      <c r="M930" t="s">
        <v>6</v>
      </c>
      <c r="O930" s="6">
        <f t="shared" si="580"/>
        <v>45459.166666666664</v>
      </c>
      <c r="P930">
        <f t="shared" si="581"/>
        <v>59.3</v>
      </c>
      <c r="Q930">
        <f t="shared" si="582"/>
        <v>59.3</v>
      </c>
      <c r="R930">
        <f t="shared" si="583"/>
        <v>59.3</v>
      </c>
      <c r="S930">
        <f t="shared" si="584"/>
        <v>60.3</v>
      </c>
      <c r="V930" s="6">
        <f t="shared" si="585"/>
        <v>45459.166666666664</v>
      </c>
      <c r="W930">
        <f t="shared" si="586"/>
        <v>21.3</v>
      </c>
      <c r="X930">
        <f t="shared" si="587"/>
        <v>21.3</v>
      </c>
      <c r="Y930">
        <f t="shared" si="588"/>
        <v>21.3</v>
      </c>
      <c r="Z930">
        <f t="shared" si="589"/>
        <v>22.3</v>
      </c>
    </row>
    <row r="931" spans="1:26" x14ac:dyDescent="0.2">
      <c r="A931" s="1">
        <v>45459</v>
      </c>
      <c r="B931" s="2">
        <v>0.20833333333333334</v>
      </c>
      <c r="C931" s="6">
        <v>45459.208333333336</v>
      </c>
      <c r="D931">
        <v>62.8</v>
      </c>
      <c r="E931">
        <v>66.900000000000006</v>
      </c>
      <c r="F931">
        <v>55.8</v>
      </c>
      <c r="G931" t="s">
        <v>6</v>
      </c>
      <c r="H931">
        <v>18.100000000000001</v>
      </c>
      <c r="I931">
        <v>24.7</v>
      </c>
      <c r="J931">
        <v>15.2</v>
      </c>
      <c r="K931" t="s">
        <v>6</v>
      </c>
      <c r="L931">
        <v>87</v>
      </c>
      <c r="M931" t="s">
        <v>6</v>
      </c>
      <c r="O931" s="6">
        <f t="shared" si="580"/>
        <v>45459.208333333336</v>
      </c>
      <c r="P931">
        <f t="shared" si="581"/>
        <v>62.8</v>
      </c>
      <c r="Q931">
        <f t="shared" si="582"/>
        <v>66.900000000000006</v>
      </c>
      <c r="R931">
        <f t="shared" si="583"/>
        <v>55.8</v>
      </c>
      <c r="S931">
        <f t="shared" si="584"/>
        <v>63.8</v>
      </c>
      <c r="V931" s="6">
        <f t="shared" si="585"/>
        <v>45459.208333333336</v>
      </c>
      <c r="W931">
        <f t="shared" si="586"/>
        <v>18.100000000000001</v>
      </c>
      <c r="X931">
        <f t="shared" si="587"/>
        <v>24.7</v>
      </c>
      <c r="Y931">
        <f t="shared" si="588"/>
        <v>15.2</v>
      </c>
      <c r="Z931">
        <f t="shared" si="589"/>
        <v>19.100000000000001</v>
      </c>
    </row>
    <row r="932" spans="1:26" x14ac:dyDescent="0.2">
      <c r="A932" s="1">
        <v>45459</v>
      </c>
      <c r="B932" s="2">
        <v>0.25</v>
      </c>
      <c r="C932" s="6">
        <v>45459.25</v>
      </c>
      <c r="D932">
        <v>63.3</v>
      </c>
      <c r="E932">
        <v>66.8</v>
      </c>
      <c r="F932">
        <v>56.4</v>
      </c>
      <c r="G932" t="s">
        <v>6</v>
      </c>
      <c r="H932">
        <v>16.8</v>
      </c>
      <c r="I932">
        <v>19.399999999999999</v>
      </c>
      <c r="J932">
        <v>14.6</v>
      </c>
      <c r="K932" t="s">
        <v>6</v>
      </c>
      <c r="L932">
        <v>210</v>
      </c>
      <c r="M932" t="s">
        <v>6</v>
      </c>
      <c r="O932" s="6">
        <f t="shared" si="580"/>
        <v>45459.25</v>
      </c>
      <c r="P932">
        <f t="shared" si="581"/>
        <v>63.3</v>
      </c>
      <c r="Q932">
        <f t="shared" si="582"/>
        <v>66.8</v>
      </c>
      <c r="R932">
        <f t="shared" si="583"/>
        <v>56.4</v>
      </c>
      <c r="S932">
        <f t="shared" si="584"/>
        <v>64.3</v>
      </c>
      <c r="V932" s="6">
        <f t="shared" si="585"/>
        <v>45459.25</v>
      </c>
      <c r="W932">
        <f t="shared" si="586"/>
        <v>16.8</v>
      </c>
      <c r="X932">
        <f t="shared" si="587"/>
        <v>19.399999999999999</v>
      </c>
      <c r="Y932">
        <f t="shared" si="588"/>
        <v>14.6</v>
      </c>
      <c r="Z932">
        <f t="shared" si="589"/>
        <v>17.8</v>
      </c>
    </row>
    <row r="933" spans="1:26" x14ac:dyDescent="0.2">
      <c r="A933" s="1">
        <v>45459</v>
      </c>
      <c r="B933" s="2">
        <v>0.29166666666666669</v>
      </c>
      <c r="C933" s="6">
        <v>45459.291666666664</v>
      </c>
      <c r="D933">
        <v>60.7</v>
      </c>
      <c r="E933">
        <v>65.2</v>
      </c>
      <c r="F933">
        <v>55.4</v>
      </c>
      <c r="G933" t="s">
        <v>6</v>
      </c>
      <c r="H933">
        <v>16.899999999999999</v>
      </c>
      <c r="I933">
        <v>21.1</v>
      </c>
      <c r="J933">
        <v>14</v>
      </c>
      <c r="K933" t="s">
        <v>6</v>
      </c>
      <c r="L933">
        <v>227</v>
      </c>
      <c r="M933" t="s">
        <v>6</v>
      </c>
      <c r="O933" s="6">
        <f t="shared" si="580"/>
        <v>45459.291666666664</v>
      </c>
      <c r="P933">
        <f t="shared" si="581"/>
        <v>60.7</v>
      </c>
      <c r="Q933">
        <f t="shared" si="582"/>
        <v>65.2</v>
      </c>
      <c r="R933">
        <f t="shared" si="583"/>
        <v>55.4</v>
      </c>
      <c r="S933">
        <f t="shared" si="584"/>
        <v>61.7</v>
      </c>
      <c r="V933" s="6">
        <f t="shared" si="585"/>
        <v>45459.291666666664</v>
      </c>
      <c r="W933">
        <f t="shared" si="586"/>
        <v>16.899999999999999</v>
      </c>
      <c r="X933">
        <f t="shared" si="587"/>
        <v>21.1</v>
      </c>
      <c r="Y933">
        <f t="shared" si="588"/>
        <v>14</v>
      </c>
      <c r="Z933">
        <f t="shared" si="589"/>
        <v>17.899999999999999</v>
      </c>
    </row>
    <row r="934" spans="1:26" x14ac:dyDescent="0.2">
      <c r="A934" s="14">
        <v>45459</v>
      </c>
      <c r="B934" s="7">
        <v>0.33333333333333331</v>
      </c>
      <c r="C934" s="8">
        <v>45459.333333333336</v>
      </c>
      <c r="D934" s="9">
        <v>57</v>
      </c>
      <c r="E934" s="9">
        <v>63.3</v>
      </c>
      <c r="F934" s="9">
        <v>52.9</v>
      </c>
      <c r="G934" s="9" t="s">
        <v>6</v>
      </c>
      <c r="H934" s="9">
        <v>19.5</v>
      </c>
      <c r="I934" s="9">
        <v>22.7</v>
      </c>
      <c r="J934" s="9">
        <v>13.4</v>
      </c>
      <c r="K934" s="9" t="s">
        <v>6</v>
      </c>
      <c r="L934" s="9">
        <v>213</v>
      </c>
      <c r="M934" t="s">
        <v>6</v>
      </c>
      <c r="O934" s="6">
        <f t="shared" si="580"/>
        <v>45459.333333333336</v>
      </c>
      <c r="P934">
        <f t="shared" si="581"/>
        <v>57</v>
      </c>
      <c r="Q934">
        <f t="shared" si="582"/>
        <v>63.3</v>
      </c>
      <c r="R934">
        <f t="shared" si="583"/>
        <v>52.9</v>
      </c>
      <c r="S934">
        <f t="shared" si="584"/>
        <v>58</v>
      </c>
      <c r="V934" s="6">
        <f t="shared" si="585"/>
        <v>45459.333333333336</v>
      </c>
      <c r="W934">
        <f t="shared" si="586"/>
        <v>19.5</v>
      </c>
      <c r="X934">
        <f t="shared" si="587"/>
        <v>22.7</v>
      </c>
      <c r="Y934">
        <f t="shared" si="588"/>
        <v>13.4</v>
      </c>
      <c r="Z934">
        <f t="shared" si="589"/>
        <v>20.5</v>
      </c>
    </row>
    <row r="935" spans="1:26" x14ac:dyDescent="0.2">
      <c r="A935" s="13">
        <v>45459</v>
      </c>
      <c r="B935" s="3">
        <v>0.375</v>
      </c>
      <c r="C935" s="4">
        <v>45459.375</v>
      </c>
      <c r="D935" s="5">
        <v>60.7</v>
      </c>
      <c r="E935" s="5">
        <v>67.7</v>
      </c>
      <c r="F935" s="5">
        <v>53.1</v>
      </c>
      <c r="G935" s="5" t="s">
        <v>6</v>
      </c>
      <c r="H935" s="5">
        <v>18.5</v>
      </c>
      <c r="I935" s="5">
        <v>24.8</v>
      </c>
      <c r="J935" s="5">
        <v>15.7</v>
      </c>
      <c r="K935" s="5" t="s">
        <v>6</v>
      </c>
      <c r="L935" s="5">
        <v>190</v>
      </c>
      <c r="M935" t="s">
        <v>6</v>
      </c>
      <c r="O935" s="6">
        <f t="shared" si="580"/>
        <v>45459.375</v>
      </c>
      <c r="P935">
        <f t="shared" si="581"/>
        <v>60.7</v>
      </c>
      <c r="Q935">
        <f t="shared" si="582"/>
        <v>67.7</v>
      </c>
      <c r="R935">
        <f t="shared" si="583"/>
        <v>53.1</v>
      </c>
      <c r="S935">
        <f t="shared" si="584"/>
        <v>61.7</v>
      </c>
      <c r="V935" s="6">
        <f t="shared" si="585"/>
        <v>45459.375</v>
      </c>
      <c r="W935">
        <f t="shared" si="586"/>
        <v>18.5</v>
      </c>
      <c r="X935">
        <f t="shared" si="587"/>
        <v>24.8</v>
      </c>
      <c r="Y935">
        <f t="shared" si="588"/>
        <v>15.7</v>
      </c>
      <c r="Z935">
        <f t="shared" si="589"/>
        <v>19.5</v>
      </c>
    </row>
    <row r="936" spans="1:26" x14ac:dyDescent="0.2">
      <c r="A936" s="1">
        <v>45459</v>
      </c>
      <c r="B936" s="2">
        <v>0.41666666666666669</v>
      </c>
      <c r="C936" s="6">
        <v>45459.416666666664</v>
      </c>
      <c r="D936">
        <v>64.2</v>
      </c>
      <c r="E936">
        <v>69.599999999999994</v>
      </c>
      <c r="F936">
        <v>55.7</v>
      </c>
      <c r="G936" t="s">
        <v>6</v>
      </c>
      <c r="H936">
        <v>20.2</v>
      </c>
      <c r="I936">
        <v>22.4</v>
      </c>
      <c r="J936">
        <v>16</v>
      </c>
      <c r="K936" t="s">
        <v>6</v>
      </c>
      <c r="L936">
        <v>222</v>
      </c>
      <c r="M936" t="s">
        <v>6</v>
      </c>
      <c r="O936" s="6">
        <f t="shared" si="580"/>
        <v>45459.416666666664</v>
      </c>
      <c r="P936">
        <f t="shared" si="581"/>
        <v>64.2</v>
      </c>
      <c r="Q936">
        <f t="shared" si="582"/>
        <v>69.599999999999994</v>
      </c>
      <c r="R936">
        <f t="shared" si="583"/>
        <v>55.7</v>
      </c>
      <c r="S936">
        <f t="shared" si="584"/>
        <v>65.2</v>
      </c>
      <c r="V936" s="6">
        <f t="shared" si="585"/>
        <v>45459.416666666664</v>
      </c>
      <c r="W936">
        <f t="shared" si="586"/>
        <v>20.2</v>
      </c>
      <c r="X936">
        <f t="shared" si="587"/>
        <v>22.4</v>
      </c>
      <c r="Y936">
        <f t="shared" si="588"/>
        <v>16</v>
      </c>
      <c r="Z936">
        <f t="shared" si="589"/>
        <v>21.2</v>
      </c>
    </row>
    <row r="937" spans="1:26" x14ac:dyDescent="0.2">
      <c r="A937" s="1">
        <v>45459</v>
      </c>
      <c r="B937" s="2">
        <v>0.45833333333333331</v>
      </c>
      <c r="C937" s="6">
        <v>45459.458333333336</v>
      </c>
      <c r="D937">
        <v>59.4</v>
      </c>
      <c r="E937">
        <v>63.5</v>
      </c>
      <c r="F937">
        <v>53.7</v>
      </c>
      <c r="G937" t="s">
        <v>6</v>
      </c>
      <c r="H937">
        <v>18.2</v>
      </c>
      <c r="I937">
        <v>21.5</v>
      </c>
      <c r="J937">
        <v>15.7</v>
      </c>
      <c r="K937" t="s">
        <v>6</v>
      </c>
      <c r="L937">
        <v>230</v>
      </c>
      <c r="M937" t="s">
        <v>6</v>
      </c>
      <c r="O937" s="6">
        <f t="shared" si="580"/>
        <v>45459.458333333336</v>
      </c>
      <c r="P937">
        <f t="shared" si="581"/>
        <v>59.4</v>
      </c>
      <c r="Q937">
        <f t="shared" si="582"/>
        <v>63.5</v>
      </c>
      <c r="R937">
        <f t="shared" si="583"/>
        <v>53.7</v>
      </c>
      <c r="S937">
        <f t="shared" si="584"/>
        <v>60.4</v>
      </c>
      <c r="V937" s="6">
        <f t="shared" si="585"/>
        <v>45459.458333333336</v>
      </c>
      <c r="W937">
        <f t="shared" si="586"/>
        <v>18.2</v>
      </c>
      <c r="X937">
        <f t="shared" si="587"/>
        <v>21.5</v>
      </c>
      <c r="Y937">
        <f t="shared" si="588"/>
        <v>15.7</v>
      </c>
      <c r="Z937">
        <f t="shared" si="589"/>
        <v>19.2</v>
      </c>
    </row>
    <row r="938" spans="1:26" x14ac:dyDescent="0.2">
      <c r="A938" s="1">
        <v>45459</v>
      </c>
      <c r="B938" s="2">
        <v>0.5</v>
      </c>
      <c r="C938" s="6">
        <v>45459.5</v>
      </c>
      <c r="D938">
        <v>54</v>
      </c>
      <c r="E938">
        <v>60.3</v>
      </c>
      <c r="F938">
        <v>49.3</v>
      </c>
      <c r="G938" t="s">
        <v>6</v>
      </c>
      <c r="H938">
        <v>19.2</v>
      </c>
      <c r="I938">
        <v>23.2</v>
      </c>
      <c r="J938">
        <v>15.4</v>
      </c>
      <c r="K938" t="s">
        <v>6</v>
      </c>
      <c r="L938">
        <v>192</v>
      </c>
      <c r="M938" t="s">
        <v>6</v>
      </c>
      <c r="O938" s="6">
        <f t="shared" si="580"/>
        <v>45459.5</v>
      </c>
      <c r="P938">
        <f t="shared" si="581"/>
        <v>54</v>
      </c>
      <c r="Q938">
        <f t="shared" si="582"/>
        <v>60.3</v>
      </c>
      <c r="R938">
        <f t="shared" si="583"/>
        <v>49.3</v>
      </c>
      <c r="S938">
        <f t="shared" si="584"/>
        <v>55</v>
      </c>
      <c r="V938" s="6">
        <f t="shared" si="585"/>
        <v>45459.5</v>
      </c>
      <c r="W938">
        <f t="shared" si="586"/>
        <v>19.2</v>
      </c>
      <c r="X938">
        <f t="shared" si="587"/>
        <v>23.2</v>
      </c>
      <c r="Y938">
        <f t="shared" si="588"/>
        <v>15.4</v>
      </c>
      <c r="Z938">
        <f t="shared" si="589"/>
        <v>20.2</v>
      </c>
    </row>
    <row r="939" spans="1:26" x14ac:dyDescent="0.2">
      <c r="A939" s="1">
        <v>45459</v>
      </c>
      <c r="B939" s="2">
        <v>0.54166666666666663</v>
      </c>
      <c r="C939" s="6">
        <v>45459.541666666664</v>
      </c>
      <c r="D939">
        <v>56.1</v>
      </c>
      <c r="E939">
        <v>63.7</v>
      </c>
      <c r="F939">
        <v>48.4</v>
      </c>
      <c r="G939" t="s">
        <v>6</v>
      </c>
      <c r="H939">
        <v>20.399999999999999</v>
      </c>
      <c r="I939">
        <v>23.1</v>
      </c>
      <c r="J939">
        <v>16.600000000000001</v>
      </c>
      <c r="K939" t="s">
        <v>6</v>
      </c>
      <c r="L939">
        <v>223</v>
      </c>
      <c r="M939" t="s">
        <v>6</v>
      </c>
      <c r="O939" s="6">
        <f t="shared" si="580"/>
        <v>45459.541666666664</v>
      </c>
      <c r="P939">
        <f t="shared" si="581"/>
        <v>56.1</v>
      </c>
      <c r="Q939">
        <f t="shared" si="582"/>
        <v>63.7</v>
      </c>
      <c r="R939">
        <f t="shared" si="583"/>
        <v>48.4</v>
      </c>
      <c r="S939">
        <f t="shared" si="584"/>
        <v>57.1</v>
      </c>
      <c r="V939" s="6">
        <f t="shared" si="585"/>
        <v>45459.541666666664</v>
      </c>
      <c r="W939">
        <f t="shared" si="586"/>
        <v>20.399999999999999</v>
      </c>
      <c r="X939">
        <f t="shared" si="587"/>
        <v>23.1</v>
      </c>
      <c r="Y939">
        <f t="shared" si="588"/>
        <v>16.600000000000001</v>
      </c>
      <c r="Z939">
        <f t="shared" si="589"/>
        <v>21.4</v>
      </c>
    </row>
    <row r="940" spans="1:26" x14ac:dyDescent="0.2">
      <c r="A940" s="1">
        <v>45459</v>
      </c>
      <c r="B940" s="2">
        <v>0.58333333333333337</v>
      </c>
      <c r="C940" s="6">
        <v>45459.583333333336</v>
      </c>
      <c r="D940">
        <v>60.6</v>
      </c>
      <c r="E940">
        <v>63.4</v>
      </c>
      <c r="F940">
        <v>56.9</v>
      </c>
      <c r="G940" t="s">
        <v>6</v>
      </c>
      <c r="H940">
        <v>20.2</v>
      </c>
      <c r="I940">
        <v>26.7</v>
      </c>
      <c r="J940">
        <v>17</v>
      </c>
      <c r="K940" t="s">
        <v>6</v>
      </c>
      <c r="L940">
        <v>172</v>
      </c>
      <c r="M940" t="s">
        <v>6</v>
      </c>
      <c r="O940" s="6">
        <f t="shared" si="580"/>
        <v>45459.583333333336</v>
      </c>
      <c r="P940">
        <f t="shared" si="581"/>
        <v>60.6</v>
      </c>
      <c r="Q940">
        <f t="shared" si="582"/>
        <v>63.4</v>
      </c>
      <c r="R940">
        <f t="shared" si="583"/>
        <v>56.9</v>
      </c>
      <c r="S940">
        <f t="shared" si="584"/>
        <v>61.6</v>
      </c>
      <c r="V940" s="6">
        <f t="shared" si="585"/>
        <v>45459.583333333336</v>
      </c>
      <c r="W940">
        <f t="shared" si="586"/>
        <v>20.2</v>
      </c>
      <c r="X940">
        <f t="shared" si="587"/>
        <v>26.7</v>
      </c>
      <c r="Y940">
        <f t="shared" si="588"/>
        <v>17</v>
      </c>
      <c r="Z940">
        <f t="shared" si="589"/>
        <v>21.2</v>
      </c>
    </row>
    <row r="941" spans="1:26" x14ac:dyDescent="0.2">
      <c r="A941" s="1">
        <v>45459</v>
      </c>
      <c r="B941" s="2">
        <v>0.625</v>
      </c>
      <c r="C941" s="6">
        <v>45459.625</v>
      </c>
      <c r="D941">
        <v>62.1</v>
      </c>
      <c r="E941">
        <v>71.599999999999994</v>
      </c>
      <c r="F941">
        <v>58.7</v>
      </c>
      <c r="G941" t="s">
        <v>6</v>
      </c>
      <c r="H941">
        <v>19.5</v>
      </c>
      <c r="I941">
        <v>23.9</v>
      </c>
      <c r="J941">
        <v>16.3</v>
      </c>
      <c r="K941" t="s">
        <v>6</v>
      </c>
      <c r="L941">
        <v>216</v>
      </c>
      <c r="M941" t="s">
        <v>6</v>
      </c>
      <c r="O941" s="6">
        <f t="shared" si="580"/>
        <v>45459.625</v>
      </c>
      <c r="P941">
        <f t="shared" si="581"/>
        <v>62.1</v>
      </c>
      <c r="Q941">
        <f t="shared" si="582"/>
        <v>71.599999999999994</v>
      </c>
      <c r="R941">
        <f t="shared" si="583"/>
        <v>58.7</v>
      </c>
      <c r="S941">
        <f t="shared" si="584"/>
        <v>63.1</v>
      </c>
      <c r="V941" s="6">
        <f t="shared" si="585"/>
        <v>45459.625</v>
      </c>
      <c r="W941">
        <f t="shared" si="586"/>
        <v>19.5</v>
      </c>
      <c r="X941">
        <f t="shared" si="587"/>
        <v>23.9</v>
      </c>
      <c r="Y941">
        <f t="shared" si="588"/>
        <v>16.3</v>
      </c>
      <c r="Z941">
        <f t="shared" si="589"/>
        <v>20.5</v>
      </c>
    </row>
    <row r="942" spans="1:26" x14ac:dyDescent="0.2">
      <c r="A942" s="1">
        <v>45459</v>
      </c>
      <c r="B942" s="2">
        <v>0.66666666666666663</v>
      </c>
      <c r="C942" s="6">
        <v>45459.666666666664</v>
      </c>
      <c r="D942">
        <v>57.5</v>
      </c>
      <c r="E942">
        <v>61.7</v>
      </c>
      <c r="F942">
        <v>51.2</v>
      </c>
      <c r="G942" t="s">
        <v>6</v>
      </c>
      <c r="H942">
        <v>19.899999999999999</v>
      </c>
      <c r="I942">
        <v>24.6</v>
      </c>
      <c r="J942">
        <v>15.9</v>
      </c>
      <c r="K942" t="s">
        <v>6</v>
      </c>
      <c r="L942">
        <v>221</v>
      </c>
      <c r="M942" t="s">
        <v>6</v>
      </c>
      <c r="O942" s="6">
        <f t="shared" si="580"/>
        <v>45459.666666666664</v>
      </c>
      <c r="P942">
        <f t="shared" si="581"/>
        <v>57.5</v>
      </c>
      <c r="Q942">
        <f t="shared" si="582"/>
        <v>61.7</v>
      </c>
      <c r="R942">
        <f t="shared" si="583"/>
        <v>51.2</v>
      </c>
      <c r="S942">
        <f t="shared" si="584"/>
        <v>58.5</v>
      </c>
      <c r="V942" s="6">
        <f t="shared" si="585"/>
        <v>45459.666666666664</v>
      </c>
      <c r="W942">
        <f t="shared" si="586"/>
        <v>19.899999999999999</v>
      </c>
      <c r="X942">
        <f t="shared" si="587"/>
        <v>24.6</v>
      </c>
      <c r="Y942">
        <f t="shared" si="588"/>
        <v>15.9</v>
      </c>
      <c r="Z942">
        <f t="shared" si="589"/>
        <v>20.9</v>
      </c>
    </row>
    <row r="943" spans="1:26" x14ac:dyDescent="0.2">
      <c r="A943" s="1">
        <v>45459</v>
      </c>
      <c r="B943" s="2">
        <v>0.70833333333333337</v>
      </c>
      <c r="C943" s="6">
        <v>45459.708333333336</v>
      </c>
      <c r="D943">
        <v>57.8</v>
      </c>
      <c r="E943">
        <v>66.5</v>
      </c>
      <c r="F943">
        <v>53.7</v>
      </c>
      <c r="G943" t="s">
        <v>6</v>
      </c>
      <c r="H943">
        <v>20.3</v>
      </c>
      <c r="I943">
        <v>22.6</v>
      </c>
      <c r="J943">
        <v>17.899999999999999</v>
      </c>
      <c r="K943" t="s">
        <v>6</v>
      </c>
      <c r="L943">
        <v>219</v>
      </c>
      <c r="M943" t="s">
        <v>6</v>
      </c>
      <c r="O943" s="6">
        <f t="shared" si="580"/>
        <v>45459.708333333336</v>
      </c>
      <c r="P943">
        <f t="shared" si="581"/>
        <v>57.8</v>
      </c>
      <c r="Q943">
        <f t="shared" si="582"/>
        <v>66.5</v>
      </c>
      <c r="R943">
        <f t="shared" si="583"/>
        <v>53.7</v>
      </c>
      <c r="S943">
        <f t="shared" si="584"/>
        <v>58.8</v>
      </c>
      <c r="V943" s="6">
        <f t="shared" si="585"/>
        <v>45459.708333333336</v>
      </c>
      <c r="W943">
        <f t="shared" si="586"/>
        <v>20.3</v>
      </c>
      <c r="X943">
        <f t="shared" si="587"/>
        <v>22.6</v>
      </c>
      <c r="Y943">
        <f t="shared" si="588"/>
        <v>17.899999999999999</v>
      </c>
      <c r="Z943">
        <f t="shared" si="589"/>
        <v>21.3</v>
      </c>
    </row>
    <row r="944" spans="1:26" x14ac:dyDescent="0.2">
      <c r="A944" s="1">
        <v>45459</v>
      </c>
      <c r="B944" s="2">
        <v>0.75</v>
      </c>
      <c r="C944" s="6">
        <v>45459.75</v>
      </c>
      <c r="D944">
        <v>57.9</v>
      </c>
      <c r="E944">
        <v>64.599999999999994</v>
      </c>
      <c r="F944">
        <v>49.1</v>
      </c>
      <c r="G944" t="s">
        <v>6</v>
      </c>
      <c r="H944">
        <v>19.399999999999999</v>
      </c>
      <c r="I944">
        <v>30.6</v>
      </c>
      <c r="J944">
        <v>14</v>
      </c>
      <c r="K944" t="s">
        <v>6</v>
      </c>
      <c r="L944">
        <v>202</v>
      </c>
      <c r="M944" t="s">
        <v>6</v>
      </c>
      <c r="O944" s="6">
        <f t="shared" si="580"/>
        <v>45459.75</v>
      </c>
      <c r="P944">
        <f t="shared" si="581"/>
        <v>57.9</v>
      </c>
      <c r="Q944">
        <f t="shared" si="582"/>
        <v>64.599999999999994</v>
      </c>
      <c r="R944">
        <f t="shared" si="583"/>
        <v>49.1</v>
      </c>
      <c r="S944">
        <f t="shared" si="584"/>
        <v>58.9</v>
      </c>
      <c r="V944" s="6">
        <f t="shared" si="585"/>
        <v>45459.75</v>
      </c>
      <c r="W944">
        <f t="shared" si="586"/>
        <v>19.399999999999999</v>
      </c>
      <c r="X944">
        <f t="shared" si="587"/>
        <v>30.6</v>
      </c>
      <c r="Y944">
        <f t="shared" si="588"/>
        <v>14</v>
      </c>
      <c r="Z944">
        <f t="shared" si="589"/>
        <v>20.399999999999999</v>
      </c>
    </row>
    <row r="945" spans="1:26" x14ac:dyDescent="0.2">
      <c r="A945" s="1">
        <v>45459</v>
      </c>
      <c r="B945" s="2">
        <v>0.79166666666666663</v>
      </c>
      <c r="C945" s="6">
        <v>45459.791666666664</v>
      </c>
      <c r="D945">
        <v>56.9</v>
      </c>
      <c r="E945">
        <v>64.8</v>
      </c>
      <c r="F945">
        <v>51.7</v>
      </c>
      <c r="G945" t="s">
        <v>6</v>
      </c>
      <c r="H945">
        <v>20.5</v>
      </c>
      <c r="I945">
        <v>25.5</v>
      </c>
      <c r="J945">
        <v>15.1</v>
      </c>
      <c r="K945" t="s">
        <v>6</v>
      </c>
      <c r="L945">
        <v>215</v>
      </c>
      <c r="M945" t="s">
        <v>6</v>
      </c>
      <c r="O945" s="6">
        <f t="shared" si="580"/>
        <v>45459.791666666664</v>
      </c>
      <c r="P945">
        <f t="shared" si="581"/>
        <v>56.9</v>
      </c>
      <c r="Q945">
        <f t="shared" si="582"/>
        <v>64.8</v>
      </c>
      <c r="R945">
        <f t="shared" si="583"/>
        <v>51.7</v>
      </c>
      <c r="S945">
        <f t="shared" si="584"/>
        <v>57.9</v>
      </c>
      <c r="V945" s="6">
        <f t="shared" si="585"/>
        <v>45459.791666666664</v>
      </c>
      <c r="W945">
        <f t="shared" si="586"/>
        <v>20.5</v>
      </c>
      <c r="X945">
        <f t="shared" si="587"/>
        <v>25.5</v>
      </c>
      <c r="Y945">
        <f t="shared" si="588"/>
        <v>15.1</v>
      </c>
      <c r="Z945">
        <f t="shared" si="589"/>
        <v>21.5</v>
      </c>
    </row>
    <row r="946" spans="1:26" x14ac:dyDescent="0.2">
      <c r="A946" s="1">
        <v>45459</v>
      </c>
      <c r="B946" s="2">
        <v>0.83333333333333337</v>
      </c>
      <c r="C946" s="6">
        <v>45459.833333333336</v>
      </c>
      <c r="D946">
        <v>59.9</v>
      </c>
      <c r="E946">
        <v>67.900000000000006</v>
      </c>
      <c r="F946">
        <v>51.6</v>
      </c>
      <c r="G946" t="s">
        <v>6</v>
      </c>
      <c r="H946">
        <v>20</v>
      </c>
      <c r="I946">
        <v>24.8</v>
      </c>
      <c r="J946">
        <v>16.100000000000001</v>
      </c>
      <c r="K946" t="s">
        <v>6</v>
      </c>
      <c r="L946">
        <v>223</v>
      </c>
      <c r="M946" t="s">
        <v>6</v>
      </c>
      <c r="O946" s="6">
        <f t="shared" si="580"/>
        <v>45459.833333333336</v>
      </c>
      <c r="P946">
        <f t="shared" si="581"/>
        <v>59.9</v>
      </c>
      <c r="Q946">
        <f t="shared" si="582"/>
        <v>67.900000000000006</v>
      </c>
      <c r="R946">
        <f t="shared" si="583"/>
        <v>51.6</v>
      </c>
      <c r="S946">
        <f t="shared" si="584"/>
        <v>60.9</v>
      </c>
      <c r="V946" s="6">
        <f t="shared" si="585"/>
        <v>45459.833333333336</v>
      </c>
      <c r="W946">
        <f t="shared" si="586"/>
        <v>20</v>
      </c>
      <c r="X946">
        <f t="shared" si="587"/>
        <v>24.8</v>
      </c>
      <c r="Y946">
        <f t="shared" si="588"/>
        <v>16.100000000000001</v>
      </c>
      <c r="Z946">
        <f t="shared" si="589"/>
        <v>21</v>
      </c>
    </row>
    <row r="947" spans="1:26" x14ac:dyDescent="0.2">
      <c r="A947" s="1">
        <v>45459</v>
      </c>
      <c r="B947" s="2">
        <v>0.875</v>
      </c>
      <c r="C947" s="6">
        <v>45459.875</v>
      </c>
      <c r="D947">
        <v>60.8</v>
      </c>
      <c r="E947">
        <v>67.3</v>
      </c>
      <c r="F947">
        <v>53.2</v>
      </c>
      <c r="G947" t="s">
        <v>6</v>
      </c>
      <c r="H947">
        <v>19.8</v>
      </c>
      <c r="I947">
        <v>21.6</v>
      </c>
      <c r="J947">
        <v>16.600000000000001</v>
      </c>
      <c r="K947" t="s">
        <v>6</v>
      </c>
      <c r="L947">
        <v>155</v>
      </c>
      <c r="M947" t="s">
        <v>6</v>
      </c>
      <c r="O947" s="6">
        <f t="shared" si="580"/>
        <v>45459.875</v>
      </c>
      <c r="P947">
        <f t="shared" si="581"/>
        <v>60.8</v>
      </c>
      <c r="Q947">
        <f t="shared" si="582"/>
        <v>67.3</v>
      </c>
      <c r="R947">
        <f t="shared" si="583"/>
        <v>53.2</v>
      </c>
      <c r="S947">
        <f t="shared" si="584"/>
        <v>61.8</v>
      </c>
      <c r="V947" s="6">
        <f t="shared" si="585"/>
        <v>45459.875</v>
      </c>
      <c r="W947">
        <f t="shared" si="586"/>
        <v>19.8</v>
      </c>
      <c r="X947">
        <f t="shared" si="587"/>
        <v>21.6</v>
      </c>
      <c r="Y947">
        <f t="shared" si="588"/>
        <v>16.600000000000001</v>
      </c>
      <c r="Z947">
        <f t="shared" si="589"/>
        <v>20.8</v>
      </c>
    </row>
    <row r="948" spans="1:26" x14ac:dyDescent="0.2">
      <c r="A948" s="1">
        <v>45460</v>
      </c>
      <c r="B948" s="2">
        <v>0</v>
      </c>
      <c r="C948" s="6">
        <v>45460</v>
      </c>
      <c r="D948">
        <v>54.2</v>
      </c>
      <c r="E948">
        <v>62.1</v>
      </c>
      <c r="F948">
        <v>50.9</v>
      </c>
      <c r="G948" t="s">
        <v>6</v>
      </c>
      <c r="H948">
        <v>20.7</v>
      </c>
      <c r="I948">
        <v>23.5</v>
      </c>
      <c r="J948">
        <v>18.3</v>
      </c>
      <c r="K948" t="s">
        <v>6</v>
      </c>
      <c r="L948">
        <v>56</v>
      </c>
      <c r="M948" t="s">
        <v>6</v>
      </c>
      <c r="O948" s="6">
        <f t="shared" si="580"/>
        <v>45460</v>
      </c>
      <c r="P948">
        <f t="shared" si="581"/>
        <v>54.2</v>
      </c>
      <c r="Q948">
        <f t="shared" si="582"/>
        <v>62.1</v>
      </c>
      <c r="R948">
        <f t="shared" si="583"/>
        <v>50.9</v>
      </c>
      <c r="S948">
        <f t="shared" si="584"/>
        <v>55.2</v>
      </c>
      <c r="V948" s="6">
        <f t="shared" si="585"/>
        <v>45460</v>
      </c>
      <c r="W948">
        <f t="shared" si="586"/>
        <v>20.7</v>
      </c>
      <c r="X948">
        <f t="shared" si="587"/>
        <v>23.5</v>
      </c>
      <c r="Y948">
        <f t="shared" si="588"/>
        <v>18.3</v>
      </c>
      <c r="Z948">
        <f t="shared" si="589"/>
        <v>21.7</v>
      </c>
    </row>
    <row r="949" spans="1:26" x14ac:dyDescent="0.2">
      <c r="A949" s="1">
        <v>45460</v>
      </c>
      <c r="B949" s="2">
        <v>4.1666666666666664E-2</v>
      </c>
      <c r="C949" s="6">
        <v>45460.041666666664</v>
      </c>
      <c r="D949">
        <v>65.3</v>
      </c>
      <c r="E949">
        <v>72.099999999999994</v>
      </c>
      <c r="F949">
        <v>60.7</v>
      </c>
      <c r="G949" t="s">
        <v>6</v>
      </c>
      <c r="H949">
        <v>19</v>
      </c>
      <c r="I949">
        <v>21.9</v>
      </c>
      <c r="J949">
        <v>16.5</v>
      </c>
      <c r="K949" t="s">
        <v>6</v>
      </c>
      <c r="L949">
        <v>222</v>
      </c>
      <c r="M949" t="s">
        <v>6</v>
      </c>
      <c r="O949" s="6">
        <f t="shared" si="580"/>
        <v>45460.041666666664</v>
      </c>
      <c r="P949">
        <f t="shared" si="581"/>
        <v>65.3</v>
      </c>
      <c r="Q949">
        <f t="shared" si="582"/>
        <v>72.099999999999994</v>
      </c>
      <c r="R949">
        <f t="shared" si="583"/>
        <v>60.7</v>
      </c>
      <c r="S949">
        <f t="shared" si="584"/>
        <v>66.3</v>
      </c>
      <c r="V949" s="6">
        <f t="shared" si="585"/>
        <v>45460.041666666664</v>
      </c>
      <c r="W949">
        <f t="shared" si="586"/>
        <v>19</v>
      </c>
      <c r="X949">
        <f t="shared" si="587"/>
        <v>21.9</v>
      </c>
      <c r="Y949">
        <f t="shared" si="588"/>
        <v>16.5</v>
      </c>
      <c r="Z949">
        <f t="shared" si="589"/>
        <v>20</v>
      </c>
    </row>
    <row r="950" spans="1:26" x14ac:dyDescent="0.2">
      <c r="A950" s="1">
        <v>45460</v>
      </c>
      <c r="B950" s="2">
        <v>8.3333333333333329E-2</v>
      </c>
      <c r="C950" s="6">
        <v>45460.083333333336</v>
      </c>
      <c r="D950">
        <v>62.1</v>
      </c>
      <c r="E950">
        <v>66.400000000000006</v>
      </c>
      <c r="F950">
        <v>57.7</v>
      </c>
      <c r="G950" t="s">
        <v>6</v>
      </c>
      <c r="H950">
        <v>19.7</v>
      </c>
      <c r="I950">
        <v>34</v>
      </c>
      <c r="J950">
        <v>16.399999999999999</v>
      </c>
      <c r="K950" t="s">
        <v>6</v>
      </c>
      <c r="L950">
        <v>208</v>
      </c>
      <c r="M950" t="s">
        <v>6</v>
      </c>
      <c r="O950" s="6">
        <f t="shared" si="580"/>
        <v>45460.083333333336</v>
      </c>
      <c r="P950">
        <f t="shared" si="581"/>
        <v>62.1</v>
      </c>
      <c r="Q950">
        <f t="shared" si="582"/>
        <v>66.400000000000006</v>
      </c>
      <c r="R950">
        <f t="shared" si="583"/>
        <v>57.7</v>
      </c>
      <c r="S950">
        <f t="shared" si="584"/>
        <v>63.1</v>
      </c>
      <c r="V950" s="6">
        <f t="shared" si="585"/>
        <v>45460.083333333336</v>
      </c>
      <c r="W950">
        <f t="shared" si="586"/>
        <v>19.7</v>
      </c>
      <c r="X950">
        <f t="shared" si="587"/>
        <v>34</v>
      </c>
      <c r="Y950">
        <f t="shared" si="588"/>
        <v>16.399999999999999</v>
      </c>
      <c r="Z950">
        <f t="shared" si="589"/>
        <v>20.7</v>
      </c>
    </row>
    <row r="951" spans="1:26" x14ac:dyDescent="0.2">
      <c r="A951" s="1">
        <v>45460</v>
      </c>
      <c r="B951" s="2">
        <v>0.125</v>
      </c>
      <c r="C951" s="6">
        <v>45460.125</v>
      </c>
      <c r="D951">
        <v>59.4</v>
      </c>
      <c r="E951">
        <v>62.6</v>
      </c>
      <c r="F951">
        <v>55.2</v>
      </c>
      <c r="G951" t="s">
        <v>6</v>
      </c>
      <c r="H951">
        <v>17.600000000000001</v>
      </c>
      <c r="I951">
        <v>31.2</v>
      </c>
      <c r="J951">
        <v>14.9</v>
      </c>
      <c r="K951" t="s">
        <v>6</v>
      </c>
      <c r="L951">
        <v>227</v>
      </c>
      <c r="M951" t="s">
        <v>6</v>
      </c>
      <c r="O951" s="6">
        <f t="shared" si="580"/>
        <v>45460.125</v>
      </c>
      <c r="P951">
        <f t="shared" si="581"/>
        <v>59.4</v>
      </c>
      <c r="Q951">
        <f t="shared" si="582"/>
        <v>62.6</v>
      </c>
      <c r="R951">
        <f t="shared" si="583"/>
        <v>55.2</v>
      </c>
      <c r="S951">
        <f t="shared" si="584"/>
        <v>60.4</v>
      </c>
      <c r="V951" s="6">
        <f t="shared" si="585"/>
        <v>45460.125</v>
      </c>
      <c r="W951">
        <f t="shared" si="586"/>
        <v>17.600000000000001</v>
      </c>
      <c r="X951">
        <f t="shared" si="587"/>
        <v>31.2</v>
      </c>
      <c r="Y951">
        <f t="shared" si="588"/>
        <v>14.9</v>
      </c>
      <c r="Z951">
        <f t="shared" si="589"/>
        <v>18.600000000000001</v>
      </c>
    </row>
    <row r="952" spans="1:26" x14ac:dyDescent="0.2">
      <c r="A952" s="1">
        <v>45460</v>
      </c>
      <c r="B952" s="2">
        <v>0.16666666666666666</v>
      </c>
      <c r="C952" s="6">
        <v>45460.166666666664</v>
      </c>
      <c r="D952">
        <v>56.8</v>
      </c>
      <c r="E952">
        <v>62.6</v>
      </c>
      <c r="F952">
        <v>51.1</v>
      </c>
      <c r="G952" t="s">
        <v>6</v>
      </c>
      <c r="H952">
        <v>17.399999999999999</v>
      </c>
      <c r="I952">
        <v>23.2</v>
      </c>
      <c r="J952">
        <v>12.5</v>
      </c>
      <c r="K952" t="s">
        <v>6</v>
      </c>
      <c r="L952">
        <v>223</v>
      </c>
      <c r="M952" t="s">
        <v>6</v>
      </c>
      <c r="O952" s="6">
        <f t="shared" si="580"/>
        <v>45460.166666666664</v>
      </c>
      <c r="P952">
        <f t="shared" si="581"/>
        <v>56.8</v>
      </c>
      <c r="Q952">
        <f t="shared" si="582"/>
        <v>62.6</v>
      </c>
      <c r="R952">
        <f t="shared" si="583"/>
        <v>51.1</v>
      </c>
      <c r="S952">
        <f t="shared" si="584"/>
        <v>57.8</v>
      </c>
      <c r="V952" s="6">
        <f t="shared" si="585"/>
        <v>45460.166666666664</v>
      </c>
      <c r="W952">
        <f t="shared" si="586"/>
        <v>17.399999999999999</v>
      </c>
      <c r="X952">
        <f t="shared" si="587"/>
        <v>23.2</v>
      </c>
      <c r="Y952">
        <f t="shared" si="588"/>
        <v>12.5</v>
      </c>
      <c r="Z952">
        <f t="shared" si="589"/>
        <v>18.399999999999999</v>
      </c>
    </row>
    <row r="953" spans="1:26" x14ac:dyDescent="0.2">
      <c r="A953" s="1">
        <v>45460</v>
      </c>
      <c r="B953" s="2">
        <v>0.20833333333333334</v>
      </c>
      <c r="C953" s="6">
        <v>45460.208333333336</v>
      </c>
      <c r="D953">
        <v>59.6</v>
      </c>
      <c r="E953">
        <v>64.7</v>
      </c>
      <c r="F953">
        <v>54.5</v>
      </c>
      <c r="G953" t="s">
        <v>6</v>
      </c>
      <c r="H953">
        <v>17.399999999999999</v>
      </c>
      <c r="I953">
        <v>25</v>
      </c>
      <c r="J953">
        <v>13.9</v>
      </c>
      <c r="K953" t="s">
        <v>6</v>
      </c>
      <c r="L953">
        <v>222</v>
      </c>
      <c r="M953" t="s">
        <v>6</v>
      </c>
      <c r="O953" s="6">
        <f t="shared" si="580"/>
        <v>45460.208333333336</v>
      </c>
      <c r="P953">
        <f t="shared" si="581"/>
        <v>59.6</v>
      </c>
      <c r="Q953">
        <f t="shared" si="582"/>
        <v>64.7</v>
      </c>
      <c r="R953">
        <f t="shared" si="583"/>
        <v>54.5</v>
      </c>
      <c r="S953">
        <f t="shared" si="584"/>
        <v>60.6</v>
      </c>
      <c r="V953" s="6">
        <f t="shared" si="585"/>
        <v>45460.208333333336</v>
      </c>
      <c r="W953">
        <f t="shared" si="586"/>
        <v>17.399999999999999</v>
      </c>
      <c r="X953">
        <f t="shared" si="587"/>
        <v>25</v>
      </c>
      <c r="Y953">
        <f t="shared" si="588"/>
        <v>13.9</v>
      </c>
      <c r="Z953">
        <f t="shared" si="589"/>
        <v>18.399999999999999</v>
      </c>
    </row>
    <row r="954" spans="1:26" x14ac:dyDescent="0.2">
      <c r="A954" s="1">
        <v>45460</v>
      </c>
      <c r="B954" s="2">
        <v>0.25</v>
      </c>
      <c r="C954" s="6">
        <v>45460.25</v>
      </c>
      <c r="D954">
        <v>59.6</v>
      </c>
      <c r="E954">
        <v>64.2</v>
      </c>
      <c r="F954">
        <v>55.2</v>
      </c>
      <c r="G954" t="s">
        <v>6</v>
      </c>
      <c r="H954">
        <v>17.8</v>
      </c>
      <c r="I954">
        <v>25.2</v>
      </c>
      <c r="J954">
        <v>13.9</v>
      </c>
      <c r="K954" t="s">
        <v>6</v>
      </c>
      <c r="L954">
        <v>220</v>
      </c>
      <c r="M954" t="s">
        <v>6</v>
      </c>
      <c r="O954" s="6">
        <f t="shared" si="580"/>
        <v>45460.25</v>
      </c>
      <c r="P954">
        <f t="shared" si="581"/>
        <v>59.6</v>
      </c>
      <c r="Q954">
        <f t="shared" si="582"/>
        <v>64.2</v>
      </c>
      <c r="R954">
        <f t="shared" si="583"/>
        <v>55.2</v>
      </c>
      <c r="S954">
        <f t="shared" si="584"/>
        <v>60.6</v>
      </c>
      <c r="V954" s="6">
        <f t="shared" si="585"/>
        <v>45460.25</v>
      </c>
      <c r="W954">
        <f t="shared" si="586"/>
        <v>17.8</v>
      </c>
      <c r="X954">
        <f t="shared" si="587"/>
        <v>25.2</v>
      </c>
      <c r="Y954">
        <f t="shared" si="588"/>
        <v>13.9</v>
      </c>
      <c r="Z954">
        <f t="shared" si="589"/>
        <v>18.8</v>
      </c>
    </row>
    <row r="955" spans="1:26" x14ac:dyDescent="0.2">
      <c r="A955" s="1">
        <v>45460</v>
      </c>
      <c r="B955" s="2">
        <v>0.29166666666666669</v>
      </c>
      <c r="C955" s="6">
        <v>45460.291666666664</v>
      </c>
      <c r="D955">
        <v>57.3</v>
      </c>
      <c r="E955">
        <v>62.4</v>
      </c>
      <c r="F955">
        <v>52.9</v>
      </c>
      <c r="G955" t="s">
        <v>6</v>
      </c>
      <c r="H955">
        <v>19.8</v>
      </c>
      <c r="I955">
        <v>26.3</v>
      </c>
      <c r="J955">
        <v>12.1</v>
      </c>
      <c r="K955" t="s">
        <v>6</v>
      </c>
      <c r="L955">
        <v>185</v>
      </c>
      <c r="M955" t="s">
        <v>6</v>
      </c>
      <c r="O955" s="6">
        <f t="shared" si="580"/>
        <v>45460.291666666664</v>
      </c>
      <c r="P955">
        <f t="shared" si="581"/>
        <v>57.3</v>
      </c>
      <c r="Q955">
        <f t="shared" si="582"/>
        <v>62.4</v>
      </c>
      <c r="R955">
        <f t="shared" si="583"/>
        <v>52.9</v>
      </c>
      <c r="S955">
        <f t="shared" si="584"/>
        <v>58.3</v>
      </c>
      <c r="V955" s="6">
        <f t="shared" si="585"/>
        <v>45460.291666666664</v>
      </c>
      <c r="W955">
        <f t="shared" si="586"/>
        <v>19.8</v>
      </c>
      <c r="X955">
        <f t="shared" si="587"/>
        <v>26.3</v>
      </c>
      <c r="Y955">
        <f t="shared" si="588"/>
        <v>12.1</v>
      </c>
      <c r="Z955">
        <f t="shared" si="589"/>
        <v>20.8</v>
      </c>
    </row>
    <row r="956" spans="1:26" x14ac:dyDescent="0.2">
      <c r="A956" s="14">
        <v>45460</v>
      </c>
      <c r="B956" s="7">
        <v>0.33333333333333331</v>
      </c>
      <c r="C956" s="8">
        <v>45460.333333333336</v>
      </c>
      <c r="D956" s="9">
        <v>64.7</v>
      </c>
      <c r="E956" s="9">
        <v>73.099999999999994</v>
      </c>
      <c r="F956" s="9">
        <v>58.1</v>
      </c>
      <c r="G956" s="9" t="s">
        <v>6</v>
      </c>
      <c r="H956" s="9">
        <v>18.399999999999999</v>
      </c>
      <c r="I956" s="9">
        <v>25.2</v>
      </c>
      <c r="J956" s="9">
        <v>16.2</v>
      </c>
      <c r="K956" s="9" t="s">
        <v>6</v>
      </c>
      <c r="L956" s="9">
        <v>227</v>
      </c>
      <c r="M956" t="s">
        <v>6</v>
      </c>
      <c r="O956" s="6">
        <f t="shared" si="580"/>
        <v>45460.333333333336</v>
      </c>
      <c r="P956">
        <f t="shared" si="581"/>
        <v>64.7</v>
      </c>
      <c r="Q956">
        <f t="shared" si="582"/>
        <v>73.099999999999994</v>
      </c>
      <c r="R956">
        <f t="shared" si="583"/>
        <v>58.1</v>
      </c>
      <c r="S956">
        <f t="shared" si="584"/>
        <v>65.7</v>
      </c>
      <c r="V956" s="6">
        <f t="shared" si="585"/>
        <v>45460.333333333336</v>
      </c>
      <c r="W956">
        <f t="shared" si="586"/>
        <v>18.399999999999999</v>
      </c>
      <c r="X956">
        <f t="shared" si="587"/>
        <v>25.2</v>
      </c>
      <c r="Y956">
        <f t="shared" si="588"/>
        <v>16.2</v>
      </c>
      <c r="Z956">
        <f t="shared" si="589"/>
        <v>19.399999999999999</v>
      </c>
    </row>
    <row r="957" spans="1:26" x14ac:dyDescent="0.2">
      <c r="A957" s="13">
        <v>45460</v>
      </c>
      <c r="B957" s="3">
        <v>0.375</v>
      </c>
      <c r="C957" s="4">
        <v>45460.375</v>
      </c>
      <c r="D957" s="5">
        <v>61.6</v>
      </c>
      <c r="E957" s="5">
        <v>67.900000000000006</v>
      </c>
      <c r="F957" s="5">
        <v>54.8</v>
      </c>
      <c r="G957" s="5" t="s">
        <v>6</v>
      </c>
      <c r="H957" s="5">
        <v>18.399999999999999</v>
      </c>
      <c r="I957" s="5">
        <v>21.7</v>
      </c>
      <c r="J957" s="5">
        <v>15.3</v>
      </c>
      <c r="K957" s="5" t="s">
        <v>6</v>
      </c>
      <c r="L957" s="5">
        <v>223</v>
      </c>
      <c r="M957" t="s">
        <v>6</v>
      </c>
      <c r="O957" s="6">
        <f t="shared" si="580"/>
        <v>45460.375</v>
      </c>
      <c r="P957">
        <f t="shared" si="581"/>
        <v>61.6</v>
      </c>
      <c r="Q957">
        <f t="shared" si="582"/>
        <v>67.900000000000006</v>
      </c>
      <c r="R957">
        <f t="shared" si="583"/>
        <v>54.8</v>
      </c>
      <c r="S957">
        <f t="shared" si="584"/>
        <v>62.6</v>
      </c>
      <c r="V957" s="6">
        <f t="shared" si="585"/>
        <v>45460.375</v>
      </c>
      <c r="W957">
        <f t="shared" si="586"/>
        <v>18.399999999999999</v>
      </c>
      <c r="X957">
        <f t="shared" si="587"/>
        <v>21.7</v>
      </c>
      <c r="Y957">
        <f t="shared" si="588"/>
        <v>15.3</v>
      </c>
      <c r="Z957">
        <f t="shared" si="589"/>
        <v>19.399999999999999</v>
      </c>
    </row>
    <row r="958" spans="1:26" x14ac:dyDescent="0.2">
      <c r="A958" s="1">
        <v>45460</v>
      </c>
      <c r="B958" s="2">
        <v>0.41666666666666669</v>
      </c>
      <c r="C958" s="6">
        <v>45460.416666666664</v>
      </c>
      <c r="D958">
        <v>59.7</v>
      </c>
      <c r="E958">
        <v>64.400000000000006</v>
      </c>
      <c r="F958">
        <v>55.4</v>
      </c>
      <c r="G958" t="s">
        <v>6</v>
      </c>
      <c r="H958">
        <v>19.5</v>
      </c>
      <c r="I958">
        <v>23.3</v>
      </c>
      <c r="J958">
        <v>15.7</v>
      </c>
      <c r="K958" t="s">
        <v>6</v>
      </c>
      <c r="L958">
        <v>209</v>
      </c>
      <c r="M958" t="s">
        <v>6</v>
      </c>
      <c r="O958" s="6">
        <f t="shared" si="580"/>
        <v>45460.416666666664</v>
      </c>
      <c r="P958">
        <f t="shared" si="581"/>
        <v>59.7</v>
      </c>
      <c r="Q958">
        <f t="shared" si="582"/>
        <v>64.400000000000006</v>
      </c>
      <c r="R958">
        <f t="shared" si="583"/>
        <v>55.4</v>
      </c>
      <c r="S958">
        <f t="shared" si="584"/>
        <v>60.7</v>
      </c>
      <c r="V958" s="6">
        <f t="shared" si="585"/>
        <v>45460.416666666664</v>
      </c>
      <c r="W958">
        <f t="shared" si="586"/>
        <v>19.5</v>
      </c>
      <c r="X958">
        <f t="shared" si="587"/>
        <v>23.3</v>
      </c>
      <c r="Y958">
        <f t="shared" si="588"/>
        <v>15.7</v>
      </c>
      <c r="Z958">
        <f t="shared" si="589"/>
        <v>20.5</v>
      </c>
    </row>
    <row r="959" spans="1:26" x14ac:dyDescent="0.2">
      <c r="A959" s="1">
        <v>45460</v>
      </c>
      <c r="B959" s="2">
        <v>0.45833333333333331</v>
      </c>
      <c r="C959" s="6">
        <v>45460.458333333336</v>
      </c>
      <c r="D959">
        <v>61.1</v>
      </c>
      <c r="E959">
        <v>69.5</v>
      </c>
      <c r="F959">
        <v>52.2</v>
      </c>
      <c r="G959" t="s">
        <v>6</v>
      </c>
      <c r="H959">
        <v>20.3</v>
      </c>
      <c r="I959">
        <v>26.7</v>
      </c>
      <c r="J959">
        <v>15.1</v>
      </c>
      <c r="K959" t="s">
        <v>6</v>
      </c>
      <c r="L959">
        <v>171</v>
      </c>
      <c r="M959" t="s">
        <v>6</v>
      </c>
      <c r="O959" s="6">
        <f t="shared" si="580"/>
        <v>45460.458333333336</v>
      </c>
      <c r="P959">
        <f t="shared" si="581"/>
        <v>61.1</v>
      </c>
      <c r="Q959">
        <f t="shared" si="582"/>
        <v>69.5</v>
      </c>
      <c r="R959">
        <f t="shared" si="583"/>
        <v>52.2</v>
      </c>
      <c r="S959">
        <f t="shared" si="584"/>
        <v>62.1</v>
      </c>
      <c r="V959" s="6">
        <f t="shared" si="585"/>
        <v>45460.458333333336</v>
      </c>
      <c r="W959">
        <f t="shared" si="586"/>
        <v>20.3</v>
      </c>
      <c r="X959">
        <f t="shared" si="587"/>
        <v>26.7</v>
      </c>
      <c r="Y959">
        <f t="shared" si="588"/>
        <v>15.1</v>
      </c>
      <c r="Z959">
        <f t="shared" si="589"/>
        <v>21.3</v>
      </c>
    </row>
    <row r="960" spans="1:26" x14ac:dyDescent="0.2">
      <c r="A960" s="1">
        <v>45460</v>
      </c>
      <c r="B960" s="2">
        <v>0.5</v>
      </c>
      <c r="C960" s="6">
        <v>45460.5</v>
      </c>
      <c r="D960">
        <v>64.2</v>
      </c>
      <c r="E960">
        <v>70.5</v>
      </c>
      <c r="F960">
        <v>57.1</v>
      </c>
      <c r="G960" t="s">
        <v>6</v>
      </c>
      <c r="H960">
        <v>19.399999999999999</v>
      </c>
      <c r="I960">
        <v>23.2</v>
      </c>
      <c r="J960">
        <v>16</v>
      </c>
      <c r="K960" t="s">
        <v>6</v>
      </c>
      <c r="L960">
        <v>223</v>
      </c>
      <c r="M960" t="s">
        <v>6</v>
      </c>
      <c r="O960" s="6">
        <f t="shared" ref="O960:O1023" si="590">C960</f>
        <v>45460.5</v>
      </c>
      <c r="P960">
        <f t="shared" ref="P960:P1023" si="591">D960</f>
        <v>64.2</v>
      </c>
      <c r="Q960">
        <f t="shared" ref="Q960:Q1023" si="592">E960</f>
        <v>70.5</v>
      </c>
      <c r="R960">
        <f t="shared" ref="R960:R1023" si="593">F960</f>
        <v>57.1</v>
      </c>
      <c r="S960">
        <f t="shared" ref="S960:S1023" si="594">P960+1</f>
        <v>65.2</v>
      </c>
      <c r="V960" s="6">
        <f t="shared" ref="V960:V1023" si="595">O960</f>
        <v>45460.5</v>
      </c>
      <c r="W960">
        <f t="shared" ref="W960:W1023" si="596">H960</f>
        <v>19.399999999999999</v>
      </c>
      <c r="X960">
        <f t="shared" ref="X960:X1023" si="597">I960</f>
        <v>23.2</v>
      </c>
      <c r="Y960">
        <f t="shared" ref="Y960:Y1023" si="598">J960</f>
        <v>16</v>
      </c>
      <c r="Z960">
        <f t="shared" ref="Z960:Z1023" si="599">W960+1</f>
        <v>20.399999999999999</v>
      </c>
    </row>
    <row r="961" spans="1:26" x14ac:dyDescent="0.2">
      <c r="A961" s="1">
        <v>45460</v>
      </c>
      <c r="B961" s="2">
        <v>0.54166666666666663</v>
      </c>
      <c r="C961" s="6">
        <v>45460.541666666664</v>
      </c>
      <c r="D961">
        <v>64.7</v>
      </c>
      <c r="E961">
        <v>72.900000000000006</v>
      </c>
      <c r="F961">
        <v>60.3</v>
      </c>
      <c r="G961" t="s">
        <v>6</v>
      </c>
      <c r="H961">
        <v>20.7</v>
      </c>
      <c r="I961">
        <v>24.8</v>
      </c>
      <c r="J961">
        <v>14.8</v>
      </c>
      <c r="K961" t="s">
        <v>6</v>
      </c>
      <c r="L961">
        <v>118</v>
      </c>
      <c r="M961" t="s">
        <v>6</v>
      </c>
      <c r="O961" s="6">
        <f t="shared" si="590"/>
        <v>45460.541666666664</v>
      </c>
      <c r="P961">
        <f t="shared" si="591"/>
        <v>64.7</v>
      </c>
      <c r="Q961">
        <f t="shared" si="592"/>
        <v>72.900000000000006</v>
      </c>
      <c r="R961">
        <f t="shared" si="593"/>
        <v>60.3</v>
      </c>
      <c r="S961">
        <f t="shared" si="594"/>
        <v>65.7</v>
      </c>
      <c r="V961" s="6">
        <f t="shared" si="595"/>
        <v>45460.541666666664</v>
      </c>
      <c r="W961">
        <f t="shared" si="596"/>
        <v>20.7</v>
      </c>
      <c r="X961">
        <f t="shared" si="597"/>
        <v>24.8</v>
      </c>
      <c r="Y961">
        <f t="shared" si="598"/>
        <v>14.8</v>
      </c>
      <c r="Z961">
        <f t="shared" si="599"/>
        <v>21.7</v>
      </c>
    </row>
    <row r="962" spans="1:26" x14ac:dyDescent="0.2">
      <c r="A962" s="1">
        <v>45460</v>
      </c>
      <c r="B962" s="2">
        <v>0.58333333333333337</v>
      </c>
      <c r="C962" s="6">
        <v>45460.583333333336</v>
      </c>
      <c r="D962">
        <v>62</v>
      </c>
      <c r="E962">
        <v>73.3</v>
      </c>
      <c r="F962">
        <v>56.6</v>
      </c>
      <c r="G962" t="s">
        <v>6</v>
      </c>
      <c r="H962">
        <v>18</v>
      </c>
      <c r="I962">
        <v>21.7</v>
      </c>
      <c r="J962">
        <v>14.2</v>
      </c>
      <c r="K962" t="s">
        <v>6</v>
      </c>
      <c r="L962">
        <v>227</v>
      </c>
      <c r="M962" t="s">
        <v>6</v>
      </c>
      <c r="O962" s="6">
        <f t="shared" si="590"/>
        <v>45460.583333333336</v>
      </c>
      <c r="P962">
        <f t="shared" si="591"/>
        <v>62</v>
      </c>
      <c r="Q962">
        <f t="shared" si="592"/>
        <v>73.3</v>
      </c>
      <c r="R962">
        <f t="shared" si="593"/>
        <v>56.6</v>
      </c>
      <c r="S962">
        <f t="shared" si="594"/>
        <v>63</v>
      </c>
      <c r="V962" s="6">
        <f t="shared" si="595"/>
        <v>45460.583333333336</v>
      </c>
      <c r="W962">
        <f t="shared" si="596"/>
        <v>18</v>
      </c>
      <c r="X962">
        <f t="shared" si="597"/>
        <v>21.7</v>
      </c>
      <c r="Y962">
        <f t="shared" si="598"/>
        <v>14.2</v>
      </c>
      <c r="Z962">
        <f t="shared" si="599"/>
        <v>19</v>
      </c>
    </row>
    <row r="963" spans="1:26" x14ac:dyDescent="0.2">
      <c r="A963" s="1">
        <v>45460</v>
      </c>
      <c r="B963" s="2">
        <v>0.625</v>
      </c>
      <c r="C963" s="6">
        <v>45460.625</v>
      </c>
      <c r="D963">
        <v>57.2</v>
      </c>
      <c r="E963">
        <v>65.5</v>
      </c>
      <c r="F963">
        <v>49.6</v>
      </c>
      <c r="G963" t="s">
        <v>6</v>
      </c>
      <c r="H963">
        <v>18.3</v>
      </c>
      <c r="I963">
        <v>22.4</v>
      </c>
      <c r="J963">
        <v>15.6</v>
      </c>
      <c r="K963" t="s">
        <v>6</v>
      </c>
      <c r="L963">
        <v>226</v>
      </c>
      <c r="M963" t="s">
        <v>6</v>
      </c>
      <c r="O963" s="6">
        <f t="shared" si="590"/>
        <v>45460.625</v>
      </c>
      <c r="P963">
        <f t="shared" si="591"/>
        <v>57.2</v>
      </c>
      <c r="Q963">
        <f t="shared" si="592"/>
        <v>65.5</v>
      </c>
      <c r="R963">
        <f t="shared" si="593"/>
        <v>49.6</v>
      </c>
      <c r="S963">
        <f t="shared" si="594"/>
        <v>58.2</v>
      </c>
      <c r="V963" s="6">
        <f t="shared" si="595"/>
        <v>45460.625</v>
      </c>
      <c r="W963">
        <f t="shared" si="596"/>
        <v>18.3</v>
      </c>
      <c r="X963">
        <f t="shared" si="597"/>
        <v>22.4</v>
      </c>
      <c r="Y963">
        <f t="shared" si="598"/>
        <v>15.6</v>
      </c>
      <c r="Z963">
        <f t="shared" si="599"/>
        <v>19.3</v>
      </c>
    </row>
    <row r="964" spans="1:26" x14ac:dyDescent="0.2">
      <c r="A964" s="1">
        <v>45460</v>
      </c>
      <c r="B964" s="2">
        <v>0.66666666666666663</v>
      </c>
      <c r="C964" s="6">
        <v>45460.666666666664</v>
      </c>
      <c r="D964">
        <v>60</v>
      </c>
      <c r="E964">
        <v>65.400000000000006</v>
      </c>
      <c r="F964">
        <v>54.8</v>
      </c>
      <c r="G964" t="s">
        <v>6</v>
      </c>
      <c r="H964">
        <v>19.8</v>
      </c>
      <c r="I964">
        <v>25.4</v>
      </c>
      <c r="J964">
        <v>16.399999999999999</v>
      </c>
      <c r="K964" t="s">
        <v>6</v>
      </c>
      <c r="L964">
        <v>193</v>
      </c>
      <c r="M964" t="s">
        <v>6</v>
      </c>
      <c r="O964" s="6">
        <f t="shared" si="590"/>
        <v>45460.666666666664</v>
      </c>
      <c r="P964">
        <f t="shared" si="591"/>
        <v>60</v>
      </c>
      <c r="Q964">
        <f t="shared" si="592"/>
        <v>65.400000000000006</v>
      </c>
      <c r="R964">
        <f t="shared" si="593"/>
        <v>54.8</v>
      </c>
      <c r="S964">
        <f t="shared" si="594"/>
        <v>61</v>
      </c>
      <c r="V964" s="6">
        <f t="shared" si="595"/>
        <v>45460.666666666664</v>
      </c>
      <c r="W964">
        <f t="shared" si="596"/>
        <v>19.8</v>
      </c>
      <c r="X964">
        <f t="shared" si="597"/>
        <v>25.4</v>
      </c>
      <c r="Y964">
        <f t="shared" si="598"/>
        <v>16.399999999999999</v>
      </c>
      <c r="Z964">
        <f t="shared" si="599"/>
        <v>20.8</v>
      </c>
    </row>
    <row r="965" spans="1:26" x14ac:dyDescent="0.2">
      <c r="A965" s="1">
        <v>45460</v>
      </c>
      <c r="B965" s="2">
        <v>0.70833333333333337</v>
      </c>
      <c r="C965" s="6">
        <v>45460.708333333336</v>
      </c>
      <c r="D965">
        <v>57.4</v>
      </c>
      <c r="E965">
        <v>65.900000000000006</v>
      </c>
      <c r="F965">
        <v>51.9</v>
      </c>
      <c r="G965" t="s">
        <v>6</v>
      </c>
      <c r="H965">
        <v>20.100000000000001</v>
      </c>
      <c r="I965">
        <v>23.8</v>
      </c>
      <c r="J965">
        <v>17.100000000000001</v>
      </c>
      <c r="K965" t="s">
        <v>6</v>
      </c>
      <c r="L965">
        <v>230</v>
      </c>
      <c r="M965" t="s">
        <v>6</v>
      </c>
      <c r="O965" s="6">
        <f t="shared" si="590"/>
        <v>45460.708333333336</v>
      </c>
      <c r="P965">
        <f t="shared" si="591"/>
        <v>57.4</v>
      </c>
      <c r="Q965">
        <f t="shared" si="592"/>
        <v>65.900000000000006</v>
      </c>
      <c r="R965">
        <f t="shared" si="593"/>
        <v>51.9</v>
      </c>
      <c r="S965">
        <f t="shared" si="594"/>
        <v>58.4</v>
      </c>
      <c r="V965" s="6">
        <f t="shared" si="595"/>
        <v>45460.708333333336</v>
      </c>
      <c r="W965">
        <f t="shared" si="596"/>
        <v>20.100000000000001</v>
      </c>
      <c r="X965">
        <f t="shared" si="597"/>
        <v>23.8</v>
      </c>
      <c r="Y965">
        <f t="shared" si="598"/>
        <v>17.100000000000001</v>
      </c>
      <c r="Z965">
        <f t="shared" si="599"/>
        <v>21.1</v>
      </c>
    </row>
    <row r="966" spans="1:26" x14ac:dyDescent="0.2">
      <c r="A966" s="1">
        <v>45460</v>
      </c>
      <c r="B966" s="2">
        <v>0.75</v>
      </c>
      <c r="C966" s="6">
        <v>45460.75</v>
      </c>
      <c r="D966">
        <v>57.1</v>
      </c>
      <c r="E966">
        <v>61.6</v>
      </c>
      <c r="F966">
        <v>53.7</v>
      </c>
      <c r="G966" t="s">
        <v>6</v>
      </c>
      <c r="H966">
        <v>22.6</v>
      </c>
      <c r="I966">
        <v>43.5</v>
      </c>
      <c r="J966">
        <v>17.600000000000001</v>
      </c>
      <c r="K966" t="s">
        <v>6</v>
      </c>
      <c r="L966">
        <v>178</v>
      </c>
      <c r="M966" t="s">
        <v>6</v>
      </c>
      <c r="O966" s="6">
        <f t="shared" si="590"/>
        <v>45460.75</v>
      </c>
      <c r="P966">
        <f t="shared" si="591"/>
        <v>57.1</v>
      </c>
      <c r="Q966">
        <f t="shared" si="592"/>
        <v>61.6</v>
      </c>
      <c r="R966">
        <f t="shared" si="593"/>
        <v>53.7</v>
      </c>
      <c r="S966">
        <f t="shared" si="594"/>
        <v>58.1</v>
      </c>
      <c r="V966" s="6">
        <f t="shared" si="595"/>
        <v>45460.75</v>
      </c>
      <c r="W966">
        <f t="shared" si="596"/>
        <v>22.6</v>
      </c>
      <c r="X966">
        <f t="shared" si="597"/>
        <v>43.5</v>
      </c>
      <c r="Y966">
        <f t="shared" si="598"/>
        <v>17.600000000000001</v>
      </c>
      <c r="Z966">
        <f t="shared" si="599"/>
        <v>23.6</v>
      </c>
    </row>
    <row r="967" spans="1:26" x14ac:dyDescent="0.2">
      <c r="A967" s="1">
        <v>45460</v>
      </c>
      <c r="B967" s="2">
        <v>0.79166666666666663</v>
      </c>
      <c r="C967" s="6">
        <v>45460.791666666664</v>
      </c>
      <c r="D967">
        <v>59.7</v>
      </c>
      <c r="E967">
        <v>65.599999999999994</v>
      </c>
      <c r="F967">
        <v>53.3</v>
      </c>
      <c r="G967" t="s">
        <v>6</v>
      </c>
      <c r="H967">
        <v>20.6</v>
      </c>
      <c r="I967">
        <v>25.8</v>
      </c>
      <c r="J967">
        <v>16.8</v>
      </c>
      <c r="K967" t="s">
        <v>6</v>
      </c>
      <c r="L967">
        <v>216</v>
      </c>
      <c r="M967" t="s">
        <v>6</v>
      </c>
      <c r="O967" s="6">
        <f t="shared" si="590"/>
        <v>45460.791666666664</v>
      </c>
      <c r="P967">
        <f t="shared" si="591"/>
        <v>59.7</v>
      </c>
      <c r="Q967">
        <f t="shared" si="592"/>
        <v>65.599999999999994</v>
      </c>
      <c r="R967">
        <f t="shared" si="593"/>
        <v>53.3</v>
      </c>
      <c r="S967">
        <f t="shared" si="594"/>
        <v>60.7</v>
      </c>
      <c r="V967" s="6">
        <f t="shared" si="595"/>
        <v>45460.791666666664</v>
      </c>
      <c r="W967">
        <f t="shared" si="596"/>
        <v>20.6</v>
      </c>
      <c r="X967">
        <f t="shared" si="597"/>
        <v>25.8</v>
      </c>
      <c r="Y967">
        <f t="shared" si="598"/>
        <v>16.8</v>
      </c>
      <c r="Z967">
        <f t="shared" si="599"/>
        <v>21.6</v>
      </c>
    </row>
    <row r="968" spans="1:26" x14ac:dyDescent="0.2">
      <c r="A968" s="1">
        <v>45460</v>
      </c>
      <c r="B968" s="2">
        <v>0.83333333333333337</v>
      </c>
      <c r="C968" s="6">
        <v>45460.833333333336</v>
      </c>
      <c r="D968">
        <v>61.9</v>
      </c>
      <c r="E968">
        <v>72.7</v>
      </c>
      <c r="F968">
        <v>55.8</v>
      </c>
      <c r="G968" t="s">
        <v>6</v>
      </c>
      <c r="H968">
        <v>20.3</v>
      </c>
      <c r="I968">
        <v>22.8</v>
      </c>
      <c r="J968">
        <v>17</v>
      </c>
      <c r="K968" t="s">
        <v>6</v>
      </c>
      <c r="L968">
        <v>220</v>
      </c>
      <c r="M968" t="s">
        <v>6</v>
      </c>
      <c r="O968" s="6">
        <f t="shared" si="590"/>
        <v>45460.833333333336</v>
      </c>
      <c r="P968">
        <f t="shared" si="591"/>
        <v>61.9</v>
      </c>
      <c r="Q968">
        <f t="shared" si="592"/>
        <v>72.7</v>
      </c>
      <c r="R968">
        <f t="shared" si="593"/>
        <v>55.8</v>
      </c>
      <c r="S968">
        <f t="shared" si="594"/>
        <v>62.9</v>
      </c>
      <c r="V968" s="6">
        <f t="shared" si="595"/>
        <v>45460.833333333336</v>
      </c>
      <c r="W968">
        <f t="shared" si="596"/>
        <v>20.3</v>
      </c>
      <c r="X968">
        <f t="shared" si="597"/>
        <v>22.8</v>
      </c>
      <c r="Y968">
        <f t="shared" si="598"/>
        <v>17</v>
      </c>
      <c r="Z968">
        <f t="shared" si="599"/>
        <v>21.3</v>
      </c>
    </row>
    <row r="969" spans="1:26" x14ac:dyDescent="0.2">
      <c r="A969" s="1">
        <v>45460</v>
      </c>
      <c r="B969" s="2">
        <v>0.875</v>
      </c>
      <c r="C969" s="6">
        <v>45460.875</v>
      </c>
      <c r="D969">
        <v>64.400000000000006</v>
      </c>
      <c r="E969">
        <v>71.400000000000006</v>
      </c>
      <c r="F969">
        <v>56.4</v>
      </c>
      <c r="G969" t="s">
        <v>6</v>
      </c>
      <c r="H969">
        <v>18.8</v>
      </c>
      <c r="I969">
        <v>24.2</v>
      </c>
      <c r="J969">
        <v>16.7</v>
      </c>
      <c r="K969" t="s">
        <v>6</v>
      </c>
      <c r="L969">
        <v>228</v>
      </c>
      <c r="M969" t="s">
        <v>6</v>
      </c>
      <c r="O969" s="6">
        <f t="shared" si="590"/>
        <v>45460.875</v>
      </c>
      <c r="P969">
        <f t="shared" si="591"/>
        <v>64.400000000000006</v>
      </c>
      <c r="Q969">
        <f t="shared" si="592"/>
        <v>71.400000000000006</v>
      </c>
      <c r="R969">
        <f t="shared" si="593"/>
        <v>56.4</v>
      </c>
      <c r="S969">
        <f t="shared" si="594"/>
        <v>65.400000000000006</v>
      </c>
      <c r="V969" s="6">
        <f t="shared" si="595"/>
        <v>45460.875</v>
      </c>
      <c r="W969">
        <f t="shared" si="596"/>
        <v>18.8</v>
      </c>
      <c r="X969">
        <f t="shared" si="597"/>
        <v>24.2</v>
      </c>
      <c r="Y969">
        <f t="shared" si="598"/>
        <v>16.7</v>
      </c>
      <c r="Z969">
        <f t="shared" si="599"/>
        <v>19.8</v>
      </c>
    </row>
    <row r="970" spans="1:26" x14ac:dyDescent="0.2">
      <c r="A970" s="1">
        <v>45460</v>
      </c>
      <c r="B970" s="2">
        <v>0.91666666666666663</v>
      </c>
      <c r="C970" s="6">
        <v>45460.916666666664</v>
      </c>
      <c r="D970">
        <v>60.6</v>
      </c>
      <c r="E970">
        <v>66.7</v>
      </c>
      <c r="F970">
        <v>58</v>
      </c>
      <c r="G970" t="s">
        <v>6</v>
      </c>
      <c r="H970">
        <v>18.100000000000001</v>
      </c>
      <c r="I970">
        <v>22.2</v>
      </c>
      <c r="J970">
        <v>15</v>
      </c>
      <c r="K970" t="s">
        <v>6</v>
      </c>
      <c r="L970">
        <v>223</v>
      </c>
      <c r="M970" t="s">
        <v>6</v>
      </c>
      <c r="O970" s="6">
        <f t="shared" si="590"/>
        <v>45460.916666666664</v>
      </c>
      <c r="P970">
        <f t="shared" si="591"/>
        <v>60.6</v>
      </c>
      <c r="Q970">
        <f t="shared" si="592"/>
        <v>66.7</v>
      </c>
      <c r="R970">
        <f t="shared" si="593"/>
        <v>58</v>
      </c>
      <c r="S970">
        <f t="shared" si="594"/>
        <v>61.6</v>
      </c>
      <c r="V970" s="6">
        <f t="shared" si="595"/>
        <v>45460.916666666664</v>
      </c>
      <c r="W970">
        <f t="shared" si="596"/>
        <v>18.100000000000001</v>
      </c>
      <c r="X970">
        <f t="shared" si="597"/>
        <v>22.2</v>
      </c>
      <c r="Y970">
        <f t="shared" si="598"/>
        <v>15</v>
      </c>
      <c r="Z970">
        <f t="shared" si="599"/>
        <v>19.100000000000001</v>
      </c>
    </row>
    <row r="971" spans="1:26" x14ac:dyDescent="0.2">
      <c r="A971" s="1">
        <v>45460</v>
      </c>
      <c r="B971" s="2">
        <v>0.95833333333333337</v>
      </c>
      <c r="C971" s="6">
        <v>45460.958333333336</v>
      </c>
      <c r="D971">
        <v>61.6</v>
      </c>
      <c r="E971">
        <v>68</v>
      </c>
      <c r="F971">
        <v>54.3</v>
      </c>
      <c r="G971" t="s">
        <v>6</v>
      </c>
      <c r="H971">
        <v>18.600000000000001</v>
      </c>
      <c r="I971">
        <v>25.4</v>
      </c>
      <c r="J971">
        <v>14.6</v>
      </c>
      <c r="K971" t="s">
        <v>6</v>
      </c>
      <c r="L971">
        <v>224</v>
      </c>
      <c r="M971" t="s">
        <v>6</v>
      </c>
      <c r="O971" s="6">
        <f t="shared" si="590"/>
        <v>45460.958333333336</v>
      </c>
      <c r="P971">
        <f t="shared" si="591"/>
        <v>61.6</v>
      </c>
      <c r="Q971">
        <f t="shared" si="592"/>
        <v>68</v>
      </c>
      <c r="R971">
        <f t="shared" si="593"/>
        <v>54.3</v>
      </c>
      <c r="S971">
        <f t="shared" si="594"/>
        <v>62.6</v>
      </c>
      <c r="V971" s="6">
        <f t="shared" si="595"/>
        <v>45460.958333333336</v>
      </c>
      <c r="W971">
        <f t="shared" si="596"/>
        <v>18.600000000000001</v>
      </c>
      <c r="X971">
        <f t="shared" si="597"/>
        <v>25.4</v>
      </c>
      <c r="Y971">
        <f t="shared" si="598"/>
        <v>14.6</v>
      </c>
      <c r="Z971">
        <f t="shared" si="599"/>
        <v>19.600000000000001</v>
      </c>
    </row>
    <row r="972" spans="1:26" x14ac:dyDescent="0.2">
      <c r="A972" s="1">
        <v>45461</v>
      </c>
      <c r="B972" s="2">
        <v>0</v>
      </c>
      <c r="C972" s="6">
        <v>45461</v>
      </c>
      <c r="D972">
        <v>56.4</v>
      </c>
      <c r="E972">
        <v>60.2</v>
      </c>
      <c r="F972">
        <v>52.3</v>
      </c>
      <c r="G972" t="s">
        <v>6</v>
      </c>
      <c r="H972">
        <v>18.5</v>
      </c>
      <c r="I972">
        <v>21.9</v>
      </c>
      <c r="J972">
        <v>15.8</v>
      </c>
      <c r="K972" t="s">
        <v>6</v>
      </c>
      <c r="L972">
        <v>223</v>
      </c>
      <c r="M972" t="s">
        <v>6</v>
      </c>
      <c r="O972" s="6">
        <f t="shared" si="590"/>
        <v>45461</v>
      </c>
      <c r="P972">
        <f t="shared" si="591"/>
        <v>56.4</v>
      </c>
      <c r="Q972">
        <f t="shared" si="592"/>
        <v>60.2</v>
      </c>
      <c r="R972">
        <f t="shared" si="593"/>
        <v>52.3</v>
      </c>
      <c r="S972">
        <f t="shared" si="594"/>
        <v>57.4</v>
      </c>
      <c r="V972" s="6">
        <f t="shared" si="595"/>
        <v>45461</v>
      </c>
      <c r="W972">
        <f t="shared" si="596"/>
        <v>18.5</v>
      </c>
      <c r="X972">
        <f t="shared" si="597"/>
        <v>21.9</v>
      </c>
      <c r="Y972">
        <f t="shared" si="598"/>
        <v>15.8</v>
      </c>
      <c r="Z972">
        <f t="shared" si="599"/>
        <v>19.5</v>
      </c>
    </row>
    <row r="973" spans="1:26" x14ac:dyDescent="0.2">
      <c r="A973" s="1">
        <v>45461</v>
      </c>
      <c r="B973" s="2">
        <v>4.1666666666666664E-2</v>
      </c>
      <c r="C973" s="6">
        <v>45461.041666666664</v>
      </c>
      <c r="D973">
        <v>58.3</v>
      </c>
      <c r="E973">
        <v>66.400000000000006</v>
      </c>
      <c r="F973">
        <v>51.8</v>
      </c>
      <c r="G973" t="s">
        <v>6</v>
      </c>
      <c r="H973">
        <v>18.399999999999999</v>
      </c>
      <c r="I973">
        <v>26.8</v>
      </c>
      <c r="J973">
        <v>15.4</v>
      </c>
      <c r="K973" t="s">
        <v>6</v>
      </c>
      <c r="L973">
        <v>228</v>
      </c>
      <c r="M973" t="s">
        <v>6</v>
      </c>
      <c r="O973" s="6">
        <f t="shared" si="590"/>
        <v>45461.041666666664</v>
      </c>
      <c r="P973">
        <f t="shared" si="591"/>
        <v>58.3</v>
      </c>
      <c r="Q973">
        <f t="shared" si="592"/>
        <v>66.400000000000006</v>
      </c>
      <c r="R973">
        <f t="shared" si="593"/>
        <v>51.8</v>
      </c>
      <c r="S973">
        <f t="shared" si="594"/>
        <v>59.3</v>
      </c>
      <c r="V973" s="6">
        <f t="shared" si="595"/>
        <v>45461.041666666664</v>
      </c>
      <c r="W973">
        <f t="shared" si="596"/>
        <v>18.399999999999999</v>
      </c>
      <c r="X973">
        <f t="shared" si="597"/>
        <v>26.8</v>
      </c>
      <c r="Y973">
        <f t="shared" si="598"/>
        <v>15.4</v>
      </c>
      <c r="Z973">
        <f t="shared" si="599"/>
        <v>19.399999999999999</v>
      </c>
    </row>
    <row r="974" spans="1:26" x14ac:dyDescent="0.2">
      <c r="A974" s="1">
        <v>45461</v>
      </c>
      <c r="B974" s="2">
        <v>8.3333333333333329E-2</v>
      </c>
      <c r="C974" s="6">
        <v>45461.083333333336</v>
      </c>
      <c r="D974">
        <v>58.7</v>
      </c>
      <c r="E974">
        <v>63.5</v>
      </c>
      <c r="F974">
        <v>54.4</v>
      </c>
      <c r="G974" t="s">
        <v>6</v>
      </c>
      <c r="H974">
        <v>18.3</v>
      </c>
      <c r="I974">
        <v>27.2</v>
      </c>
      <c r="J974">
        <v>15.5</v>
      </c>
      <c r="K974" t="s">
        <v>6</v>
      </c>
      <c r="L974">
        <v>222</v>
      </c>
      <c r="M974" t="s">
        <v>6</v>
      </c>
      <c r="O974" s="6">
        <f t="shared" si="590"/>
        <v>45461.083333333336</v>
      </c>
      <c r="P974">
        <f t="shared" si="591"/>
        <v>58.7</v>
      </c>
      <c r="Q974">
        <f t="shared" si="592"/>
        <v>63.5</v>
      </c>
      <c r="R974">
        <f t="shared" si="593"/>
        <v>54.4</v>
      </c>
      <c r="S974">
        <f t="shared" si="594"/>
        <v>59.7</v>
      </c>
      <c r="V974" s="6">
        <f t="shared" si="595"/>
        <v>45461.083333333336</v>
      </c>
      <c r="W974">
        <f t="shared" si="596"/>
        <v>18.3</v>
      </c>
      <c r="X974">
        <f t="shared" si="597"/>
        <v>27.2</v>
      </c>
      <c r="Y974">
        <f t="shared" si="598"/>
        <v>15.5</v>
      </c>
      <c r="Z974">
        <f t="shared" si="599"/>
        <v>19.3</v>
      </c>
    </row>
    <row r="975" spans="1:26" x14ac:dyDescent="0.2">
      <c r="A975" s="1">
        <v>45461</v>
      </c>
      <c r="B975" s="2">
        <v>0.125</v>
      </c>
      <c r="C975" s="6">
        <v>45461.125</v>
      </c>
      <c r="D975">
        <v>58</v>
      </c>
      <c r="E975">
        <v>63.6</v>
      </c>
      <c r="F975">
        <v>50.9</v>
      </c>
      <c r="G975" t="s">
        <v>6</v>
      </c>
      <c r="H975">
        <v>18.100000000000001</v>
      </c>
      <c r="I975">
        <v>20.399999999999999</v>
      </c>
      <c r="J975">
        <v>15.5</v>
      </c>
      <c r="K975" t="s">
        <v>6</v>
      </c>
      <c r="L975">
        <v>224</v>
      </c>
      <c r="M975" t="s">
        <v>6</v>
      </c>
      <c r="O975" s="6">
        <f t="shared" si="590"/>
        <v>45461.125</v>
      </c>
      <c r="P975">
        <f t="shared" si="591"/>
        <v>58</v>
      </c>
      <c r="Q975">
        <f t="shared" si="592"/>
        <v>63.6</v>
      </c>
      <c r="R975">
        <f t="shared" si="593"/>
        <v>50.9</v>
      </c>
      <c r="S975">
        <f t="shared" si="594"/>
        <v>59</v>
      </c>
      <c r="V975" s="6">
        <f t="shared" si="595"/>
        <v>45461.125</v>
      </c>
      <c r="W975">
        <f t="shared" si="596"/>
        <v>18.100000000000001</v>
      </c>
      <c r="X975">
        <f t="shared" si="597"/>
        <v>20.399999999999999</v>
      </c>
      <c r="Y975">
        <f t="shared" si="598"/>
        <v>15.5</v>
      </c>
      <c r="Z975">
        <f t="shared" si="599"/>
        <v>19.100000000000001</v>
      </c>
    </row>
    <row r="976" spans="1:26" x14ac:dyDescent="0.2">
      <c r="A976" s="1">
        <v>45461</v>
      </c>
      <c r="B976" s="2">
        <v>0.16666666666666666</v>
      </c>
      <c r="C976" s="6">
        <v>45461.166666666664</v>
      </c>
      <c r="D976">
        <v>61.6</v>
      </c>
      <c r="E976">
        <v>67.900000000000006</v>
      </c>
      <c r="F976">
        <v>52.9</v>
      </c>
      <c r="G976" t="s">
        <v>6</v>
      </c>
      <c r="H976">
        <v>18.399999999999999</v>
      </c>
      <c r="I976">
        <v>22.3</v>
      </c>
      <c r="J976">
        <v>15.8</v>
      </c>
      <c r="K976" t="s">
        <v>6</v>
      </c>
      <c r="L976">
        <v>201</v>
      </c>
      <c r="M976" t="s">
        <v>6</v>
      </c>
      <c r="O976" s="6">
        <f t="shared" si="590"/>
        <v>45461.166666666664</v>
      </c>
      <c r="P976">
        <f t="shared" si="591"/>
        <v>61.6</v>
      </c>
      <c r="Q976">
        <f t="shared" si="592"/>
        <v>67.900000000000006</v>
      </c>
      <c r="R976">
        <f t="shared" si="593"/>
        <v>52.9</v>
      </c>
      <c r="S976">
        <f t="shared" si="594"/>
        <v>62.6</v>
      </c>
      <c r="V976" s="6">
        <f t="shared" si="595"/>
        <v>45461.166666666664</v>
      </c>
      <c r="W976">
        <f t="shared" si="596"/>
        <v>18.399999999999999</v>
      </c>
      <c r="X976">
        <f t="shared" si="597"/>
        <v>22.3</v>
      </c>
      <c r="Y976">
        <f t="shared" si="598"/>
        <v>15.8</v>
      </c>
      <c r="Z976">
        <f t="shared" si="599"/>
        <v>19.399999999999999</v>
      </c>
    </row>
    <row r="977" spans="1:26" x14ac:dyDescent="0.2">
      <c r="A977" s="1">
        <v>45461</v>
      </c>
      <c r="B977" s="2">
        <v>0.20833333333333334</v>
      </c>
      <c r="C977" s="6">
        <v>45461.208333333336</v>
      </c>
      <c r="D977">
        <v>59.6</v>
      </c>
      <c r="E977">
        <v>67</v>
      </c>
      <c r="F977">
        <v>54.2</v>
      </c>
      <c r="G977" t="s">
        <v>6</v>
      </c>
      <c r="H977">
        <v>17.2</v>
      </c>
      <c r="I977">
        <v>21.5</v>
      </c>
      <c r="J977">
        <v>14.6</v>
      </c>
      <c r="K977" t="s">
        <v>6</v>
      </c>
      <c r="L977">
        <v>226</v>
      </c>
      <c r="M977" t="s">
        <v>6</v>
      </c>
      <c r="O977" s="6">
        <f t="shared" si="590"/>
        <v>45461.208333333336</v>
      </c>
      <c r="P977">
        <f t="shared" si="591"/>
        <v>59.6</v>
      </c>
      <c r="Q977">
        <f t="shared" si="592"/>
        <v>67</v>
      </c>
      <c r="R977">
        <f t="shared" si="593"/>
        <v>54.2</v>
      </c>
      <c r="S977">
        <f t="shared" si="594"/>
        <v>60.6</v>
      </c>
      <c r="V977" s="6">
        <f t="shared" si="595"/>
        <v>45461.208333333336</v>
      </c>
      <c r="W977">
        <f t="shared" si="596"/>
        <v>17.2</v>
      </c>
      <c r="X977">
        <f t="shared" si="597"/>
        <v>21.5</v>
      </c>
      <c r="Y977">
        <f t="shared" si="598"/>
        <v>14.6</v>
      </c>
      <c r="Z977">
        <f t="shared" si="599"/>
        <v>18.2</v>
      </c>
    </row>
    <row r="978" spans="1:26" x14ac:dyDescent="0.2">
      <c r="A978" s="1">
        <v>45461</v>
      </c>
      <c r="B978" s="2">
        <v>0.25</v>
      </c>
      <c r="C978" s="6">
        <v>45461.25</v>
      </c>
      <c r="D978">
        <v>58.1</v>
      </c>
      <c r="E978">
        <v>62.8</v>
      </c>
      <c r="F978">
        <v>53.8</v>
      </c>
      <c r="G978" t="s">
        <v>6</v>
      </c>
      <c r="H978">
        <v>18.3</v>
      </c>
      <c r="I978">
        <v>23.3</v>
      </c>
      <c r="J978">
        <v>15</v>
      </c>
      <c r="K978" t="s">
        <v>6</v>
      </c>
      <c r="L978">
        <v>221</v>
      </c>
      <c r="M978" t="s">
        <v>6</v>
      </c>
      <c r="O978" s="6">
        <f t="shared" si="590"/>
        <v>45461.25</v>
      </c>
      <c r="P978">
        <f t="shared" si="591"/>
        <v>58.1</v>
      </c>
      <c r="Q978">
        <f t="shared" si="592"/>
        <v>62.8</v>
      </c>
      <c r="R978">
        <f t="shared" si="593"/>
        <v>53.8</v>
      </c>
      <c r="S978">
        <f t="shared" si="594"/>
        <v>59.1</v>
      </c>
      <c r="V978" s="6">
        <f t="shared" si="595"/>
        <v>45461.25</v>
      </c>
      <c r="W978">
        <f t="shared" si="596"/>
        <v>18.3</v>
      </c>
      <c r="X978">
        <f t="shared" si="597"/>
        <v>23.3</v>
      </c>
      <c r="Y978">
        <f t="shared" si="598"/>
        <v>15</v>
      </c>
      <c r="Z978">
        <f t="shared" si="599"/>
        <v>19.3</v>
      </c>
    </row>
    <row r="979" spans="1:26" x14ac:dyDescent="0.2">
      <c r="A979" s="1">
        <v>45461</v>
      </c>
      <c r="B979" s="2">
        <v>0.29166666666666669</v>
      </c>
      <c r="C979" s="6">
        <v>45461.291666666664</v>
      </c>
      <c r="D979">
        <v>58.7</v>
      </c>
      <c r="E979">
        <v>64.099999999999994</v>
      </c>
      <c r="F979">
        <v>55.1</v>
      </c>
      <c r="G979" t="s">
        <v>6</v>
      </c>
      <c r="H979">
        <v>17.899999999999999</v>
      </c>
      <c r="I979">
        <v>21.8</v>
      </c>
      <c r="J979">
        <v>15.5</v>
      </c>
      <c r="K979" t="s">
        <v>6</v>
      </c>
      <c r="L979">
        <v>206</v>
      </c>
      <c r="M979" t="s">
        <v>6</v>
      </c>
      <c r="O979" s="6">
        <f t="shared" si="590"/>
        <v>45461.291666666664</v>
      </c>
      <c r="P979">
        <f t="shared" si="591"/>
        <v>58.7</v>
      </c>
      <c r="Q979">
        <f t="shared" si="592"/>
        <v>64.099999999999994</v>
      </c>
      <c r="R979">
        <f t="shared" si="593"/>
        <v>55.1</v>
      </c>
      <c r="S979">
        <f t="shared" si="594"/>
        <v>59.7</v>
      </c>
      <c r="V979" s="6">
        <f t="shared" si="595"/>
        <v>45461.291666666664</v>
      </c>
      <c r="W979">
        <f t="shared" si="596"/>
        <v>17.899999999999999</v>
      </c>
      <c r="X979">
        <f t="shared" si="597"/>
        <v>21.8</v>
      </c>
      <c r="Y979">
        <f t="shared" si="598"/>
        <v>15.5</v>
      </c>
      <c r="Z979">
        <f t="shared" si="599"/>
        <v>18.899999999999999</v>
      </c>
    </row>
    <row r="980" spans="1:26" x14ac:dyDescent="0.2">
      <c r="A980" s="14">
        <v>45461</v>
      </c>
      <c r="B980" s="7">
        <v>0.33333333333333331</v>
      </c>
      <c r="C980" s="8">
        <v>45461.333333333336</v>
      </c>
      <c r="D980" s="9">
        <v>57.3</v>
      </c>
      <c r="E980" s="9">
        <v>64.8</v>
      </c>
      <c r="F980" s="9">
        <v>51.9</v>
      </c>
      <c r="G980" s="9" t="s">
        <v>6</v>
      </c>
      <c r="H980" s="9">
        <v>18.3</v>
      </c>
      <c r="I980" s="9">
        <v>20.8</v>
      </c>
      <c r="J980" s="9">
        <v>15.7</v>
      </c>
      <c r="K980" s="9" t="s">
        <v>6</v>
      </c>
      <c r="L980" s="9">
        <v>226</v>
      </c>
      <c r="M980" t="s">
        <v>6</v>
      </c>
      <c r="O980" s="6">
        <f t="shared" si="590"/>
        <v>45461.333333333336</v>
      </c>
      <c r="P980">
        <f t="shared" si="591"/>
        <v>57.3</v>
      </c>
      <c r="Q980">
        <f t="shared" si="592"/>
        <v>64.8</v>
      </c>
      <c r="R980">
        <f t="shared" si="593"/>
        <v>51.9</v>
      </c>
      <c r="S980">
        <f t="shared" si="594"/>
        <v>58.3</v>
      </c>
      <c r="V980" s="6">
        <f t="shared" si="595"/>
        <v>45461.333333333336</v>
      </c>
      <c r="W980">
        <f t="shared" si="596"/>
        <v>18.3</v>
      </c>
      <c r="X980">
        <f t="shared" si="597"/>
        <v>20.8</v>
      </c>
      <c r="Y980">
        <f t="shared" si="598"/>
        <v>15.7</v>
      </c>
      <c r="Z980">
        <f t="shared" si="599"/>
        <v>19.3</v>
      </c>
    </row>
    <row r="981" spans="1:26" x14ac:dyDescent="0.2">
      <c r="A981" s="13">
        <v>45461</v>
      </c>
      <c r="B981" s="3">
        <v>0.375</v>
      </c>
      <c r="C981" s="4">
        <v>45461.375</v>
      </c>
      <c r="D981" s="5">
        <v>61</v>
      </c>
      <c r="E981" s="5">
        <v>66.8</v>
      </c>
      <c r="F981" s="5">
        <v>55.7</v>
      </c>
      <c r="G981" s="5" t="s">
        <v>6</v>
      </c>
      <c r="H981" s="5">
        <v>17.600000000000001</v>
      </c>
      <c r="I981" s="5">
        <v>29.4</v>
      </c>
      <c r="J981" s="5">
        <v>14.7</v>
      </c>
      <c r="K981" s="5" t="s">
        <v>6</v>
      </c>
      <c r="L981" s="5">
        <v>202</v>
      </c>
      <c r="M981" t="s">
        <v>6</v>
      </c>
      <c r="O981" s="6">
        <f t="shared" si="590"/>
        <v>45461.375</v>
      </c>
      <c r="P981">
        <f t="shared" si="591"/>
        <v>61</v>
      </c>
      <c r="Q981">
        <f t="shared" si="592"/>
        <v>66.8</v>
      </c>
      <c r="R981">
        <f t="shared" si="593"/>
        <v>55.7</v>
      </c>
      <c r="S981">
        <f t="shared" si="594"/>
        <v>62</v>
      </c>
      <c r="V981" s="6">
        <f t="shared" si="595"/>
        <v>45461.375</v>
      </c>
      <c r="W981">
        <f t="shared" si="596"/>
        <v>17.600000000000001</v>
      </c>
      <c r="X981">
        <f t="shared" si="597"/>
        <v>29.4</v>
      </c>
      <c r="Y981">
        <f t="shared" si="598"/>
        <v>14.7</v>
      </c>
      <c r="Z981">
        <f t="shared" si="599"/>
        <v>18.600000000000001</v>
      </c>
    </row>
    <row r="982" spans="1:26" x14ac:dyDescent="0.2">
      <c r="A982" s="1">
        <v>45461</v>
      </c>
      <c r="B982" s="2">
        <v>0.41666666666666669</v>
      </c>
      <c r="C982" s="6">
        <v>45461.416666666664</v>
      </c>
      <c r="D982">
        <v>64.5</v>
      </c>
      <c r="E982">
        <v>77.3</v>
      </c>
      <c r="F982">
        <v>57.5</v>
      </c>
      <c r="G982" t="s">
        <v>6</v>
      </c>
      <c r="H982">
        <v>18.600000000000001</v>
      </c>
      <c r="I982">
        <v>28.5</v>
      </c>
      <c r="J982">
        <v>15.6</v>
      </c>
      <c r="K982" t="s">
        <v>6</v>
      </c>
      <c r="L982">
        <v>229</v>
      </c>
      <c r="M982" t="s">
        <v>6</v>
      </c>
      <c r="O982" s="6">
        <f t="shared" si="590"/>
        <v>45461.416666666664</v>
      </c>
      <c r="P982">
        <f t="shared" si="591"/>
        <v>64.5</v>
      </c>
      <c r="Q982">
        <f t="shared" si="592"/>
        <v>77.3</v>
      </c>
      <c r="R982">
        <f t="shared" si="593"/>
        <v>57.5</v>
      </c>
      <c r="S982">
        <f t="shared" si="594"/>
        <v>65.5</v>
      </c>
      <c r="V982" s="6">
        <f t="shared" si="595"/>
        <v>45461.416666666664</v>
      </c>
      <c r="W982">
        <f t="shared" si="596"/>
        <v>18.600000000000001</v>
      </c>
      <c r="X982">
        <f t="shared" si="597"/>
        <v>28.5</v>
      </c>
      <c r="Y982">
        <f t="shared" si="598"/>
        <v>15.6</v>
      </c>
      <c r="Z982">
        <f t="shared" si="599"/>
        <v>19.600000000000001</v>
      </c>
    </row>
    <row r="983" spans="1:26" x14ac:dyDescent="0.2">
      <c r="A983" s="1">
        <v>45461</v>
      </c>
      <c r="B983" s="2">
        <v>0.45833333333333331</v>
      </c>
      <c r="C983" s="6">
        <v>45461.458333333336</v>
      </c>
      <c r="D983">
        <v>60.1</v>
      </c>
      <c r="E983">
        <v>66.900000000000006</v>
      </c>
      <c r="F983">
        <v>55.7</v>
      </c>
      <c r="G983" t="s">
        <v>6</v>
      </c>
      <c r="H983">
        <v>17.8</v>
      </c>
      <c r="I983">
        <v>22.1</v>
      </c>
      <c r="J983">
        <v>15.4</v>
      </c>
      <c r="K983" t="s">
        <v>6</v>
      </c>
      <c r="L983">
        <v>193</v>
      </c>
      <c r="M983" t="s">
        <v>6</v>
      </c>
      <c r="O983" s="6">
        <f t="shared" si="590"/>
        <v>45461.458333333336</v>
      </c>
      <c r="P983">
        <f t="shared" si="591"/>
        <v>60.1</v>
      </c>
      <c r="Q983">
        <f t="shared" si="592"/>
        <v>66.900000000000006</v>
      </c>
      <c r="R983">
        <f t="shared" si="593"/>
        <v>55.7</v>
      </c>
      <c r="S983">
        <f t="shared" si="594"/>
        <v>61.1</v>
      </c>
      <c r="V983" s="6">
        <f t="shared" si="595"/>
        <v>45461.458333333336</v>
      </c>
      <c r="W983">
        <f t="shared" si="596"/>
        <v>17.8</v>
      </c>
      <c r="X983">
        <f t="shared" si="597"/>
        <v>22.1</v>
      </c>
      <c r="Y983">
        <f t="shared" si="598"/>
        <v>15.4</v>
      </c>
      <c r="Z983">
        <f t="shared" si="599"/>
        <v>18.8</v>
      </c>
    </row>
    <row r="984" spans="1:26" x14ac:dyDescent="0.2">
      <c r="A984" s="1">
        <v>45461</v>
      </c>
      <c r="B984" s="2">
        <v>0.5</v>
      </c>
      <c r="C984" s="6">
        <v>45461.5</v>
      </c>
      <c r="D984">
        <v>54.9</v>
      </c>
      <c r="E984">
        <v>58.7</v>
      </c>
      <c r="F984">
        <v>50.5</v>
      </c>
      <c r="G984" t="s">
        <v>6</v>
      </c>
      <c r="H984">
        <v>19.399999999999999</v>
      </c>
      <c r="I984">
        <v>31.9</v>
      </c>
      <c r="J984">
        <v>13.6</v>
      </c>
      <c r="K984" t="s">
        <v>6</v>
      </c>
      <c r="L984">
        <v>209</v>
      </c>
      <c r="M984" t="s">
        <v>6</v>
      </c>
      <c r="O984" s="6">
        <f t="shared" si="590"/>
        <v>45461.5</v>
      </c>
      <c r="P984">
        <f t="shared" si="591"/>
        <v>54.9</v>
      </c>
      <c r="Q984">
        <f t="shared" si="592"/>
        <v>58.7</v>
      </c>
      <c r="R984">
        <f t="shared" si="593"/>
        <v>50.5</v>
      </c>
      <c r="S984">
        <f t="shared" si="594"/>
        <v>55.9</v>
      </c>
      <c r="V984" s="6">
        <f t="shared" si="595"/>
        <v>45461.5</v>
      </c>
      <c r="W984">
        <f t="shared" si="596"/>
        <v>19.399999999999999</v>
      </c>
      <c r="X984">
        <f t="shared" si="597"/>
        <v>31.9</v>
      </c>
      <c r="Y984">
        <f t="shared" si="598"/>
        <v>13.6</v>
      </c>
      <c r="Z984">
        <f t="shared" si="599"/>
        <v>20.399999999999999</v>
      </c>
    </row>
    <row r="985" spans="1:26" x14ac:dyDescent="0.2">
      <c r="A985" s="1">
        <v>45461</v>
      </c>
      <c r="B985" s="2">
        <v>0.54166666666666663</v>
      </c>
      <c r="C985" s="6">
        <v>45461.541666666664</v>
      </c>
      <c r="D985">
        <v>58.9</v>
      </c>
      <c r="E985">
        <v>65.599999999999994</v>
      </c>
      <c r="F985">
        <v>50.9</v>
      </c>
      <c r="G985" t="s">
        <v>6</v>
      </c>
      <c r="H985">
        <v>19.2</v>
      </c>
      <c r="I985">
        <v>24.8</v>
      </c>
      <c r="J985">
        <v>15.2</v>
      </c>
      <c r="K985" t="s">
        <v>6</v>
      </c>
      <c r="L985">
        <v>221</v>
      </c>
      <c r="M985" t="s">
        <v>6</v>
      </c>
      <c r="O985" s="6">
        <f t="shared" si="590"/>
        <v>45461.541666666664</v>
      </c>
      <c r="P985">
        <f t="shared" si="591"/>
        <v>58.9</v>
      </c>
      <c r="Q985">
        <f t="shared" si="592"/>
        <v>65.599999999999994</v>
      </c>
      <c r="R985">
        <f t="shared" si="593"/>
        <v>50.9</v>
      </c>
      <c r="S985">
        <f t="shared" si="594"/>
        <v>59.9</v>
      </c>
      <c r="V985" s="6">
        <f t="shared" si="595"/>
        <v>45461.541666666664</v>
      </c>
      <c r="W985">
        <f t="shared" si="596"/>
        <v>19.2</v>
      </c>
      <c r="X985">
        <f t="shared" si="597"/>
        <v>24.8</v>
      </c>
      <c r="Y985">
        <f t="shared" si="598"/>
        <v>15.2</v>
      </c>
      <c r="Z985">
        <f t="shared" si="599"/>
        <v>20.2</v>
      </c>
    </row>
    <row r="986" spans="1:26" x14ac:dyDescent="0.2">
      <c r="A986" s="1">
        <v>45461</v>
      </c>
      <c r="B986" s="2">
        <v>0.58333333333333337</v>
      </c>
      <c r="C986" s="6">
        <v>45461.583333333336</v>
      </c>
      <c r="D986">
        <v>59.7</v>
      </c>
      <c r="E986">
        <v>69.5</v>
      </c>
      <c r="F986">
        <v>54.8</v>
      </c>
      <c r="G986" t="s">
        <v>6</v>
      </c>
      <c r="H986">
        <v>18.399999999999999</v>
      </c>
      <c r="I986">
        <v>22.4</v>
      </c>
      <c r="J986">
        <v>15.5</v>
      </c>
      <c r="K986" t="s">
        <v>6</v>
      </c>
      <c r="L986">
        <v>222</v>
      </c>
      <c r="M986" t="s">
        <v>6</v>
      </c>
      <c r="O986" s="6">
        <f t="shared" si="590"/>
        <v>45461.583333333336</v>
      </c>
      <c r="P986">
        <f t="shared" si="591"/>
        <v>59.7</v>
      </c>
      <c r="Q986">
        <f t="shared" si="592"/>
        <v>69.5</v>
      </c>
      <c r="R986">
        <f t="shared" si="593"/>
        <v>54.8</v>
      </c>
      <c r="S986">
        <f t="shared" si="594"/>
        <v>60.7</v>
      </c>
      <c r="V986" s="6">
        <f t="shared" si="595"/>
        <v>45461.583333333336</v>
      </c>
      <c r="W986">
        <f t="shared" si="596"/>
        <v>18.399999999999999</v>
      </c>
      <c r="X986">
        <f t="shared" si="597"/>
        <v>22.4</v>
      </c>
      <c r="Y986">
        <f t="shared" si="598"/>
        <v>15.5</v>
      </c>
      <c r="Z986">
        <f t="shared" si="599"/>
        <v>19.399999999999999</v>
      </c>
    </row>
    <row r="987" spans="1:26" x14ac:dyDescent="0.2">
      <c r="A987" s="1">
        <v>45461</v>
      </c>
      <c r="B987" s="2">
        <v>0.625</v>
      </c>
      <c r="C987" s="6">
        <v>45461.625</v>
      </c>
      <c r="D987">
        <v>58</v>
      </c>
      <c r="E987">
        <v>65.599999999999994</v>
      </c>
      <c r="F987">
        <v>51.3</v>
      </c>
      <c r="G987" t="s">
        <v>6</v>
      </c>
      <c r="H987">
        <v>19.100000000000001</v>
      </c>
      <c r="I987">
        <v>22.3</v>
      </c>
      <c r="J987">
        <v>15.9</v>
      </c>
      <c r="K987" t="s">
        <v>6</v>
      </c>
      <c r="L987">
        <v>196</v>
      </c>
      <c r="M987" t="s">
        <v>6</v>
      </c>
      <c r="O987" s="6">
        <f t="shared" si="590"/>
        <v>45461.625</v>
      </c>
      <c r="P987">
        <f t="shared" si="591"/>
        <v>58</v>
      </c>
      <c r="Q987">
        <f t="shared" si="592"/>
        <v>65.599999999999994</v>
      </c>
      <c r="R987">
        <f t="shared" si="593"/>
        <v>51.3</v>
      </c>
      <c r="S987">
        <f t="shared" si="594"/>
        <v>59</v>
      </c>
      <c r="V987" s="6">
        <f t="shared" si="595"/>
        <v>45461.625</v>
      </c>
      <c r="W987">
        <f t="shared" si="596"/>
        <v>19.100000000000001</v>
      </c>
      <c r="X987">
        <f t="shared" si="597"/>
        <v>22.3</v>
      </c>
      <c r="Y987">
        <f t="shared" si="598"/>
        <v>15.9</v>
      </c>
      <c r="Z987">
        <f t="shared" si="599"/>
        <v>20.100000000000001</v>
      </c>
    </row>
    <row r="988" spans="1:26" x14ac:dyDescent="0.2">
      <c r="A988" s="1">
        <v>45461</v>
      </c>
      <c r="B988" s="2">
        <v>0.66666666666666663</v>
      </c>
      <c r="C988" s="6">
        <v>45461.666666666664</v>
      </c>
      <c r="D988">
        <v>59.5</v>
      </c>
      <c r="E988">
        <v>62.9</v>
      </c>
      <c r="F988">
        <v>55.7</v>
      </c>
      <c r="G988" t="s">
        <v>6</v>
      </c>
      <c r="H988">
        <v>19.2</v>
      </c>
      <c r="I988">
        <v>25.2</v>
      </c>
      <c r="J988">
        <v>15.1</v>
      </c>
      <c r="K988" t="s">
        <v>6</v>
      </c>
      <c r="L988">
        <v>227</v>
      </c>
      <c r="M988" t="s">
        <v>6</v>
      </c>
      <c r="O988" s="6">
        <f t="shared" si="590"/>
        <v>45461.666666666664</v>
      </c>
      <c r="P988">
        <f t="shared" si="591"/>
        <v>59.5</v>
      </c>
      <c r="Q988">
        <f t="shared" si="592"/>
        <v>62.9</v>
      </c>
      <c r="R988">
        <f t="shared" si="593"/>
        <v>55.7</v>
      </c>
      <c r="S988">
        <f t="shared" si="594"/>
        <v>60.5</v>
      </c>
      <c r="V988" s="6">
        <f t="shared" si="595"/>
        <v>45461.666666666664</v>
      </c>
      <c r="W988">
        <f t="shared" si="596"/>
        <v>19.2</v>
      </c>
      <c r="X988">
        <f t="shared" si="597"/>
        <v>25.2</v>
      </c>
      <c r="Y988">
        <f t="shared" si="598"/>
        <v>15.1</v>
      </c>
      <c r="Z988">
        <f t="shared" si="599"/>
        <v>20.2</v>
      </c>
    </row>
    <row r="989" spans="1:26" x14ac:dyDescent="0.2">
      <c r="A989" s="1">
        <v>45461</v>
      </c>
      <c r="B989" s="2">
        <v>0.70833333333333337</v>
      </c>
      <c r="C989" s="6">
        <v>45461.708333333336</v>
      </c>
      <c r="D989">
        <v>57.8</v>
      </c>
      <c r="E989">
        <v>62</v>
      </c>
      <c r="F989">
        <v>52.5</v>
      </c>
      <c r="G989" t="s">
        <v>6</v>
      </c>
      <c r="H989">
        <v>18.5</v>
      </c>
      <c r="I989">
        <v>21.1</v>
      </c>
      <c r="J989">
        <v>14.1</v>
      </c>
      <c r="K989" t="s">
        <v>6</v>
      </c>
      <c r="L989">
        <v>224</v>
      </c>
      <c r="M989" t="s">
        <v>6</v>
      </c>
      <c r="O989" s="6">
        <f t="shared" si="590"/>
        <v>45461.708333333336</v>
      </c>
      <c r="P989">
        <f t="shared" si="591"/>
        <v>57.8</v>
      </c>
      <c r="Q989">
        <f t="shared" si="592"/>
        <v>62</v>
      </c>
      <c r="R989">
        <f t="shared" si="593"/>
        <v>52.5</v>
      </c>
      <c r="S989">
        <f t="shared" si="594"/>
        <v>58.8</v>
      </c>
      <c r="V989" s="6">
        <f t="shared" si="595"/>
        <v>45461.708333333336</v>
      </c>
      <c r="W989">
        <f t="shared" si="596"/>
        <v>18.5</v>
      </c>
      <c r="X989">
        <f t="shared" si="597"/>
        <v>21.1</v>
      </c>
      <c r="Y989">
        <f t="shared" si="598"/>
        <v>14.1</v>
      </c>
      <c r="Z989">
        <f t="shared" si="599"/>
        <v>19.5</v>
      </c>
    </row>
    <row r="990" spans="1:26" x14ac:dyDescent="0.2">
      <c r="A990" s="1">
        <v>45461</v>
      </c>
      <c r="B990" s="2">
        <v>0.75</v>
      </c>
      <c r="C990" s="6">
        <v>45461.75</v>
      </c>
      <c r="D990">
        <v>53.1</v>
      </c>
      <c r="E990">
        <v>60</v>
      </c>
      <c r="F990">
        <v>50.1</v>
      </c>
      <c r="G990" t="s">
        <v>6</v>
      </c>
      <c r="H990">
        <v>19.5</v>
      </c>
      <c r="I990">
        <v>22.9</v>
      </c>
      <c r="J990">
        <v>15.1</v>
      </c>
      <c r="K990" t="s">
        <v>6</v>
      </c>
      <c r="L990">
        <v>198</v>
      </c>
      <c r="M990" t="s">
        <v>6</v>
      </c>
      <c r="O990" s="6">
        <f t="shared" si="590"/>
        <v>45461.75</v>
      </c>
      <c r="P990">
        <f t="shared" si="591"/>
        <v>53.1</v>
      </c>
      <c r="Q990">
        <f t="shared" si="592"/>
        <v>60</v>
      </c>
      <c r="R990">
        <f t="shared" si="593"/>
        <v>50.1</v>
      </c>
      <c r="S990">
        <f t="shared" si="594"/>
        <v>54.1</v>
      </c>
      <c r="V990" s="6">
        <f t="shared" si="595"/>
        <v>45461.75</v>
      </c>
      <c r="W990">
        <f t="shared" si="596"/>
        <v>19.5</v>
      </c>
      <c r="X990">
        <f t="shared" si="597"/>
        <v>22.9</v>
      </c>
      <c r="Y990">
        <f t="shared" si="598"/>
        <v>15.1</v>
      </c>
      <c r="Z990">
        <f t="shared" si="599"/>
        <v>20.5</v>
      </c>
    </row>
    <row r="991" spans="1:26" x14ac:dyDescent="0.2">
      <c r="A991" s="1">
        <v>45461</v>
      </c>
      <c r="B991" s="2">
        <v>0.79166666666666663</v>
      </c>
      <c r="C991" s="6">
        <v>45461.791666666664</v>
      </c>
      <c r="D991">
        <v>52.9</v>
      </c>
      <c r="E991">
        <v>59.3</v>
      </c>
      <c r="F991">
        <v>48.9</v>
      </c>
      <c r="G991" t="s">
        <v>6</v>
      </c>
      <c r="H991">
        <v>20</v>
      </c>
      <c r="I991">
        <v>27.6</v>
      </c>
      <c r="J991">
        <v>15.1</v>
      </c>
      <c r="K991" t="s">
        <v>6</v>
      </c>
      <c r="L991">
        <v>215</v>
      </c>
      <c r="M991" t="s">
        <v>6</v>
      </c>
      <c r="O991" s="6">
        <f t="shared" si="590"/>
        <v>45461.791666666664</v>
      </c>
      <c r="P991">
        <f t="shared" si="591"/>
        <v>52.9</v>
      </c>
      <c r="Q991">
        <f t="shared" si="592"/>
        <v>59.3</v>
      </c>
      <c r="R991">
        <f t="shared" si="593"/>
        <v>48.9</v>
      </c>
      <c r="S991">
        <f t="shared" si="594"/>
        <v>53.9</v>
      </c>
      <c r="V991" s="6">
        <f t="shared" si="595"/>
        <v>45461.791666666664</v>
      </c>
      <c r="W991">
        <f t="shared" si="596"/>
        <v>20</v>
      </c>
      <c r="X991">
        <f t="shared" si="597"/>
        <v>27.6</v>
      </c>
      <c r="Y991">
        <f t="shared" si="598"/>
        <v>15.1</v>
      </c>
      <c r="Z991">
        <f t="shared" si="599"/>
        <v>21</v>
      </c>
    </row>
    <row r="992" spans="1:26" x14ac:dyDescent="0.2">
      <c r="A992" s="1">
        <v>45461</v>
      </c>
      <c r="B992" s="2">
        <v>0.83333333333333337</v>
      </c>
      <c r="C992" s="6">
        <v>45461.833333333336</v>
      </c>
      <c r="D992">
        <v>60.2</v>
      </c>
      <c r="E992">
        <v>70.2</v>
      </c>
      <c r="F992">
        <v>55.3</v>
      </c>
      <c r="G992" t="s">
        <v>6</v>
      </c>
      <c r="H992">
        <v>18.8</v>
      </c>
      <c r="I992">
        <v>20.9</v>
      </c>
      <c r="J992">
        <v>15.8</v>
      </c>
      <c r="K992" t="s">
        <v>6</v>
      </c>
      <c r="L992">
        <v>223</v>
      </c>
      <c r="M992" t="s">
        <v>6</v>
      </c>
      <c r="O992" s="6">
        <f t="shared" si="590"/>
        <v>45461.833333333336</v>
      </c>
      <c r="P992">
        <f t="shared" si="591"/>
        <v>60.2</v>
      </c>
      <c r="Q992">
        <f t="shared" si="592"/>
        <v>70.2</v>
      </c>
      <c r="R992">
        <f t="shared" si="593"/>
        <v>55.3</v>
      </c>
      <c r="S992">
        <f t="shared" si="594"/>
        <v>61.2</v>
      </c>
      <c r="V992" s="6">
        <f t="shared" si="595"/>
        <v>45461.833333333336</v>
      </c>
      <c r="W992">
        <f t="shared" si="596"/>
        <v>18.8</v>
      </c>
      <c r="X992">
        <f t="shared" si="597"/>
        <v>20.9</v>
      </c>
      <c r="Y992">
        <f t="shared" si="598"/>
        <v>15.8</v>
      </c>
      <c r="Z992">
        <f t="shared" si="599"/>
        <v>19.8</v>
      </c>
    </row>
    <row r="993" spans="1:26" x14ac:dyDescent="0.2">
      <c r="A993" s="1">
        <v>45461</v>
      </c>
      <c r="B993" s="2">
        <v>0.875</v>
      </c>
      <c r="C993" s="6">
        <v>45461.875</v>
      </c>
      <c r="D993">
        <v>63.4</v>
      </c>
      <c r="E993">
        <v>67.599999999999994</v>
      </c>
      <c r="F993">
        <v>59.5</v>
      </c>
      <c r="G993" t="s">
        <v>6</v>
      </c>
      <c r="H993">
        <v>19</v>
      </c>
      <c r="I993">
        <v>21.5</v>
      </c>
      <c r="J993">
        <v>17.600000000000001</v>
      </c>
      <c r="K993" t="s">
        <v>6</v>
      </c>
      <c r="L993">
        <v>120</v>
      </c>
      <c r="M993" t="s">
        <v>6</v>
      </c>
      <c r="O993" s="6">
        <f t="shared" si="590"/>
        <v>45461.875</v>
      </c>
      <c r="P993">
        <f t="shared" si="591"/>
        <v>63.4</v>
      </c>
      <c r="Q993">
        <f t="shared" si="592"/>
        <v>67.599999999999994</v>
      </c>
      <c r="R993">
        <f t="shared" si="593"/>
        <v>59.5</v>
      </c>
      <c r="S993">
        <f t="shared" si="594"/>
        <v>64.400000000000006</v>
      </c>
      <c r="V993" s="6">
        <f t="shared" si="595"/>
        <v>45461.875</v>
      </c>
      <c r="W993">
        <f t="shared" si="596"/>
        <v>19</v>
      </c>
      <c r="X993">
        <f t="shared" si="597"/>
        <v>21.5</v>
      </c>
      <c r="Y993">
        <f t="shared" si="598"/>
        <v>17.600000000000001</v>
      </c>
      <c r="Z993">
        <f t="shared" si="599"/>
        <v>20</v>
      </c>
    </row>
    <row r="994" spans="1:26" x14ac:dyDescent="0.2">
      <c r="A994" s="1">
        <v>45461</v>
      </c>
      <c r="B994" s="2">
        <v>0.95833333333333337</v>
      </c>
      <c r="C994" s="6">
        <v>45461.958333333336</v>
      </c>
      <c r="D994">
        <v>61</v>
      </c>
      <c r="E994">
        <v>61.6</v>
      </c>
      <c r="F994">
        <v>60.7</v>
      </c>
      <c r="G994" t="s">
        <v>6</v>
      </c>
      <c r="H994">
        <v>18.399999999999999</v>
      </c>
      <c r="I994">
        <v>19.100000000000001</v>
      </c>
      <c r="J994">
        <v>18</v>
      </c>
      <c r="K994" t="s">
        <v>6</v>
      </c>
      <c r="L994">
        <v>4</v>
      </c>
      <c r="M994" t="s">
        <v>6</v>
      </c>
      <c r="O994" s="6">
        <f t="shared" si="590"/>
        <v>45461.958333333336</v>
      </c>
      <c r="P994">
        <f t="shared" si="591"/>
        <v>61</v>
      </c>
      <c r="Q994">
        <f t="shared" si="592"/>
        <v>61.6</v>
      </c>
      <c r="R994">
        <f t="shared" si="593"/>
        <v>60.7</v>
      </c>
      <c r="S994">
        <f t="shared" si="594"/>
        <v>62</v>
      </c>
      <c r="V994" s="6">
        <f t="shared" si="595"/>
        <v>45461.958333333336</v>
      </c>
      <c r="W994">
        <f t="shared" si="596"/>
        <v>18.399999999999999</v>
      </c>
      <c r="X994">
        <f t="shared" si="597"/>
        <v>19.100000000000001</v>
      </c>
      <c r="Y994">
        <f t="shared" si="598"/>
        <v>18</v>
      </c>
      <c r="Z994">
        <f t="shared" si="599"/>
        <v>19.399999999999999</v>
      </c>
    </row>
    <row r="995" spans="1:26" x14ac:dyDescent="0.2">
      <c r="A995" s="1">
        <v>45462</v>
      </c>
      <c r="B995" s="2">
        <v>0.16666666666666666</v>
      </c>
      <c r="C995" s="6">
        <v>45462.166666666664</v>
      </c>
      <c r="D995">
        <v>59.6</v>
      </c>
      <c r="E995">
        <v>62.4</v>
      </c>
      <c r="F995">
        <v>58.5</v>
      </c>
      <c r="G995" t="s">
        <v>6</v>
      </c>
      <c r="H995">
        <v>21.5</v>
      </c>
      <c r="I995">
        <v>23.5</v>
      </c>
      <c r="J995">
        <v>18.600000000000001</v>
      </c>
      <c r="K995" t="s">
        <v>6</v>
      </c>
      <c r="L995">
        <v>34</v>
      </c>
      <c r="M995" t="s">
        <v>6</v>
      </c>
      <c r="O995" s="6">
        <f t="shared" si="590"/>
        <v>45462.166666666664</v>
      </c>
      <c r="P995">
        <f t="shared" si="591"/>
        <v>59.6</v>
      </c>
      <c r="Q995">
        <f t="shared" si="592"/>
        <v>62.4</v>
      </c>
      <c r="R995">
        <f t="shared" si="593"/>
        <v>58.5</v>
      </c>
      <c r="S995">
        <f t="shared" si="594"/>
        <v>60.6</v>
      </c>
      <c r="V995" s="6">
        <f t="shared" si="595"/>
        <v>45462.166666666664</v>
      </c>
      <c r="W995">
        <f t="shared" si="596"/>
        <v>21.5</v>
      </c>
      <c r="X995">
        <f t="shared" si="597"/>
        <v>23.5</v>
      </c>
      <c r="Y995">
        <f t="shared" si="598"/>
        <v>18.600000000000001</v>
      </c>
      <c r="Z995">
        <f t="shared" si="599"/>
        <v>22.5</v>
      </c>
    </row>
    <row r="996" spans="1:26" x14ac:dyDescent="0.2">
      <c r="A996" s="1">
        <v>45462</v>
      </c>
      <c r="B996" s="2">
        <v>0.20833333333333334</v>
      </c>
      <c r="C996" s="6">
        <v>45462.208333333336</v>
      </c>
      <c r="D996">
        <v>66.099999999999994</v>
      </c>
      <c r="E996">
        <v>74.7</v>
      </c>
      <c r="F996">
        <v>54.4</v>
      </c>
      <c r="G996" t="s">
        <v>6</v>
      </c>
      <c r="H996">
        <v>20.100000000000001</v>
      </c>
      <c r="I996">
        <v>28.6</v>
      </c>
      <c r="J996">
        <v>15.4</v>
      </c>
      <c r="K996" t="s">
        <v>6</v>
      </c>
      <c r="L996">
        <v>165</v>
      </c>
      <c r="M996" t="s">
        <v>6</v>
      </c>
      <c r="O996" s="6">
        <f t="shared" si="590"/>
        <v>45462.208333333336</v>
      </c>
      <c r="P996">
        <f t="shared" si="591"/>
        <v>66.099999999999994</v>
      </c>
      <c r="Q996">
        <f t="shared" si="592"/>
        <v>74.7</v>
      </c>
      <c r="R996">
        <f t="shared" si="593"/>
        <v>54.4</v>
      </c>
      <c r="S996">
        <f t="shared" si="594"/>
        <v>67.099999999999994</v>
      </c>
      <c r="V996" s="6">
        <f t="shared" si="595"/>
        <v>45462.208333333336</v>
      </c>
      <c r="W996">
        <f t="shared" si="596"/>
        <v>20.100000000000001</v>
      </c>
      <c r="X996">
        <f t="shared" si="597"/>
        <v>28.6</v>
      </c>
      <c r="Y996">
        <f t="shared" si="598"/>
        <v>15.4</v>
      </c>
      <c r="Z996">
        <f t="shared" si="599"/>
        <v>21.1</v>
      </c>
    </row>
    <row r="997" spans="1:26" x14ac:dyDescent="0.2">
      <c r="A997" s="1">
        <v>45462</v>
      </c>
      <c r="B997" s="2">
        <v>0.25</v>
      </c>
      <c r="C997" s="6">
        <v>45462.25</v>
      </c>
      <c r="D997">
        <v>63.6</v>
      </c>
      <c r="E997">
        <v>69.2</v>
      </c>
      <c r="F997">
        <v>57.4</v>
      </c>
      <c r="G997" t="s">
        <v>6</v>
      </c>
      <c r="H997">
        <v>18.7</v>
      </c>
      <c r="I997">
        <v>21.1</v>
      </c>
      <c r="J997">
        <v>15.7</v>
      </c>
      <c r="K997" t="s">
        <v>6</v>
      </c>
      <c r="L997">
        <v>229</v>
      </c>
      <c r="M997" t="s">
        <v>6</v>
      </c>
      <c r="O997" s="6">
        <f t="shared" si="590"/>
        <v>45462.25</v>
      </c>
      <c r="P997">
        <f t="shared" si="591"/>
        <v>63.6</v>
      </c>
      <c r="Q997">
        <f t="shared" si="592"/>
        <v>69.2</v>
      </c>
      <c r="R997">
        <f t="shared" si="593"/>
        <v>57.4</v>
      </c>
      <c r="S997">
        <f t="shared" si="594"/>
        <v>64.599999999999994</v>
      </c>
      <c r="V997" s="6">
        <f t="shared" si="595"/>
        <v>45462.25</v>
      </c>
      <c r="W997">
        <f t="shared" si="596"/>
        <v>18.7</v>
      </c>
      <c r="X997">
        <f t="shared" si="597"/>
        <v>21.1</v>
      </c>
      <c r="Y997">
        <f t="shared" si="598"/>
        <v>15.7</v>
      </c>
      <c r="Z997">
        <f t="shared" si="599"/>
        <v>19.7</v>
      </c>
    </row>
    <row r="998" spans="1:26" x14ac:dyDescent="0.2">
      <c r="A998" s="1">
        <v>45462</v>
      </c>
      <c r="B998" s="2">
        <v>0.29166666666666669</v>
      </c>
      <c r="C998" s="6">
        <v>45462.291666666664</v>
      </c>
      <c r="D998">
        <v>59.7</v>
      </c>
      <c r="E998">
        <v>64.3</v>
      </c>
      <c r="F998">
        <v>54.7</v>
      </c>
      <c r="G998" t="s">
        <v>6</v>
      </c>
      <c r="H998">
        <v>16.8</v>
      </c>
      <c r="I998">
        <v>19.100000000000001</v>
      </c>
      <c r="J998">
        <v>13.3</v>
      </c>
      <c r="K998" t="s">
        <v>6</v>
      </c>
      <c r="L998">
        <v>217</v>
      </c>
      <c r="M998" t="s">
        <v>6</v>
      </c>
      <c r="O998" s="6">
        <f t="shared" si="590"/>
        <v>45462.291666666664</v>
      </c>
      <c r="P998">
        <f t="shared" si="591"/>
        <v>59.7</v>
      </c>
      <c r="Q998">
        <f t="shared" si="592"/>
        <v>64.3</v>
      </c>
      <c r="R998">
        <f t="shared" si="593"/>
        <v>54.7</v>
      </c>
      <c r="S998">
        <f t="shared" si="594"/>
        <v>60.7</v>
      </c>
      <c r="V998" s="6">
        <f t="shared" si="595"/>
        <v>45462.291666666664</v>
      </c>
      <c r="W998">
        <f t="shared" si="596"/>
        <v>16.8</v>
      </c>
      <c r="X998">
        <f t="shared" si="597"/>
        <v>19.100000000000001</v>
      </c>
      <c r="Y998">
        <f t="shared" si="598"/>
        <v>13.3</v>
      </c>
      <c r="Z998">
        <f t="shared" si="599"/>
        <v>17.8</v>
      </c>
    </row>
    <row r="999" spans="1:26" x14ac:dyDescent="0.2">
      <c r="A999" s="14">
        <v>45462</v>
      </c>
      <c r="B999" s="7">
        <v>0.33333333333333331</v>
      </c>
      <c r="C999" s="8">
        <v>45462.333333333336</v>
      </c>
      <c r="D999" s="9">
        <v>58.7</v>
      </c>
      <c r="E999" s="9">
        <v>63</v>
      </c>
      <c r="F999" s="9">
        <v>53.3</v>
      </c>
      <c r="G999" s="9" t="s">
        <v>6</v>
      </c>
      <c r="H999" s="9">
        <v>17.3</v>
      </c>
      <c r="I999" s="9">
        <v>21.6</v>
      </c>
      <c r="J999" s="9">
        <v>14</v>
      </c>
      <c r="K999" s="9" t="s">
        <v>6</v>
      </c>
      <c r="L999" s="9">
        <v>219</v>
      </c>
      <c r="M999" t="s">
        <v>6</v>
      </c>
      <c r="O999" s="6">
        <f t="shared" si="590"/>
        <v>45462.333333333336</v>
      </c>
      <c r="P999">
        <f t="shared" si="591"/>
        <v>58.7</v>
      </c>
      <c r="Q999">
        <f t="shared" si="592"/>
        <v>63</v>
      </c>
      <c r="R999">
        <f t="shared" si="593"/>
        <v>53.3</v>
      </c>
      <c r="S999">
        <f t="shared" si="594"/>
        <v>59.7</v>
      </c>
      <c r="V999" s="6">
        <f t="shared" si="595"/>
        <v>45462.333333333336</v>
      </c>
      <c r="W999">
        <f t="shared" si="596"/>
        <v>17.3</v>
      </c>
      <c r="X999">
        <f t="shared" si="597"/>
        <v>21.6</v>
      </c>
      <c r="Y999">
        <f t="shared" si="598"/>
        <v>14</v>
      </c>
      <c r="Z999">
        <f t="shared" si="599"/>
        <v>18.3</v>
      </c>
    </row>
    <row r="1000" spans="1:26" x14ac:dyDescent="0.2">
      <c r="A1000" s="13">
        <v>45462</v>
      </c>
      <c r="B1000" s="3">
        <v>0.375</v>
      </c>
      <c r="C1000" s="4">
        <v>45462.375</v>
      </c>
      <c r="D1000" s="5">
        <v>58.6</v>
      </c>
      <c r="E1000" s="5">
        <v>74.5</v>
      </c>
      <c r="F1000" s="5">
        <v>53.5</v>
      </c>
      <c r="G1000" s="5" t="s">
        <v>6</v>
      </c>
      <c r="H1000" s="5">
        <v>17.600000000000001</v>
      </c>
      <c r="I1000" s="5">
        <v>21.3</v>
      </c>
      <c r="J1000" s="5">
        <v>14.6</v>
      </c>
      <c r="K1000" s="5" t="s">
        <v>6</v>
      </c>
      <c r="L1000" s="5">
        <v>223</v>
      </c>
      <c r="M1000" t="s">
        <v>6</v>
      </c>
      <c r="O1000" s="6">
        <f t="shared" si="590"/>
        <v>45462.375</v>
      </c>
      <c r="P1000">
        <f t="shared" si="591"/>
        <v>58.6</v>
      </c>
      <c r="Q1000">
        <f t="shared" si="592"/>
        <v>74.5</v>
      </c>
      <c r="R1000">
        <f t="shared" si="593"/>
        <v>53.5</v>
      </c>
      <c r="S1000">
        <f t="shared" si="594"/>
        <v>59.6</v>
      </c>
      <c r="V1000" s="6">
        <f t="shared" si="595"/>
        <v>45462.375</v>
      </c>
      <c r="W1000">
        <f t="shared" si="596"/>
        <v>17.600000000000001</v>
      </c>
      <c r="X1000">
        <f t="shared" si="597"/>
        <v>21.3</v>
      </c>
      <c r="Y1000">
        <f t="shared" si="598"/>
        <v>14.6</v>
      </c>
      <c r="Z1000">
        <f t="shared" si="599"/>
        <v>18.600000000000001</v>
      </c>
    </row>
    <row r="1001" spans="1:26" x14ac:dyDescent="0.2">
      <c r="A1001" s="1">
        <v>45462</v>
      </c>
      <c r="B1001" s="2">
        <v>0.41666666666666669</v>
      </c>
      <c r="C1001" s="6">
        <v>45462.416666666664</v>
      </c>
      <c r="D1001">
        <v>59.1</v>
      </c>
      <c r="E1001">
        <v>63.4</v>
      </c>
      <c r="F1001">
        <v>55.2</v>
      </c>
      <c r="G1001" t="s">
        <v>6</v>
      </c>
      <c r="H1001">
        <v>18.3</v>
      </c>
      <c r="I1001">
        <v>22.1</v>
      </c>
      <c r="J1001">
        <v>14.3</v>
      </c>
      <c r="K1001" t="s">
        <v>6</v>
      </c>
      <c r="L1001">
        <v>197</v>
      </c>
      <c r="M1001" t="s">
        <v>6</v>
      </c>
      <c r="O1001" s="6">
        <f t="shared" si="590"/>
        <v>45462.416666666664</v>
      </c>
      <c r="P1001">
        <f t="shared" si="591"/>
        <v>59.1</v>
      </c>
      <c r="Q1001">
        <f t="shared" si="592"/>
        <v>63.4</v>
      </c>
      <c r="R1001">
        <f t="shared" si="593"/>
        <v>55.2</v>
      </c>
      <c r="S1001">
        <f t="shared" si="594"/>
        <v>60.1</v>
      </c>
      <c r="V1001" s="6">
        <f t="shared" si="595"/>
        <v>45462.416666666664</v>
      </c>
      <c r="W1001">
        <f t="shared" si="596"/>
        <v>18.3</v>
      </c>
      <c r="X1001">
        <f t="shared" si="597"/>
        <v>22.1</v>
      </c>
      <c r="Y1001">
        <f t="shared" si="598"/>
        <v>14.3</v>
      </c>
      <c r="Z1001">
        <f t="shared" si="599"/>
        <v>19.3</v>
      </c>
    </row>
    <row r="1002" spans="1:26" x14ac:dyDescent="0.2">
      <c r="A1002" s="1">
        <v>45462</v>
      </c>
      <c r="B1002" s="2">
        <v>0.45833333333333331</v>
      </c>
      <c r="C1002" s="6">
        <v>45462.458333333336</v>
      </c>
      <c r="D1002">
        <v>61.2</v>
      </c>
      <c r="E1002">
        <v>69.099999999999994</v>
      </c>
      <c r="F1002">
        <v>54.1</v>
      </c>
      <c r="G1002" t="s">
        <v>6</v>
      </c>
      <c r="H1002">
        <v>19</v>
      </c>
      <c r="I1002">
        <v>22.3</v>
      </c>
      <c r="J1002">
        <v>15.9</v>
      </c>
      <c r="K1002" t="s">
        <v>6</v>
      </c>
      <c r="L1002">
        <v>228</v>
      </c>
      <c r="M1002" t="s">
        <v>6</v>
      </c>
      <c r="O1002" s="6">
        <f t="shared" si="590"/>
        <v>45462.458333333336</v>
      </c>
      <c r="P1002">
        <f t="shared" si="591"/>
        <v>61.2</v>
      </c>
      <c r="Q1002">
        <f t="shared" si="592"/>
        <v>69.099999999999994</v>
      </c>
      <c r="R1002">
        <f t="shared" si="593"/>
        <v>54.1</v>
      </c>
      <c r="S1002">
        <f t="shared" si="594"/>
        <v>62.2</v>
      </c>
      <c r="V1002" s="6">
        <f t="shared" si="595"/>
        <v>45462.458333333336</v>
      </c>
      <c r="W1002">
        <f t="shared" si="596"/>
        <v>19</v>
      </c>
      <c r="X1002">
        <f t="shared" si="597"/>
        <v>22.3</v>
      </c>
      <c r="Y1002">
        <f t="shared" si="598"/>
        <v>15.9</v>
      </c>
      <c r="Z1002">
        <f t="shared" si="599"/>
        <v>20</v>
      </c>
    </row>
    <row r="1003" spans="1:26" x14ac:dyDescent="0.2">
      <c r="A1003" s="1">
        <v>45462</v>
      </c>
      <c r="B1003" s="2">
        <v>0.5</v>
      </c>
      <c r="C1003" s="6">
        <v>45462.5</v>
      </c>
      <c r="D1003">
        <v>59.6</v>
      </c>
      <c r="E1003">
        <v>62.7</v>
      </c>
      <c r="F1003">
        <v>55</v>
      </c>
      <c r="G1003" t="s">
        <v>6</v>
      </c>
      <c r="H1003">
        <v>20</v>
      </c>
      <c r="I1003">
        <v>24.1</v>
      </c>
      <c r="J1003">
        <v>16.8</v>
      </c>
      <c r="K1003" t="s">
        <v>6</v>
      </c>
      <c r="L1003">
        <v>196</v>
      </c>
      <c r="M1003" t="s">
        <v>6</v>
      </c>
      <c r="O1003" s="6">
        <f t="shared" si="590"/>
        <v>45462.5</v>
      </c>
      <c r="P1003">
        <f t="shared" si="591"/>
        <v>59.6</v>
      </c>
      <c r="Q1003">
        <f t="shared" si="592"/>
        <v>62.7</v>
      </c>
      <c r="R1003">
        <f t="shared" si="593"/>
        <v>55</v>
      </c>
      <c r="S1003">
        <f t="shared" si="594"/>
        <v>60.6</v>
      </c>
      <c r="V1003" s="6">
        <f t="shared" si="595"/>
        <v>45462.5</v>
      </c>
      <c r="W1003">
        <f t="shared" si="596"/>
        <v>20</v>
      </c>
      <c r="X1003">
        <f t="shared" si="597"/>
        <v>24.1</v>
      </c>
      <c r="Y1003">
        <f t="shared" si="598"/>
        <v>16.8</v>
      </c>
      <c r="Z1003">
        <f t="shared" si="599"/>
        <v>21</v>
      </c>
    </row>
    <row r="1004" spans="1:26" x14ac:dyDescent="0.2">
      <c r="A1004" s="1">
        <v>45462</v>
      </c>
      <c r="B1004" s="2">
        <v>0.54166666666666663</v>
      </c>
      <c r="C1004" s="6">
        <v>45462.541666666664</v>
      </c>
      <c r="D1004">
        <v>64.400000000000006</v>
      </c>
      <c r="E1004">
        <v>70.7</v>
      </c>
      <c r="F1004">
        <v>54.8</v>
      </c>
      <c r="G1004" t="s">
        <v>6</v>
      </c>
      <c r="H1004">
        <v>19.7</v>
      </c>
      <c r="I1004">
        <v>21.9</v>
      </c>
      <c r="J1004">
        <v>17.2</v>
      </c>
      <c r="K1004" t="s">
        <v>6</v>
      </c>
      <c r="L1004">
        <v>225</v>
      </c>
      <c r="M1004" t="s">
        <v>6</v>
      </c>
      <c r="O1004" s="6">
        <f t="shared" si="590"/>
        <v>45462.541666666664</v>
      </c>
      <c r="P1004">
        <f t="shared" si="591"/>
        <v>64.400000000000006</v>
      </c>
      <c r="Q1004">
        <f t="shared" si="592"/>
        <v>70.7</v>
      </c>
      <c r="R1004">
        <f t="shared" si="593"/>
        <v>54.8</v>
      </c>
      <c r="S1004">
        <f t="shared" si="594"/>
        <v>65.400000000000006</v>
      </c>
      <c r="V1004" s="6">
        <f t="shared" si="595"/>
        <v>45462.541666666664</v>
      </c>
      <c r="W1004">
        <f t="shared" si="596"/>
        <v>19.7</v>
      </c>
      <c r="X1004">
        <f t="shared" si="597"/>
        <v>21.9</v>
      </c>
      <c r="Y1004">
        <f t="shared" si="598"/>
        <v>17.2</v>
      </c>
      <c r="Z1004">
        <f t="shared" si="599"/>
        <v>20.7</v>
      </c>
    </row>
    <row r="1005" spans="1:26" x14ac:dyDescent="0.2">
      <c r="A1005" s="1">
        <v>45462</v>
      </c>
      <c r="B1005" s="2">
        <v>0.58333333333333337</v>
      </c>
      <c r="C1005" s="6">
        <v>45462.583333333336</v>
      </c>
      <c r="D1005">
        <v>61.9</v>
      </c>
      <c r="E1005">
        <v>68</v>
      </c>
      <c r="F1005">
        <v>56.7</v>
      </c>
      <c r="G1005" t="s">
        <v>6</v>
      </c>
      <c r="H1005">
        <v>19.7</v>
      </c>
      <c r="I1005">
        <v>22.4</v>
      </c>
      <c r="J1005">
        <v>15.9</v>
      </c>
      <c r="K1005" t="s">
        <v>6</v>
      </c>
      <c r="L1005">
        <v>199</v>
      </c>
      <c r="M1005" t="s">
        <v>6</v>
      </c>
      <c r="O1005" s="6">
        <f t="shared" si="590"/>
        <v>45462.583333333336</v>
      </c>
      <c r="P1005">
        <f t="shared" si="591"/>
        <v>61.9</v>
      </c>
      <c r="Q1005">
        <f t="shared" si="592"/>
        <v>68</v>
      </c>
      <c r="R1005">
        <f t="shared" si="593"/>
        <v>56.7</v>
      </c>
      <c r="S1005">
        <f t="shared" si="594"/>
        <v>62.9</v>
      </c>
      <c r="V1005" s="6">
        <f t="shared" si="595"/>
        <v>45462.583333333336</v>
      </c>
      <c r="W1005">
        <f t="shared" si="596"/>
        <v>19.7</v>
      </c>
      <c r="X1005">
        <f t="shared" si="597"/>
        <v>22.4</v>
      </c>
      <c r="Y1005">
        <f t="shared" si="598"/>
        <v>15.9</v>
      </c>
      <c r="Z1005">
        <f t="shared" si="599"/>
        <v>20.7</v>
      </c>
    </row>
    <row r="1006" spans="1:26" x14ac:dyDescent="0.2">
      <c r="A1006" s="1">
        <v>45462</v>
      </c>
      <c r="B1006" s="2">
        <v>0.625</v>
      </c>
      <c r="C1006" s="6">
        <v>45462.625</v>
      </c>
      <c r="D1006">
        <v>62.6</v>
      </c>
      <c r="E1006">
        <v>68.099999999999994</v>
      </c>
      <c r="F1006">
        <v>58</v>
      </c>
      <c r="G1006" t="s">
        <v>6</v>
      </c>
      <c r="H1006">
        <v>20</v>
      </c>
      <c r="I1006">
        <v>22.2</v>
      </c>
      <c r="J1006">
        <v>16.100000000000001</v>
      </c>
      <c r="K1006" t="s">
        <v>6</v>
      </c>
      <c r="L1006">
        <v>222</v>
      </c>
      <c r="M1006" t="s">
        <v>6</v>
      </c>
      <c r="O1006" s="6">
        <f t="shared" si="590"/>
        <v>45462.625</v>
      </c>
      <c r="P1006">
        <f t="shared" si="591"/>
        <v>62.6</v>
      </c>
      <c r="Q1006">
        <f t="shared" si="592"/>
        <v>68.099999999999994</v>
      </c>
      <c r="R1006">
        <f t="shared" si="593"/>
        <v>58</v>
      </c>
      <c r="S1006">
        <f t="shared" si="594"/>
        <v>63.6</v>
      </c>
      <c r="V1006" s="6">
        <f t="shared" si="595"/>
        <v>45462.625</v>
      </c>
      <c r="W1006">
        <f t="shared" si="596"/>
        <v>20</v>
      </c>
      <c r="X1006">
        <f t="shared" si="597"/>
        <v>22.2</v>
      </c>
      <c r="Y1006">
        <f t="shared" si="598"/>
        <v>16.100000000000001</v>
      </c>
      <c r="Z1006">
        <f t="shared" si="599"/>
        <v>21</v>
      </c>
    </row>
    <row r="1007" spans="1:26" x14ac:dyDescent="0.2">
      <c r="A1007" s="1">
        <v>45462</v>
      </c>
      <c r="B1007" s="2">
        <v>0.66666666666666663</v>
      </c>
      <c r="C1007" s="6">
        <v>45462.666666666664</v>
      </c>
      <c r="D1007">
        <v>60.3</v>
      </c>
      <c r="E1007">
        <v>65.3</v>
      </c>
      <c r="F1007">
        <v>55.3</v>
      </c>
      <c r="G1007" t="s">
        <v>6</v>
      </c>
      <c r="H1007">
        <v>19.899999999999999</v>
      </c>
      <c r="I1007">
        <v>23.6</v>
      </c>
      <c r="J1007">
        <v>16.600000000000001</v>
      </c>
      <c r="K1007" t="s">
        <v>6</v>
      </c>
      <c r="L1007">
        <v>228</v>
      </c>
      <c r="M1007" t="s">
        <v>6</v>
      </c>
      <c r="O1007" s="6">
        <f t="shared" si="590"/>
        <v>45462.666666666664</v>
      </c>
      <c r="P1007">
        <f t="shared" si="591"/>
        <v>60.3</v>
      </c>
      <c r="Q1007">
        <f t="shared" si="592"/>
        <v>65.3</v>
      </c>
      <c r="R1007">
        <f t="shared" si="593"/>
        <v>55.3</v>
      </c>
      <c r="S1007">
        <f t="shared" si="594"/>
        <v>61.3</v>
      </c>
      <c r="V1007" s="6">
        <f t="shared" si="595"/>
        <v>45462.666666666664</v>
      </c>
      <c r="W1007">
        <f t="shared" si="596"/>
        <v>19.899999999999999</v>
      </c>
      <c r="X1007">
        <f t="shared" si="597"/>
        <v>23.6</v>
      </c>
      <c r="Y1007">
        <f t="shared" si="598"/>
        <v>16.600000000000001</v>
      </c>
      <c r="Z1007">
        <f t="shared" si="599"/>
        <v>20.9</v>
      </c>
    </row>
    <row r="1008" spans="1:26" x14ac:dyDescent="0.2">
      <c r="A1008" s="1">
        <v>45462</v>
      </c>
      <c r="B1008" s="2">
        <v>0.70833333333333337</v>
      </c>
      <c r="C1008" s="6">
        <v>45462.708333333336</v>
      </c>
      <c r="D1008">
        <v>59.1</v>
      </c>
      <c r="E1008">
        <v>66.099999999999994</v>
      </c>
      <c r="F1008">
        <v>52.5</v>
      </c>
      <c r="G1008" t="s">
        <v>6</v>
      </c>
      <c r="H1008">
        <v>19.7</v>
      </c>
      <c r="I1008">
        <v>24.6</v>
      </c>
      <c r="J1008">
        <v>14.2</v>
      </c>
      <c r="K1008" t="s">
        <v>6</v>
      </c>
      <c r="L1008">
        <v>192</v>
      </c>
      <c r="M1008" t="s">
        <v>6</v>
      </c>
      <c r="O1008" s="6">
        <f t="shared" si="590"/>
        <v>45462.708333333336</v>
      </c>
      <c r="P1008">
        <f t="shared" si="591"/>
        <v>59.1</v>
      </c>
      <c r="Q1008">
        <f t="shared" si="592"/>
        <v>66.099999999999994</v>
      </c>
      <c r="R1008">
        <f t="shared" si="593"/>
        <v>52.5</v>
      </c>
      <c r="S1008">
        <f t="shared" si="594"/>
        <v>60.1</v>
      </c>
      <c r="V1008" s="6">
        <f t="shared" si="595"/>
        <v>45462.708333333336</v>
      </c>
      <c r="W1008">
        <f t="shared" si="596"/>
        <v>19.7</v>
      </c>
      <c r="X1008">
        <f t="shared" si="597"/>
        <v>24.6</v>
      </c>
      <c r="Y1008">
        <f t="shared" si="598"/>
        <v>14.2</v>
      </c>
      <c r="Z1008">
        <f t="shared" si="599"/>
        <v>20.7</v>
      </c>
    </row>
    <row r="1009" spans="1:26" x14ac:dyDescent="0.2">
      <c r="A1009" s="1">
        <v>45462</v>
      </c>
      <c r="B1009" s="2">
        <v>0.75</v>
      </c>
      <c r="C1009" s="6">
        <v>45462.75</v>
      </c>
      <c r="D1009">
        <v>60.7</v>
      </c>
      <c r="E1009">
        <v>67.099999999999994</v>
      </c>
      <c r="F1009">
        <v>55.7</v>
      </c>
      <c r="G1009" t="s">
        <v>6</v>
      </c>
      <c r="H1009">
        <v>20</v>
      </c>
      <c r="I1009">
        <v>23.1</v>
      </c>
      <c r="J1009">
        <v>16.3</v>
      </c>
      <c r="K1009" t="s">
        <v>6</v>
      </c>
      <c r="L1009">
        <v>217</v>
      </c>
      <c r="M1009" t="s">
        <v>6</v>
      </c>
      <c r="O1009" s="6">
        <f t="shared" si="590"/>
        <v>45462.75</v>
      </c>
      <c r="P1009">
        <f t="shared" si="591"/>
        <v>60.7</v>
      </c>
      <c r="Q1009">
        <f t="shared" si="592"/>
        <v>67.099999999999994</v>
      </c>
      <c r="R1009">
        <f t="shared" si="593"/>
        <v>55.7</v>
      </c>
      <c r="S1009">
        <f t="shared" si="594"/>
        <v>61.7</v>
      </c>
      <c r="V1009" s="6">
        <f t="shared" si="595"/>
        <v>45462.75</v>
      </c>
      <c r="W1009">
        <f t="shared" si="596"/>
        <v>20</v>
      </c>
      <c r="X1009">
        <f t="shared" si="597"/>
        <v>23.1</v>
      </c>
      <c r="Y1009">
        <f t="shared" si="598"/>
        <v>16.3</v>
      </c>
      <c r="Z1009">
        <f t="shared" si="599"/>
        <v>21</v>
      </c>
    </row>
    <row r="1010" spans="1:26" x14ac:dyDescent="0.2">
      <c r="A1010" s="1">
        <v>45462</v>
      </c>
      <c r="B1010" s="2">
        <v>0.79166666666666663</v>
      </c>
      <c r="C1010" s="6">
        <v>45462.791666666664</v>
      </c>
      <c r="D1010">
        <v>56.5</v>
      </c>
      <c r="E1010">
        <v>62.2</v>
      </c>
      <c r="F1010">
        <v>53.1</v>
      </c>
      <c r="G1010" t="s">
        <v>6</v>
      </c>
      <c r="H1010">
        <v>18.100000000000001</v>
      </c>
      <c r="I1010">
        <v>22.6</v>
      </c>
      <c r="J1010">
        <v>12.5</v>
      </c>
      <c r="K1010" t="s">
        <v>6</v>
      </c>
      <c r="L1010">
        <v>206</v>
      </c>
      <c r="M1010" t="s">
        <v>6</v>
      </c>
      <c r="O1010" s="6">
        <f t="shared" si="590"/>
        <v>45462.791666666664</v>
      </c>
      <c r="P1010">
        <f t="shared" si="591"/>
        <v>56.5</v>
      </c>
      <c r="Q1010">
        <f t="shared" si="592"/>
        <v>62.2</v>
      </c>
      <c r="R1010">
        <f t="shared" si="593"/>
        <v>53.1</v>
      </c>
      <c r="S1010">
        <f t="shared" si="594"/>
        <v>57.5</v>
      </c>
      <c r="V1010" s="6">
        <f t="shared" si="595"/>
        <v>45462.791666666664</v>
      </c>
      <c r="W1010">
        <f t="shared" si="596"/>
        <v>18.100000000000001</v>
      </c>
      <c r="X1010">
        <f t="shared" si="597"/>
        <v>22.6</v>
      </c>
      <c r="Y1010">
        <f t="shared" si="598"/>
        <v>12.5</v>
      </c>
      <c r="Z1010">
        <f t="shared" si="599"/>
        <v>19.100000000000001</v>
      </c>
    </row>
    <row r="1011" spans="1:26" x14ac:dyDescent="0.2">
      <c r="A1011" s="1">
        <v>45462</v>
      </c>
      <c r="B1011" s="2">
        <v>0.83333333333333337</v>
      </c>
      <c r="C1011" s="6">
        <v>45462.833333333336</v>
      </c>
      <c r="D1011">
        <v>61.6</v>
      </c>
      <c r="E1011">
        <v>66.5</v>
      </c>
      <c r="F1011">
        <v>55.4</v>
      </c>
      <c r="G1011" t="s">
        <v>6</v>
      </c>
      <c r="H1011">
        <v>20.2</v>
      </c>
      <c r="I1011">
        <v>22.5</v>
      </c>
      <c r="J1011">
        <v>17.399999999999999</v>
      </c>
      <c r="K1011" t="s">
        <v>6</v>
      </c>
      <c r="L1011">
        <v>219</v>
      </c>
      <c r="M1011" t="s">
        <v>6</v>
      </c>
      <c r="O1011" s="6">
        <f t="shared" si="590"/>
        <v>45462.833333333336</v>
      </c>
      <c r="P1011">
        <f t="shared" si="591"/>
        <v>61.6</v>
      </c>
      <c r="Q1011">
        <f t="shared" si="592"/>
        <v>66.5</v>
      </c>
      <c r="R1011">
        <f t="shared" si="593"/>
        <v>55.4</v>
      </c>
      <c r="S1011">
        <f t="shared" si="594"/>
        <v>62.6</v>
      </c>
      <c r="V1011" s="6">
        <f t="shared" si="595"/>
        <v>45462.833333333336</v>
      </c>
      <c r="W1011">
        <f t="shared" si="596"/>
        <v>20.2</v>
      </c>
      <c r="X1011">
        <f t="shared" si="597"/>
        <v>22.5</v>
      </c>
      <c r="Y1011">
        <f t="shared" si="598"/>
        <v>17.399999999999999</v>
      </c>
      <c r="Z1011">
        <f t="shared" si="599"/>
        <v>21.2</v>
      </c>
    </row>
    <row r="1012" spans="1:26" x14ac:dyDescent="0.2">
      <c r="A1012" s="1">
        <v>45462</v>
      </c>
      <c r="B1012" s="2">
        <v>0.875</v>
      </c>
      <c r="C1012" s="6">
        <v>45462.875</v>
      </c>
      <c r="D1012">
        <v>58.9</v>
      </c>
      <c r="E1012">
        <v>66.099999999999994</v>
      </c>
      <c r="F1012">
        <v>53.1</v>
      </c>
      <c r="G1012" t="s">
        <v>6</v>
      </c>
      <c r="H1012">
        <v>21</v>
      </c>
      <c r="I1012">
        <v>24</v>
      </c>
      <c r="J1012">
        <v>15.2</v>
      </c>
      <c r="K1012" t="s">
        <v>6</v>
      </c>
      <c r="L1012">
        <v>204</v>
      </c>
      <c r="M1012" t="s">
        <v>6</v>
      </c>
      <c r="O1012" s="6">
        <f t="shared" si="590"/>
        <v>45462.875</v>
      </c>
      <c r="P1012">
        <f t="shared" si="591"/>
        <v>58.9</v>
      </c>
      <c r="Q1012">
        <f t="shared" si="592"/>
        <v>66.099999999999994</v>
      </c>
      <c r="R1012">
        <f t="shared" si="593"/>
        <v>53.1</v>
      </c>
      <c r="S1012">
        <f t="shared" si="594"/>
        <v>59.9</v>
      </c>
      <c r="V1012" s="6">
        <f t="shared" si="595"/>
        <v>45462.875</v>
      </c>
      <c r="W1012">
        <f t="shared" si="596"/>
        <v>21</v>
      </c>
      <c r="X1012">
        <f t="shared" si="597"/>
        <v>24</v>
      </c>
      <c r="Y1012">
        <f t="shared" si="598"/>
        <v>15.2</v>
      </c>
      <c r="Z1012">
        <f t="shared" si="599"/>
        <v>22</v>
      </c>
    </row>
    <row r="1013" spans="1:26" x14ac:dyDescent="0.2">
      <c r="A1013" s="1">
        <v>45462</v>
      </c>
      <c r="B1013" s="2">
        <v>0.91666666666666663</v>
      </c>
      <c r="C1013" s="6">
        <v>45462.916666666664</v>
      </c>
      <c r="D1013">
        <v>62.8</v>
      </c>
      <c r="E1013">
        <v>68.8</v>
      </c>
      <c r="F1013">
        <v>52.9</v>
      </c>
      <c r="G1013" t="s">
        <v>6</v>
      </c>
      <c r="H1013">
        <v>20.8</v>
      </c>
      <c r="I1013">
        <v>23.8</v>
      </c>
      <c r="J1013">
        <v>17.2</v>
      </c>
      <c r="K1013" t="s">
        <v>6</v>
      </c>
      <c r="L1013">
        <v>191</v>
      </c>
      <c r="M1013" t="s">
        <v>6</v>
      </c>
      <c r="O1013" s="6">
        <f t="shared" si="590"/>
        <v>45462.916666666664</v>
      </c>
      <c r="P1013">
        <f t="shared" si="591"/>
        <v>62.8</v>
      </c>
      <c r="Q1013">
        <f t="shared" si="592"/>
        <v>68.8</v>
      </c>
      <c r="R1013">
        <f t="shared" si="593"/>
        <v>52.9</v>
      </c>
      <c r="S1013">
        <f t="shared" si="594"/>
        <v>63.8</v>
      </c>
      <c r="V1013" s="6">
        <f t="shared" si="595"/>
        <v>45462.916666666664</v>
      </c>
      <c r="W1013">
        <f t="shared" si="596"/>
        <v>20.8</v>
      </c>
      <c r="X1013">
        <f t="shared" si="597"/>
        <v>23.8</v>
      </c>
      <c r="Y1013">
        <f t="shared" si="598"/>
        <v>17.2</v>
      </c>
      <c r="Z1013">
        <f t="shared" si="599"/>
        <v>21.8</v>
      </c>
    </row>
    <row r="1014" spans="1:26" x14ac:dyDescent="0.2">
      <c r="A1014" s="1">
        <v>45463</v>
      </c>
      <c r="B1014" s="2">
        <v>0.125</v>
      </c>
      <c r="C1014" s="6">
        <v>45463.125</v>
      </c>
      <c r="D1014">
        <v>60.9</v>
      </c>
      <c r="E1014">
        <v>69.099999999999994</v>
      </c>
      <c r="F1014">
        <v>53.5</v>
      </c>
      <c r="G1014" t="s">
        <v>6</v>
      </c>
      <c r="H1014">
        <v>22.1</v>
      </c>
      <c r="I1014">
        <v>31.5</v>
      </c>
      <c r="J1014">
        <v>17.399999999999999</v>
      </c>
      <c r="K1014" t="s">
        <v>6</v>
      </c>
      <c r="L1014">
        <v>79</v>
      </c>
      <c r="M1014" t="s">
        <v>6</v>
      </c>
      <c r="O1014" s="6">
        <f t="shared" si="590"/>
        <v>45463.125</v>
      </c>
      <c r="P1014">
        <f t="shared" si="591"/>
        <v>60.9</v>
      </c>
      <c r="Q1014">
        <f t="shared" si="592"/>
        <v>69.099999999999994</v>
      </c>
      <c r="R1014">
        <f t="shared" si="593"/>
        <v>53.5</v>
      </c>
      <c r="S1014">
        <f t="shared" si="594"/>
        <v>61.9</v>
      </c>
      <c r="V1014" s="6">
        <f t="shared" si="595"/>
        <v>45463.125</v>
      </c>
      <c r="W1014">
        <f t="shared" si="596"/>
        <v>22.1</v>
      </c>
      <c r="X1014">
        <f t="shared" si="597"/>
        <v>31.5</v>
      </c>
      <c r="Y1014">
        <f t="shared" si="598"/>
        <v>17.399999999999999</v>
      </c>
      <c r="Z1014">
        <f t="shared" si="599"/>
        <v>23.1</v>
      </c>
    </row>
    <row r="1015" spans="1:26" x14ac:dyDescent="0.2">
      <c r="A1015" s="1">
        <v>45463</v>
      </c>
      <c r="B1015" s="2">
        <v>0.16666666666666666</v>
      </c>
      <c r="C1015" s="6">
        <v>45463.166666666664</v>
      </c>
      <c r="D1015">
        <v>70.2</v>
      </c>
      <c r="E1015">
        <v>80</v>
      </c>
      <c r="F1015">
        <v>55.9</v>
      </c>
      <c r="G1015" t="s">
        <v>6</v>
      </c>
      <c r="H1015">
        <v>20</v>
      </c>
      <c r="I1015">
        <v>24.7</v>
      </c>
      <c r="J1015">
        <v>17</v>
      </c>
      <c r="K1015" t="s">
        <v>6</v>
      </c>
      <c r="L1015">
        <v>211</v>
      </c>
      <c r="M1015" t="s">
        <v>6</v>
      </c>
      <c r="O1015" s="6">
        <f t="shared" si="590"/>
        <v>45463.166666666664</v>
      </c>
      <c r="P1015">
        <f t="shared" si="591"/>
        <v>70.2</v>
      </c>
      <c r="Q1015">
        <f t="shared" si="592"/>
        <v>80</v>
      </c>
      <c r="R1015">
        <f t="shared" si="593"/>
        <v>55.9</v>
      </c>
      <c r="S1015">
        <f t="shared" si="594"/>
        <v>71.2</v>
      </c>
      <c r="V1015" s="6">
        <f t="shared" si="595"/>
        <v>45463.166666666664</v>
      </c>
      <c r="W1015">
        <f t="shared" si="596"/>
        <v>20</v>
      </c>
      <c r="X1015">
        <f t="shared" si="597"/>
        <v>24.7</v>
      </c>
      <c r="Y1015">
        <f t="shared" si="598"/>
        <v>17</v>
      </c>
      <c r="Z1015">
        <f t="shared" si="599"/>
        <v>21</v>
      </c>
    </row>
    <row r="1016" spans="1:26" x14ac:dyDescent="0.2">
      <c r="A1016" s="1">
        <v>45463</v>
      </c>
      <c r="B1016" s="2">
        <v>0.20833333333333334</v>
      </c>
      <c r="C1016" s="6">
        <v>45463.208333333336</v>
      </c>
      <c r="D1016">
        <v>68.7</v>
      </c>
      <c r="E1016">
        <v>76.2</v>
      </c>
      <c r="F1016">
        <v>59.4</v>
      </c>
      <c r="G1016" t="s">
        <v>6</v>
      </c>
      <c r="H1016">
        <v>19.3</v>
      </c>
      <c r="I1016">
        <v>32</v>
      </c>
      <c r="J1016">
        <v>14.9</v>
      </c>
      <c r="K1016" t="s">
        <v>6</v>
      </c>
      <c r="L1016">
        <v>225</v>
      </c>
      <c r="M1016" t="s">
        <v>6</v>
      </c>
      <c r="O1016" s="6">
        <f t="shared" si="590"/>
        <v>45463.208333333336</v>
      </c>
      <c r="P1016">
        <f t="shared" si="591"/>
        <v>68.7</v>
      </c>
      <c r="Q1016">
        <f t="shared" si="592"/>
        <v>76.2</v>
      </c>
      <c r="R1016">
        <f t="shared" si="593"/>
        <v>59.4</v>
      </c>
      <c r="S1016">
        <f t="shared" si="594"/>
        <v>69.7</v>
      </c>
      <c r="V1016" s="6">
        <f t="shared" si="595"/>
        <v>45463.208333333336</v>
      </c>
      <c r="W1016">
        <f t="shared" si="596"/>
        <v>19.3</v>
      </c>
      <c r="X1016">
        <f t="shared" si="597"/>
        <v>32</v>
      </c>
      <c r="Y1016">
        <f t="shared" si="598"/>
        <v>14.9</v>
      </c>
      <c r="Z1016">
        <f t="shared" si="599"/>
        <v>20.3</v>
      </c>
    </row>
    <row r="1017" spans="1:26" x14ac:dyDescent="0.2">
      <c r="A1017" s="1">
        <v>45463</v>
      </c>
      <c r="B1017" s="2">
        <v>0.25</v>
      </c>
      <c r="C1017" s="6">
        <v>45463.25</v>
      </c>
      <c r="D1017">
        <v>63.5</v>
      </c>
      <c r="E1017">
        <v>68.7</v>
      </c>
      <c r="F1017">
        <v>57.4</v>
      </c>
      <c r="G1017" t="s">
        <v>6</v>
      </c>
      <c r="H1017">
        <v>18.399999999999999</v>
      </c>
      <c r="I1017">
        <v>27.1</v>
      </c>
      <c r="J1017">
        <v>14.3</v>
      </c>
      <c r="K1017" t="s">
        <v>6</v>
      </c>
      <c r="L1017">
        <v>226</v>
      </c>
      <c r="M1017" t="s">
        <v>6</v>
      </c>
      <c r="O1017" s="6">
        <f t="shared" si="590"/>
        <v>45463.25</v>
      </c>
      <c r="P1017">
        <f t="shared" si="591"/>
        <v>63.5</v>
      </c>
      <c r="Q1017">
        <f t="shared" si="592"/>
        <v>68.7</v>
      </c>
      <c r="R1017">
        <f t="shared" si="593"/>
        <v>57.4</v>
      </c>
      <c r="S1017">
        <f t="shared" si="594"/>
        <v>64.5</v>
      </c>
      <c r="V1017" s="6">
        <f t="shared" si="595"/>
        <v>45463.25</v>
      </c>
      <c r="W1017">
        <f t="shared" si="596"/>
        <v>18.399999999999999</v>
      </c>
      <c r="X1017">
        <f t="shared" si="597"/>
        <v>27.1</v>
      </c>
      <c r="Y1017">
        <f t="shared" si="598"/>
        <v>14.3</v>
      </c>
      <c r="Z1017">
        <f t="shared" si="599"/>
        <v>19.399999999999999</v>
      </c>
    </row>
    <row r="1018" spans="1:26" x14ac:dyDescent="0.2">
      <c r="A1018" s="1">
        <v>45463</v>
      </c>
      <c r="B1018" s="2">
        <v>0.29166666666666669</v>
      </c>
      <c r="C1018" s="6">
        <v>45463.291666666664</v>
      </c>
      <c r="D1018">
        <v>62.6</v>
      </c>
      <c r="E1018">
        <v>69</v>
      </c>
      <c r="F1018">
        <v>57.2</v>
      </c>
      <c r="G1018" t="s">
        <v>6</v>
      </c>
      <c r="H1018">
        <v>18.899999999999999</v>
      </c>
      <c r="I1018">
        <v>23.6</v>
      </c>
      <c r="J1018">
        <v>15.4</v>
      </c>
      <c r="K1018" t="s">
        <v>6</v>
      </c>
      <c r="L1018">
        <v>218</v>
      </c>
      <c r="M1018" t="s">
        <v>6</v>
      </c>
      <c r="O1018" s="6">
        <f t="shared" si="590"/>
        <v>45463.291666666664</v>
      </c>
      <c r="P1018">
        <f t="shared" si="591"/>
        <v>62.6</v>
      </c>
      <c r="Q1018">
        <f t="shared" si="592"/>
        <v>69</v>
      </c>
      <c r="R1018">
        <f t="shared" si="593"/>
        <v>57.2</v>
      </c>
      <c r="S1018">
        <f t="shared" si="594"/>
        <v>63.6</v>
      </c>
      <c r="V1018" s="6">
        <f t="shared" si="595"/>
        <v>45463.291666666664</v>
      </c>
      <c r="W1018">
        <f t="shared" si="596"/>
        <v>18.899999999999999</v>
      </c>
      <c r="X1018">
        <f t="shared" si="597"/>
        <v>23.6</v>
      </c>
      <c r="Y1018">
        <f t="shared" si="598"/>
        <v>15.4</v>
      </c>
      <c r="Z1018">
        <f t="shared" si="599"/>
        <v>19.899999999999999</v>
      </c>
    </row>
    <row r="1019" spans="1:26" x14ac:dyDescent="0.2">
      <c r="A1019" s="14">
        <v>45463</v>
      </c>
      <c r="B1019" s="7">
        <v>0.33333333333333331</v>
      </c>
      <c r="C1019" s="8">
        <v>45463.333333333336</v>
      </c>
      <c r="D1019" s="9">
        <v>63.5</v>
      </c>
      <c r="E1019" s="9">
        <v>78.2</v>
      </c>
      <c r="F1019" s="9">
        <v>55.3</v>
      </c>
      <c r="G1019" s="9" t="s">
        <v>6</v>
      </c>
      <c r="H1019" s="9">
        <v>18.7</v>
      </c>
      <c r="I1019" s="9">
        <v>24.2</v>
      </c>
      <c r="J1019" s="9">
        <v>13.3</v>
      </c>
      <c r="K1019" s="9" t="s">
        <v>6</v>
      </c>
      <c r="L1019" s="9">
        <v>215</v>
      </c>
      <c r="M1019" t="s">
        <v>6</v>
      </c>
      <c r="O1019" s="6">
        <f t="shared" si="590"/>
        <v>45463.333333333336</v>
      </c>
      <c r="P1019">
        <f t="shared" si="591"/>
        <v>63.5</v>
      </c>
      <c r="Q1019">
        <f t="shared" si="592"/>
        <v>78.2</v>
      </c>
      <c r="R1019">
        <f t="shared" si="593"/>
        <v>55.3</v>
      </c>
      <c r="S1019">
        <f t="shared" si="594"/>
        <v>64.5</v>
      </c>
      <c r="V1019" s="6">
        <f t="shared" si="595"/>
        <v>45463.333333333336</v>
      </c>
      <c r="W1019">
        <f t="shared" si="596"/>
        <v>18.7</v>
      </c>
      <c r="X1019">
        <f t="shared" si="597"/>
        <v>24.2</v>
      </c>
      <c r="Y1019">
        <f t="shared" si="598"/>
        <v>13.3</v>
      </c>
      <c r="Z1019">
        <f t="shared" si="599"/>
        <v>19.7</v>
      </c>
    </row>
    <row r="1020" spans="1:26" x14ac:dyDescent="0.2">
      <c r="A1020" s="13">
        <v>45463</v>
      </c>
      <c r="B1020" s="3">
        <v>0.375</v>
      </c>
      <c r="C1020" s="4">
        <v>45463.375</v>
      </c>
      <c r="D1020" s="5">
        <v>66.7</v>
      </c>
      <c r="E1020" s="5">
        <v>77.2</v>
      </c>
      <c r="F1020" s="5">
        <v>60.1</v>
      </c>
      <c r="G1020" s="5" t="s">
        <v>6</v>
      </c>
      <c r="H1020" s="5">
        <v>18.399999999999999</v>
      </c>
      <c r="I1020" s="5">
        <v>28.8</v>
      </c>
      <c r="J1020" s="5">
        <v>15.2</v>
      </c>
      <c r="K1020" s="5" t="s">
        <v>6</v>
      </c>
      <c r="L1020" s="5">
        <v>225</v>
      </c>
      <c r="M1020" t="s">
        <v>6</v>
      </c>
      <c r="O1020" s="6">
        <f t="shared" si="590"/>
        <v>45463.375</v>
      </c>
      <c r="P1020">
        <f t="shared" si="591"/>
        <v>66.7</v>
      </c>
      <c r="Q1020">
        <f t="shared" si="592"/>
        <v>77.2</v>
      </c>
      <c r="R1020">
        <f t="shared" si="593"/>
        <v>60.1</v>
      </c>
      <c r="S1020">
        <f t="shared" si="594"/>
        <v>67.7</v>
      </c>
      <c r="V1020" s="6">
        <f t="shared" si="595"/>
        <v>45463.375</v>
      </c>
      <c r="W1020">
        <f t="shared" si="596"/>
        <v>18.399999999999999</v>
      </c>
      <c r="X1020">
        <f t="shared" si="597"/>
        <v>28.8</v>
      </c>
      <c r="Y1020">
        <f t="shared" si="598"/>
        <v>15.2</v>
      </c>
      <c r="Z1020">
        <f t="shared" si="599"/>
        <v>19.399999999999999</v>
      </c>
    </row>
    <row r="1021" spans="1:26" x14ac:dyDescent="0.2">
      <c r="A1021" s="1">
        <v>45463</v>
      </c>
      <c r="B1021" s="2">
        <v>0.41666666666666669</v>
      </c>
      <c r="C1021" s="6">
        <v>45463.416666666664</v>
      </c>
      <c r="D1021">
        <v>65.8</v>
      </c>
      <c r="E1021">
        <v>79.2</v>
      </c>
      <c r="F1021">
        <v>53.8</v>
      </c>
      <c r="G1021" t="s">
        <v>6</v>
      </c>
      <c r="H1021">
        <v>18.7</v>
      </c>
      <c r="I1021">
        <v>24.7</v>
      </c>
      <c r="J1021">
        <v>15.3</v>
      </c>
      <c r="K1021" t="s">
        <v>6</v>
      </c>
      <c r="L1021">
        <v>191</v>
      </c>
      <c r="M1021" t="s">
        <v>6</v>
      </c>
      <c r="O1021" s="6">
        <f t="shared" si="590"/>
        <v>45463.416666666664</v>
      </c>
      <c r="P1021">
        <f t="shared" si="591"/>
        <v>65.8</v>
      </c>
      <c r="Q1021">
        <f t="shared" si="592"/>
        <v>79.2</v>
      </c>
      <c r="R1021">
        <f t="shared" si="593"/>
        <v>53.8</v>
      </c>
      <c r="S1021">
        <f t="shared" si="594"/>
        <v>66.8</v>
      </c>
      <c r="V1021" s="6">
        <f t="shared" si="595"/>
        <v>45463.416666666664</v>
      </c>
      <c r="W1021">
        <f t="shared" si="596"/>
        <v>18.7</v>
      </c>
      <c r="X1021">
        <f t="shared" si="597"/>
        <v>24.7</v>
      </c>
      <c r="Y1021">
        <f t="shared" si="598"/>
        <v>15.3</v>
      </c>
      <c r="Z1021">
        <f t="shared" si="599"/>
        <v>19.7</v>
      </c>
    </row>
    <row r="1022" spans="1:26" x14ac:dyDescent="0.2">
      <c r="A1022" s="1">
        <v>45463</v>
      </c>
      <c r="B1022" s="2">
        <v>0.45833333333333331</v>
      </c>
      <c r="C1022" s="6">
        <v>45463.458333333336</v>
      </c>
      <c r="D1022">
        <v>69.900000000000006</v>
      </c>
      <c r="E1022">
        <v>80.8</v>
      </c>
      <c r="F1022">
        <v>58</v>
      </c>
      <c r="G1022" t="s">
        <v>6</v>
      </c>
      <c r="H1022">
        <v>19.5</v>
      </c>
      <c r="I1022">
        <v>22.2</v>
      </c>
      <c r="J1022">
        <v>16.100000000000001</v>
      </c>
      <c r="K1022" t="s">
        <v>6</v>
      </c>
      <c r="L1022">
        <v>230</v>
      </c>
      <c r="M1022" t="s">
        <v>6</v>
      </c>
      <c r="O1022" s="6">
        <f t="shared" si="590"/>
        <v>45463.458333333336</v>
      </c>
      <c r="P1022">
        <f t="shared" si="591"/>
        <v>69.900000000000006</v>
      </c>
      <c r="Q1022">
        <f t="shared" si="592"/>
        <v>80.8</v>
      </c>
      <c r="R1022">
        <f t="shared" si="593"/>
        <v>58</v>
      </c>
      <c r="S1022">
        <f t="shared" si="594"/>
        <v>70.900000000000006</v>
      </c>
      <c r="V1022" s="6">
        <f t="shared" si="595"/>
        <v>45463.458333333336</v>
      </c>
      <c r="W1022">
        <f t="shared" si="596"/>
        <v>19.5</v>
      </c>
      <c r="X1022">
        <f t="shared" si="597"/>
        <v>22.2</v>
      </c>
      <c r="Y1022">
        <f t="shared" si="598"/>
        <v>16.100000000000001</v>
      </c>
      <c r="Z1022">
        <f t="shared" si="599"/>
        <v>20.5</v>
      </c>
    </row>
    <row r="1023" spans="1:26" x14ac:dyDescent="0.2">
      <c r="A1023" s="1">
        <v>45463</v>
      </c>
      <c r="B1023" s="2">
        <v>0.5</v>
      </c>
      <c r="C1023" s="6">
        <v>45463.5</v>
      </c>
      <c r="D1023">
        <v>60.6</v>
      </c>
      <c r="E1023">
        <v>71</v>
      </c>
      <c r="F1023">
        <v>54</v>
      </c>
      <c r="G1023" t="s">
        <v>6</v>
      </c>
      <c r="H1023">
        <v>20.3</v>
      </c>
      <c r="I1023">
        <v>23.8</v>
      </c>
      <c r="J1023">
        <v>15.5</v>
      </c>
      <c r="K1023" t="s">
        <v>6</v>
      </c>
      <c r="L1023">
        <v>136</v>
      </c>
      <c r="M1023" t="s">
        <v>6</v>
      </c>
      <c r="O1023" s="6">
        <f t="shared" si="590"/>
        <v>45463.5</v>
      </c>
      <c r="P1023">
        <f t="shared" si="591"/>
        <v>60.6</v>
      </c>
      <c r="Q1023">
        <f t="shared" si="592"/>
        <v>71</v>
      </c>
      <c r="R1023">
        <f t="shared" si="593"/>
        <v>54</v>
      </c>
      <c r="S1023">
        <f t="shared" si="594"/>
        <v>61.6</v>
      </c>
      <c r="V1023" s="6">
        <f t="shared" si="595"/>
        <v>45463.5</v>
      </c>
      <c r="W1023">
        <f t="shared" si="596"/>
        <v>20.3</v>
      </c>
      <c r="X1023">
        <f t="shared" si="597"/>
        <v>23.8</v>
      </c>
      <c r="Y1023">
        <f t="shared" si="598"/>
        <v>15.5</v>
      </c>
      <c r="Z1023">
        <f t="shared" si="599"/>
        <v>21.3</v>
      </c>
    </row>
    <row r="1024" spans="1:26" x14ac:dyDescent="0.2">
      <c r="A1024" s="1">
        <v>45463</v>
      </c>
      <c r="B1024" s="2">
        <v>0.54166666666666663</v>
      </c>
      <c r="C1024" s="6">
        <v>45463.541666666664</v>
      </c>
      <c r="D1024">
        <v>52.7</v>
      </c>
      <c r="E1024">
        <v>58.4</v>
      </c>
      <c r="F1024">
        <v>48.2</v>
      </c>
      <c r="G1024" t="s">
        <v>6</v>
      </c>
      <c r="H1024">
        <v>21.2</v>
      </c>
      <c r="I1024">
        <v>26.8</v>
      </c>
      <c r="J1024">
        <v>17</v>
      </c>
      <c r="K1024" t="s">
        <v>6</v>
      </c>
      <c r="L1024">
        <v>204</v>
      </c>
      <c r="M1024" t="s">
        <v>6</v>
      </c>
      <c r="O1024" s="6">
        <f t="shared" ref="O1024:O1087" si="600">C1024</f>
        <v>45463.541666666664</v>
      </c>
      <c r="P1024">
        <f t="shared" ref="P1024:P1087" si="601">D1024</f>
        <v>52.7</v>
      </c>
      <c r="Q1024">
        <f t="shared" ref="Q1024:Q1087" si="602">E1024</f>
        <v>58.4</v>
      </c>
      <c r="R1024">
        <f t="shared" ref="R1024:R1087" si="603">F1024</f>
        <v>48.2</v>
      </c>
      <c r="S1024">
        <f t="shared" ref="S1024:S1087" si="604">P1024+1</f>
        <v>53.7</v>
      </c>
      <c r="V1024" s="6">
        <f t="shared" ref="V1024:V1087" si="605">O1024</f>
        <v>45463.541666666664</v>
      </c>
      <c r="W1024">
        <f t="shared" ref="W1024:W1087" si="606">H1024</f>
        <v>21.2</v>
      </c>
      <c r="X1024">
        <f t="shared" ref="X1024:X1087" si="607">I1024</f>
        <v>26.8</v>
      </c>
      <c r="Y1024">
        <f t="shared" ref="Y1024:Y1087" si="608">J1024</f>
        <v>17</v>
      </c>
      <c r="Z1024">
        <f t="shared" ref="Z1024:Z1087" si="609">W1024+1</f>
        <v>22.2</v>
      </c>
    </row>
    <row r="1025" spans="1:26" x14ac:dyDescent="0.2">
      <c r="A1025" s="1">
        <v>45463</v>
      </c>
      <c r="B1025" s="2">
        <v>0.58333333333333337</v>
      </c>
      <c r="C1025" s="6">
        <v>45463.583333333336</v>
      </c>
      <c r="D1025">
        <v>59.9</v>
      </c>
      <c r="E1025">
        <v>67.2</v>
      </c>
      <c r="F1025">
        <v>53.9</v>
      </c>
      <c r="G1025" t="s">
        <v>6</v>
      </c>
      <c r="H1025">
        <v>22.1</v>
      </c>
      <c r="I1025">
        <v>27.5</v>
      </c>
      <c r="J1025">
        <v>18.3</v>
      </c>
      <c r="K1025" t="s">
        <v>6</v>
      </c>
      <c r="L1025">
        <v>170</v>
      </c>
      <c r="M1025" t="s">
        <v>6</v>
      </c>
      <c r="O1025" s="6">
        <f t="shared" si="600"/>
        <v>45463.583333333336</v>
      </c>
      <c r="P1025">
        <f t="shared" si="601"/>
        <v>59.9</v>
      </c>
      <c r="Q1025">
        <f t="shared" si="602"/>
        <v>67.2</v>
      </c>
      <c r="R1025">
        <f t="shared" si="603"/>
        <v>53.9</v>
      </c>
      <c r="S1025">
        <f t="shared" si="604"/>
        <v>60.9</v>
      </c>
      <c r="V1025" s="6">
        <f t="shared" si="605"/>
        <v>45463.583333333336</v>
      </c>
      <c r="W1025">
        <f t="shared" si="606"/>
        <v>22.1</v>
      </c>
      <c r="X1025">
        <f t="shared" si="607"/>
        <v>27.5</v>
      </c>
      <c r="Y1025">
        <f t="shared" si="608"/>
        <v>18.3</v>
      </c>
      <c r="Z1025">
        <f t="shared" si="609"/>
        <v>23.1</v>
      </c>
    </row>
    <row r="1026" spans="1:26" x14ac:dyDescent="0.2">
      <c r="A1026" s="1">
        <v>45463</v>
      </c>
      <c r="B1026" s="2">
        <v>0.625</v>
      </c>
      <c r="C1026" s="6">
        <v>45463.625</v>
      </c>
      <c r="D1026">
        <v>56.6</v>
      </c>
      <c r="E1026">
        <v>62</v>
      </c>
      <c r="F1026">
        <v>52.5</v>
      </c>
      <c r="G1026" t="s">
        <v>6</v>
      </c>
      <c r="H1026">
        <v>20.6</v>
      </c>
      <c r="I1026">
        <v>28.3</v>
      </c>
      <c r="J1026">
        <v>16.2</v>
      </c>
      <c r="K1026" t="s">
        <v>6</v>
      </c>
      <c r="L1026">
        <v>214</v>
      </c>
      <c r="M1026" t="s">
        <v>6</v>
      </c>
      <c r="O1026" s="6">
        <f t="shared" si="600"/>
        <v>45463.625</v>
      </c>
      <c r="P1026">
        <f t="shared" si="601"/>
        <v>56.6</v>
      </c>
      <c r="Q1026">
        <f t="shared" si="602"/>
        <v>62</v>
      </c>
      <c r="R1026">
        <f t="shared" si="603"/>
        <v>52.5</v>
      </c>
      <c r="S1026">
        <f t="shared" si="604"/>
        <v>57.6</v>
      </c>
      <c r="V1026" s="6">
        <f t="shared" si="605"/>
        <v>45463.625</v>
      </c>
      <c r="W1026">
        <f t="shared" si="606"/>
        <v>20.6</v>
      </c>
      <c r="X1026">
        <f t="shared" si="607"/>
        <v>28.3</v>
      </c>
      <c r="Y1026">
        <f t="shared" si="608"/>
        <v>16.2</v>
      </c>
      <c r="Z1026">
        <f t="shared" si="609"/>
        <v>21.6</v>
      </c>
    </row>
    <row r="1027" spans="1:26" x14ac:dyDescent="0.2">
      <c r="A1027" s="1">
        <v>45463</v>
      </c>
      <c r="B1027" s="2">
        <v>0.66666666666666663</v>
      </c>
      <c r="C1027" s="6">
        <v>45463.666666666664</v>
      </c>
      <c r="D1027">
        <v>61.2</v>
      </c>
      <c r="E1027">
        <v>65.599999999999994</v>
      </c>
      <c r="F1027">
        <v>54</v>
      </c>
      <c r="G1027" t="s">
        <v>6</v>
      </c>
      <c r="H1027">
        <v>20.3</v>
      </c>
      <c r="I1027">
        <v>28.7</v>
      </c>
      <c r="J1027">
        <v>15.5</v>
      </c>
      <c r="K1027" t="s">
        <v>6</v>
      </c>
      <c r="L1027">
        <v>221</v>
      </c>
      <c r="M1027" t="s">
        <v>6</v>
      </c>
      <c r="O1027" s="6">
        <f t="shared" si="600"/>
        <v>45463.666666666664</v>
      </c>
      <c r="P1027">
        <f t="shared" si="601"/>
        <v>61.2</v>
      </c>
      <c r="Q1027">
        <f t="shared" si="602"/>
        <v>65.599999999999994</v>
      </c>
      <c r="R1027">
        <f t="shared" si="603"/>
        <v>54</v>
      </c>
      <c r="S1027">
        <f t="shared" si="604"/>
        <v>62.2</v>
      </c>
      <c r="V1027" s="6">
        <f t="shared" si="605"/>
        <v>45463.666666666664</v>
      </c>
      <c r="W1027">
        <f t="shared" si="606"/>
        <v>20.3</v>
      </c>
      <c r="X1027">
        <f t="shared" si="607"/>
        <v>28.7</v>
      </c>
      <c r="Y1027">
        <f t="shared" si="608"/>
        <v>15.5</v>
      </c>
      <c r="Z1027">
        <f t="shared" si="609"/>
        <v>21.3</v>
      </c>
    </row>
    <row r="1028" spans="1:26" x14ac:dyDescent="0.2">
      <c r="A1028" s="1">
        <v>45463</v>
      </c>
      <c r="B1028" s="2">
        <v>0.70833333333333337</v>
      </c>
      <c r="C1028" s="6">
        <v>45463.708333333336</v>
      </c>
      <c r="D1028">
        <v>64.2</v>
      </c>
      <c r="E1028">
        <v>69.900000000000006</v>
      </c>
      <c r="F1028">
        <v>58.8</v>
      </c>
      <c r="G1028" t="s">
        <v>6</v>
      </c>
      <c r="H1028">
        <v>20.3</v>
      </c>
      <c r="I1028">
        <v>24.6</v>
      </c>
      <c r="J1028">
        <v>18.399999999999999</v>
      </c>
      <c r="K1028" t="s">
        <v>6</v>
      </c>
      <c r="L1028">
        <v>225</v>
      </c>
      <c r="M1028" t="s">
        <v>6</v>
      </c>
      <c r="O1028" s="6">
        <f t="shared" si="600"/>
        <v>45463.708333333336</v>
      </c>
      <c r="P1028">
        <f t="shared" si="601"/>
        <v>64.2</v>
      </c>
      <c r="Q1028">
        <f t="shared" si="602"/>
        <v>69.900000000000006</v>
      </c>
      <c r="R1028">
        <f t="shared" si="603"/>
        <v>58.8</v>
      </c>
      <c r="S1028">
        <f t="shared" si="604"/>
        <v>65.2</v>
      </c>
      <c r="V1028" s="6">
        <f t="shared" si="605"/>
        <v>45463.708333333336</v>
      </c>
      <c r="W1028">
        <f t="shared" si="606"/>
        <v>20.3</v>
      </c>
      <c r="X1028">
        <f t="shared" si="607"/>
        <v>24.6</v>
      </c>
      <c r="Y1028">
        <f t="shared" si="608"/>
        <v>18.399999999999999</v>
      </c>
      <c r="Z1028">
        <f t="shared" si="609"/>
        <v>21.3</v>
      </c>
    </row>
    <row r="1029" spans="1:26" x14ac:dyDescent="0.2">
      <c r="A1029" s="1">
        <v>45463</v>
      </c>
      <c r="B1029" s="2">
        <v>0.75</v>
      </c>
      <c r="C1029" s="6">
        <v>45463.75</v>
      </c>
      <c r="D1029">
        <v>59.8</v>
      </c>
      <c r="E1029">
        <v>65.099999999999994</v>
      </c>
      <c r="F1029">
        <v>54.5</v>
      </c>
      <c r="G1029" t="s">
        <v>6</v>
      </c>
      <c r="H1029">
        <v>22</v>
      </c>
      <c r="I1029">
        <v>25.2</v>
      </c>
      <c r="J1029">
        <v>18.899999999999999</v>
      </c>
      <c r="K1029" t="s">
        <v>6</v>
      </c>
      <c r="L1029">
        <v>203</v>
      </c>
      <c r="M1029" t="s">
        <v>6</v>
      </c>
      <c r="O1029" s="6">
        <f t="shared" si="600"/>
        <v>45463.75</v>
      </c>
      <c r="P1029">
        <f t="shared" si="601"/>
        <v>59.8</v>
      </c>
      <c r="Q1029">
        <f t="shared" si="602"/>
        <v>65.099999999999994</v>
      </c>
      <c r="R1029">
        <f t="shared" si="603"/>
        <v>54.5</v>
      </c>
      <c r="S1029">
        <f t="shared" si="604"/>
        <v>60.8</v>
      </c>
      <c r="V1029" s="6">
        <f t="shared" si="605"/>
        <v>45463.75</v>
      </c>
      <c r="W1029">
        <f t="shared" si="606"/>
        <v>22</v>
      </c>
      <c r="X1029">
        <f t="shared" si="607"/>
        <v>25.2</v>
      </c>
      <c r="Y1029">
        <f t="shared" si="608"/>
        <v>18.899999999999999</v>
      </c>
      <c r="Z1029">
        <f t="shared" si="609"/>
        <v>23</v>
      </c>
    </row>
    <row r="1030" spans="1:26" x14ac:dyDescent="0.2">
      <c r="A1030" s="1">
        <v>45463</v>
      </c>
      <c r="B1030" s="2">
        <v>0.79166666666666663</v>
      </c>
      <c r="C1030" s="6">
        <v>45463.791666666664</v>
      </c>
      <c r="D1030">
        <v>59.3</v>
      </c>
      <c r="E1030">
        <v>63.1</v>
      </c>
      <c r="F1030">
        <v>51.8</v>
      </c>
      <c r="G1030" t="s">
        <v>6</v>
      </c>
      <c r="H1030">
        <v>20.7</v>
      </c>
      <c r="I1030">
        <v>23.6</v>
      </c>
      <c r="J1030">
        <v>17.100000000000001</v>
      </c>
      <c r="K1030" t="s">
        <v>6</v>
      </c>
      <c r="L1030">
        <v>216</v>
      </c>
      <c r="M1030" t="s">
        <v>6</v>
      </c>
      <c r="O1030" s="6">
        <f t="shared" si="600"/>
        <v>45463.791666666664</v>
      </c>
      <c r="P1030">
        <f t="shared" si="601"/>
        <v>59.3</v>
      </c>
      <c r="Q1030">
        <f t="shared" si="602"/>
        <v>63.1</v>
      </c>
      <c r="R1030">
        <f t="shared" si="603"/>
        <v>51.8</v>
      </c>
      <c r="S1030">
        <f t="shared" si="604"/>
        <v>60.3</v>
      </c>
      <c r="V1030" s="6">
        <f t="shared" si="605"/>
        <v>45463.791666666664</v>
      </c>
      <c r="W1030">
        <f t="shared" si="606"/>
        <v>20.7</v>
      </c>
      <c r="X1030">
        <f t="shared" si="607"/>
        <v>23.6</v>
      </c>
      <c r="Y1030">
        <f t="shared" si="608"/>
        <v>17.100000000000001</v>
      </c>
      <c r="Z1030">
        <f t="shared" si="609"/>
        <v>21.7</v>
      </c>
    </row>
    <row r="1031" spans="1:26" x14ac:dyDescent="0.2">
      <c r="A1031" s="1">
        <v>45463</v>
      </c>
      <c r="B1031" s="2">
        <v>0.83333333333333337</v>
      </c>
      <c r="C1031" s="6">
        <v>45463.833333333336</v>
      </c>
      <c r="D1031">
        <v>54</v>
      </c>
      <c r="E1031">
        <v>63.7</v>
      </c>
      <c r="F1031">
        <v>46.7</v>
      </c>
      <c r="G1031" t="s">
        <v>6</v>
      </c>
      <c r="H1031">
        <v>21</v>
      </c>
      <c r="I1031">
        <v>29.4</v>
      </c>
      <c r="J1031">
        <v>15.5</v>
      </c>
      <c r="K1031" t="s">
        <v>6</v>
      </c>
      <c r="L1031">
        <v>221</v>
      </c>
      <c r="M1031" t="s">
        <v>6</v>
      </c>
      <c r="O1031" s="6">
        <f t="shared" si="600"/>
        <v>45463.833333333336</v>
      </c>
      <c r="P1031">
        <f t="shared" si="601"/>
        <v>54</v>
      </c>
      <c r="Q1031">
        <f t="shared" si="602"/>
        <v>63.7</v>
      </c>
      <c r="R1031">
        <f t="shared" si="603"/>
        <v>46.7</v>
      </c>
      <c r="S1031">
        <f t="shared" si="604"/>
        <v>55</v>
      </c>
      <c r="V1031" s="6">
        <f t="shared" si="605"/>
        <v>45463.833333333336</v>
      </c>
      <c r="W1031">
        <f t="shared" si="606"/>
        <v>21</v>
      </c>
      <c r="X1031">
        <f t="shared" si="607"/>
        <v>29.4</v>
      </c>
      <c r="Y1031">
        <f t="shared" si="608"/>
        <v>15.5</v>
      </c>
      <c r="Z1031">
        <f t="shared" si="609"/>
        <v>22</v>
      </c>
    </row>
    <row r="1032" spans="1:26" x14ac:dyDescent="0.2">
      <c r="A1032" s="1">
        <v>45463</v>
      </c>
      <c r="B1032" s="2">
        <v>0.875</v>
      </c>
      <c r="C1032" s="6">
        <v>45463.875</v>
      </c>
      <c r="D1032">
        <v>66.099999999999994</v>
      </c>
      <c r="E1032">
        <v>73</v>
      </c>
      <c r="F1032">
        <v>58.8</v>
      </c>
      <c r="G1032" t="s">
        <v>6</v>
      </c>
      <c r="H1032">
        <v>21.2</v>
      </c>
      <c r="I1032">
        <v>24.4</v>
      </c>
      <c r="J1032">
        <v>19</v>
      </c>
      <c r="K1032" t="s">
        <v>6</v>
      </c>
      <c r="L1032">
        <v>229</v>
      </c>
      <c r="M1032" t="s">
        <v>6</v>
      </c>
      <c r="O1032" s="6">
        <f t="shared" si="600"/>
        <v>45463.875</v>
      </c>
      <c r="P1032">
        <f t="shared" si="601"/>
        <v>66.099999999999994</v>
      </c>
      <c r="Q1032">
        <f t="shared" si="602"/>
        <v>73</v>
      </c>
      <c r="R1032">
        <f t="shared" si="603"/>
        <v>58.8</v>
      </c>
      <c r="S1032">
        <f t="shared" si="604"/>
        <v>67.099999999999994</v>
      </c>
      <c r="V1032" s="6">
        <f t="shared" si="605"/>
        <v>45463.875</v>
      </c>
      <c r="W1032">
        <f t="shared" si="606"/>
        <v>21.2</v>
      </c>
      <c r="X1032">
        <f t="shared" si="607"/>
        <v>24.4</v>
      </c>
      <c r="Y1032">
        <f t="shared" si="608"/>
        <v>19</v>
      </c>
      <c r="Z1032">
        <f t="shared" si="609"/>
        <v>22.2</v>
      </c>
    </row>
    <row r="1033" spans="1:26" x14ac:dyDescent="0.2">
      <c r="A1033" s="1">
        <v>45463</v>
      </c>
      <c r="B1033" s="2">
        <v>0.91666666666666663</v>
      </c>
      <c r="C1033" s="6">
        <v>45463.916666666664</v>
      </c>
      <c r="D1033">
        <v>63.7</v>
      </c>
      <c r="E1033">
        <v>70.8</v>
      </c>
      <c r="F1033">
        <v>52.2</v>
      </c>
      <c r="G1033" t="s">
        <v>6</v>
      </c>
      <c r="H1033">
        <v>20.7</v>
      </c>
      <c r="I1033">
        <v>23.5</v>
      </c>
      <c r="J1033">
        <v>17.2</v>
      </c>
      <c r="K1033" t="s">
        <v>6</v>
      </c>
      <c r="L1033">
        <v>224</v>
      </c>
      <c r="M1033" t="s">
        <v>6</v>
      </c>
      <c r="O1033" s="6">
        <f t="shared" si="600"/>
        <v>45463.916666666664</v>
      </c>
      <c r="P1033">
        <f t="shared" si="601"/>
        <v>63.7</v>
      </c>
      <c r="Q1033">
        <f t="shared" si="602"/>
        <v>70.8</v>
      </c>
      <c r="R1033">
        <f t="shared" si="603"/>
        <v>52.2</v>
      </c>
      <c r="S1033">
        <f t="shared" si="604"/>
        <v>64.7</v>
      </c>
      <c r="V1033" s="6">
        <f t="shared" si="605"/>
        <v>45463.916666666664</v>
      </c>
      <c r="W1033">
        <f t="shared" si="606"/>
        <v>20.7</v>
      </c>
      <c r="X1033">
        <f t="shared" si="607"/>
        <v>23.5</v>
      </c>
      <c r="Y1033">
        <f t="shared" si="608"/>
        <v>17.2</v>
      </c>
      <c r="Z1033">
        <f t="shared" si="609"/>
        <v>21.7</v>
      </c>
    </row>
    <row r="1034" spans="1:26" x14ac:dyDescent="0.2">
      <c r="A1034" s="1">
        <v>45463</v>
      </c>
      <c r="B1034" s="2">
        <v>0.95833333333333337</v>
      </c>
      <c r="C1034" s="6">
        <v>45463.958333333336</v>
      </c>
      <c r="D1034">
        <v>64</v>
      </c>
      <c r="E1034">
        <v>70.2</v>
      </c>
      <c r="F1034">
        <v>58.2</v>
      </c>
      <c r="G1034" t="s">
        <v>6</v>
      </c>
      <c r="H1034">
        <v>20.8</v>
      </c>
      <c r="I1034">
        <v>24.5</v>
      </c>
      <c r="J1034">
        <v>17.8</v>
      </c>
      <c r="K1034" t="s">
        <v>6</v>
      </c>
      <c r="L1034">
        <v>228</v>
      </c>
      <c r="M1034" t="s">
        <v>6</v>
      </c>
      <c r="O1034" s="6">
        <f t="shared" si="600"/>
        <v>45463.958333333336</v>
      </c>
      <c r="P1034">
        <f t="shared" si="601"/>
        <v>64</v>
      </c>
      <c r="Q1034">
        <f t="shared" si="602"/>
        <v>70.2</v>
      </c>
      <c r="R1034">
        <f t="shared" si="603"/>
        <v>58.2</v>
      </c>
      <c r="S1034">
        <f t="shared" si="604"/>
        <v>65</v>
      </c>
      <c r="V1034" s="6">
        <f t="shared" si="605"/>
        <v>45463.958333333336</v>
      </c>
      <c r="W1034">
        <f t="shared" si="606"/>
        <v>20.8</v>
      </c>
      <c r="X1034">
        <f t="shared" si="607"/>
        <v>24.5</v>
      </c>
      <c r="Y1034">
        <f t="shared" si="608"/>
        <v>17.8</v>
      </c>
      <c r="Z1034">
        <f t="shared" si="609"/>
        <v>21.8</v>
      </c>
    </row>
    <row r="1035" spans="1:26" x14ac:dyDescent="0.2">
      <c r="A1035" s="1">
        <v>45464</v>
      </c>
      <c r="B1035" s="2">
        <v>0</v>
      </c>
      <c r="C1035" s="6">
        <v>45464</v>
      </c>
      <c r="D1035">
        <v>62.7</v>
      </c>
      <c r="E1035">
        <v>68.5</v>
      </c>
      <c r="F1035">
        <v>54.9</v>
      </c>
      <c r="G1035" t="s">
        <v>6</v>
      </c>
      <c r="H1035">
        <v>20.3</v>
      </c>
      <c r="I1035">
        <v>30.5</v>
      </c>
      <c r="J1035">
        <v>16.600000000000001</v>
      </c>
      <c r="K1035" t="s">
        <v>6</v>
      </c>
      <c r="L1035">
        <v>231</v>
      </c>
      <c r="M1035" t="s">
        <v>6</v>
      </c>
      <c r="O1035" s="6">
        <f t="shared" si="600"/>
        <v>45464</v>
      </c>
      <c r="P1035">
        <f t="shared" si="601"/>
        <v>62.7</v>
      </c>
      <c r="Q1035">
        <f t="shared" si="602"/>
        <v>68.5</v>
      </c>
      <c r="R1035">
        <f t="shared" si="603"/>
        <v>54.9</v>
      </c>
      <c r="S1035">
        <f t="shared" si="604"/>
        <v>63.7</v>
      </c>
      <c r="V1035" s="6">
        <f t="shared" si="605"/>
        <v>45464</v>
      </c>
      <c r="W1035">
        <f t="shared" si="606"/>
        <v>20.3</v>
      </c>
      <c r="X1035">
        <f t="shared" si="607"/>
        <v>30.5</v>
      </c>
      <c r="Y1035">
        <f t="shared" si="608"/>
        <v>16.600000000000001</v>
      </c>
      <c r="Z1035">
        <f t="shared" si="609"/>
        <v>21.3</v>
      </c>
    </row>
    <row r="1036" spans="1:26" x14ac:dyDescent="0.2">
      <c r="A1036" s="1">
        <v>45464</v>
      </c>
      <c r="B1036" s="2">
        <v>4.1666666666666664E-2</v>
      </c>
      <c r="C1036" s="6">
        <v>45464.041666666664</v>
      </c>
      <c r="D1036">
        <v>64</v>
      </c>
      <c r="E1036">
        <v>66.5</v>
      </c>
      <c r="F1036">
        <v>59.4</v>
      </c>
      <c r="G1036" t="s">
        <v>6</v>
      </c>
      <c r="H1036">
        <v>20.6</v>
      </c>
      <c r="I1036">
        <v>22.8</v>
      </c>
      <c r="J1036">
        <v>17.600000000000001</v>
      </c>
      <c r="K1036" t="s">
        <v>6</v>
      </c>
      <c r="L1036">
        <v>229</v>
      </c>
      <c r="M1036" t="s">
        <v>6</v>
      </c>
      <c r="O1036" s="6">
        <f t="shared" si="600"/>
        <v>45464.041666666664</v>
      </c>
      <c r="P1036">
        <f t="shared" si="601"/>
        <v>64</v>
      </c>
      <c r="Q1036">
        <f t="shared" si="602"/>
        <v>66.5</v>
      </c>
      <c r="R1036">
        <f t="shared" si="603"/>
        <v>59.4</v>
      </c>
      <c r="S1036">
        <f t="shared" si="604"/>
        <v>65</v>
      </c>
      <c r="V1036" s="6">
        <f t="shared" si="605"/>
        <v>45464.041666666664</v>
      </c>
      <c r="W1036">
        <f t="shared" si="606"/>
        <v>20.6</v>
      </c>
      <c r="X1036">
        <f t="shared" si="607"/>
        <v>22.8</v>
      </c>
      <c r="Y1036">
        <f t="shared" si="608"/>
        <v>17.600000000000001</v>
      </c>
      <c r="Z1036">
        <f t="shared" si="609"/>
        <v>21.6</v>
      </c>
    </row>
    <row r="1037" spans="1:26" x14ac:dyDescent="0.2">
      <c r="A1037" s="1">
        <v>45464</v>
      </c>
      <c r="B1037" s="2">
        <v>8.3333333333333329E-2</v>
      </c>
      <c r="C1037" s="6">
        <v>45464.083333333336</v>
      </c>
      <c r="D1037">
        <v>64.8</v>
      </c>
      <c r="E1037">
        <v>76.2</v>
      </c>
      <c r="F1037">
        <v>56.9</v>
      </c>
      <c r="G1037" t="s">
        <v>6</v>
      </c>
      <c r="H1037">
        <v>21.3</v>
      </c>
      <c r="I1037">
        <v>24.8</v>
      </c>
      <c r="J1037">
        <v>17.5</v>
      </c>
      <c r="K1037" t="s">
        <v>6</v>
      </c>
      <c r="L1037">
        <v>197</v>
      </c>
      <c r="M1037" t="s">
        <v>6</v>
      </c>
      <c r="O1037" s="6">
        <f t="shared" si="600"/>
        <v>45464.083333333336</v>
      </c>
      <c r="P1037">
        <f t="shared" si="601"/>
        <v>64.8</v>
      </c>
      <c r="Q1037">
        <f t="shared" si="602"/>
        <v>76.2</v>
      </c>
      <c r="R1037">
        <f t="shared" si="603"/>
        <v>56.9</v>
      </c>
      <c r="S1037">
        <f t="shared" si="604"/>
        <v>65.8</v>
      </c>
      <c r="V1037" s="6">
        <f t="shared" si="605"/>
        <v>45464.083333333336</v>
      </c>
      <c r="W1037">
        <f t="shared" si="606"/>
        <v>21.3</v>
      </c>
      <c r="X1037">
        <f t="shared" si="607"/>
        <v>24.8</v>
      </c>
      <c r="Y1037">
        <f t="shared" si="608"/>
        <v>17.5</v>
      </c>
      <c r="Z1037">
        <f t="shared" si="609"/>
        <v>22.3</v>
      </c>
    </row>
    <row r="1038" spans="1:26" x14ac:dyDescent="0.2">
      <c r="A1038" s="1">
        <v>45464</v>
      </c>
      <c r="B1038" s="2">
        <v>0.125</v>
      </c>
      <c r="C1038" s="6">
        <v>45464.125</v>
      </c>
      <c r="D1038">
        <v>66.3</v>
      </c>
      <c r="E1038">
        <v>75.3</v>
      </c>
      <c r="F1038">
        <v>59</v>
      </c>
      <c r="G1038" t="s">
        <v>6</v>
      </c>
      <c r="H1038">
        <v>21.1</v>
      </c>
      <c r="I1038">
        <v>25.8</v>
      </c>
      <c r="J1038">
        <v>17.3</v>
      </c>
      <c r="K1038" t="s">
        <v>6</v>
      </c>
      <c r="L1038">
        <v>227</v>
      </c>
      <c r="M1038" t="s">
        <v>6</v>
      </c>
      <c r="O1038" s="6">
        <f t="shared" si="600"/>
        <v>45464.125</v>
      </c>
      <c r="P1038">
        <f t="shared" si="601"/>
        <v>66.3</v>
      </c>
      <c r="Q1038">
        <f t="shared" si="602"/>
        <v>75.3</v>
      </c>
      <c r="R1038">
        <f t="shared" si="603"/>
        <v>59</v>
      </c>
      <c r="S1038">
        <f t="shared" si="604"/>
        <v>67.3</v>
      </c>
      <c r="V1038" s="6">
        <f t="shared" si="605"/>
        <v>45464.125</v>
      </c>
      <c r="W1038">
        <f t="shared" si="606"/>
        <v>21.1</v>
      </c>
      <c r="X1038">
        <f t="shared" si="607"/>
        <v>25.8</v>
      </c>
      <c r="Y1038">
        <f t="shared" si="608"/>
        <v>17.3</v>
      </c>
      <c r="Z1038">
        <f t="shared" si="609"/>
        <v>22.1</v>
      </c>
    </row>
    <row r="1039" spans="1:26" x14ac:dyDescent="0.2">
      <c r="A1039" s="1">
        <v>45464</v>
      </c>
      <c r="B1039" s="2">
        <v>0.16666666666666666</v>
      </c>
      <c r="C1039" s="6">
        <v>45464.166666666664</v>
      </c>
      <c r="D1039">
        <v>60.8</v>
      </c>
      <c r="E1039">
        <v>67.8</v>
      </c>
      <c r="F1039">
        <v>51.6</v>
      </c>
      <c r="G1039" t="s">
        <v>6</v>
      </c>
      <c r="H1039">
        <v>18.899999999999999</v>
      </c>
      <c r="I1039">
        <v>24.7</v>
      </c>
      <c r="J1039">
        <v>15.4</v>
      </c>
      <c r="K1039" t="s">
        <v>6</v>
      </c>
      <c r="L1039">
        <v>228</v>
      </c>
      <c r="M1039" t="s">
        <v>6</v>
      </c>
      <c r="O1039" s="6">
        <f t="shared" si="600"/>
        <v>45464.166666666664</v>
      </c>
      <c r="P1039">
        <f t="shared" si="601"/>
        <v>60.8</v>
      </c>
      <c r="Q1039">
        <f t="shared" si="602"/>
        <v>67.8</v>
      </c>
      <c r="R1039">
        <f t="shared" si="603"/>
        <v>51.6</v>
      </c>
      <c r="S1039">
        <f t="shared" si="604"/>
        <v>61.8</v>
      </c>
      <c r="V1039" s="6">
        <f t="shared" si="605"/>
        <v>45464.166666666664</v>
      </c>
      <c r="W1039">
        <f t="shared" si="606"/>
        <v>18.899999999999999</v>
      </c>
      <c r="X1039">
        <f t="shared" si="607"/>
        <v>24.7</v>
      </c>
      <c r="Y1039">
        <f t="shared" si="608"/>
        <v>15.4</v>
      </c>
      <c r="Z1039">
        <f t="shared" si="609"/>
        <v>19.899999999999999</v>
      </c>
    </row>
    <row r="1040" spans="1:26" x14ac:dyDescent="0.2">
      <c r="A1040" s="1">
        <v>45464</v>
      </c>
      <c r="B1040" s="2">
        <v>0.20833333333333334</v>
      </c>
      <c r="C1040" s="6">
        <v>45464.208333333336</v>
      </c>
      <c r="D1040">
        <v>58.3</v>
      </c>
      <c r="E1040">
        <v>62.9</v>
      </c>
      <c r="F1040">
        <v>53.7</v>
      </c>
      <c r="G1040" t="s">
        <v>6</v>
      </c>
      <c r="H1040">
        <v>20.399999999999999</v>
      </c>
      <c r="I1040">
        <v>31.9</v>
      </c>
      <c r="J1040">
        <v>17.2</v>
      </c>
      <c r="K1040" t="s">
        <v>6</v>
      </c>
      <c r="L1040">
        <v>223</v>
      </c>
      <c r="M1040" t="s">
        <v>6</v>
      </c>
      <c r="O1040" s="6">
        <f t="shared" si="600"/>
        <v>45464.208333333336</v>
      </c>
      <c r="P1040">
        <f t="shared" si="601"/>
        <v>58.3</v>
      </c>
      <c r="Q1040">
        <f t="shared" si="602"/>
        <v>62.9</v>
      </c>
      <c r="R1040">
        <f t="shared" si="603"/>
        <v>53.7</v>
      </c>
      <c r="S1040">
        <f t="shared" si="604"/>
        <v>59.3</v>
      </c>
      <c r="V1040" s="6">
        <f t="shared" si="605"/>
        <v>45464.208333333336</v>
      </c>
      <c r="W1040">
        <f t="shared" si="606"/>
        <v>20.399999999999999</v>
      </c>
      <c r="X1040">
        <f t="shared" si="607"/>
        <v>31.9</v>
      </c>
      <c r="Y1040">
        <f t="shared" si="608"/>
        <v>17.2</v>
      </c>
      <c r="Z1040">
        <f t="shared" si="609"/>
        <v>21.4</v>
      </c>
    </row>
    <row r="1041" spans="1:26" x14ac:dyDescent="0.2">
      <c r="A1041" s="1">
        <v>45464</v>
      </c>
      <c r="B1041" s="2">
        <v>0.25</v>
      </c>
      <c r="C1041" s="6">
        <v>45464.25</v>
      </c>
      <c r="D1041">
        <v>59.8</v>
      </c>
      <c r="E1041">
        <v>64.5</v>
      </c>
      <c r="F1041">
        <v>54.9</v>
      </c>
      <c r="G1041" t="s">
        <v>6</v>
      </c>
      <c r="H1041">
        <v>20.7</v>
      </c>
      <c r="I1041">
        <v>26.9</v>
      </c>
      <c r="J1041">
        <v>17.3</v>
      </c>
      <c r="K1041" t="s">
        <v>6</v>
      </c>
      <c r="L1041">
        <v>226</v>
      </c>
      <c r="M1041" t="s">
        <v>6</v>
      </c>
      <c r="O1041" s="6">
        <f t="shared" si="600"/>
        <v>45464.25</v>
      </c>
      <c r="P1041">
        <f t="shared" si="601"/>
        <v>59.8</v>
      </c>
      <c r="Q1041">
        <f t="shared" si="602"/>
        <v>64.5</v>
      </c>
      <c r="R1041">
        <f t="shared" si="603"/>
        <v>54.9</v>
      </c>
      <c r="S1041">
        <f t="shared" si="604"/>
        <v>60.8</v>
      </c>
      <c r="V1041" s="6">
        <f t="shared" si="605"/>
        <v>45464.25</v>
      </c>
      <c r="W1041">
        <f t="shared" si="606"/>
        <v>20.7</v>
      </c>
      <c r="X1041">
        <f t="shared" si="607"/>
        <v>26.9</v>
      </c>
      <c r="Y1041">
        <f t="shared" si="608"/>
        <v>17.3</v>
      </c>
      <c r="Z1041">
        <f t="shared" si="609"/>
        <v>21.7</v>
      </c>
    </row>
    <row r="1042" spans="1:26" x14ac:dyDescent="0.2">
      <c r="A1042" s="1">
        <v>45464</v>
      </c>
      <c r="B1042" s="2">
        <v>0.29166666666666669</v>
      </c>
      <c r="C1042" s="6">
        <v>45464.291666666664</v>
      </c>
      <c r="D1042">
        <v>60.8</v>
      </c>
      <c r="E1042">
        <v>67.3</v>
      </c>
      <c r="F1042">
        <v>54.6</v>
      </c>
      <c r="G1042" t="s">
        <v>6</v>
      </c>
      <c r="H1042">
        <v>19.399999999999999</v>
      </c>
      <c r="I1042">
        <v>26.6</v>
      </c>
      <c r="J1042">
        <v>15</v>
      </c>
      <c r="K1042" t="s">
        <v>6</v>
      </c>
      <c r="L1042">
        <v>198</v>
      </c>
      <c r="M1042" t="s">
        <v>6</v>
      </c>
      <c r="O1042" s="6">
        <f t="shared" si="600"/>
        <v>45464.291666666664</v>
      </c>
      <c r="P1042">
        <f t="shared" si="601"/>
        <v>60.8</v>
      </c>
      <c r="Q1042">
        <f t="shared" si="602"/>
        <v>67.3</v>
      </c>
      <c r="R1042">
        <f t="shared" si="603"/>
        <v>54.6</v>
      </c>
      <c r="S1042">
        <f t="shared" si="604"/>
        <v>61.8</v>
      </c>
      <c r="V1042" s="6">
        <f t="shared" si="605"/>
        <v>45464.291666666664</v>
      </c>
      <c r="W1042">
        <f t="shared" si="606"/>
        <v>19.399999999999999</v>
      </c>
      <c r="X1042">
        <f t="shared" si="607"/>
        <v>26.6</v>
      </c>
      <c r="Y1042">
        <f t="shared" si="608"/>
        <v>15</v>
      </c>
      <c r="Z1042">
        <f t="shared" si="609"/>
        <v>20.399999999999999</v>
      </c>
    </row>
    <row r="1043" spans="1:26" x14ac:dyDescent="0.2">
      <c r="A1043" s="14">
        <v>45464</v>
      </c>
      <c r="B1043" s="7">
        <v>0.33333333333333331</v>
      </c>
      <c r="C1043" s="8">
        <v>45464.333333333336</v>
      </c>
      <c r="D1043" s="9">
        <v>61.3</v>
      </c>
      <c r="E1043" s="9">
        <v>66.599999999999994</v>
      </c>
      <c r="F1043" s="9">
        <v>56.9</v>
      </c>
      <c r="G1043" s="9" t="s">
        <v>6</v>
      </c>
      <c r="H1043" s="9">
        <v>19.3</v>
      </c>
      <c r="I1043" s="9">
        <v>22.8</v>
      </c>
      <c r="J1043" s="9">
        <v>14.7</v>
      </c>
      <c r="K1043" s="9" t="s">
        <v>6</v>
      </c>
      <c r="L1043" s="9">
        <v>230</v>
      </c>
      <c r="M1043" t="s">
        <v>6</v>
      </c>
      <c r="O1043" s="6">
        <f t="shared" si="600"/>
        <v>45464.333333333336</v>
      </c>
      <c r="P1043">
        <f t="shared" si="601"/>
        <v>61.3</v>
      </c>
      <c r="Q1043">
        <f t="shared" si="602"/>
        <v>66.599999999999994</v>
      </c>
      <c r="R1043">
        <f t="shared" si="603"/>
        <v>56.9</v>
      </c>
      <c r="S1043">
        <f t="shared" si="604"/>
        <v>62.3</v>
      </c>
      <c r="V1043" s="6">
        <f t="shared" si="605"/>
        <v>45464.333333333336</v>
      </c>
      <c r="W1043">
        <f t="shared" si="606"/>
        <v>19.3</v>
      </c>
      <c r="X1043">
        <f t="shared" si="607"/>
        <v>22.8</v>
      </c>
      <c r="Y1043">
        <f t="shared" si="608"/>
        <v>14.7</v>
      </c>
      <c r="Z1043">
        <f t="shared" si="609"/>
        <v>20.3</v>
      </c>
    </row>
    <row r="1044" spans="1:26" x14ac:dyDescent="0.2">
      <c r="A1044" s="13">
        <v>45464</v>
      </c>
      <c r="B1044" s="3">
        <v>0.375</v>
      </c>
      <c r="C1044" s="4">
        <v>45464.375</v>
      </c>
      <c r="D1044" s="5">
        <v>62.2</v>
      </c>
      <c r="E1044" s="5">
        <v>69.400000000000006</v>
      </c>
      <c r="F1044" s="5">
        <v>57.8</v>
      </c>
      <c r="G1044" s="5" t="s">
        <v>6</v>
      </c>
      <c r="H1044" s="5">
        <v>18.8</v>
      </c>
      <c r="I1044" s="5">
        <v>23</v>
      </c>
      <c r="J1044" s="5">
        <v>16</v>
      </c>
      <c r="K1044" s="5" t="s">
        <v>6</v>
      </c>
      <c r="L1044" s="5">
        <v>189</v>
      </c>
      <c r="M1044" t="s">
        <v>6</v>
      </c>
      <c r="O1044" s="6">
        <f t="shared" si="600"/>
        <v>45464.375</v>
      </c>
      <c r="P1044">
        <f t="shared" si="601"/>
        <v>62.2</v>
      </c>
      <c r="Q1044">
        <f t="shared" si="602"/>
        <v>69.400000000000006</v>
      </c>
      <c r="R1044">
        <f t="shared" si="603"/>
        <v>57.8</v>
      </c>
      <c r="S1044">
        <f t="shared" si="604"/>
        <v>63.2</v>
      </c>
      <c r="V1044" s="6">
        <f t="shared" si="605"/>
        <v>45464.375</v>
      </c>
      <c r="W1044">
        <f t="shared" si="606"/>
        <v>18.8</v>
      </c>
      <c r="X1044">
        <f t="shared" si="607"/>
        <v>23</v>
      </c>
      <c r="Y1044">
        <f t="shared" si="608"/>
        <v>16</v>
      </c>
      <c r="Z1044">
        <f t="shared" si="609"/>
        <v>19.8</v>
      </c>
    </row>
    <row r="1045" spans="1:26" x14ac:dyDescent="0.2">
      <c r="A1045" s="1">
        <v>45464</v>
      </c>
      <c r="B1045" s="2">
        <v>0.41666666666666669</v>
      </c>
      <c r="C1045" s="6">
        <v>45464.416666666664</v>
      </c>
      <c r="D1045">
        <v>62.6</v>
      </c>
      <c r="E1045">
        <v>67.900000000000006</v>
      </c>
      <c r="F1045">
        <v>57.3</v>
      </c>
      <c r="G1045" t="s">
        <v>6</v>
      </c>
      <c r="H1045">
        <v>21</v>
      </c>
      <c r="I1045">
        <v>32.1</v>
      </c>
      <c r="J1045">
        <v>14.6</v>
      </c>
      <c r="K1045" t="s">
        <v>6</v>
      </c>
      <c r="L1045">
        <v>216</v>
      </c>
      <c r="M1045" t="s">
        <v>6</v>
      </c>
      <c r="O1045" s="6">
        <f t="shared" si="600"/>
        <v>45464.416666666664</v>
      </c>
      <c r="P1045">
        <f t="shared" si="601"/>
        <v>62.6</v>
      </c>
      <c r="Q1045">
        <f t="shared" si="602"/>
        <v>67.900000000000006</v>
      </c>
      <c r="R1045">
        <f t="shared" si="603"/>
        <v>57.3</v>
      </c>
      <c r="S1045">
        <f t="shared" si="604"/>
        <v>63.6</v>
      </c>
      <c r="V1045" s="6">
        <f t="shared" si="605"/>
        <v>45464.416666666664</v>
      </c>
      <c r="W1045">
        <f t="shared" si="606"/>
        <v>21</v>
      </c>
      <c r="X1045">
        <f t="shared" si="607"/>
        <v>32.1</v>
      </c>
      <c r="Y1045">
        <f t="shared" si="608"/>
        <v>14.6</v>
      </c>
      <c r="Z1045">
        <f t="shared" si="609"/>
        <v>22</v>
      </c>
    </row>
    <row r="1046" spans="1:26" x14ac:dyDescent="0.2">
      <c r="A1046" s="1">
        <v>45464</v>
      </c>
      <c r="B1046" s="2">
        <v>0.45833333333333331</v>
      </c>
      <c r="C1046" s="6">
        <v>45464.458333333336</v>
      </c>
      <c r="D1046">
        <v>59.9</v>
      </c>
      <c r="E1046">
        <v>64.2</v>
      </c>
      <c r="F1046">
        <v>56.4</v>
      </c>
      <c r="G1046" t="s">
        <v>6</v>
      </c>
      <c r="H1046">
        <v>21.2</v>
      </c>
      <c r="I1046">
        <v>28.2</v>
      </c>
      <c r="J1046">
        <v>15.2</v>
      </c>
      <c r="K1046" t="s">
        <v>6</v>
      </c>
      <c r="L1046">
        <v>199</v>
      </c>
      <c r="M1046" t="s">
        <v>6</v>
      </c>
      <c r="O1046" s="6">
        <f t="shared" si="600"/>
        <v>45464.458333333336</v>
      </c>
      <c r="P1046">
        <f t="shared" si="601"/>
        <v>59.9</v>
      </c>
      <c r="Q1046">
        <f t="shared" si="602"/>
        <v>64.2</v>
      </c>
      <c r="R1046">
        <f t="shared" si="603"/>
        <v>56.4</v>
      </c>
      <c r="S1046">
        <f t="shared" si="604"/>
        <v>60.9</v>
      </c>
      <c r="V1046" s="6">
        <f t="shared" si="605"/>
        <v>45464.458333333336</v>
      </c>
      <c r="W1046">
        <f t="shared" si="606"/>
        <v>21.2</v>
      </c>
      <c r="X1046">
        <f t="shared" si="607"/>
        <v>28.2</v>
      </c>
      <c r="Y1046">
        <f t="shared" si="608"/>
        <v>15.2</v>
      </c>
      <c r="Z1046">
        <f t="shared" si="609"/>
        <v>22.2</v>
      </c>
    </row>
    <row r="1047" spans="1:26" x14ac:dyDescent="0.2">
      <c r="A1047" s="1">
        <v>45464</v>
      </c>
      <c r="B1047" s="2">
        <v>0.5</v>
      </c>
      <c r="C1047" s="6">
        <v>45464.5</v>
      </c>
      <c r="D1047">
        <v>61.9</v>
      </c>
      <c r="E1047">
        <v>67.599999999999994</v>
      </c>
      <c r="F1047">
        <v>57.5</v>
      </c>
      <c r="G1047" t="s">
        <v>6</v>
      </c>
      <c r="H1047">
        <v>20.7</v>
      </c>
      <c r="I1047">
        <v>29.7</v>
      </c>
      <c r="J1047">
        <v>15.1</v>
      </c>
      <c r="K1047" t="s">
        <v>6</v>
      </c>
      <c r="L1047">
        <v>198</v>
      </c>
      <c r="M1047" t="s">
        <v>6</v>
      </c>
      <c r="O1047" s="6">
        <f t="shared" si="600"/>
        <v>45464.5</v>
      </c>
      <c r="P1047">
        <f t="shared" si="601"/>
        <v>61.9</v>
      </c>
      <c r="Q1047">
        <f t="shared" si="602"/>
        <v>67.599999999999994</v>
      </c>
      <c r="R1047">
        <f t="shared" si="603"/>
        <v>57.5</v>
      </c>
      <c r="S1047">
        <f t="shared" si="604"/>
        <v>62.9</v>
      </c>
      <c r="V1047" s="6">
        <f t="shared" si="605"/>
        <v>45464.5</v>
      </c>
      <c r="W1047">
        <f t="shared" si="606"/>
        <v>20.7</v>
      </c>
      <c r="X1047">
        <f t="shared" si="607"/>
        <v>29.7</v>
      </c>
      <c r="Y1047">
        <f t="shared" si="608"/>
        <v>15.1</v>
      </c>
      <c r="Z1047">
        <f t="shared" si="609"/>
        <v>21.7</v>
      </c>
    </row>
    <row r="1048" spans="1:26" x14ac:dyDescent="0.2">
      <c r="A1048" s="1">
        <v>45464</v>
      </c>
      <c r="B1048" s="2">
        <v>0.54166666666666663</v>
      </c>
      <c r="C1048" s="6">
        <v>45464.541666666664</v>
      </c>
      <c r="D1048">
        <v>60.4</v>
      </c>
      <c r="E1048">
        <v>68.400000000000006</v>
      </c>
      <c r="F1048">
        <v>55.9</v>
      </c>
      <c r="G1048" t="s">
        <v>6</v>
      </c>
      <c r="H1048">
        <v>21.4</v>
      </c>
      <c r="I1048">
        <v>25.7</v>
      </c>
      <c r="J1048">
        <v>16.8</v>
      </c>
      <c r="K1048" t="s">
        <v>6</v>
      </c>
      <c r="L1048">
        <v>225</v>
      </c>
      <c r="M1048" t="s">
        <v>6</v>
      </c>
      <c r="O1048" s="6">
        <f t="shared" si="600"/>
        <v>45464.541666666664</v>
      </c>
      <c r="P1048">
        <f t="shared" si="601"/>
        <v>60.4</v>
      </c>
      <c r="Q1048">
        <f t="shared" si="602"/>
        <v>68.400000000000006</v>
      </c>
      <c r="R1048">
        <f t="shared" si="603"/>
        <v>55.9</v>
      </c>
      <c r="S1048">
        <f t="shared" si="604"/>
        <v>61.4</v>
      </c>
      <c r="V1048" s="6">
        <f t="shared" si="605"/>
        <v>45464.541666666664</v>
      </c>
      <c r="W1048">
        <f t="shared" si="606"/>
        <v>21.4</v>
      </c>
      <c r="X1048">
        <f t="shared" si="607"/>
        <v>25.7</v>
      </c>
      <c r="Y1048">
        <f t="shared" si="608"/>
        <v>16.8</v>
      </c>
      <c r="Z1048">
        <f t="shared" si="609"/>
        <v>22.4</v>
      </c>
    </row>
    <row r="1049" spans="1:26" x14ac:dyDescent="0.2">
      <c r="A1049" s="1">
        <v>45464</v>
      </c>
      <c r="B1049" s="2">
        <v>0.58333333333333337</v>
      </c>
      <c r="C1049" s="6">
        <v>45464.583333333336</v>
      </c>
      <c r="D1049">
        <v>63.9</v>
      </c>
      <c r="E1049">
        <v>68.5</v>
      </c>
      <c r="F1049">
        <v>56.4</v>
      </c>
      <c r="G1049" t="s">
        <v>6</v>
      </c>
      <c r="H1049">
        <v>23.2</v>
      </c>
      <c r="I1049">
        <v>49.2</v>
      </c>
      <c r="J1049">
        <v>19.3</v>
      </c>
      <c r="K1049" t="s">
        <v>6</v>
      </c>
      <c r="L1049">
        <v>199</v>
      </c>
      <c r="M1049" t="s">
        <v>6</v>
      </c>
      <c r="O1049" s="6">
        <f t="shared" si="600"/>
        <v>45464.583333333336</v>
      </c>
      <c r="P1049">
        <f t="shared" si="601"/>
        <v>63.9</v>
      </c>
      <c r="Q1049">
        <f t="shared" si="602"/>
        <v>68.5</v>
      </c>
      <c r="R1049">
        <f t="shared" si="603"/>
        <v>56.4</v>
      </c>
      <c r="S1049">
        <f t="shared" si="604"/>
        <v>64.900000000000006</v>
      </c>
      <c r="V1049" s="6">
        <f t="shared" si="605"/>
        <v>45464.583333333336</v>
      </c>
      <c r="W1049">
        <f t="shared" si="606"/>
        <v>23.2</v>
      </c>
      <c r="X1049">
        <f t="shared" si="607"/>
        <v>49.2</v>
      </c>
      <c r="Y1049">
        <f t="shared" si="608"/>
        <v>19.3</v>
      </c>
      <c r="Z1049">
        <f t="shared" si="609"/>
        <v>24.2</v>
      </c>
    </row>
    <row r="1050" spans="1:26" x14ac:dyDescent="0.2">
      <c r="A1050" s="1">
        <v>45464</v>
      </c>
      <c r="B1050" s="2">
        <v>0.625</v>
      </c>
      <c r="C1050" s="6">
        <v>45464.625</v>
      </c>
      <c r="D1050">
        <v>69.8</v>
      </c>
      <c r="E1050">
        <v>77.099999999999994</v>
      </c>
      <c r="F1050">
        <v>59.9</v>
      </c>
      <c r="G1050" t="s">
        <v>6</v>
      </c>
      <c r="H1050">
        <v>22.6</v>
      </c>
      <c r="I1050">
        <v>30.4</v>
      </c>
      <c r="J1050">
        <v>19.3</v>
      </c>
      <c r="K1050" t="s">
        <v>6</v>
      </c>
      <c r="L1050">
        <v>229</v>
      </c>
      <c r="M1050" t="s">
        <v>6</v>
      </c>
      <c r="O1050" s="6">
        <f t="shared" si="600"/>
        <v>45464.625</v>
      </c>
      <c r="P1050">
        <f t="shared" si="601"/>
        <v>69.8</v>
      </c>
      <c r="Q1050">
        <f t="shared" si="602"/>
        <v>77.099999999999994</v>
      </c>
      <c r="R1050">
        <f t="shared" si="603"/>
        <v>59.9</v>
      </c>
      <c r="S1050">
        <f t="shared" si="604"/>
        <v>70.8</v>
      </c>
      <c r="V1050" s="6">
        <f t="shared" si="605"/>
        <v>45464.625</v>
      </c>
      <c r="W1050">
        <f t="shared" si="606"/>
        <v>22.6</v>
      </c>
      <c r="X1050">
        <f t="shared" si="607"/>
        <v>30.4</v>
      </c>
      <c r="Y1050">
        <f t="shared" si="608"/>
        <v>19.3</v>
      </c>
      <c r="Z1050">
        <f t="shared" si="609"/>
        <v>23.6</v>
      </c>
    </row>
    <row r="1051" spans="1:26" x14ac:dyDescent="0.2">
      <c r="A1051" s="1">
        <v>45464</v>
      </c>
      <c r="B1051" s="2">
        <v>0.66666666666666663</v>
      </c>
      <c r="C1051" s="6">
        <v>45464.666666666664</v>
      </c>
      <c r="D1051">
        <v>57.5</v>
      </c>
      <c r="E1051">
        <v>69.2</v>
      </c>
      <c r="F1051">
        <v>49.4</v>
      </c>
      <c r="G1051" t="s">
        <v>6</v>
      </c>
      <c r="H1051">
        <v>22.9</v>
      </c>
      <c r="I1051">
        <v>30.6</v>
      </c>
      <c r="J1051">
        <v>20</v>
      </c>
      <c r="K1051" t="s">
        <v>6</v>
      </c>
      <c r="L1051">
        <v>230</v>
      </c>
      <c r="M1051" t="s">
        <v>6</v>
      </c>
      <c r="O1051" s="6">
        <f t="shared" si="600"/>
        <v>45464.666666666664</v>
      </c>
      <c r="P1051">
        <f t="shared" si="601"/>
        <v>57.5</v>
      </c>
      <c r="Q1051">
        <f t="shared" si="602"/>
        <v>69.2</v>
      </c>
      <c r="R1051">
        <f t="shared" si="603"/>
        <v>49.4</v>
      </c>
      <c r="S1051">
        <f t="shared" si="604"/>
        <v>58.5</v>
      </c>
      <c r="V1051" s="6">
        <f t="shared" si="605"/>
        <v>45464.666666666664</v>
      </c>
      <c r="W1051">
        <f t="shared" si="606"/>
        <v>22.9</v>
      </c>
      <c r="X1051">
        <f t="shared" si="607"/>
        <v>30.6</v>
      </c>
      <c r="Y1051">
        <f t="shared" si="608"/>
        <v>20</v>
      </c>
      <c r="Z1051">
        <f t="shared" si="609"/>
        <v>23.9</v>
      </c>
    </row>
    <row r="1052" spans="1:26" x14ac:dyDescent="0.2">
      <c r="A1052" s="1">
        <v>45464</v>
      </c>
      <c r="B1052" s="2">
        <v>0.70833333333333337</v>
      </c>
      <c r="C1052" s="6">
        <v>45464.708333333336</v>
      </c>
      <c r="D1052">
        <v>58.2</v>
      </c>
      <c r="E1052">
        <v>71</v>
      </c>
      <c r="F1052">
        <v>50.9</v>
      </c>
      <c r="G1052" t="s">
        <v>6</v>
      </c>
      <c r="H1052">
        <v>24.1</v>
      </c>
      <c r="I1052">
        <v>44.4</v>
      </c>
      <c r="J1052">
        <v>19.399999999999999</v>
      </c>
      <c r="K1052" t="s">
        <v>6</v>
      </c>
      <c r="L1052">
        <v>193</v>
      </c>
      <c r="M1052" t="s">
        <v>6</v>
      </c>
      <c r="O1052" s="6">
        <f t="shared" si="600"/>
        <v>45464.708333333336</v>
      </c>
      <c r="P1052">
        <f t="shared" si="601"/>
        <v>58.2</v>
      </c>
      <c r="Q1052">
        <f t="shared" si="602"/>
        <v>71</v>
      </c>
      <c r="R1052">
        <f t="shared" si="603"/>
        <v>50.9</v>
      </c>
      <c r="S1052">
        <f t="shared" si="604"/>
        <v>59.2</v>
      </c>
      <c r="V1052" s="6">
        <f t="shared" si="605"/>
        <v>45464.708333333336</v>
      </c>
      <c r="W1052">
        <f t="shared" si="606"/>
        <v>24.1</v>
      </c>
      <c r="X1052">
        <f t="shared" si="607"/>
        <v>44.4</v>
      </c>
      <c r="Y1052">
        <f t="shared" si="608"/>
        <v>19.399999999999999</v>
      </c>
      <c r="Z1052">
        <f t="shared" si="609"/>
        <v>25.1</v>
      </c>
    </row>
    <row r="1053" spans="1:26" x14ac:dyDescent="0.2">
      <c r="A1053" s="1">
        <v>45464</v>
      </c>
      <c r="B1053" s="2">
        <v>0.75</v>
      </c>
      <c r="C1053" s="6">
        <v>45464.75</v>
      </c>
      <c r="D1053">
        <v>58.9</v>
      </c>
      <c r="E1053">
        <v>70.8</v>
      </c>
      <c r="F1053">
        <v>52.4</v>
      </c>
      <c r="G1053" t="s">
        <v>6</v>
      </c>
      <c r="H1053">
        <v>22</v>
      </c>
      <c r="I1053">
        <v>25.6</v>
      </c>
      <c r="J1053">
        <v>16.2</v>
      </c>
      <c r="K1053" t="s">
        <v>6</v>
      </c>
      <c r="L1053">
        <v>204</v>
      </c>
      <c r="M1053" t="s">
        <v>6</v>
      </c>
      <c r="O1053" s="6">
        <f t="shared" si="600"/>
        <v>45464.75</v>
      </c>
      <c r="P1053">
        <f t="shared" si="601"/>
        <v>58.9</v>
      </c>
      <c r="Q1053">
        <f t="shared" si="602"/>
        <v>70.8</v>
      </c>
      <c r="R1053">
        <f t="shared" si="603"/>
        <v>52.4</v>
      </c>
      <c r="S1053">
        <f t="shared" si="604"/>
        <v>59.9</v>
      </c>
      <c r="V1053" s="6">
        <f t="shared" si="605"/>
        <v>45464.75</v>
      </c>
      <c r="W1053">
        <f t="shared" si="606"/>
        <v>22</v>
      </c>
      <c r="X1053">
        <f t="shared" si="607"/>
        <v>25.6</v>
      </c>
      <c r="Y1053">
        <f t="shared" si="608"/>
        <v>16.2</v>
      </c>
      <c r="Z1053">
        <f t="shared" si="609"/>
        <v>23</v>
      </c>
    </row>
    <row r="1054" spans="1:26" x14ac:dyDescent="0.2">
      <c r="A1054" s="1">
        <v>45464</v>
      </c>
      <c r="B1054" s="2">
        <v>0.79166666666666663</v>
      </c>
      <c r="C1054" s="6">
        <v>45464.791666666664</v>
      </c>
      <c r="D1054">
        <v>64.400000000000006</v>
      </c>
      <c r="E1054">
        <v>72.8</v>
      </c>
      <c r="F1054">
        <v>52.5</v>
      </c>
      <c r="G1054" t="s">
        <v>6</v>
      </c>
      <c r="H1054">
        <v>22.5</v>
      </c>
      <c r="I1054">
        <v>25</v>
      </c>
      <c r="J1054">
        <v>14.9</v>
      </c>
      <c r="K1054" t="s">
        <v>6</v>
      </c>
      <c r="L1054">
        <v>217</v>
      </c>
      <c r="M1054" t="s">
        <v>6</v>
      </c>
      <c r="O1054" s="6">
        <f t="shared" si="600"/>
        <v>45464.791666666664</v>
      </c>
      <c r="P1054">
        <f t="shared" si="601"/>
        <v>64.400000000000006</v>
      </c>
      <c r="Q1054">
        <f t="shared" si="602"/>
        <v>72.8</v>
      </c>
      <c r="R1054">
        <f t="shared" si="603"/>
        <v>52.5</v>
      </c>
      <c r="S1054">
        <f t="shared" si="604"/>
        <v>65.400000000000006</v>
      </c>
      <c r="V1054" s="6">
        <f t="shared" si="605"/>
        <v>45464.791666666664</v>
      </c>
      <c r="W1054">
        <f t="shared" si="606"/>
        <v>22.5</v>
      </c>
      <c r="X1054">
        <f t="shared" si="607"/>
        <v>25</v>
      </c>
      <c r="Y1054">
        <f t="shared" si="608"/>
        <v>14.9</v>
      </c>
      <c r="Z1054">
        <f t="shared" si="609"/>
        <v>23.5</v>
      </c>
    </row>
    <row r="1055" spans="1:26" x14ac:dyDescent="0.2">
      <c r="A1055" s="1">
        <v>45464</v>
      </c>
      <c r="B1055" s="2">
        <v>0.83333333333333337</v>
      </c>
      <c r="C1055" s="6">
        <v>45464.833333333336</v>
      </c>
      <c r="D1055">
        <v>63.3</v>
      </c>
      <c r="E1055">
        <v>70.900000000000006</v>
      </c>
      <c r="F1055">
        <v>55.9</v>
      </c>
      <c r="G1055" t="s">
        <v>6</v>
      </c>
      <c r="H1055">
        <v>22.5</v>
      </c>
      <c r="I1055">
        <v>25</v>
      </c>
      <c r="J1055">
        <v>16</v>
      </c>
      <c r="K1055" t="s">
        <v>6</v>
      </c>
      <c r="L1055">
        <v>192</v>
      </c>
      <c r="M1055" t="s">
        <v>6</v>
      </c>
      <c r="O1055" s="6">
        <f t="shared" si="600"/>
        <v>45464.833333333336</v>
      </c>
      <c r="P1055">
        <f t="shared" si="601"/>
        <v>63.3</v>
      </c>
      <c r="Q1055">
        <f t="shared" si="602"/>
        <v>70.900000000000006</v>
      </c>
      <c r="R1055">
        <f t="shared" si="603"/>
        <v>55.9</v>
      </c>
      <c r="S1055">
        <f t="shared" si="604"/>
        <v>64.3</v>
      </c>
      <c r="V1055" s="6">
        <f t="shared" si="605"/>
        <v>45464.833333333336</v>
      </c>
      <c r="W1055">
        <f t="shared" si="606"/>
        <v>22.5</v>
      </c>
      <c r="X1055">
        <f t="shared" si="607"/>
        <v>25</v>
      </c>
      <c r="Y1055">
        <f t="shared" si="608"/>
        <v>16</v>
      </c>
      <c r="Z1055">
        <f t="shared" si="609"/>
        <v>23.5</v>
      </c>
    </row>
    <row r="1056" spans="1:26" x14ac:dyDescent="0.2">
      <c r="A1056" s="1">
        <v>45464</v>
      </c>
      <c r="B1056" s="2">
        <v>0.875</v>
      </c>
      <c r="C1056" s="6">
        <v>45464.875</v>
      </c>
      <c r="D1056">
        <v>60.3</v>
      </c>
      <c r="E1056">
        <v>60.9</v>
      </c>
      <c r="F1056">
        <v>59.9</v>
      </c>
      <c r="G1056" t="s">
        <v>6</v>
      </c>
      <c r="H1056">
        <v>17.8</v>
      </c>
      <c r="I1056">
        <v>20.3</v>
      </c>
      <c r="J1056">
        <v>15.9</v>
      </c>
      <c r="K1056" t="s">
        <v>6</v>
      </c>
      <c r="L1056">
        <v>11</v>
      </c>
      <c r="M1056" t="s">
        <v>6</v>
      </c>
      <c r="O1056" s="6">
        <f t="shared" si="600"/>
        <v>45464.875</v>
      </c>
      <c r="P1056">
        <f t="shared" si="601"/>
        <v>60.3</v>
      </c>
      <c r="Q1056">
        <f t="shared" si="602"/>
        <v>60.9</v>
      </c>
      <c r="R1056">
        <f t="shared" si="603"/>
        <v>59.9</v>
      </c>
      <c r="S1056">
        <f t="shared" si="604"/>
        <v>61.3</v>
      </c>
      <c r="V1056" s="6">
        <f t="shared" si="605"/>
        <v>45464.875</v>
      </c>
      <c r="W1056">
        <f t="shared" si="606"/>
        <v>17.8</v>
      </c>
      <c r="X1056">
        <f t="shared" si="607"/>
        <v>20.3</v>
      </c>
      <c r="Y1056">
        <f t="shared" si="608"/>
        <v>15.9</v>
      </c>
      <c r="Z1056">
        <f t="shared" si="609"/>
        <v>18.8</v>
      </c>
    </row>
    <row r="1057" spans="1:26" x14ac:dyDescent="0.2">
      <c r="A1057" s="1">
        <v>45465</v>
      </c>
      <c r="B1057" s="2">
        <v>0.29166666666666669</v>
      </c>
      <c r="C1057" s="6">
        <v>45465.291666666664</v>
      </c>
      <c r="D1057">
        <v>60.8</v>
      </c>
      <c r="E1057">
        <v>63.1</v>
      </c>
      <c r="F1057">
        <v>57.4</v>
      </c>
      <c r="G1057" t="s">
        <v>6</v>
      </c>
      <c r="H1057">
        <v>21.8</v>
      </c>
      <c r="I1057">
        <v>26.5</v>
      </c>
      <c r="J1057">
        <v>14.3</v>
      </c>
      <c r="K1057" t="s">
        <v>6</v>
      </c>
      <c r="L1057">
        <v>16</v>
      </c>
      <c r="M1057" t="s">
        <v>6</v>
      </c>
      <c r="O1057" s="6">
        <f t="shared" si="600"/>
        <v>45465.291666666664</v>
      </c>
      <c r="P1057">
        <f t="shared" si="601"/>
        <v>60.8</v>
      </c>
      <c r="Q1057">
        <f t="shared" si="602"/>
        <v>63.1</v>
      </c>
      <c r="R1057">
        <f t="shared" si="603"/>
        <v>57.4</v>
      </c>
      <c r="S1057">
        <f t="shared" si="604"/>
        <v>61.8</v>
      </c>
      <c r="V1057" s="6">
        <f t="shared" si="605"/>
        <v>45465.291666666664</v>
      </c>
      <c r="W1057">
        <f t="shared" si="606"/>
        <v>21.8</v>
      </c>
      <c r="X1057">
        <f t="shared" si="607"/>
        <v>26.5</v>
      </c>
      <c r="Y1057">
        <f t="shared" si="608"/>
        <v>14.3</v>
      </c>
      <c r="Z1057">
        <f t="shared" si="609"/>
        <v>22.8</v>
      </c>
    </row>
    <row r="1058" spans="1:26" x14ac:dyDescent="0.2">
      <c r="A1058" s="14">
        <v>45465</v>
      </c>
      <c r="B1058" s="7">
        <v>0.33333333333333331</v>
      </c>
      <c r="C1058" s="8">
        <v>45465.333333333336</v>
      </c>
      <c r="D1058" s="9">
        <v>71.099999999999994</v>
      </c>
      <c r="E1058" s="9">
        <v>82.3</v>
      </c>
      <c r="F1058" s="9">
        <v>51.7</v>
      </c>
      <c r="G1058" s="9" t="s">
        <v>6</v>
      </c>
      <c r="H1058" s="9">
        <v>22.6</v>
      </c>
      <c r="I1058" s="9">
        <v>28</v>
      </c>
      <c r="J1058" s="9">
        <v>19.8</v>
      </c>
      <c r="K1058" s="9" t="s">
        <v>6</v>
      </c>
      <c r="L1058" s="9">
        <v>227</v>
      </c>
      <c r="M1058" t="s">
        <v>6</v>
      </c>
      <c r="O1058" s="6">
        <f t="shared" si="600"/>
        <v>45465.333333333336</v>
      </c>
      <c r="P1058">
        <f t="shared" si="601"/>
        <v>71.099999999999994</v>
      </c>
      <c r="Q1058">
        <f t="shared" si="602"/>
        <v>82.3</v>
      </c>
      <c r="R1058">
        <f t="shared" si="603"/>
        <v>51.7</v>
      </c>
      <c r="S1058">
        <f t="shared" si="604"/>
        <v>72.099999999999994</v>
      </c>
      <c r="V1058" s="6">
        <f t="shared" si="605"/>
        <v>45465.333333333336</v>
      </c>
      <c r="W1058">
        <f t="shared" si="606"/>
        <v>22.6</v>
      </c>
      <c r="X1058">
        <f t="shared" si="607"/>
        <v>28</v>
      </c>
      <c r="Y1058">
        <f t="shared" si="608"/>
        <v>19.8</v>
      </c>
      <c r="Z1058">
        <f t="shared" si="609"/>
        <v>23.6</v>
      </c>
    </row>
    <row r="1059" spans="1:26" x14ac:dyDescent="0.2">
      <c r="A1059" s="13">
        <v>45465</v>
      </c>
      <c r="B1059" s="3">
        <v>0.375</v>
      </c>
      <c r="C1059" s="4">
        <v>45465.375</v>
      </c>
      <c r="D1059" s="5">
        <v>63.8</v>
      </c>
      <c r="E1059" s="5">
        <v>78.599999999999994</v>
      </c>
      <c r="F1059" s="5">
        <v>56</v>
      </c>
      <c r="G1059" s="5" t="s">
        <v>6</v>
      </c>
      <c r="H1059" s="5">
        <v>20.6</v>
      </c>
      <c r="I1059" s="5">
        <v>24</v>
      </c>
      <c r="J1059" s="5">
        <v>17.5</v>
      </c>
      <c r="K1059" s="5" t="s">
        <v>6</v>
      </c>
      <c r="L1059" s="5">
        <v>223</v>
      </c>
      <c r="M1059" t="s">
        <v>6</v>
      </c>
      <c r="O1059" s="6">
        <f t="shared" si="600"/>
        <v>45465.375</v>
      </c>
      <c r="P1059">
        <f t="shared" si="601"/>
        <v>63.8</v>
      </c>
      <c r="Q1059">
        <f t="shared" si="602"/>
        <v>78.599999999999994</v>
      </c>
      <c r="R1059">
        <f t="shared" si="603"/>
        <v>56</v>
      </c>
      <c r="S1059">
        <f t="shared" si="604"/>
        <v>64.8</v>
      </c>
      <c r="V1059" s="6">
        <f t="shared" si="605"/>
        <v>45465.375</v>
      </c>
      <c r="W1059">
        <f t="shared" si="606"/>
        <v>20.6</v>
      </c>
      <c r="X1059">
        <f t="shared" si="607"/>
        <v>24</v>
      </c>
      <c r="Y1059">
        <f t="shared" si="608"/>
        <v>17.5</v>
      </c>
      <c r="Z1059">
        <f t="shared" si="609"/>
        <v>21.6</v>
      </c>
    </row>
    <row r="1060" spans="1:26" x14ac:dyDescent="0.2">
      <c r="A1060" s="1">
        <v>45465</v>
      </c>
      <c r="B1060" s="2">
        <v>0.41666666666666669</v>
      </c>
      <c r="C1060" s="6">
        <v>45465.416666666664</v>
      </c>
      <c r="D1060">
        <v>63</v>
      </c>
      <c r="E1060">
        <v>67</v>
      </c>
      <c r="F1060">
        <v>57.2</v>
      </c>
      <c r="G1060" t="s">
        <v>6</v>
      </c>
      <c r="H1060">
        <v>19.7</v>
      </c>
      <c r="I1060">
        <v>22.1</v>
      </c>
      <c r="J1060">
        <v>15.1</v>
      </c>
      <c r="K1060" t="s">
        <v>6</v>
      </c>
      <c r="L1060">
        <v>205</v>
      </c>
      <c r="M1060" t="s">
        <v>6</v>
      </c>
      <c r="O1060" s="6">
        <f t="shared" si="600"/>
        <v>45465.416666666664</v>
      </c>
      <c r="P1060">
        <f t="shared" si="601"/>
        <v>63</v>
      </c>
      <c r="Q1060">
        <f t="shared" si="602"/>
        <v>67</v>
      </c>
      <c r="R1060">
        <f t="shared" si="603"/>
        <v>57.2</v>
      </c>
      <c r="S1060">
        <f t="shared" si="604"/>
        <v>64</v>
      </c>
      <c r="V1060" s="6">
        <f t="shared" si="605"/>
        <v>45465.416666666664</v>
      </c>
      <c r="W1060">
        <f t="shared" si="606"/>
        <v>19.7</v>
      </c>
      <c r="X1060">
        <f t="shared" si="607"/>
        <v>22.1</v>
      </c>
      <c r="Y1060">
        <f t="shared" si="608"/>
        <v>15.1</v>
      </c>
      <c r="Z1060">
        <f t="shared" si="609"/>
        <v>20.7</v>
      </c>
    </row>
    <row r="1061" spans="1:26" x14ac:dyDescent="0.2">
      <c r="A1061" s="1">
        <v>45465</v>
      </c>
      <c r="B1061" s="2">
        <v>0.45833333333333331</v>
      </c>
      <c r="C1061" s="6">
        <v>45465.458333333336</v>
      </c>
      <c r="D1061">
        <v>62.4</v>
      </c>
      <c r="E1061">
        <v>67.099999999999994</v>
      </c>
      <c r="F1061">
        <v>58.5</v>
      </c>
      <c r="G1061" t="s">
        <v>6</v>
      </c>
      <c r="H1061">
        <v>20.3</v>
      </c>
      <c r="I1061">
        <v>22.6</v>
      </c>
      <c r="J1061">
        <v>18.100000000000001</v>
      </c>
      <c r="K1061" t="s">
        <v>6</v>
      </c>
      <c r="L1061">
        <v>182</v>
      </c>
      <c r="M1061" t="s">
        <v>6</v>
      </c>
      <c r="O1061" s="6">
        <f t="shared" si="600"/>
        <v>45465.458333333336</v>
      </c>
      <c r="P1061">
        <f t="shared" si="601"/>
        <v>62.4</v>
      </c>
      <c r="Q1061">
        <f t="shared" si="602"/>
        <v>67.099999999999994</v>
      </c>
      <c r="R1061">
        <f t="shared" si="603"/>
        <v>58.5</v>
      </c>
      <c r="S1061">
        <f t="shared" si="604"/>
        <v>63.4</v>
      </c>
      <c r="V1061" s="6">
        <f t="shared" si="605"/>
        <v>45465.458333333336</v>
      </c>
      <c r="W1061">
        <f t="shared" si="606"/>
        <v>20.3</v>
      </c>
      <c r="X1061">
        <f t="shared" si="607"/>
        <v>22.6</v>
      </c>
      <c r="Y1061">
        <f t="shared" si="608"/>
        <v>18.100000000000001</v>
      </c>
      <c r="Z1061">
        <f t="shared" si="609"/>
        <v>21.3</v>
      </c>
    </row>
    <row r="1062" spans="1:26" x14ac:dyDescent="0.2">
      <c r="A1062" s="1">
        <v>45465</v>
      </c>
      <c r="B1062" s="2">
        <v>0.5</v>
      </c>
      <c r="C1062" s="6">
        <v>45465.5</v>
      </c>
      <c r="D1062">
        <v>57.8</v>
      </c>
      <c r="E1062">
        <v>64.099999999999994</v>
      </c>
      <c r="F1062">
        <v>50.7</v>
      </c>
      <c r="G1062" t="s">
        <v>6</v>
      </c>
      <c r="H1062">
        <v>20.100000000000001</v>
      </c>
      <c r="I1062">
        <v>25.2</v>
      </c>
      <c r="J1062">
        <v>15.3</v>
      </c>
      <c r="K1062" t="s">
        <v>6</v>
      </c>
      <c r="L1062">
        <v>182</v>
      </c>
      <c r="M1062" t="s">
        <v>6</v>
      </c>
      <c r="O1062" s="6">
        <f t="shared" si="600"/>
        <v>45465.5</v>
      </c>
      <c r="P1062">
        <f t="shared" si="601"/>
        <v>57.8</v>
      </c>
      <c r="Q1062">
        <f t="shared" si="602"/>
        <v>64.099999999999994</v>
      </c>
      <c r="R1062">
        <f t="shared" si="603"/>
        <v>50.7</v>
      </c>
      <c r="S1062">
        <f t="shared" si="604"/>
        <v>58.8</v>
      </c>
      <c r="V1062" s="6">
        <f t="shared" si="605"/>
        <v>45465.5</v>
      </c>
      <c r="W1062">
        <f t="shared" si="606"/>
        <v>20.100000000000001</v>
      </c>
      <c r="X1062">
        <f t="shared" si="607"/>
        <v>25.2</v>
      </c>
      <c r="Y1062">
        <f t="shared" si="608"/>
        <v>15.3</v>
      </c>
      <c r="Z1062">
        <f t="shared" si="609"/>
        <v>21.1</v>
      </c>
    </row>
    <row r="1063" spans="1:26" x14ac:dyDescent="0.2">
      <c r="A1063" s="1">
        <v>45465</v>
      </c>
      <c r="B1063" s="2">
        <v>0.54166666666666663</v>
      </c>
      <c r="C1063" s="6">
        <v>45465.541666666664</v>
      </c>
      <c r="D1063">
        <v>64.900000000000006</v>
      </c>
      <c r="E1063">
        <v>74.099999999999994</v>
      </c>
      <c r="F1063">
        <v>49.8</v>
      </c>
      <c r="G1063" t="s">
        <v>6</v>
      </c>
      <c r="H1063">
        <v>20.9</v>
      </c>
      <c r="I1063">
        <v>24.3</v>
      </c>
      <c r="J1063">
        <v>14.2</v>
      </c>
      <c r="K1063" t="s">
        <v>6</v>
      </c>
      <c r="L1063">
        <v>223</v>
      </c>
      <c r="M1063" t="s">
        <v>6</v>
      </c>
      <c r="O1063" s="6">
        <f t="shared" si="600"/>
        <v>45465.541666666664</v>
      </c>
      <c r="P1063">
        <f t="shared" si="601"/>
        <v>64.900000000000006</v>
      </c>
      <c r="Q1063">
        <f t="shared" si="602"/>
        <v>74.099999999999994</v>
      </c>
      <c r="R1063">
        <f t="shared" si="603"/>
        <v>49.8</v>
      </c>
      <c r="S1063">
        <f t="shared" si="604"/>
        <v>65.900000000000006</v>
      </c>
      <c r="V1063" s="6">
        <f t="shared" si="605"/>
        <v>45465.541666666664</v>
      </c>
      <c r="W1063">
        <f t="shared" si="606"/>
        <v>20.9</v>
      </c>
      <c r="X1063">
        <f t="shared" si="607"/>
        <v>24.3</v>
      </c>
      <c r="Y1063">
        <f t="shared" si="608"/>
        <v>14.2</v>
      </c>
      <c r="Z1063">
        <f t="shared" si="609"/>
        <v>21.9</v>
      </c>
    </row>
    <row r="1064" spans="1:26" x14ac:dyDescent="0.2">
      <c r="A1064" s="1">
        <v>45465</v>
      </c>
      <c r="B1064" s="2">
        <v>0.58333333333333337</v>
      </c>
      <c r="C1064" s="6">
        <v>45465.583333333336</v>
      </c>
      <c r="D1064">
        <v>65.099999999999994</v>
      </c>
      <c r="E1064">
        <v>69.7</v>
      </c>
      <c r="F1064">
        <v>57.5</v>
      </c>
      <c r="G1064" t="s">
        <v>6</v>
      </c>
      <c r="H1064">
        <v>22</v>
      </c>
      <c r="I1064">
        <v>34.799999999999997</v>
      </c>
      <c r="J1064">
        <v>17.8</v>
      </c>
      <c r="K1064" t="s">
        <v>6</v>
      </c>
      <c r="L1064">
        <v>228</v>
      </c>
      <c r="M1064" t="s">
        <v>6</v>
      </c>
      <c r="O1064" s="6">
        <f t="shared" si="600"/>
        <v>45465.583333333336</v>
      </c>
      <c r="P1064">
        <f t="shared" si="601"/>
        <v>65.099999999999994</v>
      </c>
      <c r="Q1064">
        <f t="shared" si="602"/>
        <v>69.7</v>
      </c>
      <c r="R1064">
        <f t="shared" si="603"/>
        <v>57.5</v>
      </c>
      <c r="S1064">
        <f t="shared" si="604"/>
        <v>66.099999999999994</v>
      </c>
      <c r="V1064" s="6">
        <f t="shared" si="605"/>
        <v>45465.583333333336</v>
      </c>
      <c r="W1064">
        <f t="shared" si="606"/>
        <v>22</v>
      </c>
      <c r="X1064">
        <f t="shared" si="607"/>
        <v>34.799999999999997</v>
      </c>
      <c r="Y1064">
        <f t="shared" si="608"/>
        <v>17.8</v>
      </c>
      <c r="Z1064">
        <f t="shared" si="609"/>
        <v>23</v>
      </c>
    </row>
    <row r="1065" spans="1:26" x14ac:dyDescent="0.2">
      <c r="A1065" s="1">
        <v>45465</v>
      </c>
      <c r="B1065" s="2">
        <v>0.625</v>
      </c>
      <c r="C1065" s="6">
        <v>45465.625</v>
      </c>
      <c r="D1065">
        <v>61.7</v>
      </c>
      <c r="E1065">
        <v>68</v>
      </c>
      <c r="F1065">
        <v>54.2</v>
      </c>
      <c r="G1065" t="s">
        <v>6</v>
      </c>
      <c r="H1065">
        <v>22.7</v>
      </c>
      <c r="I1065">
        <v>25.8</v>
      </c>
      <c r="J1065">
        <v>18.5</v>
      </c>
      <c r="K1065" t="s">
        <v>6</v>
      </c>
      <c r="L1065">
        <v>196</v>
      </c>
      <c r="M1065" t="s">
        <v>6</v>
      </c>
      <c r="O1065" s="6">
        <f t="shared" si="600"/>
        <v>45465.625</v>
      </c>
      <c r="P1065">
        <f t="shared" si="601"/>
        <v>61.7</v>
      </c>
      <c r="Q1065">
        <f t="shared" si="602"/>
        <v>68</v>
      </c>
      <c r="R1065">
        <f t="shared" si="603"/>
        <v>54.2</v>
      </c>
      <c r="S1065">
        <f t="shared" si="604"/>
        <v>62.7</v>
      </c>
      <c r="V1065" s="6">
        <f t="shared" si="605"/>
        <v>45465.625</v>
      </c>
      <c r="W1065">
        <f t="shared" si="606"/>
        <v>22.7</v>
      </c>
      <c r="X1065">
        <f t="shared" si="607"/>
        <v>25.8</v>
      </c>
      <c r="Y1065">
        <f t="shared" si="608"/>
        <v>18.5</v>
      </c>
      <c r="Z1065">
        <f t="shared" si="609"/>
        <v>23.7</v>
      </c>
    </row>
    <row r="1066" spans="1:26" x14ac:dyDescent="0.2">
      <c r="A1066" s="1">
        <v>45465</v>
      </c>
      <c r="B1066" s="2">
        <v>0.66666666666666663</v>
      </c>
      <c r="C1066" s="6">
        <v>45465.666666666664</v>
      </c>
      <c r="D1066">
        <v>61.2</v>
      </c>
      <c r="E1066">
        <v>70.099999999999994</v>
      </c>
      <c r="F1066">
        <v>53.3</v>
      </c>
      <c r="G1066" t="s">
        <v>6</v>
      </c>
      <c r="H1066">
        <v>22.6</v>
      </c>
      <c r="I1066">
        <v>26.6</v>
      </c>
      <c r="J1066">
        <v>19</v>
      </c>
      <c r="K1066" t="s">
        <v>6</v>
      </c>
      <c r="L1066">
        <v>226</v>
      </c>
      <c r="M1066" t="s">
        <v>6</v>
      </c>
      <c r="O1066" s="6">
        <f t="shared" si="600"/>
        <v>45465.666666666664</v>
      </c>
      <c r="P1066">
        <f t="shared" si="601"/>
        <v>61.2</v>
      </c>
      <c r="Q1066">
        <f t="shared" si="602"/>
        <v>70.099999999999994</v>
      </c>
      <c r="R1066">
        <f t="shared" si="603"/>
        <v>53.3</v>
      </c>
      <c r="S1066">
        <f t="shared" si="604"/>
        <v>62.2</v>
      </c>
      <c r="V1066" s="6">
        <f t="shared" si="605"/>
        <v>45465.666666666664</v>
      </c>
      <c r="W1066">
        <f t="shared" si="606"/>
        <v>22.6</v>
      </c>
      <c r="X1066">
        <f t="shared" si="607"/>
        <v>26.6</v>
      </c>
      <c r="Y1066">
        <f t="shared" si="608"/>
        <v>19</v>
      </c>
      <c r="Z1066">
        <f t="shared" si="609"/>
        <v>23.6</v>
      </c>
    </row>
    <row r="1067" spans="1:26" x14ac:dyDescent="0.2">
      <c r="A1067" s="1">
        <v>45465</v>
      </c>
      <c r="B1067" s="2">
        <v>0.70833333333333337</v>
      </c>
      <c r="C1067" s="6">
        <v>45465.708333333336</v>
      </c>
      <c r="D1067">
        <v>62.3</v>
      </c>
      <c r="E1067">
        <v>72.8</v>
      </c>
      <c r="F1067">
        <v>51.4</v>
      </c>
      <c r="G1067" t="s">
        <v>6</v>
      </c>
      <c r="H1067">
        <v>21.6</v>
      </c>
      <c r="I1067">
        <v>30.9</v>
      </c>
      <c r="J1067">
        <v>14</v>
      </c>
      <c r="K1067" t="s">
        <v>6</v>
      </c>
      <c r="L1067">
        <v>227</v>
      </c>
      <c r="M1067" t="s">
        <v>6</v>
      </c>
      <c r="O1067" s="6">
        <f t="shared" si="600"/>
        <v>45465.708333333336</v>
      </c>
      <c r="P1067">
        <f t="shared" si="601"/>
        <v>62.3</v>
      </c>
      <c r="Q1067">
        <f t="shared" si="602"/>
        <v>72.8</v>
      </c>
      <c r="R1067">
        <f t="shared" si="603"/>
        <v>51.4</v>
      </c>
      <c r="S1067">
        <f t="shared" si="604"/>
        <v>63.3</v>
      </c>
      <c r="V1067" s="6">
        <f t="shared" si="605"/>
        <v>45465.708333333336</v>
      </c>
      <c r="W1067">
        <f t="shared" si="606"/>
        <v>21.6</v>
      </c>
      <c r="X1067">
        <f t="shared" si="607"/>
        <v>30.9</v>
      </c>
      <c r="Y1067">
        <f t="shared" si="608"/>
        <v>14</v>
      </c>
      <c r="Z1067">
        <f t="shared" si="609"/>
        <v>22.6</v>
      </c>
    </row>
    <row r="1068" spans="1:26" x14ac:dyDescent="0.2">
      <c r="A1068" s="1">
        <v>45465</v>
      </c>
      <c r="B1068" s="2">
        <v>0.75</v>
      </c>
      <c r="C1068" s="6">
        <v>45465.75</v>
      </c>
      <c r="D1068">
        <v>55.5</v>
      </c>
      <c r="E1068">
        <v>59.6</v>
      </c>
      <c r="F1068">
        <v>49.9</v>
      </c>
      <c r="G1068" t="s">
        <v>6</v>
      </c>
      <c r="H1068">
        <v>21.9</v>
      </c>
      <c r="I1068">
        <v>26.9</v>
      </c>
      <c r="J1068">
        <v>17</v>
      </c>
      <c r="K1068" t="s">
        <v>6</v>
      </c>
      <c r="L1068">
        <v>224</v>
      </c>
      <c r="M1068" t="s">
        <v>6</v>
      </c>
      <c r="O1068" s="6">
        <f t="shared" si="600"/>
        <v>45465.75</v>
      </c>
      <c r="P1068">
        <f t="shared" si="601"/>
        <v>55.5</v>
      </c>
      <c r="Q1068">
        <f t="shared" si="602"/>
        <v>59.6</v>
      </c>
      <c r="R1068">
        <f t="shared" si="603"/>
        <v>49.9</v>
      </c>
      <c r="S1068">
        <f t="shared" si="604"/>
        <v>56.5</v>
      </c>
      <c r="V1068" s="6">
        <f t="shared" si="605"/>
        <v>45465.75</v>
      </c>
      <c r="W1068">
        <f t="shared" si="606"/>
        <v>21.9</v>
      </c>
      <c r="X1068">
        <f t="shared" si="607"/>
        <v>26.9</v>
      </c>
      <c r="Y1068">
        <f t="shared" si="608"/>
        <v>17</v>
      </c>
      <c r="Z1068">
        <f t="shared" si="609"/>
        <v>22.9</v>
      </c>
    </row>
    <row r="1069" spans="1:26" x14ac:dyDescent="0.2">
      <c r="A1069" s="1">
        <v>45465</v>
      </c>
      <c r="B1069" s="2">
        <v>0.79166666666666663</v>
      </c>
      <c r="C1069" s="6">
        <v>45465.791666666664</v>
      </c>
      <c r="D1069">
        <v>62.4</v>
      </c>
      <c r="E1069">
        <v>70.900000000000006</v>
      </c>
      <c r="F1069">
        <v>51</v>
      </c>
      <c r="G1069" t="s">
        <v>6</v>
      </c>
      <c r="H1069">
        <v>22.7</v>
      </c>
      <c r="I1069">
        <v>36.299999999999997</v>
      </c>
      <c r="J1069">
        <v>11.5</v>
      </c>
      <c r="K1069" t="s">
        <v>6</v>
      </c>
      <c r="L1069">
        <v>218</v>
      </c>
      <c r="M1069" t="s">
        <v>6</v>
      </c>
      <c r="O1069" s="6">
        <f t="shared" si="600"/>
        <v>45465.791666666664</v>
      </c>
      <c r="P1069">
        <f t="shared" si="601"/>
        <v>62.4</v>
      </c>
      <c r="Q1069">
        <f t="shared" si="602"/>
        <v>70.900000000000006</v>
      </c>
      <c r="R1069">
        <f t="shared" si="603"/>
        <v>51</v>
      </c>
      <c r="S1069">
        <f t="shared" si="604"/>
        <v>63.4</v>
      </c>
      <c r="V1069" s="6">
        <f t="shared" si="605"/>
        <v>45465.791666666664</v>
      </c>
      <c r="W1069">
        <f t="shared" si="606"/>
        <v>22.7</v>
      </c>
      <c r="X1069">
        <f t="shared" si="607"/>
        <v>36.299999999999997</v>
      </c>
      <c r="Y1069">
        <f t="shared" si="608"/>
        <v>11.5</v>
      </c>
      <c r="Z1069">
        <f t="shared" si="609"/>
        <v>23.7</v>
      </c>
    </row>
    <row r="1070" spans="1:26" x14ac:dyDescent="0.2">
      <c r="A1070" s="1">
        <v>45465</v>
      </c>
      <c r="B1070" s="2">
        <v>0.83333333333333337</v>
      </c>
      <c r="C1070" s="6">
        <v>45465.833333333336</v>
      </c>
      <c r="D1070">
        <v>63.1</v>
      </c>
      <c r="E1070">
        <v>74.8</v>
      </c>
      <c r="F1070">
        <v>56.2</v>
      </c>
      <c r="G1070" t="s">
        <v>6</v>
      </c>
      <c r="H1070">
        <v>23.4</v>
      </c>
      <c r="I1070">
        <v>33.299999999999997</v>
      </c>
      <c r="J1070">
        <v>19.100000000000001</v>
      </c>
      <c r="K1070" t="s">
        <v>6</v>
      </c>
      <c r="L1070">
        <v>224</v>
      </c>
      <c r="M1070" t="s">
        <v>6</v>
      </c>
      <c r="O1070" s="6">
        <f t="shared" si="600"/>
        <v>45465.833333333336</v>
      </c>
      <c r="P1070">
        <f t="shared" si="601"/>
        <v>63.1</v>
      </c>
      <c r="Q1070">
        <f t="shared" si="602"/>
        <v>74.8</v>
      </c>
      <c r="R1070">
        <f t="shared" si="603"/>
        <v>56.2</v>
      </c>
      <c r="S1070">
        <f t="shared" si="604"/>
        <v>64.099999999999994</v>
      </c>
      <c r="V1070" s="6">
        <f t="shared" si="605"/>
        <v>45465.833333333336</v>
      </c>
      <c r="W1070">
        <f t="shared" si="606"/>
        <v>23.4</v>
      </c>
      <c r="X1070">
        <f t="shared" si="607"/>
        <v>33.299999999999997</v>
      </c>
      <c r="Y1070">
        <f t="shared" si="608"/>
        <v>19.100000000000001</v>
      </c>
      <c r="Z1070">
        <f t="shared" si="609"/>
        <v>24.4</v>
      </c>
    </row>
    <row r="1071" spans="1:26" x14ac:dyDescent="0.2">
      <c r="A1071" s="1">
        <v>45465</v>
      </c>
      <c r="B1071" s="2">
        <v>0.875</v>
      </c>
      <c r="C1071" s="6">
        <v>45465.875</v>
      </c>
      <c r="D1071">
        <v>60.9</v>
      </c>
      <c r="E1071">
        <v>69.7</v>
      </c>
      <c r="F1071">
        <v>56.9</v>
      </c>
      <c r="G1071" t="s">
        <v>6</v>
      </c>
      <c r="H1071">
        <v>23.7</v>
      </c>
      <c r="I1071">
        <v>28.9</v>
      </c>
      <c r="J1071">
        <v>18</v>
      </c>
      <c r="K1071" t="s">
        <v>6</v>
      </c>
      <c r="L1071">
        <v>225</v>
      </c>
      <c r="M1071" t="s">
        <v>6</v>
      </c>
      <c r="O1071" s="6">
        <f t="shared" si="600"/>
        <v>45465.875</v>
      </c>
      <c r="P1071">
        <f t="shared" si="601"/>
        <v>60.9</v>
      </c>
      <c r="Q1071">
        <f t="shared" si="602"/>
        <v>69.7</v>
      </c>
      <c r="R1071">
        <f t="shared" si="603"/>
        <v>56.9</v>
      </c>
      <c r="S1071">
        <f t="shared" si="604"/>
        <v>61.9</v>
      </c>
      <c r="V1071" s="6">
        <f t="shared" si="605"/>
        <v>45465.875</v>
      </c>
      <c r="W1071">
        <f t="shared" si="606"/>
        <v>23.7</v>
      </c>
      <c r="X1071">
        <f t="shared" si="607"/>
        <v>28.9</v>
      </c>
      <c r="Y1071">
        <f t="shared" si="608"/>
        <v>18</v>
      </c>
      <c r="Z1071">
        <f t="shared" si="609"/>
        <v>24.7</v>
      </c>
    </row>
    <row r="1072" spans="1:26" x14ac:dyDescent="0.2">
      <c r="A1072" s="1">
        <v>45465</v>
      </c>
      <c r="B1072" s="2">
        <v>0.91666666666666663</v>
      </c>
      <c r="C1072" s="6">
        <v>45465.916666666664</v>
      </c>
      <c r="D1072">
        <v>57.5</v>
      </c>
      <c r="E1072">
        <v>63.6</v>
      </c>
      <c r="F1072">
        <v>50.5</v>
      </c>
      <c r="G1072" t="s">
        <v>6</v>
      </c>
      <c r="H1072">
        <v>22.3</v>
      </c>
      <c r="I1072">
        <v>25.8</v>
      </c>
      <c r="J1072">
        <v>17.100000000000001</v>
      </c>
      <c r="K1072" t="s">
        <v>6</v>
      </c>
      <c r="L1072">
        <v>225</v>
      </c>
      <c r="M1072" t="s">
        <v>6</v>
      </c>
      <c r="O1072" s="6">
        <f t="shared" si="600"/>
        <v>45465.916666666664</v>
      </c>
      <c r="P1072">
        <f t="shared" si="601"/>
        <v>57.5</v>
      </c>
      <c r="Q1072">
        <f t="shared" si="602"/>
        <v>63.6</v>
      </c>
      <c r="R1072">
        <f t="shared" si="603"/>
        <v>50.5</v>
      </c>
      <c r="S1072">
        <f t="shared" si="604"/>
        <v>58.5</v>
      </c>
      <c r="V1072" s="6">
        <f t="shared" si="605"/>
        <v>45465.916666666664</v>
      </c>
      <c r="W1072">
        <f t="shared" si="606"/>
        <v>22.3</v>
      </c>
      <c r="X1072">
        <f t="shared" si="607"/>
        <v>25.8</v>
      </c>
      <c r="Y1072">
        <f t="shared" si="608"/>
        <v>17.100000000000001</v>
      </c>
      <c r="Z1072">
        <f t="shared" si="609"/>
        <v>23.3</v>
      </c>
    </row>
    <row r="1073" spans="1:26" x14ac:dyDescent="0.2">
      <c r="A1073" s="1">
        <v>45465</v>
      </c>
      <c r="B1073" s="2">
        <v>0.95833333333333337</v>
      </c>
      <c r="C1073" s="6">
        <v>45465.958333333336</v>
      </c>
      <c r="D1073">
        <v>54.7</v>
      </c>
      <c r="E1073">
        <v>63.6</v>
      </c>
      <c r="F1073">
        <v>45.5</v>
      </c>
      <c r="G1073" t="s">
        <v>6</v>
      </c>
      <c r="H1073">
        <v>22.1</v>
      </c>
      <c r="I1073">
        <v>26.7</v>
      </c>
      <c r="J1073">
        <v>19.600000000000001</v>
      </c>
      <c r="K1073" t="s">
        <v>6</v>
      </c>
      <c r="L1073">
        <v>226</v>
      </c>
      <c r="M1073" t="s">
        <v>6</v>
      </c>
      <c r="O1073" s="6">
        <f t="shared" si="600"/>
        <v>45465.958333333336</v>
      </c>
      <c r="P1073">
        <f t="shared" si="601"/>
        <v>54.7</v>
      </c>
      <c r="Q1073">
        <f t="shared" si="602"/>
        <v>63.6</v>
      </c>
      <c r="R1073">
        <f t="shared" si="603"/>
        <v>45.5</v>
      </c>
      <c r="S1073">
        <f t="shared" si="604"/>
        <v>55.7</v>
      </c>
      <c r="V1073" s="6">
        <f t="shared" si="605"/>
        <v>45465.958333333336</v>
      </c>
      <c r="W1073">
        <f t="shared" si="606"/>
        <v>22.1</v>
      </c>
      <c r="X1073">
        <f t="shared" si="607"/>
        <v>26.7</v>
      </c>
      <c r="Y1073">
        <f t="shared" si="608"/>
        <v>19.600000000000001</v>
      </c>
      <c r="Z1073">
        <f t="shared" si="609"/>
        <v>23.1</v>
      </c>
    </row>
    <row r="1074" spans="1:26" x14ac:dyDescent="0.2">
      <c r="A1074" s="1">
        <v>45466</v>
      </c>
      <c r="B1074" s="2">
        <v>0</v>
      </c>
      <c r="C1074" s="6">
        <v>45466</v>
      </c>
      <c r="D1074">
        <v>48.1</v>
      </c>
      <c r="E1074">
        <v>59.1</v>
      </c>
      <c r="F1074">
        <v>40.1</v>
      </c>
      <c r="G1074" t="s">
        <v>6</v>
      </c>
      <c r="H1074">
        <v>22.6</v>
      </c>
      <c r="I1074">
        <v>38.1</v>
      </c>
      <c r="J1074">
        <v>18.399999999999999</v>
      </c>
      <c r="K1074" t="s">
        <v>6</v>
      </c>
      <c r="L1074">
        <v>231</v>
      </c>
      <c r="M1074" t="s">
        <v>6</v>
      </c>
      <c r="O1074" s="6">
        <f t="shared" si="600"/>
        <v>45466</v>
      </c>
      <c r="P1074">
        <f t="shared" si="601"/>
        <v>48.1</v>
      </c>
      <c r="Q1074">
        <f t="shared" si="602"/>
        <v>59.1</v>
      </c>
      <c r="R1074">
        <f t="shared" si="603"/>
        <v>40.1</v>
      </c>
      <c r="S1074">
        <f t="shared" si="604"/>
        <v>49.1</v>
      </c>
      <c r="V1074" s="6">
        <f t="shared" si="605"/>
        <v>45466</v>
      </c>
      <c r="W1074">
        <f t="shared" si="606"/>
        <v>22.6</v>
      </c>
      <c r="X1074">
        <f t="shared" si="607"/>
        <v>38.1</v>
      </c>
      <c r="Y1074">
        <f t="shared" si="608"/>
        <v>18.399999999999999</v>
      </c>
      <c r="Z1074">
        <f t="shared" si="609"/>
        <v>23.6</v>
      </c>
    </row>
    <row r="1075" spans="1:26" x14ac:dyDescent="0.2">
      <c r="A1075" s="1">
        <v>45466</v>
      </c>
      <c r="B1075" s="2">
        <v>4.1666666666666664E-2</v>
      </c>
      <c r="C1075" s="6">
        <v>45466.041666666664</v>
      </c>
      <c r="D1075">
        <v>50.8</v>
      </c>
      <c r="E1075">
        <v>64.5</v>
      </c>
      <c r="F1075">
        <v>40.6</v>
      </c>
      <c r="G1075" t="s">
        <v>6</v>
      </c>
      <c r="H1075">
        <v>20.3</v>
      </c>
      <c r="I1075">
        <v>26.1</v>
      </c>
      <c r="J1075">
        <v>18.2</v>
      </c>
      <c r="K1075" t="s">
        <v>6</v>
      </c>
      <c r="L1075">
        <v>227</v>
      </c>
      <c r="M1075" t="s">
        <v>6</v>
      </c>
      <c r="O1075" s="6">
        <f t="shared" si="600"/>
        <v>45466.041666666664</v>
      </c>
      <c r="P1075">
        <f t="shared" si="601"/>
        <v>50.8</v>
      </c>
      <c r="Q1075">
        <f t="shared" si="602"/>
        <v>64.5</v>
      </c>
      <c r="R1075">
        <f t="shared" si="603"/>
        <v>40.6</v>
      </c>
      <c r="S1075">
        <f t="shared" si="604"/>
        <v>51.8</v>
      </c>
      <c r="V1075" s="6">
        <f t="shared" si="605"/>
        <v>45466.041666666664</v>
      </c>
      <c r="W1075">
        <f t="shared" si="606"/>
        <v>20.3</v>
      </c>
      <c r="X1075">
        <f t="shared" si="607"/>
        <v>26.1</v>
      </c>
      <c r="Y1075">
        <f t="shared" si="608"/>
        <v>18.2</v>
      </c>
      <c r="Z1075">
        <f t="shared" si="609"/>
        <v>21.3</v>
      </c>
    </row>
    <row r="1076" spans="1:26" x14ac:dyDescent="0.2">
      <c r="A1076" s="1">
        <v>45466</v>
      </c>
      <c r="B1076" s="2">
        <v>8.3333333333333329E-2</v>
      </c>
      <c r="C1076" s="6">
        <v>45466.083333333336</v>
      </c>
      <c r="D1076">
        <v>54.4</v>
      </c>
      <c r="E1076">
        <v>70.3</v>
      </c>
      <c r="F1076">
        <v>47.5</v>
      </c>
      <c r="G1076" t="s">
        <v>6</v>
      </c>
      <c r="H1076">
        <v>21</v>
      </c>
      <c r="I1076">
        <v>33.299999999999997</v>
      </c>
      <c r="J1076">
        <v>17.2</v>
      </c>
      <c r="K1076" t="s">
        <v>6</v>
      </c>
      <c r="L1076">
        <v>226</v>
      </c>
      <c r="M1076" t="s">
        <v>6</v>
      </c>
      <c r="O1076" s="6">
        <f t="shared" si="600"/>
        <v>45466.083333333336</v>
      </c>
      <c r="P1076">
        <f t="shared" si="601"/>
        <v>54.4</v>
      </c>
      <c r="Q1076">
        <f t="shared" si="602"/>
        <v>70.3</v>
      </c>
      <c r="R1076">
        <f t="shared" si="603"/>
        <v>47.5</v>
      </c>
      <c r="S1076">
        <f t="shared" si="604"/>
        <v>55.4</v>
      </c>
      <c r="V1076" s="6">
        <f t="shared" si="605"/>
        <v>45466.083333333336</v>
      </c>
      <c r="W1076">
        <f t="shared" si="606"/>
        <v>21</v>
      </c>
      <c r="X1076">
        <f t="shared" si="607"/>
        <v>33.299999999999997</v>
      </c>
      <c r="Y1076">
        <f t="shared" si="608"/>
        <v>17.2</v>
      </c>
      <c r="Z1076">
        <f t="shared" si="609"/>
        <v>22</v>
      </c>
    </row>
    <row r="1077" spans="1:26" x14ac:dyDescent="0.2">
      <c r="A1077" s="1">
        <v>45466</v>
      </c>
      <c r="B1077" s="2">
        <v>0.125</v>
      </c>
      <c r="C1077" s="6">
        <v>45466.125</v>
      </c>
      <c r="D1077">
        <v>70.900000000000006</v>
      </c>
      <c r="E1077">
        <v>78.3</v>
      </c>
      <c r="F1077">
        <v>59.3</v>
      </c>
      <c r="G1077" t="s">
        <v>6</v>
      </c>
      <c r="H1077">
        <v>20.100000000000001</v>
      </c>
      <c r="I1077">
        <v>25.6</v>
      </c>
      <c r="J1077">
        <v>17.8</v>
      </c>
      <c r="K1077" t="s">
        <v>6</v>
      </c>
      <c r="L1077">
        <v>225</v>
      </c>
      <c r="M1077" t="s">
        <v>6</v>
      </c>
      <c r="O1077" s="6">
        <f t="shared" si="600"/>
        <v>45466.125</v>
      </c>
      <c r="P1077">
        <f t="shared" si="601"/>
        <v>70.900000000000006</v>
      </c>
      <c r="Q1077">
        <f t="shared" si="602"/>
        <v>78.3</v>
      </c>
      <c r="R1077">
        <f t="shared" si="603"/>
        <v>59.3</v>
      </c>
      <c r="S1077">
        <f t="shared" si="604"/>
        <v>71.900000000000006</v>
      </c>
      <c r="V1077" s="6">
        <f t="shared" si="605"/>
        <v>45466.125</v>
      </c>
      <c r="W1077">
        <f t="shared" si="606"/>
        <v>20.100000000000001</v>
      </c>
      <c r="X1077">
        <f t="shared" si="607"/>
        <v>25.6</v>
      </c>
      <c r="Y1077">
        <f t="shared" si="608"/>
        <v>17.8</v>
      </c>
      <c r="Z1077">
        <f t="shared" si="609"/>
        <v>21.1</v>
      </c>
    </row>
    <row r="1078" spans="1:26" x14ac:dyDescent="0.2">
      <c r="A1078" s="1">
        <v>45466</v>
      </c>
      <c r="B1078" s="2">
        <v>0.16666666666666666</v>
      </c>
      <c r="C1078" s="6">
        <v>45466.166666666664</v>
      </c>
      <c r="D1078">
        <v>61.2</v>
      </c>
      <c r="E1078">
        <v>75.099999999999994</v>
      </c>
      <c r="F1078">
        <v>50</v>
      </c>
      <c r="G1078" t="s">
        <v>6</v>
      </c>
      <c r="H1078">
        <v>19.600000000000001</v>
      </c>
      <c r="I1078">
        <v>35</v>
      </c>
      <c r="J1078">
        <v>16.5</v>
      </c>
      <c r="K1078" t="s">
        <v>6</v>
      </c>
      <c r="L1078">
        <v>226</v>
      </c>
      <c r="M1078" t="s">
        <v>6</v>
      </c>
      <c r="O1078" s="6">
        <f t="shared" si="600"/>
        <v>45466.166666666664</v>
      </c>
      <c r="P1078">
        <f t="shared" si="601"/>
        <v>61.2</v>
      </c>
      <c r="Q1078">
        <f t="shared" si="602"/>
        <v>75.099999999999994</v>
      </c>
      <c r="R1078">
        <f t="shared" si="603"/>
        <v>50</v>
      </c>
      <c r="S1078">
        <f t="shared" si="604"/>
        <v>62.2</v>
      </c>
      <c r="V1078" s="6">
        <f t="shared" si="605"/>
        <v>45466.166666666664</v>
      </c>
      <c r="W1078">
        <f t="shared" si="606"/>
        <v>19.600000000000001</v>
      </c>
      <c r="X1078">
        <f t="shared" si="607"/>
        <v>35</v>
      </c>
      <c r="Y1078">
        <f t="shared" si="608"/>
        <v>16.5</v>
      </c>
      <c r="Z1078">
        <f t="shared" si="609"/>
        <v>20.6</v>
      </c>
    </row>
    <row r="1079" spans="1:26" x14ac:dyDescent="0.2">
      <c r="A1079" s="1">
        <v>45466</v>
      </c>
      <c r="B1079" s="2">
        <v>0.20833333333333334</v>
      </c>
      <c r="C1079" s="6">
        <v>45466.208333333336</v>
      </c>
      <c r="D1079">
        <v>59.6</v>
      </c>
      <c r="E1079">
        <v>75.099999999999994</v>
      </c>
      <c r="F1079">
        <v>44.9</v>
      </c>
      <c r="G1079" t="s">
        <v>6</v>
      </c>
      <c r="H1079">
        <v>20</v>
      </c>
      <c r="I1079">
        <v>34.9</v>
      </c>
      <c r="J1079">
        <v>17.399999999999999</v>
      </c>
      <c r="K1079" t="s">
        <v>6</v>
      </c>
      <c r="L1079">
        <v>222</v>
      </c>
      <c r="M1079" t="s">
        <v>6</v>
      </c>
      <c r="O1079" s="6">
        <f t="shared" si="600"/>
        <v>45466.208333333336</v>
      </c>
      <c r="P1079">
        <f t="shared" si="601"/>
        <v>59.6</v>
      </c>
      <c r="Q1079">
        <f t="shared" si="602"/>
        <v>75.099999999999994</v>
      </c>
      <c r="R1079">
        <f t="shared" si="603"/>
        <v>44.9</v>
      </c>
      <c r="S1079">
        <f t="shared" si="604"/>
        <v>60.6</v>
      </c>
      <c r="V1079" s="6">
        <f t="shared" si="605"/>
        <v>45466.208333333336</v>
      </c>
      <c r="W1079">
        <f t="shared" si="606"/>
        <v>20</v>
      </c>
      <c r="X1079">
        <f t="shared" si="607"/>
        <v>34.9</v>
      </c>
      <c r="Y1079">
        <f t="shared" si="608"/>
        <v>17.399999999999999</v>
      </c>
      <c r="Z1079">
        <f t="shared" si="609"/>
        <v>21</v>
      </c>
    </row>
    <row r="1080" spans="1:26" x14ac:dyDescent="0.2">
      <c r="A1080" s="1">
        <v>45466</v>
      </c>
      <c r="B1080" s="2">
        <v>0.25</v>
      </c>
      <c r="C1080" s="6">
        <v>45466.25</v>
      </c>
      <c r="D1080">
        <v>62.9</v>
      </c>
      <c r="E1080">
        <v>72.900000000000006</v>
      </c>
      <c r="F1080">
        <v>53</v>
      </c>
      <c r="G1080" t="s">
        <v>6</v>
      </c>
      <c r="H1080">
        <v>19.2</v>
      </c>
      <c r="I1080">
        <v>24.5</v>
      </c>
      <c r="J1080">
        <v>17</v>
      </c>
      <c r="K1080" t="s">
        <v>6</v>
      </c>
      <c r="L1080">
        <v>222</v>
      </c>
      <c r="M1080" t="s">
        <v>6</v>
      </c>
      <c r="O1080" s="6">
        <f t="shared" si="600"/>
        <v>45466.25</v>
      </c>
      <c r="P1080">
        <f t="shared" si="601"/>
        <v>62.9</v>
      </c>
      <c r="Q1080">
        <f t="shared" si="602"/>
        <v>72.900000000000006</v>
      </c>
      <c r="R1080">
        <f t="shared" si="603"/>
        <v>53</v>
      </c>
      <c r="S1080">
        <f t="shared" si="604"/>
        <v>63.9</v>
      </c>
      <c r="V1080" s="6">
        <f t="shared" si="605"/>
        <v>45466.25</v>
      </c>
      <c r="W1080">
        <f t="shared" si="606"/>
        <v>19.2</v>
      </c>
      <c r="X1080">
        <f t="shared" si="607"/>
        <v>24.5</v>
      </c>
      <c r="Y1080">
        <f t="shared" si="608"/>
        <v>17</v>
      </c>
      <c r="Z1080">
        <f t="shared" si="609"/>
        <v>20.2</v>
      </c>
    </row>
    <row r="1081" spans="1:26" x14ac:dyDescent="0.2">
      <c r="A1081" s="1">
        <v>45466</v>
      </c>
      <c r="B1081" s="2">
        <v>0.29166666666666669</v>
      </c>
      <c r="C1081" s="6">
        <v>45466.291666666664</v>
      </c>
      <c r="D1081">
        <v>55.1</v>
      </c>
      <c r="E1081">
        <v>72.3</v>
      </c>
      <c r="F1081">
        <v>46.2</v>
      </c>
      <c r="G1081" t="s">
        <v>6</v>
      </c>
      <c r="H1081">
        <v>20.100000000000001</v>
      </c>
      <c r="I1081">
        <v>32.5</v>
      </c>
      <c r="J1081">
        <v>17.3</v>
      </c>
      <c r="K1081" t="s">
        <v>6</v>
      </c>
      <c r="L1081">
        <v>230</v>
      </c>
      <c r="M1081" t="s">
        <v>6</v>
      </c>
      <c r="O1081" s="6">
        <f t="shared" si="600"/>
        <v>45466.291666666664</v>
      </c>
      <c r="P1081">
        <f t="shared" si="601"/>
        <v>55.1</v>
      </c>
      <c r="Q1081">
        <f t="shared" si="602"/>
        <v>72.3</v>
      </c>
      <c r="R1081">
        <f t="shared" si="603"/>
        <v>46.2</v>
      </c>
      <c r="S1081">
        <f t="shared" si="604"/>
        <v>56.1</v>
      </c>
      <c r="V1081" s="6">
        <f t="shared" si="605"/>
        <v>45466.291666666664</v>
      </c>
      <c r="W1081">
        <f t="shared" si="606"/>
        <v>20.100000000000001</v>
      </c>
      <c r="X1081">
        <f t="shared" si="607"/>
        <v>32.5</v>
      </c>
      <c r="Y1081">
        <f t="shared" si="608"/>
        <v>17.3</v>
      </c>
      <c r="Z1081">
        <f t="shared" si="609"/>
        <v>21.1</v>
      </c>
    </row>
    <row r="1082" spans="1:26" x14ac:dyDescent="0.2">
      <c r="A1082" s="14">
        <v>45466</v>
      </c>
      <c r="B1082" s="7">
        <v>0.33333333333333331</v>
      </c>
      <c r="C1082" s="8">
        <v>45466.333333333336</v>
      </c>
      <c r="D1082" s="9">
        <v>60.2</v>
      </c>
      <c r="E1082" s="9">
        <v>72.099999999999994</v>
      </c>
      <c r="F1082" s="9">
        <v>51.7</v>
      </c>
      <c r="G1082" s="9" t="s">
        <v>6</v>
      </c>
      <c r="H1082" s="9">
        <v>20.7</v>
      </c>
      <c r="I1082" s="9">
        <v>33.200000000000003</v>
      </c>
      <c r="J1082" s="9">
        <v>17.3</v>
      </c>
      <c r="K1082" s="9" t="s">
        <v>6</v>
      </c>
      <c r="L1082" s="9">
        <v>225</v>
      </c>
      <c r="M1082" t="s">
        <v>6</v>
      </c>
      <c r="O1082" s="6">
        <f t="shared" si="600"/>
        <v>45466.333333333336</v>
      </c>
      <c r="P1082">
        <f t="shared" si="601"/>
        <v>60.2</v>
      </c>
      <c r="Q1082">
        <f t="shared" si="602"/>
        <v>72.099999999999994</v>
      </c>
      <c r="R1082">
        <f t="shared" si="603"/>
        <v>51.7</v>
      </c>
      <c r="S1082">
        <f t="shared" si="604"/>
        <v>61.2</v>
      </c>
      <c r="V1082" s="6">
        <f t="shared" si="605"/>
        <v>45466.333333333336</v>
      </c>
      <c r="W1082">
        <f t="shared" si="606"/>
        <v>20.7</v>
      </c>
      <c r="X1082">
        <f t="shared" si="607"/>
        <v>33.200000000000003</v>
      </c>
      <c r="Y1082">
        <f t="shared" si="608"/>
        <v>17.3</v>
      </c>
      <c r="Z1082">
        <f t="shared" si="609"/>
        <v>21.7</v>
      </c>
    </row>
    <row r="1083" spans="1:26" x14ac:dyDescent="0.2">
      <c r="A1083" s="13">
        <v>45466</v>
      </c>
      <c r="B1083" s="3">
        <v>0.375</v>
      </c>
      <c r="C1083" s="4">
        <v>45466.375</v>
      </c>
      <c r="D1083" s="5">
        <v>54.4</v>
      </c>
      <c r="E1083" s="5">
        <v>56.9</v>
      </c>
      <c r="F1083" s="5">
        <v>51.8</v>
      </c>
      <c r="G1083" s="5" t="s">
        <v>6</v>
      </c>
      <c r="H1083" s="5">
        <v>22</v>
      </c>
      <c r="I1083" s="5">
        <v>29.5</v>
      </c>
      <c r="J1083" s="5">
        <v>16</v>
      </c>
      <c r="K1083" s="5" t="s">
        <v>6</v>
      </c>
      <c r="L1083" s="5">
        <v>69</v>
      </c>
      <c r="M1083" t="s">
        <v>6</v>
      </c>
      <c r="O1083" s="6">
        <f t="shared" si="600"/>
        <v>45466.375</v>
      </c>
      <c r="P1083">
        <f t="shared" si="601"/>
        <v>54.4</v>
      </c>
      <c r="Q1083">
        <f t="shared" si="602"/>
        <v>56.9</v>
      </c>
      <c r="R1083">
        <f t="shared" si="603"/>
        <v>51.8</v>
      </c>
      <c r="S1083">
        <f t="shared" si="604"/>
        <v>55.4</v>
      </c>
      <c r="V1083" s="6">
        <f t="shared" si="605"/>
        <v>45466.375</v>
      </c>
      <c r="W1083">
        <f t="shared" si="606"/>
        <v>22</v>
      </c>
      <c r="X1083">
        <f t="shared" si="607"/>
        <v>29.5</v>
      </c>
      <c r="Y1083">
        <f t="shared" si="608"/>
        <v>16</v>
      </c>
      <c r="Z1083">
        <f t="shared" si="609"/>
        <v>23</v>
      </c>
    </row>
    <row r="1084" spans="1:26" x14ac:dyDescent="0.2">
      <c r="A1084" s="1">
        <v>45466</v>
      </c>
      <c r="B1084" s="2">
        <v>0.41666666666666669</v>
      </c>
      <c r="C1084" s="6">
        <v>45466.416666666664</v>
      </c>
      <c r="D1084">
        <v>75.5</v>
      </c>
      <c r="E1084">
        <v>89.1</v>
      </c>
      <c r="F1084">
        <v>52.7</v>
      </c>
      <c r="G1084" t="s">
        <v>6</v>
      </c>
      <c r="H1084">
        <v>19.5</v>
      </c>
      <c r="I1084">
        <v>25.4</v>
      </c>
      <c r="J1084">
        <v>17.399999999999999</v>
      </c>
      <c r="K1084" t="s">
        <v>6</v>
      </c>
      <c r="L1084">
        <v>197</v>
      </c>
      <c r="M1084" t="s">
        <v>6</v>
      </c>
      <c r="O1084" s="6">
        <f t="shared" si="600"/>
        <v>45466.416666666664</v>
      </c>
      <c r="P1084">
        <f t="shared" si="601"/>
        <v>75.5</v>
      </c>
      <c r="Q1084">
        <f t="shared" si="602"/>
        <v>89.1</v>
      </c>
      <c r="R1084">
        <f t="shared" si="603"/>
        <v>52.7</v>
      </c>
      <c r="S1084">
        <f t="shared" si="604"/>
        <v>76.5</v>
      </c>
      <c r="V1084" s="6">
        <f t="shared" si="605"/>
        <v>45466.416666666664</v>
      </c>
      <c r="W1084">
        <f t="shared" si="606"/>
        <v>19.5</v>
      </c>
      <c r="X1084">
        <f t="shared" si="607"/>
        <v>25.4</v>
      </c>
      <c r="Y1084">
        <f t="shared" si="608"/>
        <v>17.399999999999999</v>
      </c>
      <c r="Z1084">
        <f t="shared" si="609"/>
        <v>20.5</v>
      </c>
    </row>
    <row r="1085" spans="1:26" x14ac:dyDescent="0.2">
      <c r="A1085" s="1">
        <v>45466</v>
      </c>
      <c r="B1085" s="2">
        <v>0.45833333333333331</v>
      </c>
      <c r="C1085" s="6">
        <v>45466.458333333336</v>
      </c>
      <c r="D1085">
        <v>78.7</v>
      </c>
      <c r="E1085">
        <v>85.6</v>
      </c>
      <c r="F1085">
        <v>62.8</v>
      </c>
      <c r="G1085" t="s">
        <v>6</v>
      </c>
      <c r="H1085">
        <v>21</v>
      </c>
      <c r="I1085">
        <v>36.299999999999997</v>
      </c>
      <c r="J1085">
        <v>17.100000000000001</v>
      </c>
      <c r="K1085" t="s">
        <v>6</v>
      </c>
      <c r="L1085">
        <v>209</v>
      </c>
      <c r="M1085" t="s">
        <v>6</v>
      </c>
      <c r="O1085" s="6">
        <f t="shared" si="600"/>
        <v>45466.458333333336</v>
      </c>
      <c r="P1085">
        <f t="shared" si="601"/>
        <v>78.7</v>
      </c>
      <c r="Q1085">
        <f t="shared" si="602"/>
        <v>85.6</v>
      </c>
      <c r="R1085">
        <f t="shared" si="603"/>
        <v>62.8</v>
      </c>
      <c r="S1085">
        <f t="shared" si="604"/>
        <v>79.7</v>
      </c>
      <c r="V1085" s="6">
        <f t="shared" si="605"/>
        <v>45466.458333333336</v>
      </c>
      <c r="W1085">
        <f t="shared" si="606"/>
        <v>21</v>
      </c>
      <c r="X1085">
        <f t="shared" si="607"/>
        <v>36.299999999999997</v>
      </c>
      <c r="Y1085">
        <f t="shared" si="608"/>
        <v>17.100000000000001</v>
      </c>
      <c r="Z1085">
        <f t="shared" si="609"/>
        <v>22</v>
      </c>
    </row>
    <row r="1086" spans="1:26" x14ac:dyDescent="0.2">
      <c r="A1086" s="1">
        <v>45466</v>
      </c>
      <c r="B1086" s="2">
        <v>0.5</v>
      </c>
      <c r="C1086" s="6">
        <v>45466.5</v>
      </c>
      <c r="D1086">
        <v>69.8</v>
      </c>
      <c r="E1086">
        <v>78.599999999999994</v>
      </c>
      <c r="F1086">
        <v>62.5</v>
      </c>
      <c r="G1086" t="s">
        <v>6</v>
      </c>
      <c r="H1086">
        <v>19.7</v>
      </c>
      <c r="I1086">
        <v>34.6</v>
      </c>
      <c r="J1086">
        <v>16.5</v>
      </c>
      <c r="K1086" t="s">
        <v>6</v>
      </c>
      <c r="L1086">
        <v>229</v>
      </c>
      <c r="M1086" t="s">
        <v>6</v>
      </c>
      <c r="O1086" s="6">
        <f t="shared" si="600"/>
        <v>45466.5</v>
      </c>
      <c r="P1086">
        <f t="shared" si="601"/>
        <v>69.8</v>
      </c>
      <c r="Q1086">
        <f t="shared" si="602"/>
        <v>78.599999999999994</v>
      </c>
      <c r="R1086">
        <f t="shared" si="603"/>
        <v>62.5</v>
      </c>
      <c r="S1086">
        <f t="shared" si="604"/>
        <v>70.8</v>
      </c>
      <c r="V1086" s="6">
        <f t="shared" si="605"/>
        <v>45466.5</v>
      </c>
      <c r="W1086">
        <f t="shared" si="606"/>
        <v>19.7</v>
      </c>
      <c r="X1086">
        <f t="shared" si="607"/>
        <v>34.6</v>
      </c>
      <c r="Y1086">
        <f t="shared" si="608"/>
        <v>16.5</v>
      </c>
      <c r="Z1086">
        <f t="shared" si="609"/>
        <v>20.7</v>
      </c>
    </row>
    <row r="1087" spans="1:26" x14ac:dyDescent="0.2">
      <c r="A1087" s="1">
        <v>45466</v>
      </c>
      <c r="B1087" s="2">
        <v>0.54166666666666663</v>
      </c>
      <c r="C1087" s="6">
        <v>45466.541666666664</v>
      </c>
      <c r="D1087">
        <v>67.599999999999994</v>
      </c>
      <c r="E1087">
        <v>79.400000000000006</v>
      </c>
      <c r="F1087">
        <v>55.8</v>
      </c>
      <c r="G1087" t="s">
        <v>6</v>
      </c>
      <c r="H1087">
        <v>21.2</v>
      </c>
      <c r="I1087">
        <v>37.700000000000003</v>
      </c>
      <c r="J1087">
        <v>17.2</v>
      </c>
      <c r="K1087" t="s">
        <v>6</v>
      </c>
      <c r="L1087">
        <v>225</v>
      </c>
      <c r="M1087" t="s">
        <v>6</v>
      </c>
      <c r="O1087" s="6">
        <f t="shared" si="600"/>
        <v>45466.541666666664</v>
      </c>
      <c r="P1087">
        <f t="shared" si="601"/>
        <v>67.599999999999994</v>
      </c>
      <c r="Q1087">
        <f t="shared" si="602"/>
        <v>79.400000000000006</v>
      </c>
      <c r="R1087">
        <f t="shared" si="603"/>
        <v>55.8</v>
      </c>
      <c r="S1087">
        <f t="shared" si="604"/>
        <v>68.599999999999994</v>
      </c>
      <c r="V1087" s="6">
        <f t="shared" si="605"/>
        <v>45466.541666666664</v>
      </c>
      <c r="W1087">
        <f t="shared" si="606"/>
        <v>21.2</v>
      </c>
      <c r="X1087">
        <f t="shared" si="607"/>
        <v>37.700000000000003</v>
      </c>
      <c r="Y1087">
        <f t="shared" si="608"/>
        <v>17.2</v>
      </c>
      <c r="Z1087">
        <f t="shared" si="609"/>
        <v>22.2</v>
      </c>
    </row>
    <row r="1088" spans="1:26" x14ac:dyDescent="0.2">
      <c r="A1088" s="1">
        <v>45466</v>
      </c>
      <c r="B1088" s="2">
        <v>0.58333333333333337</v>
      </c>
      <c r="C1088" s="6">
        <v>45466.583333333336</v>
      </c>
      <c r="D1088">
        <v>69.400000000000006</v>
      </c>
      <c r="E1088">
        <v>80.7</v>
      </c>
      <c r="F1088">
        <v>61.2</v>
      </c>
      <c r="G1088" t="s">
        <v>6</v>
      </c>
      <c r="H1088">
        <v>22</v>
      </c>
      <c r="I1088">
        <v>40.200000000000003</v>
      </c>
      <c r="J1088">
        <v>16.3</v>
      </c>
      <c r="K1088" t="s">
        <v>6</v>
      </c>
      <c r="L1088">
        <v>229</v>
      </c>
      <c r="M1088" t="s">
        <v>6</v>
      </c>
      <c r="O1088" s="6">
        <f t="shared" ref="O1088:O1151" si="610">C1088</f>
        <v>45466.583333333336</v>
      </c>
      <c r="P1088">
        <f t="shared" ref="P1088:P1151" si="611">D1088</f>
        <v>69.400000000000006</v>
      </c>
      <c r="Q1088">
        <f t="shared" ref="Q1088:Q1151" si="612">E1088</f>
        <v>80.7</v>
      </c>
      <c r="R1088">
        <f t="shared" ref="R1088:R1151" si="613">F1088</f>
        <v>61.2</v>
      </c>
      <c r="S1088">
        <f t="shared" ref="S1088:S1151" si="614">P1088+1</f>
        <v>70.400000000000006</v>
      </c>
      <c r="V1088" s="6">
        <f t="shared" ref="V1088:V1151" si="615">O1088</f>
        <v>45466.583333333336</v>
      </c>
      <c r="W1088">
        <f t="shared" ref="W1088:W1151" si="616">H1088</f>
        <v>22</v>
      </c>
      <c r="X1088">
        <f t="shared" ref="X1088:X1151" si="617">I1088</f>
        <v>40.200000000000003</v>
      </c>
      <c r="Y1088">
        <f t="shared" ref="Y1088:Y1151" si="618">J1088</f>
        <v>16.3</v>
      </c>
      <c r="Z1088">
        <f t="shared" ref="Z1088:Z1151" si="619">W1088+1</f>
        <v>23</v>
      </c>
    </row>
    <row r="1089" spans="1:26" x14ac:dyDescent="0.2">
      <c r="A1089" s="1">
        <v>45466</v>
      </c>
      <c r="B1089" s="2">
        <v>0.625</v>
      </c>
      <c r="C1089" s="6">
        <v>45466.625</v>
      </c>
      <c r="D1089">
        <v>63.6</v>
      </c>
      <c r="E1089">
        <v>70.3</v>
      </c>
      <c r="F1089">
        <v>57.5</v>
      </c>
      <c r="G1089" t="s">
        <v>6</v>
      </c>
      <c r="H1089">
        <v>20</v>
      </c>
      <c r="I1089">
        <v>25.7</v>
      </c>
      <c r="J1089">
        <v>17.3</v>
      </c>
      <c r="K1089" t="s">
        <v>6</v>
      </c>
      <c r="L1089">
        <v>163</v>
      </c>
      <c r="M1089" t="s">
        <v>6</v>
      </c>
      <c r="O1089" s="6">
        <f t="shared" si="610"/>
        <v>45466.625</v>
      </c>
      <c r="P1089">
        <f t="shared" si="611"/>
        <v>63.6</v>
      </c>
      <c r="Q1089">
        <f t="shared" si="612"/>
        <v>70.3</v>
      </c>
      <c r="R1089">
        <f t="shared" si="613"/>
        <v>57.5</v>
      </c>
      <c r="S1089">
        <f t="shared" si="614"/>
        <v>64.599999999999994</v>
      </c>
      <c r="V1089" s="6">
        <f t="shared" si="615"/>
        <v>45466.625</v>
      </c>
      <c r="W1089">
        <f t="shared" si="616"/>
        <v>20</v>
      </c>
      <c r="X1089">
        <f t="shared" si="617"/>
        <v>25.7</v>
      </c>
      <c r="Y1089">
        <f t="shared" si="618"/>
        <v>17.3</v>
      </c>
      <c r="Z1089">
        <f t="shared" si="619"/>
        <v>21</v>
      </c>
    </row>
    <row r="1090" spans="1:26" x14ac:dyDescent="0.2">
      <c r="A1090" s="1">
        <v>45466</v>
      </c>
      <c r="B1090" s="2">
        <v>0.66666666666666663</v>
      </c>
      <c r="C1090" s="6">
        <v>45466.666666666664</v>
      </c>
      <c r="D1090">
        <v>58.6</v>
      </c>
      <c r="E1090">
        <v>70.7</v>
      </c>
      <c r="F1090">
        <v>48.7</v>
      </c>
      <c r="G1090" t="s">
        <v>6</v>
      </c>
      <c r="H1090">
        <v>23.6</v>
      </c>
      <c r="I1090">
        <v>38.799999999999997</v>
      </c>
      <c r="J1090">
        <v>17.8</v>
      </c>
      <c r="K1090" t="s">
        <v>6</v>
      </c>
      <c r="L1090">
        <v>229</v>
      </c>
      <c r="M1090" t="s">
        <v>6</v>
      </c>
      <c r="O1090" s="6">
        <f t="shared" si="610"/>
        <v>45466.666666666664</v>
      </c>
      <c r="P1090">
        <f t="shared" si="611"/>
        <v>58.6</v>
      </c>
      <c r="Q1090">
        <f t="shared" si="612"/>
        <v>70.7</v>
      </c>
      <c r="R1090">
        <f t="shared" si="613"/>
        <v>48.7</v>
      </c>
      <c r="S1090">
        <f t="shared" si="614"/>
        <v>59.6</v>
      </c>
      <c r="V1090" s="6">
        <f t="shared" si="615"/>
        <v>45466.666666666664</v>
      </c>
      <c r="W1090">
        <f t="shared" si="616"/>
        <v>23.6</v>
      </c>
      <c r="X1090">
        <f t="shared" si="617"/>
        <v>38.799999999999997</v>
      </c>
      <c r="Y1090">
        <f t="shared" si="618"/>
        <v>17.8</v>
      </c>
      <c r="Z1090">
        <f t="shared" si="619"/>
        <v>24.6</v>
      </c>
    </row>
    <row r="1091" spans="1:26" x14ac:dyDescent="0.2">
      <c r="A1091" s="1">
        <v>45466</v>
      </c>
      <c r="B1091" s="2">
        <v>0.70833333333333337</v>
      </c>
      <c r="C1091" s="6">
        <v>45466.708333333336</v>
      </c>
      <c r="D1091">
        <v>52.4</v>
      </c>
      <c r="E1091">
        <v>61.9</v>
      </c>
      <c r="F1091">
        <v>46.8</v>
      </c>
      <c r="G1091" t="s">
        <v>6</v>
      </c>
      <c r="H1091">
        <v>28.6</v>
      </c>
      <c r="I1091">
        <v>39.6</v>
      </c>
      <c r="J1091">
        <v>17.8</v>
      </c>
      <c r="K1091" t="s">
        <v>6</v>
      </c>
      <c r="L1091">
        <v>212</v>
      </c>
      <c r="M1091" t="s">
        <v>6</v>
      </c>
      <c r="O1091" s="6">
        <f t="shared" si="610"/>
        <v>45466.708333333336</v>
      </c>
      <c r="P1091">
        <f t="shared" si="611"/>
        <v>52.4</v>
      </c>
      <c r="Q1091">
        <f t="shared" si="612"/>
        <v>61.9</v>
      </c>
      <c r="R1091">
        <f t="shared" si="613"/>
        <v>46.8</v>
      </c>
      <c r="S1091">
        <f t="shared" si="614"/>
        <v>53.4</v>
      </c>
      <c r="V1091" s="6">
        <f t="shared" si="615"/>
        <v>45466.708333333336</v>
      </c>
      <c r="W1091">
        <f t="shared" si="616"/>
        <v>28.6</v>
      </c>
      <c r="X1091">
        <f t="shared" si="617"/>
        <v>39.6</v>
      </c>
      <c r="Y1091">
        <f t="shared" si="618"/>
        <v>17.8</v>
      </c>
      <c r="Z1091">
        <f t="shared" si="619"/>
        <v>29.6</v>
      </c>
    </row>
    <row r="1092" spans="1:26" x14ac:dyDescent="0.2">
      <c r="A1092" s="1">
        <v>45466</v>
      </c>
      <c r="B1092" s="2">
        <v>0.75</v>
      </c>
      <c r="C1092" s="6">
        <v>45466.75</v>
      </c>
      <c r="D1092">
        <v>60.6</v>
      </c>
      <c r="E1092">
        <v>74</v>
      </c>
      <c r="F1092">
        <v>50.5</v>
      </c>
      <c r="G1092" t="s">
        <v>6</v>
      </c>
      <c r="H1092">
        <v>22.3</v>
      </c>
      <c r="I1092">
        <v>38.6</v>
      </c>
      <c r="J1092">
        <v>16.5</v>
      </c>
      <c r="K1092" t="s">
        <v>6</v>
      </c>
      <c r="L1092">
        <v>210</v>
      </c>
      <c r="M1092" t="s">
        <v>6</v>
      </c>
      <c r="O1092" s="6">
        <f t="shared" si="610"/>
        <v>45466.75</v>
      </c>
      <c r="P1092">
        <f t="shared" si="611"/>
        <v>60.6</v>
      </c>
      <c r="Q1092">
        <f t="shared" si="612"/>
        <v>74</v>
      </c>
      <c r="R1092">
        <f t="shared" si="613"/>
        <v>50.5</v>
      </c>
      <c r="S1092">
        <f t="shared" si="614"/>
        <v>61.6</v>
      </c>
      <c r="V1092" s="6">
        <f t="shared" si="615"/>
        <v>45466.75</v>
      </c>
      <c r="W1092">
        <f t="shared" si="616"/>
        <v>22.3</v>
      </c>
      <c r="X1092">
        <f t="shared" si="617"/>
        <v>38.6</v>
      </c>
      <c r="Y1092">
        <f t="shared" si="618"/>
        <v>16.5</v>
      </c>
      <c r="Z1092">
        <f t="shared" si="619"/>
        <v>23.3</v>
      </c>
    </row>
    <row r="1093" spans="1:26" x14ac:dyDescent="0.2">
      <c r="A1093" s="1">
        <v>45466</v>
      </c>
      <c r="B1093" s="2">
        <v>0.79166666666666663</v>
      </c>
      <c r="C1093" s="6">
        <v>45466.791666666664</v>
      </c>
      <c r="D1093">
        <v>61.5</v>
      </c>
      <c r="E1093">
        <v>69.5</v>
      </c>
      <c r="F1093">
        <v>54.8</v>
      </c>
      <c r="G1093" t="s">
        <v>6</v>
      </c>
      <c r="H1093">
        <v>20.3</v>
      </c>
      <c r="I1093">
        <v>33.700000000000003</v>
      </c>
      <c r="J1093">
        <v>17.2</v>
      </c>
      <c r="K1093" t="s">
        <v>6</v>
      </c>
      <c r="L1093">
        <v>218</v>
      </c>
      <c r="M1093" t="s">
        <v>6</v>
      </c>
      <c r="O1093" s="6">
        <f t="shared" si="610"/>
        <v>45466.791666666664</v>
      </c>
      <c r="P1093">
        <f t="shared" si="611"/>
        <v>61.5</v>
      </c>
      <c r="Q1093">
        <f t="shared" si="612"/>
        <v>69.5</v>
      </c>
      <c r="R1093">
        <f t="shared" si="613"/>
        <v>54.8</v>
      </c>
      <c r="S1093">
        <f t="shared" si="614"/>
        <v>62.5</v>
      </c>
      <c r="V1093" s="6">
        <f t="shared" si="615"/>
        <v>45466.791666666664</v>
      </c>
      <c r="W1093">
        <f t="shared" si="616"/>
        <v>20.3</v>
      </c>
      <c r="X1093">
        <f t="shared" si="617"/>
        <v>33.700000000000003</v>
      </c>
      <c r="Y1093">
        <f t="shared" si="618"/>
        <v>17.2</v>
      </c>
      <c r="Z1093">
        <f t="shared" si="619"/>
        <v>21.3</v>
      </c>
    </row>
    <row r="1094" spans="1:26" x14ac:dyDescent="0.2">
      <c r="A1094" s="1">
        <v>45466</v>
      </c>
      <c r="B1094" s="2">
        <v>0.83333333333333337</v>
      </c>
      <c r="C1094" s="6">
        <v>45466.833333333336</v>
      </c>
      <c r="D1094">
        <v>58.5</v>
      </c>
      <c r="E1094">
        <v>64</v>
      </c>
      <c r="F1094">
        <v>52.8</v>
      </c>
      <c r="G1094" t="s">
        <v>6</v>
      </c>
      <c r="H1094">
        <v>20.399999999999999</v>
      </c>
      <c r="I1094">
        <v>39.299999999999997</v>
      </c>
      <c r="J1094">
        <v>16.2</v>
      </c>
      <c r="K1094" t="s">
        <v>6</v>
      </c>
      <c r="L1094">
        <v>183</v>
      </c>
      <c r="M1094" t="s">
        <v>6</v>
      </c>
      <c r="O1094" s="6">
        <f t="shared" si="610"/>
        <v>45466.833333333336</v>
      </c>
      <c r="P1094">
        <f t="shared" si="611"/>
        <v>58.5</v>
      </c>
      <c r="Q1094">
        <f t="shared" si="612"/>
        <v>64</v>
      </c>
      <c r="R1094">
        <f t="shared" si="613"/>
        <v>52.8</v>
      </c>
      <c r="S1094">
        <f t="shared" si="614"/>
        <v>59.5</v>
      </c>
      <c r="V1094" s="6">
        <f t="shared" si="615"/>
        <v>45466.833333333336</v>
      </c>
      <c r="W1094">
        <f t="shared" si="616"/>
        <v>20.399999999999999</v>
      </c>
      <c r="X1094">
        <f t="shared" si="617"/>
        <v>39.299999999999997</v>
      </c>
      <c r="Y1094">
        <f t="shared" si="618"/>
        <v>16.2</v>
      </c>
      <c r="Z1094">
        <f t="shared" si="619"/>
        <v>21.4</v>
      </c>
    </row>
    <row r="1095" spans="1:26" x14ac:dyDescent="0.2">
      <c r="A1095" s="1">
        <v>45466</v>
      </c>
      <c r="B1095" s="2">
        <v>0.875</v>
      </c>
      <c r="C1095" s="6">
        <v>45466.875</v>
      </c>
      <c r="D1095">
        <v>56.4</v>
      </c>
      <c r="E1095">
        <v>67</v>
      </c>
      <c r="F1095">
        <v>42.5</v>
      </c>
      <c r="G1095" t="s">
        <v>6</v>
      </c>
      <c r="H1095">
        <v>20.9</v>
      </c>
      <c r="I1095">
        <v>38.6</v>
      </c>
      <c r="J1095">
        <v>15</v>
      </c>
      <c r="K1095" t="s">
        <v>6</v>
      </c>
      <c r="L1095">
        <v>229</v>
      </c>
      <c r="M1095" t="s">
        <v>6</v>
      </c>
      <c r="O1095" s="6">
        <f t="shared" si="610"/>
        <v>45466.875</v>
      </c>
      <c r="P1095">
        <f t="shared" si="611"/>
        <v>56.4</v>
      </c>
      <c r="Q1095">
        <f t="shared" si="612"/>
        <v>67</v>
      </c>
      <c r="R1095">
        <f t="shared" si="613"/>
        <v>42.5</v>
      </c>
      <c r="S1095">
        <f t="shared" si="614"/>
        <v>57.4</v>
      </c>
      <c r="V1095" s="6">
        <f t="shared" si="615"/>
        <v>45466.875</v>
      </c>
      <c r="W1095">
        <f t="shared" si="616"/>
        <v>20.9</v>
      </c>
      <c r="X1095">
        <f t="shared" si="617"/>
        <v>38.6</v>
      </c>
      <c r="Y1095">
        <f t="shared" si="618"/>
        <v>15</v>
      </c>
      <c r="Z1095">
        <f t="shared" si="619"/>
        <v>21.9</v>
      </c>
    </row>
    <row r="1096" spans="1:26" x14ac:dyDescent="0.2">
      <c r="A1096" s="1">
        <v>45466</v>
      </c>
      <c r="B1096" s="2">
        <v>0.91666666666666663</v>
      </c>
      <c r="C1096" s="6">
        <v>45466.916666666664</v>
      </c>
      <c r="D1096">
        <v>45.4</v>
      </c>
      <c r="E1096">
        <v>49.7</v>
      </c>
      <c r="F1096">
        <v>40.5</v>
      </c>
      <c r="G1096" t="s">
        <v>6</v>
      </c>
      <c r="H1096">
        <v>20.6</v>
      </c>
      <c r="I1096">
        <v>36.700000000000003</v>
      </c>
      <c r="J1096">
        <v>15</v>
      </c>
      <c r="K1096" t="s">
        <v>6</v>
      </c>
      <c r="L1096">
        <v>227</v>
      </c>
      <c r="M1096" t="s">
        <v>6</v>
      </c>
      <c r="O1096" s="6">
        <f t="shared" si="610"/>
        <v>45466.916666666664</v>
      </c>
      <c r="P1096">
        <f t="shared" si="611"/>
        <v>45.4</v>
      </c>
      <c r="Q1096">
        <f t="shared" si="612"/>
        <v>49.7</v>
      </c>
      <c r="R1096">
        <f t="shared" si="613"/>
        <v>40.5</v>
      </c>
      <c r="S1096">
        <f t="shared" si="614"/>
        <v>46.4</v>
      </c>
      <c r="V1096" s="6">
        <f t="shared" si="615"/>
        <v>45466.916666666664</v>
      </c>
      <c r="W1096">
        <f t="shared" si="616"/>
        <v>20.6</v>
      </c>
      <c r="X1096">
        <f t="shared" si="617"/>
        <v>36.700000000000003</v>
      </c>
      <c r="Y1096">
        <f t="shared" si="618"/>
        <v>15</v>
      </c>
      <c r="Z1096">
        <f t="shared" si="619"/>
        <v>21.6</v>
      </c>
    </row>
    <row r="1097" spans="1:26" x14ac:dyDescent="0.2">
      <c r="A1097" s="1">
        <v>45466</v>
      </c>
      <c r="B1097" s="2">
        <v>0.95833333333333337</v>
      </c>
      <c r="C1097" s="6">
        <v>45466.958333333336</v>
      </c>
      <c r="D1097">
        <v>47.8</v>
      </c>
      <c r="E1097">
        <v>53.9</v>
      </c>
      <c r="F1097">
        <v>40.799999999999997</v>
      </c>
      <c r="G1097" t="s">
        <v>6</v>
      </c>
      <c r="H1097">
        <v>23</v>
      </c>
      <c r="I1097">
        <v>37.9</v>
      </c>
      <c r="J1097">
        <v>16.100000000000001</v>
      </c>
      <c r="K1097" t="s">
        <v>6</v>
      </c>
      <c r="L1097">
        <v>230</v>
      </c>
      <c r="M1097" t="s">
        <v>6</v>
      </c>
      <c r="O1097" s="6">
        <f t="shared" si="610"/>
        <v>45466.958333333336</v>
      </c>
      <c r="P1097">
        <f t="shared" si="611"/>
        <v>47.8</v>
      </c>
      <c r="Q1097">
        <f t="shared" si="612"/>
        <v>53.9</v>
      </c>
      <c r="R1097">
        <f t="shared" si="613"/>
        <v>40.799999999999997</v>
      </c>
      <c r="S1097">
        <f t="shared" si="614"/>
        <v>48.8</v>
      </c>
      <c r="V1097" s="6">
        <f t="shared" si="615"/>
        <v>45466.958333333336</v>
      </c>
      <c r="W1097">
        <f t="shared" si="616"/>
        <v>23</v>
      </c>
      <c r="X1097">
        <f t="shared" si="617"/>
        <v>37.9</v>
      </c>
      <c r="Y1097">
        <f t="shared" si="618"/>
        <v>16.100000000000001</v>
      </c>
      <c r="Z1097">
        <f t="shared" si="619"/>
        <v>24</v>
      </c>
    </row>
    <row r="1098" spans="1:26" x14ac:dyDescent="0.2">
      <c r="A1098" s="1">
        <v>45467</v>
      </c>
      <c r="B1098" s="2">
        <v>0</v>
      </c>
      <c r="C1098" s="6">
        <v>45467</v>
      </c>
      <c r="D1098">
        <v>46.3</v>
      </c>
      <c r="E1098">
        <v>55.4</v>
      </c>
      <c r="F1098">
        <v>40.700000000000003</v>
      </c>
      <c r="G1098" t="s">
        <v>6</v>
      </c>
      <c r="H1098">
        <v>27.2</v>
      </c>
      <c r="I1098">
        <v>38.700000000000003</v>
      </c>
      <c r="J1098">
        <v>14.8</v>
      </c>
      <c r="K1098" t="s">
        <v>6</v>
      </c>
      <c r="L1098">
        <v>230</v>
      </c>
      <c r="M1098" t="s">
        <v>6</v>
      </c>
      <c r="O1098" s="6">
        <f t="shared" si="610"/>
        <v>45467</v>
      </c>
      <c r="P1098">
        <f t="shared" si="611"/>
        <v>46.3</v>
      </c>
      <c r="Q1098">
        <f t="shared" si="612"/>
        <v>55.4</v>
      </c>
      <c r="R1098">
        <f t="shared" si="613"/>
        <v>40.700000000000003</v>
      </c>
      <c r="S1098">
        <f t="shared" si="614"/>
        <v>47.3</v>
      </c>
      <c r="V1098" s="6">
        <f t="shared" si="615"/>
        <v>45467</v>
      </c>
      <c r="W1098">
        <f t="shared" si="616"/>
        <v>27.2</v>
      </c>
      <c r="X1098">
        <f t="shared" si="617"/>
        <v>38.700000000000003</v>
      </c>
      <c r="Y1098">
        <f t="shared" si="618"/>
        <v>14.8</v>
      </c>
      <c r="Z1098">
        <f t="shared" si="619"/>
        <v>28.2</v>
      </c>
    </row>
    <row r="1099" spans="1:26" x14ac:dyDescent="0.2">
      <c r="A1099" s="1">
        <v>45467</v>
      </c>
      <c r="B1099" s="2">
        <v>4.1666666666666664E-2</v>
      </c>
      <c r="C1099" s="6">
        <v>45467.041666666664</v>
      </c>
      <c r="D1099">
        <v>47</v>
      </c>
      <c r="E1099">
        <v>52.7</v>
      </c>
      <c r="F1099">
        <v>40.9</v>
      </c>
      <c r="G1099" t="s">
        <v>6</v>
      </c>
      <c r="H1099">
        <v>24.2</v>
      </c>
      <c r="I1099">
        <v>38.4</v>
      </c>
      <c r="J1099">
        <v>14.6</v>
      </c>
      <c r="K1099" t="s">
        <v>6</v>
      </c>
      <c r="L1099">
        <v>231</v>
      </c>
      <c r="M1099" t="s">
        <v>6</v>
      </c>
      <c r="O1099" s="6">
        <f t="shared" si="610"/>
        <v>45467.041666666664</v>
      </c>
      <c r="P1099">
        <f t="shared" si="611"/>
        <v>47</v>
      </c>
      <c r="Q1099">
        <f t="shared" si="612"/>
        <v>52.7</v>
      </c>
      <c r="R1099">
        <f t="shared" si="613"/>
        <v>40.9</v>
      </c>
      <c r="S1099">
        <f t="shared" si="614"/>
        <v>48</v>
      </c>
      <c r="V1099" s="6">
        <f t="shared" si="615"/>
        <v>45467.041666666664</v>
      </c>
      <c r="W1099">
        <f t="shared" si="616"/>
        <v>24.2</v>
      </c>
      <c r="X1099">
        <f t="shared" si="617"/>
        <v>38.4</v>
      </c>
      <c r="Y1099">
        <f t="shared" si="618"/>
        <v>14.6</v>
      </c>
      <c r="Z1099">
        <f t="shared" si="619"/>
        <v>25.2</v>
      </c>
    </row>
    <row r="1100" spans="1:26" x14ac:dyDescent="0.2">
      <c r="A1100" s="1">
        <v>45467</v>
      </c>
      <c r="B1100" s="2">
        <v>8.3333333333333329E-2</v>
      </c>
      <c r="C1100" s="6">
        <v>45467.083333333336</v>
      </c>
      <c r="D1100">
        <v>41.3</v>
      </c>
      <c r="E1100">
        <v>44.6</v>
      </c>
      <c r="F1100">
        <v>40.1</v>
      </c>
      <c r="G1100" t="s">
        <v>6</v>
      </c>
      <c r="H1100">
        <v>28.1</v>
      </c>
      <c r="I1100">
        <v>39.299999999999997</v>
      </c>
      <c r="J1100">
        <v>14.9</v>
      </c>
      <c r="K1100" t="s">
        <v>6</v>
      </c>
      <c r="L1100">
        <v>150</v>
      </c>
      <c r="M1100" t="s">
        <v>6</v>
      </c>
      <c r="O1100" s="6">
        <f t="shared" si="610"/>
        <v>45467.083333333336</v>
      </c>
      <c r="P1100">
        <f t="shared" si="611"/>
        <v>41.3</v>
      </c>
      <c r="Q1100">
        <f t="shared" si="612"/>
        <v>44.6</v>
      </c>
      <c r="R1100">
        <f t="shared" si="613"/>
        <v>40.1</v>
      </c>
      <c r="S1100">
        <f t="shared" si="614"/>
        <v>42.3</v>
      </c>
      <c r="V1100" s="6">
        <f t="shared" si="615"/>
        <v>45467.083333333336</v>
      </c>
      <c r="W1100">
        <f t="shared" si="616"/>
        <v>28.1</v>
      </c>
      <c r="X1100">
        <f t="shared" si="617"/>
        <v>39.299999999999997</v>
      </c>
      <c r="Y1100">
        <f t="shared" si="618"/>
        <v>14.9</v>
      </c>
      <c r="Z1100">
        <f t="shared" si="619"/>
        <v>29.1</v>
      </c>
    </row>
    <row r="1101" spans="1:26" x14ac:dyDescent="0.2">
      <c r="A1101" s="1">
        <v>45467</v>
      </c>
      <c r="B1101" s="2">
        <v>0.125</v>
      </c>
      <c r="C1101" s="6">
        <v>45467.125</v>
      </c>
      <c r="D1101">
        <v>46.6</v>
      </c>
      <c r="E1101">
        <v>55.8</v>
      </c>
      <c r="F1101">
        <v>40.1</v>
      </c>
      <c r="G1101" t="s">
        <v>6</v>
      </c>
      <c r="H1101">
        <v>28.6</v>
      </c>
      <c r="I1101">
        <v>39.6</v>
      </c>
      <c r="J1101">
        <v>18.399999999999999</v>
      </c>
      <c r="K1101" t="s">
        <v>6</v>
      </c>
      <c r="L1101">
        <v>224</v>
      </c>
      <c r="M1101" t="s">
        <v>6</v>
      </c>
      <c r="O1101" s="6">
        <f t="shared" si="610"/>
        <v>45467.125</v>
      </c>
      <c r="P1101">
        <f t="shared" si="611"/>
        <v>46.6</v>
      </c>
      <c r="Q1101">
        <f t="shared" si="612"/>
        <v>55.8</v>
      </c>
      <c r="R1101">
        <f t="shared" si="613"/>
        <v>40.1</v>
      </c>
      <c r="S1101">
        <f t="shared" si="614"/>
        <v>47.6</v>
      </c>
      <c r="V1101" s="6">
        <f t="shared" si="615"/>
        <v>45467.125</v>
      </c>
      <c r="W1101">
        <f t="shared" si="616"/>
        <v>28.6</v>
      </c>
      <c r="X1101">
        <f t="shared" si="617"/>
        <v>39.6</v>
      </c>
      <c r="Y1101">
        <f t="shared" si="618"/>
        <v>18.399999999999999</v>
      </c>
      <c r="Z1101">
        <f t="shared" si="619"/>
        <v>29.6</v>
      </c>
    </row>
    <row r="1102" spans="1:26" x14ac:dyDescent="0.2">
      <c r="A1102" s="1">
        <v>45467</v>
      </c>
      <c r="B1102" s="2">
        <v>0.16666666666666666</v>
      </c>
      <c r="C1102" s="6">
        <v>45467.166666666664</v>
      </c>
      <c r="D1102">
        <v>47</v>
      </c>
      <c r="E1102">
        <v>54.6</v>
      </c>
      <c r="F1102">
        <v>40.1</v>
      </c>
      <c r="G1102" t="s">
        <v>6</v>
      </c>
      <c r="H1102">
        <v>28.3</v>
      </c>
      <c r="I1102">
        <v>38.200000000000003</v>
      </c>
      <c r="J1102">
        <v>17.5</v>
      </c>
      <c r="K1102" t="s">
        <v>6</v>
      </c>
      <c r="L1102">
        <v>194</v>
      </c>
      <c r="M1102" t="s">
        <v>6</v>
      </c>
      <c r="O1102" s="6">
        <f t="shared" si="610"/>
        <v>45467.166666666664</v>
      </c>
      <c r="P1102">
        <f t="shared" si="611"/>
        <v>47</v>
      </c>
      <c r="Q1102">
        <f t="shared" si="612"/>
        <v>54.6</v>
      </c>
      <c r="R1102">
        <f t="shared" si="613"/>
        <v>40.1</v>
      </c>
      <c r="S1102">
        <f t="shared" si="614"/>
        <v>48</v>
      </c>
      <c r="V1102" s="6">
        <f t="shared" si="615"/>
        <v>45467.166666666664</v>
      </c>
      <c r="W1102">
        <f t="shared" si="616"/>
        <v>28.3</v>
      </c>
      <c r="X1102">
        <f t="shared" si="617"/>
        <v>38.200000000000003</v>
      </c>
      <c r="Y1102">
        <f t="shared" si="618"/>
        <v>17.5</v>
      </c>
      <c r="Z1102">
        <f t="shared" si="619"/>
        <v>29.3</v>
      </c>
    </row>
    <row r="1103" spans="1:26" x14ac:dyDescent="0.2">
      <c r="A1103" s="1">
        <v>45467</v>
      </c>
      <c r="B1103" s="2">
        <v>0.20833333333333334</v>
      </c>
      <c r="C1103" s="6">
        <v>45467.208333333336</v>
      </c>
      <c r="D1103">
        <v>49.1</v>
      </c>
      <c r="E1103">
        <v>53.7</v>
      </c>
      <c r="F1103">
        <v>42.6</v>
      </c>
      <c r="G1103" t="s">
        <v>6</v>
      </c>
      <c r="H1103">
        <v>29</v>
      </c>
      <c r="I1103">
        <v>38.9</v>
      </c>
      <c r="J1103">
        <v>15.5</v>
      </c>
      <c r="K1103" t="s">
        <v>6</v>
      </c>
      <c r="L1103">
        <v>223</v>
      </c>
      <c r="M1103" t="s">
        <v>6</v>
      </c>
      <c r="O1103" s="6">
        <f t="shared" si="610"/>
        <v>45467.208333333336</v>
      </c>
      <c r="P1103">
        <f t="shared" si="611"/>
        <v>49.1</v>
      </c>
      <c r="Q1103">
        <f t="shared" si="612"/>
        <v>53.7</v>
      </c>
      <c r="R1103">
        <f t="shared" si="613"/>
        <v>42.6</v>
      </c>
      <c r="S1103">
        <f t="shared" si="614"/>
        <v>50.1</v>
      </c>
      <c r="V1103" s="6">
        <f t="shared" si="615"/>
        <v>45467.208333333336</v>
      </c>
      <c r="W1103">
        <f t="shared" si="616"/>
        <v>29</v>
      </c>
      <c r="X1103">
        <f t="shared" si="617"/>
        <v>38.9</v>
      </c>
      <c r="Y1103">
        <f t="shared" si="618"/>
        <v>15.5</v>
      </c>
      <c r="Z1103">
        <f t="shared" si="619"/>
        <v>30</v>
      </c>
    </row>
    <row r="1104" spans="1:26" x14ac:dyDescent="0.2">
      <c r="A1104" s="1">
        <v>45467</v>
      </c>
      <c r="B1104" s="2">
        <v>0.25</v>
      </c>
      <c r="C1104" s="6">
        <v>45467.25</v>
      </c>
      <c r="D1104">
        <v>51.7</v>
      </c>
      <c r="E1104">
        <v>57.1</v>
      </c>
      <c r="F1104">
        <v>46.8</v>
      </c>
      <c r="G1104" t="s">
        <v>6</v>
      </c>
      <c r="H1104">
        <v>29.1</v>
      </c>
      <c r="I1104">
        <v>37.1</v>
      </c>
      <c r="J1104">
        <v>17</v>
      </c>
      <c r="K1104" t="s">
        <v>6</v>
      </c>
      <c r="L1104">
        <v>230</v>
      </c>
      <c r="M1104" t="s">
        <v>6</v>
      </c>
      <c r="O1104" s="6">
        <f t="shared" si="610"/>
        <v>45467.25</v>
      </c>
      <c r="P1104">
        <f t="shared" si="611"/>
        <v>51.7</v>
      </c>
      <c r="Q1104">
        <f t="shared" si="612"/>
        <v>57.1</v>
      </c>
      <c r="R1104">
        <f t="shared" si="613"/>
        <v>46.8</v>
      </c>
      <c r="S1104">
        <f t="shared" si="614"/>
        <v>52.7</v>
      </c>
      <c r="V1104" s="6">
        <f t="shared" si="615"/>
        <v>45467.25</v>
      </c>
      <c r="W1104">
        <f t="shared" si="616"/>
        <v>29.1</v>
      </c>
      <c r="X1104">
        <f t="shared" si="617"/>
        <v>37.1</v>
      </c>
      <c r="Y1104">
        <f t="shared" si="618"/>
        <v>17</v>
      </c>
      <c r="Z1104">
        <f t="shared" si="619"/>
        <v>30.1</v>
      </c>
    </row>
    <row r="1105" spans="1:26" x14ac:dyDescent="0.2">
      <c r="A1105" s="1">
        <v>45467</v>
      </c>
      <c r="B1105" s="2">
        <v>0.29166666666666669</v>
      </c>
      <c r="C1105" s="6">
        <v>45467.291666666664</v>
      </c>
      <c r="D1105">
        <v>49.4</v>
      </c>
      <c r="E1105">
        <v>52.8</v>
      </c>
      <c r="F1105">
        <v>43.9</v>
      </c>
      <c r="G1105" t="s">
        <v>6</v>
      </c>
      <c r="H1105">
        <v>28.2</v>
      </c>
      <c r="I1105">
        <v>37.4</v>
      </c>
      <c r="J1105">
        <v>17.3</v>
      </c>
      <c r="K1105" t="s">
        <v>6</v>
      </c>
      <c r="L1105">
        <v>209</v>
      </c>
      <c r="M1105" t="s">
        <v>6</v>
      </c>
      <c r="O1105" s="6">
        <f t="shared" si="610"/>
        <v>45467.291666666664</v>
      </c>
      <c r="P1105">
        <f t="shared" si="611"/>
        <v>49.4</v>
      </c>
      <c r="Q1105">
        <f t="shared" si="612"/>
        <v>52.8</v>
      </c>
      <c r="R1105">
        <f t="shared" si="613"/>
        <v>43.9</v>
      </c>
      <c r="S1105">
        <f t="shared" si="614"/>
        <v>50.4</v>
      </c>
      <c r="V1105" s="6">
        <f t="shared" si="615"/>
        <v>45467.291666666664</v>
      </c>
      <c r="W1105">
        <f t="shared" si="616"/>
        <v>28.2</v>
      </c>
      <c r="X1105">
        <f t="shared" si="617"/>
        <v>37.4</v>
      </c>
      <c r="Y1105">
        <f t="shared" si="618"/>
        <v>17.3</v>
      </c>
      <c r="Z1105">
        <f t="shared" si="619"/>
        <v>29.2</v>
      </c>
    </row>
    <row r="1106" spans="1:26" x14ac:dyDescent="0.2">
      <c r="A1106" s="14">
        <v>45467</v>
      </c>
      <c r="B1106" s="7">
        <v>0.33333333333333331</v>
      </c>
      <c r="C1106" s="8">
        <v>45467.333333333336</v>
      </c>
      <c r="D1106" s="9">
        <v>47.2</v>
      </c>
      <c r="E1106" s="9">
        <v>51.3</v>
      </c>
      <c r="F1106" s="9">
        <v>42.3</v>
      </c>
      <c r="G1106" s="9" t="s">
        <v>6</v>
      </c>
      <c r="H1106" s="9">
        <v>28.2</v>
      </c>
      <c r="I1106" s="9">
        <v>38.4</v>
      </c>
      <c r="J1106" s="9">
        <v>17.100000000000001</v>
      </c>
      <c r="K1106" s="9" t="s">
        <v>6</v>
      </c>
      <c r="L1106" s="9">
        <v>206</v>
      </c>
      <c r="M1106" t="s">
        <v>6</v>
      </c>
      <c r="O1106" s="6">
        <f t="shared" si="610"/>
        <v>45467.333333333336</v>
      </c>
      <c r="P1106">
        <f t="shared" si="611"/>
        <v>47.2</v>
      </c>
      <c r="Q1106">
        <f t="shared" si="612"/>
        <v>51.3</v>
      </c>
      <c r="R1106">
        <f t="shared" si="613"/>
        <v>42.3</v>
      </c>
      <c r="S1106">
        <f t="shared" si="614"/>
        <v>48.2</v>
      </c>
      <c r="V1106" s="6">
        <f t="shared" si="615"/>
        <v>45467.333333333336</v>
      </c>
      <c r="W1106">
        <f t="shared" si="616"/>
        <v>28.2</v>
      </c>
      <c r="X1106">
        <f t="shared" si="617"/>
        <v>38.4</v>
      </c>
      <c r="Y1106">
        <f t="shared" si="618"/>
        <v>17.100000000000001</v>
      </c>
      <c r="Z1106">
        <f t="shared" si="619"/>
        <v>29.2</v>
      </c>
    </row>
    <row r="1107" spans="1:26" x14ac:dyDescent="0.2">
      <c r="A1107" s="13">
        <v>45467</v>
      </c>
      <c r="B1107" s="3">
        <v>0.375</v>
      </c>
      <c r="C1107" s="4">
        <v>45467.375</v>
      </c>
      <c r="D1107" s="5">
        <v>46.7</v>
      </c>
      <c r="E1107" s="5">
        <v>49.3</v>
      </c>
      <c r="F1107" s="5">
        <v>44</v>
      </c>
      <c r="G1107" s="5" t="s">
        <v>6</v>
      </c>
      <c r="H1107" s="5">
        <v>28.2</v>
      </c>
      <c r="I1107" s="5">
        <v>36</v>
      </c>
      <c r="J1107" s="5">
        <v>16.2</v>
      </c>
      <c r="K1107" s="5" t="s">
        <v>6</v>
      </c>
      <c r="L1107" s="5">
        <v>224</v>
      </c>
      <c r="M1107" t="s">
        <v>6</v>
      </c>
      <c r="O1107" s="6">
        <f t="shared" si="610"/>
        <v>45467.375</v>
      </c>
      <c r="P1107">
        <f t="shared" si="611"/>
        <v>46.7</v>
      </c>
      <c r="Q1107">
        <f t="shared" si="612"/>
        <v>49.3</v>
      </c>
      <c r="R1107">
        <f t="shared" si="613"/>
        <v>44</v>
      </c>
      <c r="S1107">
        <f t="shared" si="614"/>
        <v>47.7</v>
      </c>
      <c r="V1107" s="6">
        <f t="shared" si="615"/>
        <v>45467.375</v>
      </c>
      <c r="W1107">
        <f t="shared" si="616"/>
        <v>28.2</v>
      </c>
      <c r="X1107">
        <f t="shared" si="617"/>
        <v>36</v>
      </c>
      <c r="Y1107">
        <f t="shared" si="618"/>
        <v>16.2</v>
      </c>
      <c r="Z1107">
        <f t="shared" si="619"/>
        <v>29.2</v>
      </c>
    </row>
    <row r="1108" spans="1:26" x14ac:dyDescent="0.2">
      <c r="A1108" s="1">
        <v>45467</v>
      </c>
      <c r="B1108" s="2">
        <v>0.41666666666666669</v>
      </c>
      <c r="C1108" s="6">
        <v>45467.416666666664</v>
      </c>
      <c r="D1108">
        <v>47.4</v>
      </c>
      <c r="E1108">
        <v>53.3</v>
      </c>
      <c r="F1108">
        <v>42.7</v>
      </c>
      <c r="G1108" t="s">
        <v>6</v>
      </c>
      <c r="H1108">
        <v>23.7</v>
      </c>
      <c r="I1108">
        <v>36</v>
      </c>
      <c r="J1108">
        <v>16.7</v>
      </c>
      <c r="K1108" t="s">
        <v>6</v>
      </c>
      <c r="L1108">
        <v>152</v>
      </c>
      <c r="M1108" t="s">
        <v>6</v>
      </c>
      <c r="O1108" s="6">
        <f t="shared" si="610"/>
        <v>45467.416666666664</v>
      </c>
      <c r="P1108">
        <f t="shared" si="611"/>
        <v>47.4</v>
      </c>
      <c r="Q1108">
        <f t="shared" si="612"/>
        <v>53.3</v>
      </c>
      <c r="R1108">
        <f t="shared" si="613"/>
        <v>42.7</v>
      </c>
      <c r="S1108">
        <f t="shared" si="614"/>
        <v>48.4</v>
      </c>
      <c r="V1108" s="6">
        <f t="shared" si="615"/>
        <v>45467.416666666664</v>
      </c>
      <c r="W1108">
        <f t="shared" si="616"/>
        <v>23.7</v>
      </c>
      <c r="X1108">
        <f t="shared" si="617"/>
        <v>36</v>
      </c>
      <c r="Y1108">
        <f t="shared" si="618"/>
        <v>16.7</v>
      </c>
      <c r="Z1108">
        <f t="shared" si="619"/>
        <v>24.7</v>
      </c>
    </row>
    <row r="1109" spans="1:26" x14ac:dyDescent="0.2">
      <c r="A1109" s="1">
        <v>45467</v>
      </c>
      <c r="B1109" s="2">
        <v>0.45833333333333331</v>
      </c>
      <c r="C1109" s="6">
        <v>45467.458333333336</v>
      </c>
      <c r="D1109">
        <v>48</v>
      </c>
      <c r="E1109">
        <v>50.2</v>
      </c>
      <c r="F1109">
        <v>45.8</v>
      </c>
      <c r="G1109" t="s">
        <v>6</v>
      </c>
      <c r="H1109">
        <v>26.4</v>
      </c>
      <c r="I1109">
        <v>35.1</v>
      </c>
      <c r="J1109">
        <v>16.8</v>
      </c>
      <c r="K1109" t="s">
        <v>6</v>
      </c>
      <c r="L1109">
        <v>93</v>
      </c>
      <c r="M1109" t="s">
        <v>6</v>
      </c>
      <c r="O1109" s="6">
        <f t="shared" si="610"/>
        <v>45467.458333333336</v>
      </c>
      <c r="P1109">
        <f t="shared" si="611"/>
        <v>48</v>
      </c>
      <c r="Q1109">
        <f t="shared" si="612"/>
        <v>50.2</v>
      </c>
      <c r="R1109">
        <f t="shared" si="613"/>
        <v>45.8</v>
      </c>
      <c r="S1109">
        <f t="shared" si="614"/>
        <v>49</v>
      </c>
      <c r="V1109" s="6">
        <f t="shared" si="615"/>
        <v>45467.458333333336</v>
      </c>
      <c r="W1109">
        <f t="shared" si="616"/>
        <v>26.4</v>
      </c>
      <c r="X1109">
        <f t="shared" si="617"/>
        <v>35.1</v>
      </c>
      <c r="Y1109">
        <f t="shared" si="618"/>
        <v>16.8</v>
      </c>
      <c r="Z1109">
        <f t="shared" si="619"/>
        <v>27.4</v>
      </c>
    </row>
    <row r="1110" spans="1:26" x14ac:dyDescent="0.2">
      <c r="A1110" s="1">
        <v>45467</v>
      </c>
      <c r="B1110" s="2">
        <v>0.95833333333333337</v>
      </c>
      <c r="C1110" s="6">
        <v>45467.958333333336</v>
      </c>
      <c r="D1110">
        <v>53.7</v>
      </c>
      <c r="E1110">
        <v>62.9</v>
      </c>
      <c r="F1110">
        <v>46.6</v>
      </c>
      <c r="G1110" t="s">
        <v>6</v>
      </c>
      <c r="H1110">
        <v>17.600000000000001</v>
      </c>
      <c r="I1110">
        <v>29.5</v>
      </c>
      <c r="J1110">
        <v>14.7</v>
      </c>
      <c r="K1110" t="s">
        <v>6</v>
      </c>
      <c r="L1110">
        <v>170</v>
      </c>
      <c r="M1110" t="s">
        <v>6</v>
      </c>
      <c r="O1110" s="6">
        <f t="shared" si="610"/>
        <v>45467.958333333336</v>
      </c>
      <c r="P1110">
        <f t="shared" si="611"/>
        <v>53.7</v>
      </c>
      <c r="Q1110">
        <f t="shared" si="612"/>
        <v>62.9</v>
      </c>
      <c r="R1110">
        <f t="shared" si="613"/>
        <v>46.6</v>
      </c>
      <c r="S1110">
        <f t="shared" si="614"/>
        <v>54.7</v>
      </c>
      <c r="V1110" s="6">
        <f t="shared" si="615"/>
        <v>45467.958333333336</v>
      </c>
      <c r="W1110">
        <f t="shared" si="616"/>
        <v>17.600000000000001</v>
      </c>
      <c r="X1110">
        <f t="shared" si="617"/>
        <v>29.5</v>
      </c>
      <c r="Y1110">
        <f t="shared" si="618"/>
        <v>14.7</v>
      </c>
      <c r="Z1110">
        <f t="shared" si="619"/>
        <v>18.600000000000001</v>
      </c>
    </row>
    <row r="1111" spans="1:26" x14ac:dyDescent="0.2">
      <c r="A1111" s="1">
        <v>45468</v>
      </c>
      <c r="B1111" s="2">
        <v>0</v>
      </c>
      <c r="C1111" s="6">
        <v>45468</v>
      </c>
      <c r="D1111">
        <v>56.6</v>
      </c>
      <c r="E1111">
        <v>68.7</v>
      </c>
      <c r="F1111">
        <v>49.1</v>
      </c>
      <c r="G1111" t="s">
        <v>6</v>
      </c>
      <c r="H1111">
        <v>15.3</v>
      </c>
      <c r="I1111">
        <v>20</v>
      </c>
      <c r="J1111">
        <v>13.1</v>
      </c>
      <c r="K1111" t="s">
        <v>6</v>
      </c>
      <c r="L1111">
        <v>225</v>
      </c>
      <c r="M1111" t="s">
        <v>6</v>
      </c>
      <c r="O1111" s="6">
        <f t="shared" si="610"/>
        <v>45468</v>
      </c>
      <c r="P1111">
        <f t="shared" si="611"/>
        <v>56.6</v>
      </c>
      <c r="Q1111">
        <f t="shared" si="612"/>
        <v>68.7</v>
      </c>
      <c r="R1111">
        <f t="shared" si="613"/>
        <v>49.1</v>
      </c>
      <c r="S1111">
        <f t="shared" si="614"/>
        <v>57.6</v>
      </c>
      <c r="V1111" s="6">
        <f t="shared" si="615"/>
        <v>45468</v>
      </c>
      <c r="W1111">
        <f t="shared" si="616"/>
        <v>15.3</v>
      </c>
      <c r="X1111">
        <f t="shared" si="617"/>
        <v>20</v>
      </c>
      <c r="Y1111">
        <f t="shared" si="618"/>
        <v>13.1</v>
      </c>
      <c r="Z1111">
        <f t="shared" si="619"/>
        <v>16.3</v>
      </c>
    </row>
    <row r="1112" spans="1:26" x14ac:dyDescent="0.2">
      <c r="A1112" s="1">
        <v>45468</v>
      </c>
      <c r="B1112" s="2">
        <v>4.1666666666666664E-2</v>
      </c>
      <c r="C1112" s="6">
        <v>45468.041666666664</v>
      </c>
      <c r="D1112">
        <v>50.7</v>
      </c>
      <c r="E1112">
        <v>58</v>
      </c>
      <c r="F1112">
        <v>44.3</v>
      </c>
      <c r="G1112" t="s">
        <v>6</v>
      </c>
      <c r="H1112">
        <v>14.8</v>
      </c>
      <c r="I1112">
        <v>25.3</v>
      </c>
      <c r="J1112">
        <v>12.4</v>
      </c>
      <c r="K1112" t="s">
        <v>6</v>
      </c>
      <c r="L1112">
        <v>231</v>
      </c>
      <c r="M1112" t="s">
        <v>6</v>
      </c>
      <c r="O1112" s="6">
        <f t="shared" si="610"/>
        <v>45468.041666666664</v>
      </c>
      <c r="P1112">
        <f t="shared" si="611"/>
        <v>50.7</v>
      </c>
      <c r="Q1112">
        <f t="shared" si="612"/>
        <v>58</v>
      </c>
      <c r="R1112">
        <f t="shared" si="613"/>
        <v>44.3</v>
      </c>
      <c r="S1112">
        <f t="shared" si="614"/>
        <v>51.7</v>
      </c>
      <c r="V1112" s="6">
        <f t="shared" si="615"/>
        <v>45468.041666666664</v>
      </c>
      <c r="W1112">
        <f t="shared" si="616"/>
        <v>14.8</v>
      </c>
      <c r="X1112">
        <f t="shared" si="617"/>
        <v>25.3</v>
      </c>
      <c r="Y1112">
        <f t="shared" si="618"/>
        <v>12.4</v>
      </c>
      <c r="Z1112">
        <f t="shared" si="619"/>
        <v>15.8</v>
      </c>
    </row>
    <row r="1113" spans="1:26" x14ac:dyDescent="0.2">
      <c r="A1113" s="1">
        <v>45468</v>
      </c>
      <c r="B1113" s="2">
        <v>8.3333333333333329E-2</v>
      </c>
      <c r="C1113" s="6">
        <v>45468.083333333336</v>
      </c>
      <c r="D1113">
        <v>45.1</v>
      </c>
      <c r="E1113">
        <v>49.5</v>
      </c>
      <c r="F1113">
        <v>40.1</v>
      </c>
      <c r="G1113" t="s">
        <v>6</v>
      </c>
      <c r="H1113">
        <v>15.1</v>
      </c>
      <c r="I1113">
        <v>26.4</v>
      </c>
      <c r="J1113">
        <v>12.1</v>
      </c>
      <c r="K1113" t="s">
        <v>6</v>
      </c>
      <c r="L1113">
        <v>194</v>
      </c>
      <c r="M1113" t="s">
        <v>6</v>
      </c>
      <c r="O1113" s="6">
        <f t="shared" si="610"/>
        <v>45468.083333333336</v>
      </c>
      <c r="P1113">
        <f t="shared" si="611"/>
        <v>45.1</v>
      </c>
      <c r="Q1113">
        <f t="shared" si="612"/>
        <v>49.5</v>
      </c>
      <c r="R1113">
        <f t="shared" si="613"/>
        <v>40.1</v>
      </c>
      <c r="S1113">
        <f t="shared" si="614"/>
        <v>46.1</v>
      </c>
      <c r="V1113" s="6">
        <f t="shared" si="615"/>
        <v>45468.083333333336</v>
      </c>
      <c r="W1113">
        <f t="shared" si="616"/>
        <v>15.1</v>
      </c>
      <c r="X1113">
        <f t="shared" si="617"/>
        <v>26.4</v>
      </c>
      <c r="Y1113">
        <f t="shared" si="618"/>
        <v>12.1</v>
      </c>
      <c r="Z1113">
        <f t="shared" si="619"/>
        <v>16.100000000000001</v>
      </c>
    </row>
    <row r="1114" spans="1:26" x14ac:dyDescent="0.2">
      <c r="A1114" s="1">
        <v>45468</v>
      </c>
      <c r="B1114" s="2">
        <v>0.125</v>
      </c>
      <c r="C1114" s="6">
        <v>45468.125</v>
      </c>
      <c r="D1114">
        <v>42.8</v>
      </c>
      <c r="E1114">
        <v>45.3</v>
      </c>
      <c r="F1114">
        <v>40.1</v>
      </c>
      <c r="G1114" t="s">
        <v>6</v>
      </c>
      <c r="H1114">
        <v>15</v>
      </c>
      <c r="I1114">
        <v>29</v>
      </c>
      <c r="J1114">
        <v>11.6</v>
      </c>
      <c r="K1114" t="s">
        <v>6</v>
      </c>
      <c r="L1114">
        <v>155</v>
      </c>
      <c r="M1114" t="s">
        <v>6</v>
      </c>
      <c r="O1114" s="6">
        <f t="shared" si="610"/>
        <v>45468.125</v>
      </c>
      <c r="P1114">
        <f t="shared" si="611"/>
        <v>42.8</v>
      </c>
      <c r="Q1114">
        <f t="shared" si="612"/>
        <v>45.3</v>
      </c>
      <c r="R1114">
        <f t="shared" si="613"/>
        <v>40.1</v>
      </c>
      <c r="S1114">
        <f t="shared" si="614"/>
        <v>43.8</v>
      </c>
      <c r="V1114" s="6">
        <f t="shared" si="615"/>
        <v>45468.125</v>
      </c>
      <c r="W1114">
        <f t="shared" si="616"/>
        <v>15</v>
      </c>
      <c r="X1114">
        <f t="shared" si="617"/>
        <v>29</v>
      </c>
      <c r="Y1114">
        <f t="shared" si="618"/>
        <v>11.6</v>
      </c>
      <c r="Z1114">
        <f t="shared" si="619"/>
        <v>16</v>
      </c>
    </row>
    <row r="1115" spans="1:26" x14ac:dyDescent="0.2">
      <c r="A1115" s="1">
        <v>45468</v>
      </c>
      <c r="B1115" s="2">
        <v>0.16666666666666666</v>
      </c>
      <c r="C1115" s="6">
        <v>45468.166666666664</v>
      </c>
      <c r="D1115">
        <v>44</v>
      </c>
      <c r="E1115">
        <v>46.4</v>
      </c>
      <c r="F1115">
        <v>40.9</v>
      </c>
      <c r="G1115" t="s">
        <v>6</v>
      </c>
      <c r="H1115">
        <v>13.9</v>
      </c>
      <c r="I1115">
        <v>23.2</v>
      </c>
      <c r="J1115">
        <v>10.6</v>
      </c>
      <c r="K1115" t="s">
        <v>6</v>
      </c>
      <c r="L1115">
        <v>224</v>
      </c>
      <c r="M1115" t="s">
        <v>6</v>
      </c>
      <c r="O1115" s="6">
        <f t="shared" si="610"/>
        <v>45468.166666666664</v>
      </c>
      <c r="P1115">
        <f t="shared" si="611"/>
        <v>44</v>
      </c>
      <c r="Q1115">
        <f t="shared" si="612"/>
        <v>46.4</v>
      </c>
      <c r="R1115">
        <f t="shared" si="613"/>
        <v>40.9</v>
      </c>
      <c r="S1115">
        <f t="shared" si="614"/>
        <v>45</v>
      </c>
      <c r="V1115" s="6">
        <f t="shared" si="615"/>
        <v>45468.166666666664</v>
      </c>
      <c r="W1115">
        <f t="shared" si="616"/>
        <v>13.9</v>
      </c>
      <c r="X1115">
        <f t="shared" si="617"/>
        <v>23.2</v>
      </c>
      <c r="Y1115">
        <f t="shared" si="618"/>
        <v>10.6</v>
      </c>
      <c r="Z1115">
        <f t="shared" si="619"/>
        <v>14.9</v>
      </c>
    </row>
    <row r="1116" spans="1:26" x14ac:dyDescent="0.2">
      <c r="A1116" s="1">
        <v>45468</v>
      </c>
      <c r="B1116" s="2">
        <v>0.20833333333333334</v>
      </c>
      <c r="C1116" s="6">
        <v>45468.208333333336</v>
      </c>
      <c r="D1116">
        <v>42.5</v>
      </c>
      <c r="E1116">
        <v>46.1</v>
      </c>
      <c r="F1116">
        <v>40.1</v>
      </c>
      <c r="G1116" t="s">
        <v>6</v>
      </c>
      <c r="H1116">
        <v>12.5</v>
      </c>
      <c r="I1116">
        <v>16.399999999999999</v>
      </c>
      <c r="J1116">
        <v>10.3</v>
      </c>
      <c r="K1116" t="s">
        <v>6</v>
      </c>
      <c r="L1116">
        <v>166</v>
      </c>
      <c r="M1116" t="s">
        <v>6</v>
      </c>
      <c r="O1116" s="6">
        <f t="shared" si="610"/>
        <v>45468.208333333336</v>
      </c>
      <c r="P1116">
        <f t="shared" si="611"/>
        <v>42.5</v>
      </c>
      <c r="Q1116">
        <f t="shared" si="612"/>
        <v>46.1</v>
      </c>
      <c r="R1116">
        <f t="shared" si="613"/>
        <v>40.1</v>
      </c>
      <c r="S1116">
        <f t="shared" si="614"/>
        <v>43.5</v>
      </c>
      <c r="V1116" s="6">
        <f t="shared" si="615"/>
        <v>45468.208333333336</v>
      </c>
      <c r="W1116">
        <f t="shared" si="616"/>
        <v>12.5</v>
      </c>
      <c r="X1116">
        <f t="shared" si="617"/>
        <v>16.399999999999999</v>
      </c>
      <c r="Y1116">
        <f t="shared" si="618"/>
        <v>10.3</v>
      </c>
      <c r="Z1116">
        <f t="shared" si="619"/>
        <v>13.5</v>
      </c>
    </row>
    <row r="1117" spans="1:26" x14ac:dyDescent="0.2">
      <c r="A1117" s="14">
        <v>45468</v>
      </c>
      <c r="B1117" s="7">
        <v>0.33333333333333331</v>
      </c>
      <c r="C1117" s="8">
        <v>45468.333333333336</v>
      </c>
      <c r="D1117" s="9">
        <v>52.3</v>
      </c>
      <c r="E1117" s="9">
        <v>55.6</v>
      </c>
      <c r="F1117" s="9">
        <v>49.8</v>
      </c>
      <c r="G1117" s="9" t="s">
        <v>6</v>
      </c>
      <c r="H1117" s="9">
        <v>11.6</v>
      </c>
      <c r="I1117" s="9">
        <v>17</v>
      </c>
      <c r="J1117" s="9">
        <v>9.6</v>
      </c>
      <c r="K1117" s="9" t="s">
        <v>6</v>
      </c>
      <c r="L1117" s="9">
        <v>174</v>
      </c>
      <c r="M1117" t="s">
        <v>6</v>
      </c>
      <c r="O1117" s="6">
        <f t="shared" si="610"/>
        <v>45468.333333333336</v>
      </c>
      <c r="P1117">
        <f t="shared" si="611"/>
        <v>52.3</v>
      </c>
      <c r="Q1117">
        <f t="shared" si="612"/>
        <v>55.6</v>
      </c>
      <c r="R1117">
        <f t="shared" si="613"/>
        <v>49.8</v>
      </c>
      <c r="S1117">
        <f t="shared" si="614"/>
        <v>53.3</v>
      </c>
      <c r="V1117" s="6">
        <f t="shared" si="615"/>
        <v>45468.333333333336</v>
      </c>
      <c r="W1117">
        <f t="shared" si="616"/>
        <v>11.6</v>
      </c>
      <c r="X1117">
        <f t="shared" si="617"/>
        <v>17</v>
      </c>
      <c r="Y1117">
        <f t="shared" si="618"/>
        <v>9.6</v>
      </c>
      <c r="Z1117">
        <f t="shared" si="619"/>
        <v>12.6</v>
      </c>
    </row>
    <row r="1118" spans="1:26" x14ac:dyDescent="0.2">
      <c r="A1118" s="13">
        <v>45468</v>
      </c>
      <c r="B1118" s="3">
        <v>0.375</v>
      </c>
      <c r="C1118" s="4">
        <v>45468.375</v>
      </c>
      <c r="D1118" s="5">
        <v>54.2</v>
      </c>
      <c r="E1118" s="5">
        <v>61.4</v>
      </c>
      <c r="F1118" s="5">
        <v>48.7</v>
      </c>
      <c r="G1118" s="5" t="s">
        <v>6</v>
      </c>
      <c r="H1118" s="5">
        <v>11.9</v>
      </c>
      <c r="I1118" s="5">
        <v>20.2</v>
      </c>
      <c r="J1118" s="5">
        <v>9.9</v>
      </c>
      <c r="K1118" s="5" t="s">
        <v>6</v>
      </c>
      <c r="L1118" s="5">
        <v>227</v>
      </c>
      <c r="M1118" t="s">
        <v>6</v>
      </c>
      <c r="O1118" s="6">
        <f t="shared" si="610"/>
        <v>45468.375</v>
      </c>
      <c r="P1118">
        <f t="shared" si="611"/>
        <v>54.2</v>
      </c>
      <c r="Q1118">
        <f t="shared" si="612"/>
        <v>61.4</v>
      </c>
      <c r="R1118">
        <f t="shared" si="613"/>
        <v>48.7</v>
      </c>
      <c r="S1118">
        <f t="shared" si="614"/>
        <v>55.2</v>
      </c>
      <c r="V1118" s="6">
        <f t="shared" si="615"/>
        <v>45468.375</v>
      </c>
      <c r="W1118">
        <f t="shared" si="616"/>
        <v>11.9</v>
      </c>
      <c r="X1118">
        <f t="shared" si="617"/>
        <v>20.2</v>
      </c>
      <c r="Y1118">
        <f t="shared" si="618"/>
        <v>9.9</v>
      </c>
      <c r="Z1118">
        <f t="shared" si="619"/>
        <v>12.9</v>
      </c>
    </row>
    <row r="1119" spans="1:26" x14ac:dyDescent="0.2">
      <c r="A1119" s="1">
        <v>45468</v>
      </c>
      <c r="B1119" s="2">
        <v>0.41666666666666669</v>
      </c>
      <c r="C1119" s="6">
        <v>45468.416666666664</v>
      </c>
      <c r="D1119">
        <v>54.3</v>
      </c>
      <c r="E1119">
        <v>58.6</v>
      </c>
      <c r="F1119">
        <v>48.7</v>
      </c>
      <c r="G1119" t="s">
        <v>6</v>
      </c>
      <c r="H1119">
        <v>11.7</v>
      </c>
      <c r="I1119">
        <v>16.600000000000001</v>
      </c>
      <c r="J1119">
        <v>10.3</v>
      </c>
      <c r="K1119" t="s">
        <v>6</v>
      </c>
      <c r="L1119">
        <v>189</v>
      </c>
      <c r="M1119" t="s">
        <v>6</v>
      </c>
      <c r="O1119" s="6">
        <f t="shared" si="610"/>
        <v>45468.416666666664</v>
      </c>
      <c r="P1119">
        <f t="shared" si="611"/>
        <v>54.3</v>
      </c>
      <c r="Q1119">
        <f t="shared" si="612"/>
        <v>58.6</v>
      </c>
      <c r="R1119">
        <f t="shared" si="613"/>
        <v>48.7</v>
      </c>
      <c r="S1119">
        <f t="shared" si="614"/>
        <v>55.3</v>
      </c>
      <c r="V1119" s="6">
        <f t="shared" si="615"/>
        <v>45468.416666666664</v>
      </c>
      <c r="W1119">
        <f t="shared" si="616"/>
        <v>11.7</v>
      </c>
      <c r="X1119">
        <f t="shared" si="617"/>
        <v>16.600000000000001</v>
      </c>
      <c r="Y1119">
        <f t="shared" si="618"/>
        <v>10.3</v>
      </c>
      <c r="Z1119">
        <f t="shared" si="619"/>
        <v>12.7</v>
      </c>
    </row>
    <row r="1120" spans="1:26" x14ac:dyDescent="0.2">
      <c r="A1120" s="1">
        <v>45468</v>
      </c>
      <c r="B1120" s="2">
        <v>0.45833333333333331</v>
      </c>
      <c r="C1120" s="6">
        <v>45468.458333333336</v>
      </c>
      <c r="D1120">
        <v>59.7</v>
      </c>
      <c r="E1120">
        <v>85.2</v>
      </c>
      <c r="F1120">
        <v>49.8</v>
      </c>
      <c r="G1120" t="s">
        <v>6</v>
      </c>
      <c r="H1120">
        <v>11.8</v>
      </c>
      <c r="I1120">
        <v>17.2</v>
      </c>
      <c r="J1120">
        <v>9.3000000000000007</v>
      </c>
      <c r="K1120" t="s">
        <v>6</v>
      </c>
      <c r="L1120">
        <v>188</v>
      </c>
      <c r="M1120" t="s">
        <v>6</v>
      </c>
      <c r="O1120" s="6">
        <f t="shared" si="610"/>
        <v>45468.458333333336</v>
      </c>
      <c r="P1120">
        <f t="shared" si="611"/>
        <v>59.7</v>
      </c>
      <c r="Q1120">
        <f t="shared" si="612"/>
        <v>85.2</v>
      </c>
      <c r="R1120">
        <f t="shared" si="613"/>
        <v>49.8</v>
      </c>
      <c r="S1120">
        <f t="shared" si="614"/>
        <v>60.7</v>
      </c>
      <c r="V1120" s="6">
        <f t="shared" si="615"/>
        <v>45468.458333333336</v>
      </c>
      <c r="W1120">
        <f t="shared" si="616"/>
        <v>11.8</v>
      </c>
      <c r="X1120">
        <f t="shared" si="617"/>
        <v>17.2</v>
      </c>
      <c r="Y1120">
        <f t="shared" si="618"/>
        <v>9.3000000000000007</v>
      </c>
      <c r="Z1120">
        <f t="shared" si="619"/>
        <v>12.8</v>
      </c>
    </row>
    <row r="1121" spans="1:26" x14ac:dyDescent="0.2">
      <c r="A1121" s="1">
        <v>45468</v>
      </c>
      <c r="B1121" s="2">
        <v>0.5</v>
      </c>
      <c r="C1121" s="6">
        <v>45468.5</v>
      </c>
      <c r="D1121">
        <v>55.3</v>
      </c>
      <c r="E1121">
        <v>58.9</v>
      </c>
      <c r="F1121">
        <v>53.5</v>
      </c>
      <c r="G1121" t="s">
        <v>6</v>
      </c>
      <c r="H1121">
        <v>11</v>
      </c>
      <c r="I1121">
        <v>14.7</v>
      </c>
      <c r="J1121">
        <v>9.6999999999999993</v>
      </c>
      <c r="K1121" t="s">
        <v>6</v>
      </c>
      <c r="L1121">
        <v>218</v>
      </c>
      <c r="M1121" t="s">
        <v>6</v>
      </c>
      <c r="O1121" s="6">
        <f t="shared" si="610"/>
        <v>45468.5</v>
      </c>
      <c r="P1121">
        <f t="shared" si="611"/>
        <v>55.3</v>
      </c>
      <c r="Q1121">
        <f t="shared" si="612"/>
        <v>58.9</v>
      </c>
      <c r="R1121">
        <f t="shared" si="613"/>
        <v>53.5</v>
      </c>
      <c r="S1121">
        <f t="shared" si="614"/>
        <v>56.3</v>
      </c>
      <c r="V1121" s="6">
        <f t="shared" si="615"/>
        <v>45468.5</v>
      </c>
      <c r="W1121">
        <f t="shared" si="616"/>
        <v>11</v>
      </c>
      <c r="X1121">
        <f t="shared" si="617"/>
        <v>14.7</v>
      </c>
      <c r="Y1121">
        <f t="shared" si="618"/>
        <v>9.6999999999999993</v>
      </c>
      <c r="Z1121">
        <f t="shared" si="619"/>
        <v>12</v>
      </c>
    </row>
    <row r="1122" spans="1:26" x14ac:dyDescent="0.2">
      <c r="A1122" s="1">
        <v>45468</v>
      </c>
      <c r="B1122" s="2">
        <v>0.54166666666666663</v>
      </c>
      <c r="C1122" s="6">
        <v>45468.541666666664</v>
      </c>
      <c r="D1122">
        <v>54.9</v>
      </c>
      <c r="E1122">
        <v>58.3</v>
      </c>
      <c r="F1122">
        <v>52.4</v>
      </c>
      <c r="G1122" t="s">
        <v>6</v>
      </c>
      <c r="H1122">
        <v>10.8</v>
      </c>
      <c r="I1122">
        <v>11.8</v>
      </c>
      <c r="J1122">
        <v>9.8000000000000007</v>
      </c>
      <c r="K1122" t="s">
        <v>6</v>
      </c>
      <c r="L1122">
        <v>217</v>
      </c>
      <c r="M1122" t="s">
        <v>6</v>
      </c>
      <c r="O1122" s="6">
        <f t="shared" si="610"/>
        <v>45468.541666666664</v>
      </c>
      <c r="P1122">
        <f t="shared" si="611"/>
        <v>54.9</v>
      </c>
      <c r="Q1122">
        <f t="shared" si="612"/>
        <v>58.3</v>
      </c>
      <c r="R1122">
        <f t="shared" si="613"/>
        <v>52.4</v>
      </c>
      <c r="S1122">
        <f t="shared" si="614"/>
        <v>55.9</v>
      </c>
      <c r="V1122" s="6">
        <f t="shared" si="615"/>
        <v>45468.541666666664</v>
      </c>
      <c r="W1122">
        <f t="shared" si="616"/>
        <v>10.8</v>
      </c>
      <c r="X1122">
        <f t="shared" si="617"/>
        <v>11.8</v>
      </c>
      <c r="Y1122">
        <f t="shared" si="618"/>
        <v>9.8000000000000007</v>
      </c>
      <c r="Z1122">
        <f t="shared" si="619"/>
        <v>11.8</v>
      </c>
    </row>
    <row r="1123" spans="1:26" x14ac:dyDescent="0.2">
      <c r="A1123" s="1">
        <v>45468</v>
      </c>
      <c r="B1123" s="2">
        <v>0.58333333333333337</v>
      </c>
      <c r="C1123" s="6">
        <v>45468.583333333336</v>
      </c>
      <c r="D1123">
        <v>56.1</v>
      </c>
      <c r="E1123">
        <v>59.4</v>
      </c>
      <c r="F1123">
        <v>53.1</v>
      </c>
      <c r="G1123" t="s">
        <v>6</v>
      </c>
      <c r="H1123">
        <v>10.8</v>
      </c>
      <c r="I1123">
        <v>12.3</v>
      </c>
      <c r="J1123">
        <v>9.5</v>
      </c>
      <c r="K1123" t="s">
        <v>6</v>
      </c>
      <c r="L1123">
        <v>230</v>
      </c>
      <c r="M1123" t="s">
        <v>6</v>
      </c>
      <c r="O1123" s="6">
        <f t="shared" si="610"/>
        <v>45468.583333333336</v>
      </c>
      <c r="P1123">
        <f t="shared" si="611"/>
        <v>56.1</v>
      </c>
      <c r="Q1123">
        <f t="shared" si="612"/>
        <v>59.4</v>
      </c>
      <c r="R1123">
        <f t="shared" si="613"/>
        <v>53.1</v>
      </c>
      <c r="S1123">
        <f t="shared" si="614"/>
        <v>57.1</v>
      </c>
      <c r="V1123" s="6">
        <f t="shared" si="615"/>
        <v>45468.583333333336</v>
      </c>
      <c r="W1123">
        <f t="shared" si="616"/>
        <v>10.8</v>
      </c>
      <c r="X1123">
        <f t="shared" si="617"/>
        <v>12.3</v>
      </c>
      <c r="Y1123">
        <f t="shared" si="618"/>
        <v>9.5</v>
      </c>
      <c r="Z1123">
        <f t="shared" si="619"/>
        <v>11.8</v>
      </c>
    </row>
    <row r="1124" spans="1:26" x14ac:dyDescent="0.2">
      <c r="A1124" s="1">
        <v>45468</v>
      </c>
      <c r="B1124" s="2">
        <v>0.625</v>
      </c>
      <c r="C1124" s="6">
        <v>45468.625</v>
      </c>
      <c r="D1124">
        <v>53</v>
      </c>
      <c r="E1124">
        <v>55</v>
      </c>
      <c r="F1124">
        <v>50.9</v>
      </c>
      <c r="G1124" t="s">
        <v>6</v>
      </c>
      <c r="H1124">
        <v>10.6</v>
      </c>
      <c r="I1124">
        <v>16</v>
      </c>
      <c r="J1124">
        <v>9.3000000000000007</v>
      </c>
      <c r="K1124" t="s">
        <v>6</v>
      </c>
      <c r="L1124">
        <v>209</v>
      </c>
      <c r="M1124" t="s">
        <v>6</v>
      </c>
      <c r="O1124" s="6">
        <f t="shared" si="610"/>
        <v>45468.625</v>
      </c>
      <c r="P1124">
        <f t="shared" si="611"/>
        <v>53</v>
      </c>
      <c r="Q1124">
        <f t="shared" si="612"/>
        <v>55</v>
      </c>
      <c r="R1124">
        <f t="shared" si="613"/>
        <v>50.9</v>
      </c>
      <c r="S1124">
        <f t="shared" si="614"/>
        <v>54</v>
      </c>
      <c r="V1124" s="6">
        <f t="shared" si="615"/>
        <v>45468.625</v>
      </c>
      <c r="W1124">
        <f t="shared" si="616"/>
        <v>10.6</v>
      </c>
      <c r="X1124">
        <f t="shared" si="617"/>
        <v>16</v>
      </c>
      <c r="Y1124">
        <f t="shared" si="618"/>
        <v>9.3000000000000007</v>
      </c>
      <c r="Z1124">
        <f t="shared" si="619"/>
        <v>11.6</v>
      </c>
    </row>
    <row r="1125" spans="1:26" x14ac:dyDescent="0.2">
      <c r="A1125" s="1">
        <v>45468</v>
      </c>
      <c r="B1125" s="2">
        <v>0.66666666666666663</v>
      </c>
      <c r="C1125" s="6">
        <v>45468.666666666664</v>
      </c>
      <c r="D1125">
        <v>52.8</v>
      </c>
      <c r="E1125">
        <v>57.2</v>
      </c>
      <c r="F1125">
        <v>48.3</v>
      </c>
      <c r="G1125" t="s">
        <v>6</v>
      </c>
      <c r="H1125">
        <v>12.8</v>
      </c>
      <c r="I1125">
        <v>19.8</v>
      </c>
      <c r="J1125">
        <v>9.5</v>
      </c>
      <c r="K1125" t="s">
        <v>6</v>
      </c>
      <c r="L1125">
        <v>181</v>
      </c>
      <c r="M1125" t="s">
        <v>6</v>
      </c>
      <c r="O1125" s="6">
        <f t="shared" si="610"/>
        <v>45468.666666666664</v>
      </c>
      <c r="P1125">
        <f t="shared" si="611"/>
        <v>52.8</v>
      </c>
      <c r="Q1125">
        <f t="shared" si="612"/>
        <v>57.2</v>
      </c>
      <c r="R1125">
        <f t="shared" si="613"/>
        <v>48.3</v>
      </c>
      <c r="S1125">
        <f t="shared" si="614"/>
        <v>53.8</v>
      </c>
      <c r="V1125" s="6">
        <f t="shared" si="615"/>
        <v>45468.666666666664</v>
      </c>
      <c r="W1125">
        <f t="shared" si="616"/>
        <v>12.8</v>
      </c>
      <c r="X1125">
        <f t="shared" si="617"/>
        <v>19.8</v>
      </c>
      <c r="Y1125">
        <f t="shared" si="618"/>
        <v>9.5</v>
      </c>
      <c r="Z1125">
        <f t="shared" si="619"/>
        <v>13.8</v>
      </c>
    </row>
    <row r="1126" spans="1:26" x14ac:dyDescent="0.2">
      <c r="A1126" s="1">
        <v>45468</v>
      </c>
      <c r="B1126" s="2">
        <v>0.70833333333333337</v>
      </c>
      <c r="C1126" s="6">
        <v>45468.708333333336</v>
      </c>
      <c r="D1126">
        <v>53.8</v>
      </c>
      <c r="E1126">
        <v>58.1</v>
      </c>
      <c r="F1126">
        <v>50</v>
      </c>
      <c r="G1126" t="s">
        <v>6</v>
      </c>
      <c r="H1126">
        <v>11.3</v>
      </c>
      <c r="I1126">
        <v>15.5</v>
      </c>
      <c r="J1126">
        <v>9.5</v>
      </c>
      <c r="K1126" t="s">
        <v>6</v>
      </c>
      <c r="L1126">
        <v>228</v>
      </c>
      <c r="M1126" t="s">
        <v>6</v>
      </c>
      <c r="O1126" s="6">
        <f t="shared" si="610"/>
        <v>45468.708333333336</v>
      </c>
      <c r="P1126">
        <f t="shared" si="611"/>
        <v>53.8</v>
      </c>
      <c r="Q1126">
        <f t="shared" si="612"/>
        <v>58.1</v>
      </c>
      <c r="R1126">
        <f t="shared" si="613"/>
        <v>50</v>
      </c>
      <c r="S1126">
        <f t="shared" si="614"/>
        <v>54.8</v>
      </c>
      <c r="V1126" s="6">
        <f t="shared" si="615"/>
        <v>45468.708333333336</v>
      </c>
      <c r="W1126">
        <f t="shared" si="616"/>
        <v>11.3</v>
      </c>
      <c r="X1126">
        <f t="shared" si="617"/>
        <v>15.5</v>
      </c>
      <c r="Y1126">
        <f t="shared" si="618"/>
        <v>9.5</v>
      </c>
      <c r="Z1126">
        <f t="shared" si="619"/>
        <v>12.3</v>
      </c>
    </row>
    <row r="1127" spans="1:26" x14ac:dyDescent="0.2">
      <c r="A1127" s="1">
        <v>45468</v>
      </c>
      <c r="B1127" s="2">
        <v>0.75</v>
      </c>
      <c r="C1127" s="6">
        <v>45468.75</v>
      </c>
      <c r="D1127">
        <v>50.1</v>
      </c>
      <c r="E1127">
        <v>51.4</v>
      </c>
      <c r="F1127">
        <v>49.1</v>
      </c>
      <c r="G1127" t="s">
        <v>6</v>
      </c>
      <c r="H1127">
        <v>11.7</v>
      </c>
      <c r="I1127">
        <v>18.5</v>
      </c>
      <c r="J1127">
        <v>9.4</v>
      </c>
      <c r="K1127" t="s">
        <v>6</v>
      </c>
      <c r="L1127">
        <v>224</v>
      </c>
      <c r="M1127" t="s">
        <v>6</v>
      </c>
      <c r="O1127" s="6">
        <f t="shared" si="610"/>
        <v>45468.75</v>
      </c>
      <c r="P1127">
        <f t="shared" si="611"/>
        <v>50.1</v>
      </c>
      <c r="Q1127">
        <f t="shared" si="612"/>
        <v>51.4</v>
      </c>
      <c r="R1127">
        <f t="shared" si="613"/>
        <v>49.1</v>
      </c>
      <c r="S1127">
        <f t="shared" si="614"/>
        <v>51.1</v>
      </c>
      <c r="V1127" s="6">
        <f t="shared" si="615"/>
        <v>45468.75</v>
      </c>
      <c r="W1127">
        <f t="shared" si="616"/>
        <v>11.7</v>
      </c>
      <c r="X1127">
        <f t="shared" si="617"/>
        <v>18.5</v>
      </c>
      <c r="Y1127">
        <f t="shared" si="618"/>
        <v>9.4</v>
      </c>
      <c r="Z1127">
        <f t="shared" si="619"/>
        <v>12.7</v>
      </c>
    </row>
    <row r="1128" spans="1:26" x14ac:dyDescent="0.2">
      <c r="A1128" s="1">
        <v>45468</v>
      </c>
      <c r="B1128" s="2">
        <v>0.79166666666666663</v>
      </c>
      <c r="C1128" s="6">
        <v>45468.791666666664</v>
      </c>
      <c r="D1128">
        <v>55.4</v>
      </c>
      <c r="E1128">
        <v>67.2</v>
      </c>
      <c r="F1128">
        <v>50.2</v>
      </c>
      <c r="G1128" t="s">
        <v>6</v>
      </c>
      <c r="H1128">
        <v>11.6</v>
      </c>
      <c r="I1128">
        <v>21.3</v>
      </c>
      <c r="J1128">
        <v>9.3000000000000007</v>
      </c>
      <c r="K1128" t="s">
        <v>6</v>
      </c>
      <c r="L1128">
        <v>220</v>
      </c>
      <c r="M1128" t="s">
        <v>6</v>
      </c>
      <c r="O1128" s="6">
        <f t="shared" si="610"/>
        <v>45468.791666666664</v>
      </c>
      <c r="P1128">
        <f t="shared" si="611"/>
        <v>55.4</v>
      </c>
      <c r="Q1128">
        <f t="shared" si="612"/>
        <v>67.2</v>
      </c>
      <c r="R1128">
        <f t="shared" si="613"/>
        <v>50.2</v>
      </c>
      <c r="S1128">
        <f t="shared" si="614"/>
        <v>56.4</v>
      </c>
      <c r="V1128" s="6">
        <f t="shared" si="615"/>
        <v>45468.791666666664</v>
      </c>
      <c r="W1128">
        <f t="shared" si="616"/>
        <v>11.6</v>
      </c>
      <c r="X1128">
        <f t="shared" si="617"/>
        <v>21.3</v>
      </c>
      <c r="Y1128">
        <f t="shared" si="618"/>
        <v>9.3000000000000007</v>
      </c>
      <c r="Z1128">
        <f t="shared" si="619"/>
        <v>12.6</v>
      </c>
    </row>
    <row r="1129" spans="1:26" x14ac:dyDescent="0.2">
      <c r="A1129" s="1">
        <v>45468</v>
      </c>
      <c r="B1129" s="2">
        <v>0.83333333333333337</v>
      </c>
      <c r="C1129" s="6">
        <v>45468.833333333336</v>
      </c>
      <c r="D1129">
        <v>80.599999999999994</v>
      </c>
      <c r="E1129">
        <v>93.3</v>
      </c>
      <c r="F1129">
        <v>55.8</v>
      </c>
      <c r="G1129" t="s">
        <v>6</v>
      </c>
      <c r="H1129">
        <v>13.3</v>
      </c>
      <c r="I1129">
        <v>25.7</v>
      </c>
      <c r="J1129">
        <v>9.6</v>
      </c>
      <c r="K1129" t="s">
        <v>6</v>
      </c>
      <c r="L1129">
        <v>226</v>
      </c>
      <c r="M1129" t="s">
        <v>6</v>
      </c>
      <c r="O1129" s="6">
        <f t="shared" si="610"/>
        <v>45468.833333333336</v>
      </c>
      <c r="P1129">
        <f t="shared" si="611"/>
        <v>80.599999999999994</v>
      </c>
      <c r="Q1129">
        <f t="shared" si="612"/>
        <v>93.3</v>
      </c>
      <c r="R1129">
        <f t="shared" si="613"/>
        <v>55.8</v>
      </c>
      <c r="S1129">
        <f t="shared" si="614"/>
        <v>81.599999999999994</v>
      </c>
      <c r="V1129" s="6">
        <f t="shared" si="615"/>
        <v>45468.833333333336</v>
      </c>
      <c r="W1129">
        <f t="shared" si="616"/>
        <v>13.3</v>
      </c>
      <c r="X1129">
        <f t="shared" si="617"/>
        <v>25.7</v>
      </c>
      <c r="Y1129">
        <f t="shared" si="618"/>
        <v>9.6</v>
      </c>
      <c r="Z1129">
        <f t="shared" si="619"/>
        <v>14.3</v>
      </c>
    </row>
    <row r="1130" spans="1:26" x14ac:dyDescent="0.2">
      <c r="A1130" s="1">
        <v>45468</v>
      </c>
      <c r="B1130" s="2">
        <v>0.875</v>
      </c>
      <c r="C1130" s="6">
        <v>45468.875</v>
      </c>
      <c r="D1130">
        <v>78</v>
      </c>
      <c r="E1130">
        <v>87.5</v>
      </c>
      <c r="F1130">
        <v>57.8</v>
      </c>
      <c r="G1130" t="s">
        <v>6</v>
      </c>
      <c r="H1130">
        <v>11.5</v>
      </c>
      <c r="I1130">
        <v>17.7</v>
      </c>
      <c r="J1130">
        <v>9.1999999999999993</v>
      </c>
      <c r="K1130" t="s">
        <v>6</v>
      </c>
      <c r="L1130">
        <v>220</v>
      </c>
      <c r="M1130" t="s">
        <v>6</v>
      </c>
      <c r="O1130" s="6">
        <f t="shared" si="610"/>
        <v>45468.875</v>
      </c>
      <c r="P1130">
        <f t="shared" si="611"/>
        <v>78</v>
      </c>
      <c r="Q1130">
        <f t="shared" si="612"/>
        <v>87.5</v>
      </c>
      <c r="R1130">
        <f t="shared" si="613"/>
        <v>57.8</v>
      </c>
      <c r="S1130">
        <f t="shared" si="614"/>
        <v>79</v>
      </c>
      <c r="V1130" s="6">
        <f t="shared" si="615"/>
        <v>45468.875</v>
      </c>
      <c r="W1130">
        <f t="shared" si="616"/>
        <v>11.5</v>
      </c>
      <c r="X1130">
        <f t="shared" si="617"/>
        <v>17.7</v>
      </c>
      <c r="Y1130">
        <f t="shared" si="618"/>
        <v>9.1999999999999993</v>
      </c>
      <c r="Z1130">
        <f t="shared" si="619"/>
        <v>12.5</v>
      </c>
    </row>
    <row r="1131" spans="1:26" x14ac:dyDescent="0.2">
      <c r="A1131" s="1">
        <v>45468</v>
      </c>
      <c r="B1131" s="2">
        <v>0.91666666666666663</v>
      </c>
      <c r="C1131" s="6">
        <v>45468.916666666664</v>
      </c>
      <c r="D1131">
        <v>73</v>
      </c>
      <c r="E1131">
        <v>86.6</v>
      </c>
      <c r="F1131">
        <v>61.4</v>
      </c>
      <c r="G1131" t="s">
        <v>6</v>
      </c>
      <c r="H1131">
        <v>12.3</v>
      </c>
      <c r="I1131">
        <v>21.1</v>
      </c>
      <c r="J1131">
        <v>9.3000000000000007</v>
      </c>
      <c r="K1131" t="s">
        <v>6</v>
      </c>
      <c r="L1131">
        <v>231</v>
      </c>
      <c r="M1131" t="s">
        <v>6</v>
      </c>
      <c r="O1131" s="6">
        <f t="shared" si="610"/>
        <v>45468.916666666664</v>
      </c>
      <c r="P1131">
        <f t="shared" si="611"/>
        <v>73</v>
      </c>
      <c r="Q1131">
        <f t="shared" si="612"/>
        <v>86.6</v>
      </c>
      <c r="R1131">
        <f t="shared" si="613"/>
        <v>61.4</v>
      </c>
      <c r="S1131">
        <f t="shared" si="614"/>
        <v>74</v>
      </c>
      <c r="V1131" s="6">
        <f t="shared" si="615"/>
        <v>45468.916666666664</v>
      </c>
      <c r="W1131">
        <f t="shared" si="616"/>
        <v>12.3</v>
      </c>
      <c r="X1131">
        <f t="shared" si="617"/>
        <v>21.1</v>
      </c>
      <c r="Y1131">
        <f t="shared" si="618"/>
        <v>9.3000000000000007</v>
      </c>
      <c r="Z1131">
        <f t="shared" si="619"/>
        <v>13.3</v>
      </c>
    </row>
    <row r="1132" spans="1:26" x14ac:dyDescent="0.2">
      <c r="A1132" s="1">
        <v>45468</v>
      </c>
      <c r="B1132" s="2">
        <v>0.95833333333333337</v>
      </c>
      <c r="C1132" s="6">
        <v>45468.958333333336</v>
      </c>
      <c r="D1132">
        <v>78.2</v>
      </c>
      <c r="E1132">
        <v>93.6</v>
      </c>
      <c r="F1132">
        <v>53.5</v>
      </c>
      <c r="G1132" t="s">
        <v>6</v>
      </c>
      <c r="H1132">
        <v>10.6</v>
      </c>
      <c r="I1132">
        <v>16.600000000000001</v>
      </c>
      <c r="J1132">
        <v>8.6999999999999993</v>
      </c>
      <c r="K1132" t="s">
        <v>6</v>
      </c>
      <c r="L1132">
        <v>222</v>
      </c>
      <c r="M1132" t="s">
        <v>6</v>
      </c>
      <c r="O1132" s="6">
        <f t="shared" si="610"/>
        <v>45468.958333333336</v>
      </c>
      <c r="P1132">
        <f t="shared" si="611"/>
        <v>78.2</v>
      </c>
      <c r="Q1132">
        <f t="shared" si="612"/>
        <v>93.6</v>
      </c>
      <c r="R1132">
        <f t="shared" si="613"/>
        <v>53.5</v>
      </c>
      <c r="S1132">
        <f t="shared" si="614"/>
        <v>79.2</v>
      </c>
      <c r="V1132" s="6">
        <f t="shared" si="615"/>
        <v>45468.958333333336</v>
      </c>
      <c r="W1132">
        <f t="shared" si="616"/>
        <v>10.6</v>
      </c>
      <c r="X1132">
        <f t="shared" si="617"/>
        <v>16.600000000000001</v>
      </c>
      <c r="Y1132">
        <f t="shared" si="618"/>
        <v>8.6999999999999993</v>
      </c>
      <c r="Z1132">
        <f t="shared" si="619"/>
        <v>11.6</v>
      </c>
    </row>
    <row r="1133" spans="1:26" x14ac:dyDescent="0.2">
      <c r="A1133" s="1">
        <v>45469</v>
      </c>
      <c r="B1133" s="2">
        <v>0</v>
      </c>
      <c r="C1133" s="6">
        <v>45469</v>
      </c>
      <c r="D1133">
        <v>75</v>
      </c>
      <c r="E1133">
        <v>90.2</v>
      </c>
      <c r="F1133">
        <v>59.5</v>
      </c>
      <c r="G1133" t="s">
        <v>6</v>
      </c>
      <c r="H1133">
        <v>12.1</v>
      </c>
      <c r="I1133">
        <v>22.7</v>
      </c>
      <c r="J1133">
        <v>8.6999999999999993</v>
      </c>
      <c r="K1133" t="s">
        <v>6</v>
      </c>
      <c r="L1133">
        <v>225</v>
      </c>
      <c r="M1133" t="s">
        <v>6</v>
      </c>
      <c r="O1133" s="6">
        <f t="shared" si="610"/>
        <v>45469</v>
      </c>
      <c r="P1133">
        <f t="shared" si="611"/>
        <v>75</v>
      </c>
      <c r="Q1133">
        <f t="shared" si="612"/>
        <v>90.2</v>
      </c>
      <c r="R1133">
        <f t="shared" si="613"/>
        <v>59.5</v>
      </c>
      <c r="S1133">
        <f t="shared" si="614"/>
        <v>76</v>
      </c>
      <c r="V1133" s="6">
        <f t="shared" si="615"/>
        <v>45469</v>
      </c>
      <c r="W1133">
        <f t="shared" si="616"/>
        <v>12.1</v>
      </c>
      <c r="X1133">
        <f t="shared" si="617"/>
        <v>22.7</v>
      </c>
      <c r="Y1133">
        <f t="shared" si="618"/>
        <v>8.6999999999999993</v>
      </c>
      <c r="Z1133">
        <f t="shared" si="619"/>
        <v>13.1</v>
      </c>
    </row>
    <row r="1134" spans="1:26" x14ac:dyDescent="0.2">
      <c r="A1134" s="1">
        <v>45469</v>
      </c>
      <c r="B1134" s="2">
        <v>4.1666666666666664E-2</v>
      </c>
      <c r="C1134" s="6">
        <v>45469.041666666664</v>
      </c>
      <c r="D1134">
        <v>84.4</v>
      </c>
      <c r="E1134">
        <v>93.9</v>
      </c>
      <c r="F1134">
        <v>65.5</v>
      </c>
      <c r="G1134" t="s">
        <v>6</v>
      </c>
      <c r="H1134">
        <v>9.8000000000000007</v>
      </c>
      <c r="I1134">
        <v>13.4</v>
      </c>
      <c r="J1134">
        <v>8.8000000000000007</v>
      </c>
      <c r="K1134" t="s">
        <v>6</v>
      </c>
      <c r="L1134">
        <v>228</v>
      </c>
      <c r="M1134" t="s">
        <v>6</v>
      </c>
      <c r="O1134" s="6">
        <f t="shared" si="610"/>
        <v>45469.041666666664</v>
      </c>
      <c r="P1134">
        <f t="shared" si="611"/>
        <v>84.4</v>
      </c>
      <c r="Q1134">
        <f t="shared" si="612"/>
        <v>93.9</v>
      </c>
      <c r="R1134">
        <f t="shared" si="613"/>
        <v>65.5</v>
      </c>
      <c r="S1134">
        <f t="shared" si="614"/>
        <v>85.4</v>
      </c>
      <c r="V1134" s="6">
        <f t="shared" si="615"/>
        <v>45469.041666666664</v>
      </c>
      <c r="W1134">
        <f t="shared" si="616"/>
        <v>9.8000000000000007</v>
      </c>
      <c r="X1134">
        <f t="shared" si="617"/>
        <v>13.4</v>
      </c>
      <c r="Y1134">
        <f t="shared" si="618"/>
        <v>8.8000000000000007</v>
      </c>
      <c r="Z1134">
        <f t="shared" si="619"/>
        <v>10.8</v>
      </c>
    </row>
    <row r="1135" spans="1:26" x14ac:dyDescent="0.2">
      <c r="A1135" s="1">
        <v>45469</v>
      </c>
      <c r="B1135" s="2">
        <v>8.3333333333333329E-2</v>
      </c>
      <c r="C1135" s="6">
        <v>45469.083333333336</v>
      </c>
      <c r="D1135">
        <v>68.2</v>
      </c>
      <c r="E1135">
        <v>82.5</v>
      </c>
      <c r="F1135">
        <v>56.2</v>
      </c>
      <c r="G1135" t="s">
        <v>6</v>
      </c>
      <c r="H1135">
        <v>10.1</v>
      </c>
      <c r="I1135">
        <v>16.2</v>
      </c>
      <c r="J1135">
        <v>8.6999999999999993</v>
      </c>
      <c r="K1135" t="s">
        <v>6</v>
      </c>
      <c r="L1135">
        <v>230</v>
      </c>
      <c r="M1135" t="s">
        <v>6</v>
      </c>
      <c r="O1135" s="6">
        <f t="shared" si="610"/>
        <v>45469.083333333336</v>
      </c>
      <c r="P1135">
        <f t="shared" si="611"/>
        <v>68.2</v>
      </c>
      <c r="Q1135">
        <f t="shared" si="612"/>
        <v>82.5</v>
      </c>
      <c r="R1135">
        <f t="shared" si="613"/>
        <v>56.2</v>
      </c>
      <c r="S1135">
        <f t="shared" si="614"/>
        <v>69.2</v>
      </c>
      <c r="V1135" s="6">
        <f t="shared" si="615"/>
        <v>45469.083333333336</v>
      </c>
      <c r="W1135">
        <f t="shared" si="616"/>
        <v>10.1</v>
      </c>
      <c r="X1135">
        <f t="shared" si="617"/>
        <v>16.2</v>
      </c>
      <c r="Y1135">
        <f t="shared" si="618"/>
        <v>8.6999999999999993</v>
      </c>
      <c r="Z1135">
        <f t="shared" si="619"/>
        <v>11.1</v>
      </c>
    </row>
    <row r="1136" spans="1:26" x14ac:dyDescent="0.2">
      <c r="A1136" s="1">
        <v>45469</v>
      </c>
      <c r="B1136" s="2">
        <v>0.125</v>
      </c>
      <c r="C1136" s="6">
        <v>45469.125</v>
      </c>
      <c r="D1136">
        <v>76.7</v>
      </c>
      <c r="E1136">
        <v>88.6</v>
      </c>
      <c r="F1136">
        <v>61.8</v>
      </c>
      <c r="G1136" t="s">
        <v>6</v>
      </c>
      <c r="H1136">
        <v>10.1</v>
      </c>
      <c r="I1136">
        <v>15.2</v>
      </c>
      <c r="J1136">
        <v>8.6999999999999993</v>
      </c>
      <c r="K1136" t="s">
        <v>6</v>
      </c>
      <c r="L1136">
        <v>227</v>
      </c>
      <c r="M1136" t="s">
        <v>6</v>
      </c>
      <c r="O1136" s="6">
        <f t="shared" si="610"/>
        <v>45469.125</v>
      </c>
      <c r="P1136">
        <f t="shared" si="611"/>
        <v>76.7</v>
      </c>
      <c r="Q1136">
        <f t="shared" si="612"/>
        <v>88.6</v>
      </c>
      <c r="R1136">
        <f t="shared" si="613"/>
        <v>61.8</v>
      </c>
      <c r="S1136">
        <f t="shared" si="614"/>
        <v>77.7</v>
      </c>
      <c r="V1136" s="6">
        <f t="shared" si="615"/>
        <v>45469.125</v>
      </c>
      <c r="W1136">
        <f t="shared" si="616"/>
        <v>10.1</v>
      </c>
      <c r="X1136">
        <f t="shared" si="617"/>
        <v>15.2</v>
      </c>
      <c r="Y1136">
        <f t="shared" si="618"/>
        <v>8.6999999999999993</v>
      </c>
      <c r="Z1136">
        <f t="shared" si="619"/>
        <v>11.1</v>
      </c>
    </row>
    <row r="1137" spans="1:26" x14ac:dyDescent="0.2">
      <c r="A1137" s="1">
        <v>45469</v>
      </c>
      <c r="B1137" s="2">
        <v>0.16666666666666666</v>
      </c>
      <c r="C1137" s="6">
        <v>45469.166666666664</v>
      </c>
      <c r="D1137">
        <v>78.2</v>
      </c>
      <c r="E1137">
        <v>89.5</v>
      </c>
      <c r="F1137">
        <v>63.5</v>
      </c>
      <c r="G1137" t="s">
        <v>6</v>
      </c>
      <c r="H1137">
        <v>11.1</v>
      </c>
      <c r="I1137">
        <v>16.600000000000001</v>
      </c>
      <c r="J1137">
        <v>8.6</v>
      </c>
      <c r="K1137" t="s">
        <v>6</v>
      </c>
      <c r="L1137">
        <v>225</v>
      </c>
      <c r="M1137" t="s">
        <v>6</v>
      </c>
      <c r="O1137" s="6">
        <f t="shared" si="610"/>
        <v>45469.166666666664</v>
      </c>
      <c r="P1137">
        <f t="shared" si="611"/>
        <v>78.2</v>
      </c>
      <c r="Q1137">
        <f t="shared" si="612"/>
        <v>89.5</v>
      </c>
      <c r="R1137">
        <f t="shared" si="613"/>
        <v>63.5</v>
      </c>
      <c r="S1137">
        <f t="shared" si="614"/>
        <v>79.2</v>
      </c>
      <c r="V1137" s="6">
        <f t="shared" si="615"/>
        <v>45469.166666666664</v>
      </c>
      <c r="W1137">
        <f t="shared" si="616"/>
        <v>11.1</v>
      </c>
      <c r="X1137">
        <f t="shared" si="617"/>
        <v>16.600000000000001</v>
      </c>
      <c r="Y1137">
        <f t="shared" si="618"/>
        <v>8.6</v>
      </c>
      <c r="Z1137">
        <f t="shared" si="619"/>
        <v>12.1</v>
      </c>
    </row>
    <row r="1138" spans="1:26" x14ac:dyDescent="0.2">
      <c r="A1138" s="1">
        <v>45469</v>
      </c>
      <c r="B1138" s="2">
        <v>0.20833333333333334</v>
      </c>
      <c r="C1138" s="6">
        <v>45469.208333333336</v>
      </c>
      <c r="D1138">
        <v>70.7</v>
      </c>
      <c r="E1138">
        <v>100</v>
      </c>
      <c r="F1138">
        <v>52.3</v>
      </c>
      <c r="G1138" t="s">
        <v>6</v>
      </c>
      <c r="H1138">
        <v>11.4</v>
      </c>
      <c r="I1138">
        <v>19.100000000000001</v>
      </c>
      <c r="J1138">
        <v>9.1999999999999993</v>
      </c>
      <c r="K1138" t="s">
        <v>6</v>
      </c>
      <c r="L1138">
        <v>225</v>
      </c>
      <c r="M1138" t="s">
        <v>6</v>
      </c>
      <c r="O1138" s="6">
        <f t="shared" si="610"/>
        <v>45469.208333333336</v>
      </c>
      <c r="P1138">
        <f t="shared" si="611"/>
        <v>70.7</v>
      </c>
      <c r="Q1138">
        <f t="shared" si="612"/>
        <v>100</v>
      </c>
      <c r="R1138">
        <f t="shared" si="613"/>
        <v>52.3</v>
      </c>
      <c r="S1138">
        <f t="shared" si="614"/>
        <v>71.7</v>
      </c>
      <c r="V1138" s="6">
        <f t="shared" si="615"/>
        <v>45469.208333333336</v>
      </c>
      <c r="W1138">
        <f t="shared" si="616"/>
        <v>11.4</v>
      </c>
      <c r="X1138">
        <f t="shared" si="617"/>
        <v>19.100000000000001</v>
      </c>
      <c r="Y1138">
        <f t="shared" si="618"/>
        <v>9.1999999999999993</v>
      </c>
      <c r="Z1138">
        <f t="shared" si="619"/>
        <v>12.4</v>
      </c>
    </row>
    <row r="1139" spans="1:26" x14ac:dyDescent="0.2">
      <c r="A1139" s="1">
        <v>45469</v>
      </c>
      <c r="B1139" s="2">
        <v>0.25</v>
      </c>
      <c r="C1139" s="6">
        <v>45469.25</v>
      </c>
      <c r="D1139">
        <v>89</v>
      </c>
      <c r="E1139">
        <v>96.3</v>
      </c>
      <c r="F1139">
        <v>71.8</v>
      </c>
      <c r="G1139" t="s">
        <v>6</v>
      </c>
      <c r="H1139">
        <v>10.9</v>
      </c>
      <c r="I1139">
        <v>15.6</v>
      </c>
      <c r="J1139">
        <v>8.9</v>
      </c>
      <c r="K1139" t="s">
        <v>6</v>
      </c>
      <c r="L1139">
        <v>193</v>
      </c>
      <c r="M1139" t="s">
        <v>6</v>
      </c>
      <c r="O1139" s="6">
        <f t="shared" si="610"/>
        <v>45469.25</v>
      </c>
      <c r="P1139">
        <f t="shared" si="611"/>
        <v>89</v>
      </c>
      <c r="Q1139">
        <f t="shared" si="612"/>
        <v>96.3</v>
      </c>
      <c r="R1139">
        <f t="shared" si="613"/>
        <v>71.8</v>
      </c>
      <c r="S1139">
        <f t="shared" si="614"/>
        <v>90</v>
      </c>
      <c r="V1139" s="6">
        <f t="shared" si="615"/>
        <v>45469.25</v>
      </c>
      <c r="W1139">
        <f t="shared" si="616"/>
        <v>10.9</v>
      </c>
      <c r="X1139">
        <f t="shared" si="617"/>
        <v>15.6</v>
      </c>
      <c r="Y1139">
        <f t="shared" si="618"/>
        <v>8.9</v>
      </c>
      <c r="Z1139">
        <f t="shared" si="619"/>
        <v>11.9</v>
      </c>
    </row>
    <row r="1140" spans="1:26" x14ac:dyDescent="0.2">
      <c r="A1140" s="1">
        <v>45469</v>
      </c>
      <c r="B1140" s="2">
        <v>0.29166666666666669</v>
      </c>
      <c r="C1140" s="6">
        <v>45469.291666666664</v>
      </c>
      <c r="D1140">
        <v>83.3</v>
      </c>
      <c r="E1140">
        <v>98.4</v>
      </c>
      <c r="F1140">
        <v>69.3</v>
      </c>
      <c r="G1140" t="s">
        <v>6</v>
      </c>
      <c r="H1140">
        <v>12.1</v>
      </c>
      <c r="I1140">
        <v>20</v>
      </c>
      <c r="J1140">
        <v>9.1</v>
      </c>
      <c r="K1140" t="s">
        <v>6</v>
      </c>
      <c r="L1140">
        <v>221</v>
      </c>
      <c r="M1140" t="s">
        <v>6</v>
      </c>
      <c r="O1140" s="6">
        <f t="shared" si="610"/>
        <v>45469.291666666664</v>
      </c>
      <c r="P1140">
        <f t="shared" si="611"/>
        <v>83.3</v>
      </c>
      <c r="Q1140">
        <f t="shared" si="612"/>
        <v>98.4</v>
      </c>
      <c r="R1140">
        <f t="shared" si="613"/>
        <v>69.3</v>
      </c>
      <c r="S1140">
        <f t="shared" si="614"/>
        <v>84.3</v>
      </c>
      <c r="V1140" s="6">
        <f t="shared" si="615"/>
        <v>45469.291666666664</v>
      </c>
      <c r="W1140">
        <f t="shared" si="616"/>
        <v>12.1</v>
      </c>
      <c r="X1140">
        <f t="shared" si="617"/>
        <v>20</v>
      </c>
      <c r="Y1140">
        <f t="shared" si="618"/>
        <v>9.1</v>
      </c>
      <c r="Z1140">
        <f t="shared" si="619"/>
        <v>13.1</v>
      </c>
    </row>
    <row r="1141" spans="1:26" x14ac:dyDescent="0.2">
      <c r="A1141" s="14">
        <v>45469</v>
      </c>
      <c r="B1141" s="7">
        <v>0.33333333333333331</v>
      </c>
      <c r="C1141" s="8">
        <v>45469.333333333336</v>
      </c>
      <c r="D1141" s="9">
        <v>84.1</v>
      </c>
      <c r="E1141" s="9">
        <v>98.4</v>
      </c>
      <c r="F1141" s="9">
        <v>68.5</v>
      </c>
      <c r="G1141" s="9" t="s">
        <v>6</v>
      </c>
      <c r="H1141" s="9">
        <v>11</v>
      </c>
      <c r="I1141" s="9">
        <v>18.100000000000001</v>
      </c>
      <c r="J1141" s="9">
        <v>8.8000000000000007</v>
      </c>
      <c r="K1141" s="9" t="s">
        <v>6</v>
      </c>
      <c r="L1141" s="9">
        <v>225</v>
      </c>
      <c r="M1141" t="s">
        <v>6</v>
      </c>
      <c r="O1141" s="6">
        <f t="shared" si="610"/>
        <v>45469.333333333336</v>
      </c>
      <c r="P1141">
        <f t="shared" si="611"/>
        <v>84.1</v>
      </c>
      <c r="Q1141">
        <f t="shared" si="612"/>
        <v>98.4</v>
      </c>
      <c r="R1141">
        <f t="shared" si="613"/>
        <v>68.5</v>
      </c>
      <c r="S1141">
        <f t="shared" si="614"/>
        <v>85.1</v>
      </c>
      <c r="V1141" s="6">
        <f t="shared" si="615"/>
        <v>45469.333333333336</v>
      </c>
      <c r="W1141">
        <f t="shared" si="616"/>
        <v>11</v>
      </c>
      <c r="X1141">
        <f t="shared" si="617"/>
        <v>18.100000000000001</v>
      </c>
      <c r="Y1141">
        <f t="shared" si="618"/>
        <v>8.8000000000000007</v>
      </c>
      <c r="Z1141">
        <f t="shared" si="619"/>
        <v>12</v>
      </c>
    </row>
    <row r="1142" spans="1:26" x14ac:dyDescent="0.2">
      <c r="A1142" s="13">
        <v>45469</v>
      </c>
      <c r="B1142" s="3">
        <v>0.375</v>
      </c>
      <c r="C1142" s="4">
        <v>45469.375</v>
      </c>
      <c r="D1142" s="5">
        <v>83</v>
      </c>
      <c r="E1142" s="5">
        <v>98.7</v>
      </c>
      <c r="F1142" s="5">
        <v>70.5</v>
      </c>
      <c r="G1142" s="5" t="s">
        <v>6</v>
      </c>
      <c r="H1142" s="5">
        <v>10</v>
      </c>
      <c r="I1142" s="5">
        <v>14.6</v>
      </c>
      <c r="J1142" s="5">
        <v>8.8000000000000007</v>
      </c>
      <c r="K1142" s="5" t="s">
        <v>6</v>
      </c>
      <c r="L1142" s="5">
        <v>220</v>
      </c>
      <c r="M1142" t="s">
        <v>6</v>
      </c>
      <c r="O1142" s="6">
        <f t="shared" si="610"/>
        <v>45469.375</v>
      </c>
      <c r="P1142">
        <f t="shared" si="611"/>
        <v>83</v>
      </c>
      <c r="Q1142">
        <f t="shared" si="612"/>
        <v>98.7</v>
      </c>
      <c r="R1142">
        <f t="shared" si="613"/>
        <v>70.5</v>
      </c>
      <c r="S1142">
        <f t="shared" si="614"/>
        <v>84</v>
      </c>
      <c r="V1142" s="6">
        <f t="shared" si="615"/>
        <v>45469.375</v>
      </c>
      <c r="W1142">
        <f t="shared" si="616"/>
        <v>10</v>
      </c>
      <c r="X1142">
        <f t="shared" si="617"/>
        <v>14.6</v>
      </c>
      <c r="Y1142">
        <f t="shared" si="618"/>
        <v>8.8000000000000007</v>
      </c>
      <c r="Z1142">
        <f t="shared" si="619"/>
        <v>11</v>
      </c>
    </row>
    <row r="1143" spans="1:26" x14ac:dyDescent="0.2">
      <c r="A1143" s="1">
        <v>45469</v>
      </c>
      <c r="B1143" s="2">
        <v>0.41666666666666669</v>
      </c>
      <c r="C1143" s="6">
        <v>45469.416666666664</v>
      </c>
      <c r="D1143">
        <v>95.1</v>
      </c>
      <c r="E1143">
        <v>97.5</v>
      </c>
      <c r="F1143">
        <v>91.3</v>
      </c>
      <c r="G1143" t="s">
        <v>6</v>
      </c>
      <c r="H1143">
        <v>9.6999999999999993</v>
      </c>
      <c r="I1143">
        <v>14.7</v>
      </c>
      <c r="J1143">
        <v>8.6999999999999993</v>
      </c>
      <c r="K1143" t="s">
        <v>6</v>
      </c>
      <c r="L1143">
        <v>228</v>
      </c>
      <c r="M1143" t="s">
        <v>6</v>
      </c>
      <c r="O1143" s="6">
        <f t="shared" si="610"/>
        <v>45469.416666666664</v>
      </c>
      <c r="P1143">
        <f t="shared" si="611"/>
        <v>95.1</v>
      </c>
      <c r="Q1143">
        <f t="shared" si="612"/>
        <v>97.5</v>
      </c>
      <c r="R1143">
        <f t="shared" si="613"/>
        <v>91.3</v>
      </c>
      <c r="S1143">
        <f t="shared" si="614"/>
        <v>96.1</v>
      </c>
      <c r="V1143" s="6">
        <f t="shared" si="615"/>
        <v>45469.416666666664</v>
      </c>
      <c r="W1143">
        <f t="shared" si="616"/>
        <v>9.6999999999999993</v>
      </c>
      <c r="X1143">
        <f t="shared" si="617"/>
        <v>14.7</v>
      </c>
      <c r="Y1143">
        <f t="shared" si="618"/>
        <v>8.6999999999999993</v>
      </c>
      <c r="Z1143">
        <f t="shared" si="619"/>
        <v>10.7</v>
      </c>
    </row>
    <row r="1144" spans="1:26" x14ac:dyDescent="0.2">
      <c r="A1144" s="1">
        <v>45469</v>
      </c>
      <c r="B1144" s="2">
        <v>0.45833333333333331</v>
      </c>
      <c r="C1144" s="6">
        <v>45469.458333333336</v>
      </c>
      <c r="D1144">
        <v>70.400000000000006</v>
      </c>
      <c r="E1144">
        <v>94.9</v>
      </c>
      <c r="F1144">
        <v>51.4</v>
      </c>
      <c r="G1144" t="s">
        <v>6</v>
      </c>
      <c r="H1144">
        <v>10.3</v>
      </c>
      <c r="I1144">
        <v>16.100000000000001</v>
      </c>
      <c r="J1144">
        <v>8.6</v>
      </c>
      <c r="K1144" t="s">
        <v>6</v>
      </c>
      <c r="L1144">
        <v>231</v>
      </c>
      <c r="M1144" t="s">
        <v>6</v>
      </c>
      <c r="O1144" s="6">
        <f t="shared" si="610"/>
        <v>45469.458333333336</v>
      </c>
      <c r="P1144">
        <f t="shared" si="611"/>
        <v>70.400000000000006</v>
      </c>
      <c r="Q1144">
        <f t="shared" si="612"/>
        <v>94.9</v>
      </c>
      <c r="R1144">
        <f t="shared" si="613"/>
        <v>51.4</v>
      </c>
      <c r="S1144">
        <f t="shared" si="614"/>
        <v>71.400000000000006</v>
      </c>
      <c r="V1144" s="6">
        <f t="shared" si="615"/>
        <v>45469.458333333336</v>
      </c>
      <c r="W1144">
        <f t="shared" si="616"/>
        <v>10.3</v>
      </c>
      <c r="X1144">
        <f t="shared" si="617"/>
        <v>16.100000000000001</v>
      </c>
      <c r="Y1144">
        <f t="shared" si="618"/>
        <v>8.6</v>
      </c>
      <c r="Z1144">
        <f t="shared" si="619"/>
        <v>11.3</v>
      </c>
    </row>
    <row r="1145" spans="1:26" x14ac:dyDescent="0.2">
      <c r="A1145" s="1">
        <v>45469</v>
      </c>
      <c r="B1145" s="2">
        <v>0.5</v>
      </c>
      <c r="C1145" s="6">
        <v>45469.5</v>
      </c>
      <c r="D1145">
        <v>67.2</v>
      </c>
      <c r="E1145">
        <v>86.5</v>
      </c>
      <c r="F1145">
        <v>57.7</v>
      </c>
      <c r="G1145" t="s">
        <v>6</v>
      </c>
      <c r="H1145">
        <v>13.1</v>
      </c>
      <c r="I1145">
        <v>36.200000000000003</v>
      </c>
      <c r="J1145">
        <v>9</v>
      </c>
      <c r="K1145" t="s">
        <v>6</v>
      </c>
      <c r="L1145">
        <v>123</v>
      </c>
      <c r="M1145" t="s">
        <v>6</v>
      </c>
      <c r="O1145" s="6">
        <f t="shared" si="610"/>
        <v>45469.5</v>
      </c>
      <c r="P1145">
        <f t="shared" si="611"/>
        <v>67.2</v>
      </c>
      <c r="Q1145">
        <f t="shared" si="612"/>
        <v>86.5</v>
      </c>
      <c r="R1145">
        <f t="shared" si="613"/>
        <v>57.7</v>
      </c>
      <c r="S1145">
        <f t="shared" si="614"/>
        <v>68.2</v>
      </c>
      <c r="V1145" s="6">
        <f t="shared" si="615"/>
        <v>45469.5</v>
      </c>
      <c r="W1145">
        <f t="shared" si="616"/>
        <v>13.1</v>
      </c>
      <c r="X1145">
        <f t="shared" si="617"/>
        <v>36.200000000000003</v>
      </c>
      <c r="Y1145">
        <f t="shared" si="618"/>
        <v>9</v>
      </c>
      <c r="Z1145">
        <f t="shared" si="619"/>
        <v>14.1</v>
      </c>
    </row>
    <row r="1146" spans="1:26" x14ac:dyDescent="0.2">
      <c r="A1146" s="1">
        <v>45469</v>
      </c>
      <c r="B1146" s="2">
        <v>0.54166666666666663</v>
      </c>
      <c r="C1146" s="6">
        <v>45469.541666666664</v>
      </c>
      <c r="D1146">
        <v>56</v>
      </c>
      <c r="E1146">
        <v>59.9</v>
      </c>
      <c r="F1146">
        <v>51.3</v>
      </c>
      <c r="G1146" t="s">
        <v>6</v>
      </c>
      <c r="H1146">
        <v>10.8</v>
      </c>
      <c r="I1146">
        <v>14.5</v>
      </c>
      <c r="J1146">
        <v>9.3000000000000007</v>
      </c>
      <c r="K1146" t="s">
        <v>6</v>
      </c>
      <c r="L1146">
        <v>49</v>
      </c>
      <c r="M1146" t="s">
        <v>6</v>
      </c>
      <c r="O1146" s="6">
        <f t="shared" si="610"/>
        <v>45469.541666666664</v>
      </c>
      <c r="P1146">
        <f t="shared" si="611"/>
        <v>56</v>
      </c>
      <c r="Q1146">
        <f t="shared" si="612"/>
        <v>59.9</v>
      </c>
      <c r="R1146">
        <f t="shared" si="613"/>
        <v>51.3</v>
      </c>
      <c r="S1146">
        <f t="shared" si="614"/>
        <v>57</v>
      </c>
      <c r="V1146" s="6">
        <f t="shared" si="615"/>
        <v>45469.541666666664</v>
      </c>
      <c r="W1146">
        <f t="shared" si="616"/>
        <v>10.8</v>
      </c>
      <c r="X1146">
        <f t="shared" si="617"/>
        <v>14.5</v>
      </c>
      <c r="Y1146">
        <f t="shared" si="618"/>
        <v>9.3000000000000007</v>
      </c>
      <c r="Z1146">
        <f t="shared" si="619"/>
        <v>11.8</v>
      </c>
    </row>
    <row r="1147" spans="1:26" x14ac:dyDescent="0.2">
      <c r="A1147" s="1">
        <v>45469</v>
      </c>
      <c r="B1147" s="2">
        <v>0.66666666666666663</v>
      </c>
      <c r="C1147" s="6">
        <v>45469.666666666664</v>
      </c>
      <c r="D1147">
        <v>87.4</v>
      </c>
      <c r="E1147">
        <v>99.3</v>
      </c>
      <c r="F1147">
        <v>69.900000000000006</v>
      </c>
      <c r="G1147" t="s">
        <v>6</v>
      </c>
      <c r="H1147">
        <v>10.5</v>
      </c>
      <c r="I1147">
        <v>14.1</v>
      </c>
      <c r="J1147">
        <v>8.9</v>
      </c>
      <c r="K1147" t="s">
        <v>6</v>
      </c>
      <c r="L1147">
        <v>209</v>
      </c>
      <c r="M1147" t="s">
        <v>6</v>
      </c>
      <c r="O1147" s="6">
        <f t="shared" si="610"/>
        <v>45469.666666666664</v>
      </c>
      <c r="P1147">
        <f t="shared" si="611"/>
        <v>87.4</v>
      </c>
      <c r="Q1147">
        <f t="shared" si="612"/>
        <v>99.3</v>
      </c>
      <c r="R1147">
        <f t="shared" si="613"/>
        <v>69.900000000000006</v>
      </c>
      <c r="S1147">
        <f t="shared" si="614"/>
        <v>88.4</v>
      </c>
      <c r="V1147" s="6">
        <f t="shared" si="615"/>
        <v>45469.666666666664</v>
      </c>
      <c r="W1147">
        <f t="shared" si="616"/>
        <v>10.5</v>
      </c>
      <c r="X1147">
        <f t="shared" si="617"/>
        <v>14.1</v>
      </c>
      <c r="Y1147">
        <f t="shared" si="618"/>
        <v>8.9</v>
      </c>
      <c r="Z1147">
        <f t="shared" si="619"/>
        <v>11.5</v>
      </c>
    </row>
    <row r="1148" spans="1:26" x14ac:dyDescent="0.2">
      <c r="A1148" s="1">
        <v>45469</v>
      </c>
      <c r="B1148" s="2">
        <v>0.70833333333333337</v>
      </c>
      <c r="C1148" s="6">
        <v>45469.708333333336</v>
      </c>
      <c r="D1148">
        <v>90.6</v>
      </c>
      <c r="E1148">
        <v>99</v>
      </c>
      <c r="F1148">
        <v>75.2</v>
      </c>
      <c r="G1148" t="s">
        <v>6</v>
      </c>
      <c r="H1148">
        <v>10.1</v>
      </c>
      <c r="I1148">
        <v>13.3</v>
      </c>
      <c r="J1148">
        <v>8.8000000000000007</v>
      </c>
      <c r="K1148" t="s">
        <v>6</v>
      </c>
      <c r="L1148">
        <v>225</v>
      </c>
      <c r="M1148" t="s">
        <v>6</v>
      </c>
      <c r="O1148" s="6">
        <f t="shared" si="610"/>
        <v>45469.708333333336</v>
      </c>
      <c r="P1148">
        <f t="shared" si="611"/>
        <v>90.6</v>
      </c>
      <c r="Q1148">
        <f t="shared" si="612"/>
        <v>99</v>
      </c>
      <c r="R1148">
        <f t="shared" si="613"/>
        <v>75.2</v>
      </c>
      <c r="S1148">
        <f t="shared" si="614"/>
        <v>91.6</v>
      </c>
      <c r="V1148" s="6">
        <f t="shared" si="615"/>
        <v>45469.708333333336</v>
      </c>
      <c r="W1148">
        <f t="shared" si="616"/>
        <v>10.1</v>
      </c>
      <c r="X1148">
        <f t="shared" si="617"/>
        <v>13.3</v>
      </c>
      <c r="Y1148">
        <f t="shared" si="618"/>
        <v>8.8000000000000007</v>
      </c>
      <c r="Z1148">
        <f t="shared" si="619"/>
        <v>11.1</v>
      </c>
    </row>
    <row r="1149" spans="1:26" x14ac:dyDescent="0.2">
      <c r="A1149" s="1">
        <v>45469</v>
      </c>
      <c r="B1149" s="2">
        <v>0.75</v>
      </c>
      <c r="C1149" s="6">
        <v>45469.75</v>
      </c>
      <c r="D1149">
        <v>91.5</v>
      </c>
      <c r="E1149">
        <v>96.9</v>
      </c>
      <c r="F1149">
        <v>79.5</v>
      </c>
      <c r="G1149" t="s">
        <v>6</v>
      </c>
      <c r="H1149">
        <v>10.1</v>
      </c>
      <c r="I1149">
        <v>12.4</v>
      </c>
      <c r="J1149">
        <v>8.6999999999999993</v>
      </c>
      <c r="K1149" t="s">
        <v>6</v>
      </c>
      <c r="L1149">
        <v>213</v>
      </c>
      <c r="M1149" t="s">
        <v>6</v>
      </c>
      <c r="O1149" s="6">
        <f t="shared" si="610"/>
        <v>45469.75</v>
      </c>
      <c r="P1149">
        <f t="shared" si="611"/>
        <v>91.5</v>
      </c>
      <c r="Q1149">
        <f t="shared" si="612"/>
        <v>96.9</v>
      </c>
      <c r="R1149">
        <f t="shared" si="613"/>
        <v>79.5</v>
      </c>
      <c r="S1149">
        <f t="shared" si="614"/>
        <v>92.5</v>
      </c>
      <c r="V1149" s="6">
        <f t="shared" si="615"/>
        <v>45469.75</v>
      </c>
      <c r="W1149">
        <f t="shared" si="616"/>
        <v>10.1</v>
      </c>
      <c r="X1149">
        <f t="shared" si="617"/>
        <v>12.4</v>
      </c>
      <c r="Y1149">
        <f t="shared" si="618"/>
        <v>8.6999999999999993</v>
      </c>
      <c r="Z1149">
        <f t="shared" si="619"/>
        <v>11.1</v>
      </c>
    </row>
    <row r="1150" spans="1:26" x14ac:dyDescent="0.2">
      <c r="A1150" s="1">
        <v>45469</v>
      </c>
      <c r="B1150" s="2">
        <v>0.79166666666666663</v>
      </c>
      <c r="C1150" s="6">
        <v>45469.791666666664</v>
      </c>
      <c r="D1150">
        <v>94.4</v>
      </c>
      <c r="E1150">
        <v>95.6</v>
      </c>
      <c r="F1150">
        <v>90.6</v>
      </c>
      <c r="G1150" t="s">
        <v>6</v>
      </c>
      <c r="H1150">
        <v>10.8</v>
      </c>
      <c r="I1150">
        <v>16.100000000000001</v>
      </c>
      <c r="J1150">
        <v>8.9</v>
      </c>
      <c r="K1150" t="s">
        <v>6</v>
      </c>
      <c r="L1150">
        <v>223</v>
      </c>
      <c r="M1150" t="s">
        <v>6</v>
      </c>
      <c r="O1150" s="6">
        <f t="shared" si="610"/>
        <v>45469.791666666664</v>
      </c>
      <c r="P1150">
        <f t="shared" si="611"/>
        <v>94.4</v>
      </c>
      <c r="Q1150">
        <f t="shared" si="612"/>
        <v>95.6</v>
      </c>
      <c r="R1150">
        <f t="shared" si="613"/>
        <v>90.6</v>
      </c>
      <c r="S1150">
        <f t="shared" si="614"/>
        <v>95.4</v>
      </c>
      <c r="V1150" s="6">
        <f t="shared" si="615"/>
        <v>45469.791666666664</v>
      </c>
      <c r="W1150">
        <f t="shared" si="616"/>
        <v>10.8</v>
      </c>
      <c r="X1150">
        <f t="shared" si="617"/>
        <v>16.100000000000001</v>
      </c>
      <c r="Y1150">
        <f t="shared" si="618"/>
        <v>8.9</v>
      </c>
      <c r="Z1150">
        <f t="shared" si="619"/>
        <v>11.8</v>
      </c>
    </row>
    <row r="1151" spans="1:26" x14ac:dyDescent="0.2">
      <c r="A1151" s="1">
        <v>45469</v>
      </c>
      <c r="B1151" s="2">
        <v>0.83333333333333337</v>
      </c>
      <c r="C1151" s="6">
        <v>45469.833333333336</v>
      </c>
      <c r="D1151">
        <v>94.1</v>
      </c>
      <c r="E1151">
        <v>95.9</v>
      </c>
      <c r="F1151">
        <v>84.7</v>
      </c>
      <c r="G1151" t="s">
        <v>6</v>
      </c>
      <c r="H1151">
        <v>11.5</v>
      </c>
      <c r="I1151">
        <v>18.8</v>
      </c>
      <c r="J1151">
        <v>9</v>
      </c>
      <c r="K1151" t="s">
        <v>6</v>
      </c>
      <c r="L1151">
        <v>225</v>
      </c>
      <c r="M1151" t="s">
        <v>6</v>
      </c>
      <c r="O1151" s="6">
        <f t="shared" si="610"/>
        <v>45469.833333333336</v>
      </c>
      <c r="P1151">
        <f t="shared" si="611"/>
        <v>94.1</v>
      </c>
      <c r="Q1151">
        <f t="shared" si="612"/>
        <v>95.9</v>
      </c>
      <c r="R1151">
        <f t="shared" si="613"/>
        <v>84.7</v>
      </c>
      <c r="S1151">
        <f t="shared" si="614"/>
        <v>95.1</v>
      </c>
      <c r="V1151" s="6">
        <f t="shared" si="615"/>
        <v>45469.833333333336</v>
      </c>
      <c r="W1151">
        <f t="shared" si="616"/>
        <v>11.5</v>
      </c>
      <c r="X1151">
        <f t="shared" si="617"/>
        <v>18.8</v>
      </c>
      <c r="Y1151">
        <f t="shared" si="618"/>
        <v>9</v>
      </c>
      <c r="Z1151">
        <f t="shared" si="619"/>
        <v>12.5</v>
      </c>
    </row>
    <row r="1152" spans="1:26" x14ac:dyDescent="0.2">
      <c r="A1152" s="1">
        <v>45469</v>
      </c>
      <c r="B1152" s="2">
        <v>0.875</v>
      </c>
      <c r="C1152" s="6">
        <v>45469.875</v>
      </c>
      <c r="D1152">
        <v>95.4</v>
      </c>
      <c r="E1152">
        <v>98.2</v>
      </c>
      <c r="F1152">
        <v>90.9</v>
      </c>
      <c r="G1152" t="s">
        <v>6</v>
      </c>
      <c r="H1152">
        <v>13</v>
      </c>
      <c r="I1152">
        <v>18.399999999999999</v>
      </c>
      <c r="J1152">
        <v>8.9</v>
      </c>
      <c r="K1152" t="s">
        <v>6</v>
      </c>
      <c r="L1152">
        <v>177</v>
      </c>
      <c r="M1152" t="s">
        <v>6</v>
      </c>
      <c r="O1152" s="6">
        <f t="shared" ref="O1152:O1215" si="620">C1152</f>
        <v>45469.875</v>
      </c>
      <c r="P1152">
        <f t="shared" ref="P1152:P1215" si="621">D1152</f>
        <v>95.4</v>
      </c>
      <c r="Q1152">
        <f t="shared" ref="Q1152:Q1215" si="622">E1152</f>
        <v>98.2</v>
      </c>
      <c r="R1152">
        <f t="shared" ref="R1152:R1215" si="623">F1152</f>
        <v>90.9</v>
      </c>
      <c r="S1152">
        <f t="shared" ref="S1152:S1215" si="624">P1152+1</f>
        <v>96.4</v>
      </c>
      <c r="V1152" s="6">
        <f t="shared" ref="V1152:V1215" si="625">O1152</f>
        <v>45469.875</v>
      </c>
      <c r="W1152">
        <f t="shared" ref="W1152:W1215" si="626">H1152</f>
        <v>13</v>
      </c>
      <c r="X1152">
        <f t="shared" ref="X1152:X1215" si="627">I1152</f>
        <v>18.399999999999999</v>
      </c>
      <c r="Y1152">
        <f t="shared" ref="Y1152:Y1215" si="628">J1152</f>
        <v>8.9</v>
      </c>
      <c r="Z1152">
        <f t="shared" ref="Z1152:Z1215" si="629">W1152+1</f>
        <v>14</v>
      </c>
    </row>
    <row r="1153" spans="1:26" x14ac:dyDescent="0.2">
      <c r="A1153" s="1">
        <v>45469</v>
      </c>
      <c r="B1153" s="2">
        <v>0.91666666666666663</v>
      </c>
      <c r="C1153" s="6">
        <v>45469.916666666664</v>
      </c>
      <c r="D1153">
        <v>97</v>
      </c>
      <c r="E1153">
        <v>99.8</v>
      </c>
      <c r="F1153">
        <v>90.8</v>
      </c>
      <c r="G1153" t="s">
        <v>6</v>
      </c>
      <c r="H1153">
        <v>11.2</v>
      </c>
      <c r="I1153">
        <v>17.399999999999999</v>
      </c>
      <c r="J1153">
        <v>9.1999999999999993</v>
      </c>
      <c r="K1153" t="s">
        <v>6</v>
      </c>
      <c r="L1153">
        <v>218</v>
      </c>
      <c r="M1153" t="s">
        <v>6</v>
      </c>
      <c r="O1153" s="6">
        <f t="shared" si="620"/>
        <v>45469.916666666664</v>
      </c>
      <c r="P1153">
        <f t="shared" si="621"/>
        <v>97</v>
      </c>
      <c r="Q1153">
        <f t="shared" si="622"/>
        <v>99.8</v>
      </c>
      <c r="R1153">
        <f t="shared" si="623"/>
        <v>90.8</v>
      </c>
      <c r="S1153">
        <f t="shared" si="624"/>
        <v>98</v>
      </c>
      <c r="V1153" s="6">
        <f t="shared" si="625"/>
        <v>45469.916666666664</v>
      </c>
      <c r="W1153">
        <f t="shared" si="626"/>
        <v>11.2</v>
      </c>
      <c r="X1153">
        <f t="shared" si="627"/>
        <v>17.399999999999999</v>
      </c>
      <c r="Y1153">
        <f t="shared" si="628"/>
        <v>9.1999999999999993</v>
      </c>
      <c r="Z1153">
        <f t="shared" si="629"/>
        <v>12.2</v>
      </c>
    </row>
    <row r="1154" spans="1:26" x14ac:dyDescent="0.2">
      <c r="A1154" s="1">
        <v>45469</v>
      </c>
      <c r="B1154" s="2">
        <v>0.95833333333333337</v>
      </c>
      <c r="C1154" s="6">
        <v>45469.958333333336</v>
      </c>
      <c r="D1154">
        <v>93.9</v>
      </c>
      <c r="E1154">
        <v>99.5</v>
      </c>
      <c r="F1154">
        <v>79.900000000000006</v>
      </c>
      <c r="G1154" t="s">
        <v>6</v>
      </c>
      <c r="H1154">
        <v>12.1</v>
      </c>
      <c r="I1154">
        <v>16.7</v>
      </c>
      <c r="J1154">
        <v>9.1</v>
      </c>
      <c r="K1154" t="s">
        <v>6</v>
      </c>
      <c r="L1154">
        <v>210</v>
      </c>
      <c r="M1154" t="s">
        <v>6</v>
      </c>
      <c r="O1154" s="6">
        <f t="shared" si="620"/>
        <v>45469.958333333336</v>
      </c>
      <c r="P1154">
        <f t="shared" si="621"/>
        <v>93.9</v>
      </c>
      <c r="Q1154">
        <f t="shared" si="622"/>
        <v>99.5</v>
      </c>
      <c r="R1154">
        <f t="shared" si="623"/>
        <v>79.900000000000006</v>
      </c>
      <c r="S1154">
        <f t="shared" si="624"/>
        <v>94.9</v>
      </c>
      <c r="V1154" s="6">
        <f t="shared" si="625"/>
        <v>45469.958333333336</v>
      </c>
      <c r="W1154">
        <f t="shared" si="626"/>
        <v>12.1</v>
      </c>
      <c r="X1154">
        <f t="shared" si="627"/>
        <v>16.7</v>
      </c>
      <c r="Y1154">
        <f t="shared" si="628"/>
        <v>9.1</v>
      </c>
      <c r="Z1154">
        <f t="shared" si="629"/>
        <v>13.1</v>
      </c>
    </row>
    <row r="1155" spans="1:26" x14ac:dyDescent="0.2">
      <c r="A1155" s="1">
        <v>45470</v>
      </c>
      <c r="B1155" s="2">
        <v>0</v>
      </c>
      <c r="C1155" s="6">
        <v>45470</v>
      </c>
      <c r="D1155">
        <v>98</v>
      </c>
      <c r="E1155">
        <v>100.1</v>
      </c>
      <c r="F1155">
        <v>93.2</v>
      </c>
      <c r="G1155" t="s">
        <v>6</v>
      </c>
      <c r="H1155">
        <v>10.9</v>
      </c>
      <c r="I1155">
        <v>18.3</v>
      </c>
      <c r="J1155">
        <v>9.1999999999999993</v>
      </c>
      <c r="K1155" t="s">
        <v>6</v>
      </c>
      <c r="L1155">
        <v>210</v>
      </c>
      <c r="M1155" t="s">
        <v>6</v>
      </c>
      <c r="O1155" s="6">
        <f t="shared" si="620"/>
        <v>45470</v>
      </c>
      <c r="P1155">
        <f t="shared" si="621"/>
        <v>98</v>
      </c>
      <c r="Q1155">
        <f t="shared" si="622"/>
        <v>100.1</v>
      </c>
      <c r="R1155">
        <f t="shared" si="623"/>
        <v>93.2</v>
      </c>
      <c r="S1155">
        <f t="shared" si="624"/>
        <v>99</v>
      </c>
      <c r="V1155" s="6">
        <f t="shared" si="625"/>
        <v>45470</v>
      </c>
      <c r="W1155">
        <f t="shared" si="626"/>
        <v>10.9</v>
      </c>
      <c r="X1155">
        <f t="shared" si="627"/>
        <v>18.3</v>
      </c>
      <c r="Y1155">
        <f t="shared" si="628"/>
        <v>9.1999999999999993</v>
      </c>
      <c r="Z1155">
        <f t="shared" si="629"/>
        <v>11.9</v>
      </c>
    </row>
    <row r="1156" spans="1:26" x14ac:dyDescent="0.2">
      <c r="A1156" s="1">
        <v>45470</v>
      </c>
      <c r="B1156" s="2">
        <v>4.1666666666666664E-2</v>
      </c>
      <c r="C1156" s="6">
        <v>45470.041666666664</v>
      </c>
      <c r="D1156">
        <v>94.9</v>
      </c>
      <c r="E1156">
        <v>98.7</v>
      </c>
      <c r="F1156">
        <v>81.400000000000006</v>
      </c>
      <c r="G1156" t="s">
        <v>6</v>
      </c>
      <c r="H1156">
        <v>10.5</v>
      </c>
      <c r="I1156">
        <v>12.5</v>
      </c>
      <c r="J1156">
        <v>9.1</v>
      </c>
      <c r="K1156" t="s">
        <v>6</v>
      </c>
      <c r="L1156">
        <v>210</v>
      </c>
      <c r="M1156" t="s">
        <v>6</v>
      </c>
      <c r="O1156" s="6">
        <f t="shared" si="620"/>
        <v>45470.041666666664</v>
      </c>
      <c r="P1156">
        <f t="shared" si="621"/>
        <v>94.9</v>
      </c>
      <c r="Q1156">
        <f t="shared" si="622"/>
        <v>98.7</v>
      </c>
      <c r="R1156">
        <f t="shared" si="623"/>
        <v>81.400000000000006</v>
      </c>
      <c r="S1156">
        <f t="shared" si="624"/>
        <v>95.9</v>
      </c>
      <c r="V1156" s="6">
        <f t="shared" si="625"/>
        <v>45470.041666666664</v>
      </c>
      <c r="W1156">
        <f t="shared" si="626"/>
        <v>10.5</v>
      </c>
      <c r="X1156">
        <f t="shared" si="627"/>
        <v>12.5</v>
      </c>
      <c r="Y1156">
        <f t="shared" si="628"/>
        <v>9.1</v>
      </c>
      <c r="Z1156">
        <f t="shared" si="629"/>
        <v>11.5</v>
      </c>
    </row>
    <row r="1157" spans="1:26" x14ac:dyDescent="0.2">
      <c r="A1157" s="1">
        <v>45470</v>
      </c>
      <c r="B1157" s="2">
        <v>8.3333333333333329E-2</v>
      </c>
      <c r="C1157" s="6">
        <v>45470.083333333336</v>
      </c>
      <c r="D1157">
        <v>97.6</v>
      </c>
      <c r="E1157">
        <v>100</v>
      </c>
      <c r="F1157">
        <v>91.9</v>
      </c>
      <c r="G1157" t="s">
        <v>6</v>
      </c>
      <c r="H1157">
        <v>11.4</v>
      </c>
      <c r="I1157">
        <v>16</v>
      </c>
      <c r="J1157">
        <v>9.6</v>
      </c>
      <c r="K1157" t="s">
        <v>6</v>
      </c>
      <c r="L1157">
        <v>231</v>
      </c>
      <c r="M1157" t="s">
        <v>6</v>
      </c>
      <c r="O1157" s="6">
        <f t="shared" si="620"/>
        <v>45470.083333333336</v>
      </c>
      <c r="P1157">
        <f t="shared" si="621"/>
        <v>97.6</v>
      </c>
      <c r="Q1157">
        <f t="shared" si="622"/>
        <v>100</v>
      </c>
      <c r="R1157">
        <f t="shared" si="623"/>
        <v>91.9</v>
      </c>
      <c r="S1157">
        <f t="shared" si="624"/>
        <v>98.6</v>
      </c>
      <c r="V1157" s="6">
        <f t="shared" si="625"/>
        <v>45470.083333333336</v>
      </c>
      <c r="W1157">
        <f t="shared" si="626"/>
        <v>11.4</v>
      </c>
      <c r="X1157">
        <f t="shared" si="627"/>
        <v>16</v>
      </c>
      <c r="Y1157">
        <f t="shared" si="628"/>
        <v>9.6</v>
      </c>
      <c r="Z1157">
        <f t="shared" si="629"/>
        <v>12.4</v>
      </c>
    </row>
    <row r="1158" spans="1:26" x14ac:dyDescent="0.2">
      <c r="A1158" s="1">
        <v>45470</v>
      </c>
      <c r="B1158" s="2">
        <v>0.125</v>
      </c>
      <c r="C1158" s="6">
        <v>45470.125</v>
      </c>
      <c r="D1158">
        <v>97.7</v>
      </c>
      <c r="E1158">
        <v>104.4</v>
      </c>
      <c r="F1158">
        <v>90.4</v>
      </c>
      <c r="G1158" t="s">
        <v>6</v>
      </c>
      <c r="H1158">
        <v>10.9</v>
      </c>
      <c r="I1158">
        <v>14.2</v>
      </c>
      <c r="J1158">
        <v>9.3000000000000007</v>
      </c>
      <c r="K1158" t="s">
        <v>6</v>
      </c>
      <c r="L1158">
        <v>227</v>
      </c>
      <c r="M1158" t="s">
        <v>6</v>
      </c>
      <c r="O1158" s="6">
        <f t="shared" si="620"/>
        <v>45470.125</v>
      </c>
      <c r="P1158">
        <f t="shared" si="621"/>
        <v>97.7</v>
      </c>
      <c r="Q1158">
        <f t="shared" si="622"/>
        <v>104.4</v>
      </c>
      <c r="R1158">
        <f t="shared" si="623"/>
        <v>90.4</v>
      </c>
      <c r="S1158">
        <f t="shared" si="624"/>
        <v>98.7</v>
      </c>
      <c r="V1158" s="6">
        <f t="shared" si="625"/>
        <v>45470.125</v>
      </c>
      <c r="W1158">
        <f t="shared" si="626"/>
        <v>10.9</v>
      </c>
      <c r="X1158">
        <f t="shared" si="627"/>
        <v>14.2</v>
      </c>
      <c r="Y1158">
        <f t="shared" si="628"/>
        <v>9.3000000000000007</v>
      </c>
      <c r="Z1158">
        <f t="shared" si="629"/>
        <v>11.9</v>
      </c>
    </row>
    <row r="1159" spans="1:26" x14ac:dyDescent="0.2">
      <c r="A1159" s="1">
        <v>45470</v>
      </c>
      <c r="B1159" s="2">
        <v>0.16666666666666666</v>
      </c>
      <c r="C1159" s="6">
        <v>45470.166666666664</v>
      </c>
      <c r="D1159">
        <v>91.3</v>
      </c>
      <c r="E1159">
        <v>100.8</v>
      </c>
      <c r="F1159">
        <v>74.3</v>
      </c>
      <c r="G1159" t="s">
        <v>6</v>
      </c>
      <c r="H1159">
        <v>13.2</v>
      </c>
      <c r="I1159">
        <v>17.8</v>
      </c>
      <c r="J1159">
        <v>9.6</v>
      </c>
      <c r="K1159" t="s">
        <v>6</v>
      </c>
      <c r="L1159">
        <v>213</v>
      </c>
      <c r="M1159" t="s">
        <v>6</v>
      </c>
      <c r="O1159" s="6">
        <f t="shared" si="620"/>
        <v>45470.166666666664</v>
      </c>
      <c r="P1159">
        <f t="shared" si="621"/>
        <v>91.3</v>
      </c>
      <c r="Q1159">
        <f t="shared" si="622"/>
        <v>100.8</v>
      </c>
      <c r="R1159">
        <f t="shared" si="623"/>
        <v>74.3</v>
      </c>
      <c r="S1159">
        <f t="shared" si="624"/>
        <v>92.3</v>
      </c>
      <c r="V1159" s="6">
        <f t="shared" si="625"/>
        <v>45470.166666666664</v>
      </c>
      <c r="W1159">
        <f t="shared" si="626"/>
        <v>13.2</v>
      </c>
      <c r="X1159">
        <f t="shared" si="627"/>
        <v>17.8</v>
      </c>
      <c r="Y1159">
        <f t="shared" si="628"/>
        <v>9.6</v>
      </c>
      <c r="Z1159">
        <f t="shared" si="629"/>
        <v>14.2</v>
      </c>
    </row>
    <row r="1160" spans="1:26" x14ac:dyDescent="0.2">
      <c r="A1160" s="1">
        <v>45470</v>
      </c>
      <c r="B1160" s="2">
        <v>0.20833333333333334</v>
      </c>
      <c r="C1160" s="6">
        <v>45470.208333333336</v>
      </c>
      <c r="D1160">
        <v>96</v>
      </c>
      <c r="E1160">
        <v>99.8</v>
      </c>
      <c r="F1160">
        <v>89.3</v>
      </c>
      <c r="G1160" t="s">
        <v>6</v>
      </c>
      <c r="H1160">
        <v>12.4</v>
      </c>
      <c r="I1160">
        <v>17.600000000000001</v>
      </c>
      <c r="J1160">
        <v>10.199999999999999</v>
      </c>
      <c r="K1160" t="s">
        <v>6</v>
      </c>
      <c r="L1160">
        <v>227</v>
      </c>
      <c r="M1160" t="s">
        <v>6</v>
      </c>
      <c r="O1160" s="6">
        <f t="shared" si="620"/>
        <v>45470.208333333336</v>
      </c>
      <c r="P1160">
        <f t="shared" si="621"/>
        <v>96</v>
      </c>
      <c r="Q1160">
        <f t="shared" si="622"/>
        <v>99.8</v>
      </c>
      <c r="R1160">
        <f t="shared" si="623"/>
        <v>89.3</v>
      </c>
      <c r="S1160">
        <f t="shared" si="624"/>
        <v>97</v>
      </c>
      <c r="V1160" s="6">
        <f t="shared" si="625"/>
        <v>45470.208333333336</v>
      </c>
      <c r="W1160">
        <f t="shared" si="626"/>
        <v>12.4</v>
      </c>
      <c r="X1160">
        <f t="shared" si="627"/>
        <v>17.600000000000001</v>
      </c>
      <c r="Y1160">
        <f t="shared" si="628"/>
        <v>10.199999999999999</v>
      </c>
      <c r="Z1160">
        <f t="shared" si="629"/>
        <v>13.4</v>
      </c>
    </row>
    <row r="1161" spans="1:26" x14ac:dyDescent="0.2">
      <c r="A1161" s="1">
        <v>45470</v>
      </c>
      <c r="B1161" s="2">
        <v>0.25</v>
      </c>
      <c r="C1161" s="6">
        <v>45470.25</v>
      </c>
      <c r="D1161">
        <v>97.5</v>
      </c>
      <c r="E1161">
        <v>103.4</v>
      </c>
      <c r="F1161">
        <v>82.4</v>
      </c>
      <c r="G1161" t="s">
        <v>6</v>
      </c>
      <c r="H1161">
        <v>12</v>
      </c>
      <c r="I1161">
        <v>17.899999999999999</v>
      </c>
      <c r="J1161">
        <v>9.6999999999999993</v>
      </c>
      <c r="K1161" t="s">
        <v>6</v>
      </c>
      <c r="L1161">
        <v>210</v>
      </c>
      <c r="M1161" t="s">
        <v>6</v>
      </c>
      <c r="O1161" s="6">
        <f t="shared" si="620"/>
        <v>45470.25</v>
      </c>
      <c r="P1161">
        <f t="shared" si="621"/>
        <v>97.5</v>
      </c>
      <c r="Q1161">
        <f t="shared" si="622"/>
        <v>103.4</v>
      </c>
      <c r="R1161">
        <f t="shared" si="623"/>
        <v>82.4</v>
      </c>
      <c r="S1161">
        <f t="shared" si="624"/>
        <v>98.5</v>
      </c>
      <c r="V1161" s="6">
        <f t="shared" si="625"/>
        <v>45470.25</v>
      </c>
      <c r="W1161">
        <f t="shared" si="626"/>
        <v>12</v>
      </c>
      <c r="X1161">
        <f t="shared" si="627"/>
        <v>17.899999999999999</v>
      </c>
      <c r="Y1161">
        <f t="shared" si="628"/>
        <v>9.6999999999999993</v>
      </c>
      <c r="Z1161">
        <f t="shared" si="629"/>
        <v>13</v>
      </c>
    </row>
    <row r="1162" spans="1:26" x14ac:dyDescent="0.2">
      <c r="A1162" s="1">
        <v>45470</v>
      </c>
      <c r="B1162" s="2">
        <v>0.29166666666666669</v>
      </c>
      <c r="C1162" s="6">
        <v>45470.291666666664</v>
      </c>
      <c r="D1162">
        <v>96.4</v>
      </c>
      <c r="E1162">
        <v>100.8</v>
      </c>
      <c r="F1162">
        <v>83.7</v>
      </c>
      <c r="G1162" t="s">
        <v>6</v>
      </c>
      <c r="H1162">
        <v>10.9</v>
      </c>
      <c r="I1162">
        <v>14.1</v>
      </c>
      <c r="J1162">
        <v>9.1999999999999993</v>
      </c>
      <c r="K1162" t="s">
        <v>6</v>
      </c>
      <c r="L1162">
        <v>227</v>
      </c>
      <c r="M1162" t="s">
        <v>6</v>
      </c>
      <c r="O1162" s="6">
        <f t="shared" si="620"/>
        <v>45470.291666666664</v>
      </c>
      <c r="P1162">
        <f t="shared" si="621"/>
        <v>96.4</v>
      </c>
      <c r="Q1162">
        <f t="shared" si="622"/>
        <v>100.8</v>
      </c>
      <c r="R1162">
        <f t="shared" si="623"/>
        <v>83.7</v>
      </c>
      <c r="S1162">
        <f t="shared" si="624"/>
        <v>97.4</v>
      </c>
      <c r="V1162" s="6">
        <f t="shared" si="625"/>
        <v>45470.291666666664</v>
      </c>
      <c r="W1162">
        <f t="shared" si="626"/>
        <v>10.9</v>
      </c>
      <c r="X1162">
        <f t="shared" si="627"/>
        <v>14.1</v>
      </c>
      <c r="Y1162">
        <f t="shared" si="628"/>
        <v>9.1999999999999993</v>
      </c>
      <c r="Z1162">
        <f t="shared" si="629"/>
        <v>11.9</v>
      </c>
    </row>
    <row r="1163" spans="1:26" x14ac:dyDescent="0.2">
      <c r="A1163" s="14">
        <v>45470</v>
      </c>
      <c r="B1163" s="7">
        <v>0.33333333333333331</v>
      </c>
      <c r="C1163" s="8">
        <v>45470.333333333336</v>
      </c>
      <c r="D1163" s="9">
        <v>86.6</v>
      </c>
      <c r="E1163" s="9">
        <v>99</v>
      </c>
      <c r="F1163" s="9">
        <v>62.1</v>
      </c>
      <c r="G1163" s="9" t="s">
        <v>6</v>
      </c>
      <c r="H1163" s="9">
        <v>10.3</v>
      </c>
      <c r="I1163" s="9">
        <v>12.2</v>
      </c>
      <c r="J1163" s="9">
        <v>9.1999999999999993</v>
      </c>
      <c r="K1163" s="9" t="s">
        <v>6</v>
      </c>
      <c r="L1163" s="9">
        <v>220</v>
      </c>
      <c r="M1163" t="s">
        <v>6</v>
      </c>
      <c r="O1163" s="6">
        <f t="shared" si="620"/>
        <v>45470.333333333336</v>
      </c>
      <c r="P1163">
        <f t="shared" si="621"/>
        <v>86.6</v>
      </c>
      <c r="Q1163">
        <f t="shared" si="622"/>
        <v>99</v>
      </c>
      <c r="R1163">
        <f t="shared" si="623"/>
        <v>62.1</v>
      </c>
      <c r="S1163">
        <f t="shared" si="624"/>
        <v>87.6</v>
      </c>
      <c r="V1163" s="6">
        <f t="shared" si="625"/>
        <v>45470.333333333336</v>
      </c>
      <c r="W1163">
        <f t="shared" si="626"/>
        <v>10.3</v>
      </c>
      <c r="X1163">
        <f t="shared" si="627"/>
        <v>12.2</v>
      </c>
      <c r="Y1163">
        <f t="shared" si="628"/>
        <v>9.1999999999999993</v>
      </c>
      <c r="Z1163">
        <f t="shared" si="629"/>
        <v>11.3</v>
      </c>
    </row>
    <row r="1164" spans="1:26" x14ac:dyDescent="0.2">
      <c r="A1164" s="13">
        <v>45470</v>
      </c>
      <c r="B1164" s="3">
        <v>0.375</v>
      </c>
      <c r="C1164" s="4">
        <v>45470.375</v>
      </c>
      <c r="D1164" s="5">
        <v>75.2</v>
      </c>
      <c r="E1164" s="5">
        <v>92.7</v>
      </c>
      <c r="F1164" s="5">
        <v>61.3</v>
      </c>
      <c r="G1164" s="5" t="s">
        <v>6</v>
      </c>
      <c r="H1164" s="5">
        <v>10.199999999999999</v>
      </c>
      <c r="I1164" s="5">
        <v>12.5</v>
      </c>
      <c r="J1164" s="5">
        <v>8.8000000000000007</v>
      </c>
      <c r="K1164" s="5" t="s">
        <v>6</v>
      </c>
      <c r="L1164" s="5">
        <v>229</v>
      </c>
      <c r="M1164" t="s">
        <v>6</v>
      </c>
      <c r="O1164" s="6">
        <f t="shared" si="620"/>
        <v>45470.375</v>
      </c>
      <c r="P1164">
        <f t="shared" si="621"/>
        <v>75.2</v>
      </c>
      <c r="Q1164">
        <f t="shared" si="622"/>
        <v>92.7</v>
      </c>
      <c r="R1164">
        <f t="shared" si="623"/>
        <v>61.3</v>
      </c>
      <c r="S1164">
        <f t="shared" si="624"/>
        <v>76.2</v>
      </c>
      <c r="V1164" s="6">
        <f t="shared" si="625"/>
        <v>45470.375</v>
      </c>
      <c r="W1164">
        <f t="shared" si="626"/>
        <v>10.199999999999999</v>
      </c>
      <c r="X1164">
        <f t="shared" si="627"/>
        <v>12.5</v>
      </c>
      <c r="Y1164">
        <f t="shared" si="628"/>
        <v>8.8000000000000007</v>
      </c>
      <c r="Z1164">
        <f t="shared" si="629"/>
        <v>11.2</v>
      </c>
    </row>
    <row r="1165" spans="1:26" x14ac:dyDescent="0.2">
      <c r="A1165" s="1">
        <v>45470</v>
      </c>
      <c r="B1165" s="2">
        <v>0.41666666666666669</v>
      </c>
      <c r="C1165" s="6">
        <v>45470.416666666664</v>
      </c>
      <c r="D1165">
        <v>93.1</v>
      </c>
      <c r="E1165">
        <v>95</v>
      </c>
      <c r="F1165">
        <v>90</v>
      </c>
      <c r="G1165" t="s">
        <v>6</v>
      </c>
      <c r="H1165">
        <v>11.5</v>
      </c>
      <c r="I1165">
        <v>18.600000000000001</v>
      </c>
      <c r="J1165">
        <v>9.1</v>
      </c>
      <c r="K1165" t="s">
        <v>6</v>
      </c>
      <c r="L1165">
        <v>211</v>
      </c>
      <c r="M1165" t="s">
        <v>6</v>
      </c>
      <c r="O1165" s="6">
        <f t="shared" si="620"/>
        <v>45470.416666666664</v>
      </c>
      <c r="P1165">
        <f t="shared" si="621"/>
        <v>93.1</v>
      </c>
      <c r="Q1165">
        <f t="shared" si="622"/>
        <v>95</v>
      </c>
      <c r="R1165">
        <f t="shared" si="623"/>
        <v>90</v>
      </c>
      <c r="S1165">
        <f t="shared" si="624"/>
        <v>94.1</v>
      </c>
      <c r="V1165" s="6">
        <f t="shared" si="625"/>
        <v>45470.416666666664</v>
      </c>
      <c r="W1165">
        <f t="shared" si="626"/>
        <v>11.5</v>
      </c>
      <c r="X1165">
        <f t="shared" si="627"/>
        <v>18.600000000000001</v>
      </c>
      <c r="Y1165">
        <f t="shared" si="628"/>
        <v>9.1</v>
      </c>
      <c r="Z1165">
        <f t="shared" si="629"/>
        <v>12.5</v>
      </c>
    </row>
    <row r="1166" spans="1:26" x14ac:dyDescent="0.2">
      <c r="A1166" s="1">
        <v>45470</v>
      </c>
      <c r="B1166" s="2">
        <v>0.45833333333333331</v>
      </c>
      <c r="C1166" s="6">
        <v>45470.458333333336</v>
      </c>
      <c r="D1166">
        <v>90.4</v>
      </c>
      <c r="E1166">
        <v>95</v>
      </c>
      <c r="F1166">
        <v>77.8</v>
      </c>
      <c r="G1166" t="s">
        <v>6</v>
      </c>
      <c r="H1166">
        <v>11.3</v>
      </c>
      <c r="I1166">
        <v>15.1</v>
      </c>
      <c r="J1166">
        <v>9.3000000000000007</v>
      </c>
      <c r="K1166" t="s">
        <v>6</v>
      </c>
      <c r="L1166">
        <v>226</v>
      </c>
      <c r="M1166" t="s">
        <v>6</v>
      </c>
      <c r="O1166" s="6">
        <f t="shared" si="620"/>
        <v>45470.458333333336</v>
      </c>
      <c r="P1166">
        <f t="shared" si="621"/>
        <v>90.4</v>
      </c>
      <c r="Q1166">
        <f t="shared" si="622"/>
        <v>95</v>
      </c>
      <c r="R1166">
        <f t="shared" si="623"/>
        <v>77.8</v>
      </c>
      <c r="S1166">
        <f t="shared" si="624"/>
        <v>91.4</v>
      </c>
      <c r="V1166" s="6">
        <f t="shared" si="625"/>
        <v>45470.458333333336</v>
      </c>
      <c r="W1166">
        <f t="shared" si="626"/>
        <v>11.3</v>
      </c>
      <c r="X1166">
        <f t="shared" si="627"/>
        <v>15.1</v>
      </c>
      <c r="Y1166">
        <f t="shared" si="628"/>
        <v>9.3000000000000007</v>
      </c>
      <c r="Z1166">
        <f t="shared" si="629"/>
        <v>12.3</v>
      </c>
    </row>
    <row r="1167" spans="1:26" x14ac:dyDescent="0.2">
      <c r="A1167" s="1">
        <v>45470</v>
      </c>
      <c r="B1167" s="2">
        <v>0.5</v>
      </c>
      <c r="C1167" s="6">
        <v>45470.5</v>
      </c>
      <c r="D1167">
        <v>91.3</v>
      </c>
      <c r="E1167">
        <v>95</v>
      </c>
      <c r="F1167">
        <v>80.8</v>
      </c>
      <c r="G1167" t="s">
        <v>6</v>
      </c>
      <c r="H1167">
        <v>11.5</v>
      </c>
      <c r="I1167">
        <v>15.4</v>
      </c>
      <c r="J1167">
        <v>9.6</v>
      </c>
      <c r="K1167" t="s">
        <v>6</v>
      </c>
      <c r="L1167">
        <v>221</v>
      </c>
      <c r="M1167" t="s">
        <v>6</v>
      </c>
      <c r="O1167" s="6">
        <f t="shared" si="620"/>
        <v>45470.5</v>
      </c>
      <c r="P1167">
        <f t="shared" si="621"/>
        <v>91.3</v>
      </c>
      <c r="Q1167">
        <f t="shared" si="622"/>
        <v>95</v>
      </c>
      <c r="R1167">
        <f t="shared" si="623"/>
        <v>80.8</v>
      </c>
      <c r="S1167">
        <f t="shared" si="624"/>
        <v>92.3</v>
      </c>
      <c r="V1167" s="6">
        <f t="shared" si="625"/>
        <v>45470.5</v>
      </c>
      <c r="W1167">
        <f t="shared" si="626"/>
        <v>11.5</v>
      </c>
      <c r="X1167">
        <f t="shared" si="627"/>
        <v>15.4</v>
      </c>
      <c r="Y1167">
        <f t="shared" si="628"/>
        <v>9.6</v>
      </c>
      <c r="Z1167">
        <f t="shared" si="629"/>
        <v>12.5</v>
      </c>
    </row>
    <row r="1168" spans="1:26" x14ac:dyDescent="0.2">
      <c r="A1168" s="1">
        <v>45470</v>
      </c>
      <c r="B1168" s="2">
        <v>0.54166666666666663</v>
      </c>
      <c r="C1168" s="6">
        <v>45470.541666666664</v>
      </c>
      <c r="D1168">
        <v>78.8</v>
      </c>
      <c r="E1168">
        <v>90.5</v>
      </c>
      <c r="F1168">
        <v>66</v>
      </c>
      <c r="G1168" t="s">
        <v>6</v>
      </c>
      <c r="H1168">
        <v>11.1</v>
      </c>
      <c r="I1168">
        <v>16.5</v>
      </c>
      <c r="J1168">
        <v>9.5</v>
      </c>
      <c r="K1168" t="s">
        <v>6</v>
      </c>
      <c r="L1168">
        <v>225</v>
      </c>
      <c r="M1168" t="s">
        <v>6</v>
      </c>
      <c r="O1168" s="6">
        <f t="shared" si="620"/>
        <v>45470.541666666664</v>
      </c>
      <c r="P1168">
        <f t="shared" si="621"/>
        <v>78.8</v>
      </c>
      <c r="Q1168">
        <f t="shared" si="622"/>
        <v>90.5</v>
      </c>
      <c r="R1168">
        <f t="shared" si="623"/>
        <v>66</v>
      </c>
      <c r="S1168">
        <f t="shared" si="624"/>
        <v>79.8</v>
      </c>
      <c r="V1168" s="6">
        <f t="shared" si="625"/>
        <v>45470.541666666664</v>
      </c>
      <c r="W1168">
        <f t="shared" si="626"/>
        <v>11.1</v>
      </c>
      <c r="X1168">
        <f t="shared" si="627"/>
        <v>16.5</v>
      </c>
      <c r="Y1168">
        <f t="shared" si="628"/>
        <v>9.5</v>
      </c>
      <c r="Z1168">
        <f t="shared" si="629"/>
        <v>12.1</v>
      </c>
    </row>
    <row r="1169" spans="1:26" x14ac:dyDescent="0.2">
      <c r="A1169" s="1">
        <v>45470</v>
      </c>
      <c r="B1169" s="2">
        <v>0.58333333333333337</v>
      </c>
      <c r="C1169" s="6">
        <v>45470.583333333336</v>
      </c>
      <c r="D1169">
        <v>85.8</v>
      </c>
      <c r="E1169">
        <v>94.7</v>
      </c>
      <c r="F1169">
        <v>67.7</v>
      </c>
      <c r="G1169" t="s">
        <v>6</v>
      </c>
      <c r="H1169">
        <v>11.4</v>
      </c>
      <c r="I1169">
        <v>16.100000000000001</v>
      </c>
      <c r="J1169">
        <v>9.5</v>
      </c>
      <c r="K1169" t="s">
        <v>6</v>
      </c>
      <c r="L1169">
        <v>152</v>
      </c>
      <c r="M1169" t="s">
        <v>6</v>
      </c>
      <c r="O1169" s="6">
        <f t="shared" si="620"/>
        <v>45470.583333333336</v>
      </c>
      <c r="P1169">
        <f t="shared" si="621"/>
        <v>85.8</v>
      </c>
      <c r="Q1169">
        <f t="shared" si="622"/>
        <v>94.7</v>
      </c>
      <c r="R1169">
        <f t="shared" si="623"/>
        <v>67.7</v>
      </c>
      <c r="S1169">
        <f t="shared" si="624"/>
        <v>86.8</v>
      </c>
      <c r="V1169" s="6">
        <f t="shared" si="625"/>
        <v>45470.583333333336</v>
      </c>
      <c r="W1169">
        <f t="shared" si="626"/>
        <v>11.4</v>
      </c>
      <c r="X1169">
        <f t="shared" si="627"/>
        <v>16.100000000000001</v>
      </c>
      <c r="Y1169">
        <f t="shared" si="628"/>
        <v>9.5</v>
      </c>
      <c r="Z1169">
        <f t="shared" si="629"/>
        <v>12.4</v>
      </c>
    </row>
    <row r="1170" spans="1:26" x14ac:dyDescent="0.2">
      <c r="A1170" s="1">
        <v>45470</v>
      </c>
      <c r="B1170" s="2">
        <v>0.625</v>
      </c>
      <c r="C1170" s="6">
        <v>45470.625</v>
      </c>
      <c r="D1170">
        <v>61.4</v>
      </c>
      <c r="E1170">
        <v>68.5</v>
      </c>
      <c r="F1170">
        <v>55.6</v>
      </c>
      <c r="G1170" t="s">
        <v>6</v>
      </c>
      <c r="H1170">
        <v>10.9</v>
      </c>
      <c r="I1170">
        <v>14.1</v>
      </c>
      <c r="J1170">
        <v>8.9</v>
      </c>
      <c r="K1170" t="s">
        <v>6</v>
      </c>
      <c r="L1170">
        <v>226</v>
      </c>
      <c r="M1170" t="s">
        <v>6</v>
      </c>
      <c r="O1170" s="6">
        <f t="shared" si="620"/>
        <v>45470.625</v>
      </c>
      <c r="P1170">
        <f t="shared" si="621"/>
        <v>61.4</v>
      </c>
      <c r="Q1170">
        <f t="shared" si="622"/>
        <v>68.5</v>
      </c>
      <c r="R1170">
        <f t="shared" si="623"/>
        <v>55.6</v>
      </c>
      <c r="S1170">
        <f t="shared" si="624"/>
        <v>62.4</v>
      </c>
      <c r="V1170" s="6">
        <f t="shared" si="625"/>
        <v>45470.625</v>
      </c>
      <c r="W1170">
        <f t="shared" si="626"/>
        <v>10.9</v>
      </c>
      <c r="X1170">
        <f t="shared" si="627"/>
        <v>14.1</v>
      </c>
      <c r="Y1170">
        <f t="shared" si="628"/>
        <v>8.9</v>
      </c>
      <c r="Z1170">
        <f t="shared" si="629"/>
        <v>11.9</v>
      </c>
    </row>
    <row r="1171" spans="1:26" x14ac:dyDescent="0.2">
      <c r="A1171" s="1">
        <v>45470</v>
      </c>
      <c r="B1171" s="2">
        <v>0.66666666666666663</v>
      </c>
      <c r="C1171" s="6">
        <v>45470.666666666664</v>
      </c>
      <c r="D1171">
        <v>64.900000000000006</v>
      </c>
      <c r="E1171">
        <v>76.099999999999994</v>
      </c>
      <c r="F1171">
        <v>58.4</v>
      </c>
      <c r="G1171" t="s">
        <v>6</v>
      </c>
      <c r="H1171">
        <v>10.6</v>
      </c>
      <c r="I1171">
        <v>12.3</v>
      </c>
      <c r="J1171">
        <v>8.8000000000000007</v>
      </c>
      <c r="K1171" t="s">
        <v>6</v>
      </c>
      <c r="L1171">
        <v>231</v>
      </c>
      <c r="M1171" t="s">
        <v>6</v>
      </c>
      <c r="O1171" s="6">
        <f t="shared" si="620"/>
        <v>45470.666666666664</v>
      </c>
      <c r="P1171">
        <f t="shared" si="621"/>
        <v>64.900000000000006</v>
      </c>
      <c r="Q1171">
        <f t="shared" si="622"/>
        <v>76.099999999999994</v>
      </c>
      <c r="R1171">
        <f t="shared" si="623"/>
        <v>58.4</v>
      </c>
      <c r="S1171">
        <f t="shared" si="624"/>
        <v>65.900000000000006</v>
      </c>
      <c r="V1171" s="6">
        <f t="shared" si="625"/>
        <v>45470.666666666664</v>
      </c>
      <c r="W1171">
        <f t="shared" si="626"/>
        <v>10.6</v>
      </c>
      <c r="X1171">
        <f t="shared" si="627"/>
        <v>12.3</v>
      </c>
      <c r="Y1171">
        <f t="shared" si="628"/>
        <v>8.8000000000000007</v>
      </c>
      <c r="Z1171">
        <f t="shared" si="629"/>
        <v>11.6</v>
      </c>
    </row>
    <row r="1172" spans="1:26" x14ac:dyDescent="0.2">
      <c r="A1172" s="1">
        <v>45470</v>
      </c>
      <c r="B1172" s="2">
        <v>0.70833333333333337</v>
      </c>
      <c r="C1172" s="6">
        <v>45470.708333333336</v>
      </c>
      <c r="D1172">
        <v>60.9</v>
      </c>
      <c r="E1172">
        <v>76.900000000000006</v>
      </c>
      <c r="F1172">
        <v>51.7</v>
      </c>
      <c r="G1172" t="s">
        <v>6</v>
      </c>
      <c r="H1172">
        <v>11.2</v>
      </c>
      <c r="I1172">
        <v>20.5</v>
      </c>
      <c r="J1172">
        <v>8.6999999999999993</v>
      </c>
      <c r="K1172" t="s">
        <v>6</v>
      </c>
      <c r="L1172">
        <v>227</v>
      </c>
      <c r="M1172" t="s">
        <v>6</v>
      </c>
      <c r="O1172" s="6">
        <f t="shared" si="620"/>
        <v>45470.708333333336</v>
      </c>
      <c r="P1172">
        <f t="shared" si="621"/>
        <v>60.9</v>
      </c>
      <c r="Q1172">
        <f t="shared" si="622"/>
        <v>76.900000000000006</v>
      </c>
      <c r="R1172">
        <f t="shared" si="623"/>
        <v>51.7</v>
      </c>
      <c r="S1172">
        <f t="shared" si="624"/>
        <v>61.9</v>
      </c>
      <c r="V1172" s="6">
        <f t="shared" si="625"/>
        <v>45470.708333333336</v>
      </c>
      <c r="W1172">
        <f t="shared" si="626"/>
        <v>11.2</v>
      </c>
      <c r="X1172">
        <f t="shared" si="627"/>
        <v>20.5</v>
      </c>
      <c r="Y1172">
        <f t="shared" si="628"/>
        <v>8.6999999999999993</v>
      </c>
      <c r="Z1172">
        <f t="shared" si="629"/>
        <v>12.2</v>
      </c>
    </row>
    <row r="1173" spans="1:26" x14ac:dyDescent="0.2">
      <c r="A1173" s="1">
        <v>45470</v>
      </c>
      <c r="B1173" s="2">
        <v>0.75</v>
      </c>
      <c r="C1173" s="6">
        <v>45470.75</v>
      </c>
      <c r="D1173">
        <v>66.099999999999994</v>
      </c>
      <c r="E1173">
        <v>74.2</v>
      </c>
      <c r="F1173">
        <v>60.1</v>
      </c>
      <c r="G1173" t="s">
        <v>6</v>
      </c>
      <c r="H1173">
        <v>11.5</v>
      </c>
      <c r="I1173">
        <v>15.5</v>
      </c>
      <c r="J1173">
        <v>9.6999999999999993</v>
      </c>
      <c r="K1173" t="s">
        <v>6</v>
      </c>
      <c r="L1173">
        <v>180</v>
      </c>
      <c r="M1173" t="s">
        <v>6</v>
      </c>
      <c r="O1173" s="6">
        <f t="shared" si="620"/>
        <v>45470.75</v>
      </c>
      <c r="P1173">
        <f t="shared" si="621"/>
        <v>66.099999999999994</v>
      </c>
      <c r="Q1173">
        <f t="shared" si="622"/>
        <v>74.2</v>
      </c>
      <c r="R1173">
        <f t="shared" si="623"/>
        <v>60.1</v>
      </c>
      <c r="S1173">
        <f t="shared" si="624"/>
        <v>67.099999999999994</v>
      </c>
      <c r="V1173" s="6">
        <f t="shared" si="625"/>
        <v>45470.75</v>
      </c>
      <c r="W1173">
        <f t="shared" si="626"/>
        <v>11.5</v>
      </c>
      <c r="X1173">
        <f t="shared" si="627"/>
        <v>15.5</v>
      </c>
      <c r="Y1173">
        <f t="shared" si="628"/>
        <v>9.6999999999999993</v>
      </c>
      <c r="Z1173">
        <f t="shared" si="629"/>
        <v>12.5</v>
      </c>
    </row>
    <row r="1174" spans="1:26" x14ac:dyDescent="0.2">
      <c r="A1174" s="1">
        <v>45470</v>
      </c>
      <c r="B1174" s="2">
        <v>0.79166666666666663</v>
      </c>
      <c r="C1174" s="6">
        <v>45470.791666666664</v>
      </c>
      <c r="D1174">
        <v>97.5</v>
      </c>
      <c r="E1174">
        <v>105.8</v>
      </c>
      <c r="F1174">
        <v>59.7</v>
      </c>
      <c r="G1174" t="s">
        <v>6</v>
      </c>
      <c r="H1174">
        <v>11.6</v>
      </c>
      <c r="I1174">
        <v>17.8</v>
      </c>
      <c r="J1174">
        <v>9.1999999999999993</v>
      </c>
      <c r="K1174" t="s">
        <v>6</v>
      </c>
      <c r="L1174">
        <v>197</v>
      </c>
      <c r="M1174" t="s">
        <v>6</v>
      </c>
      <c r="O1174" s="6">
        <f t="shared" si="620"/>
        <v>45470.791666666664</v>
      </c>
      <c r="P1174">
        <f t="shared" si="621"/>
        <v>97.5</v>
      </c>
      <c r="Q1174">
        <f t="shared" si="622"/>
        <v>105.8</v>
      </c>
      <c r="R1174">
        <f t="shared" si="623"/>
        <v>59.7</v>
      </c>
      <c r="S1174">
        <f t="shared" si="624"/>
        <v>98.5</v>
      </c>
      <c r="V1174" s="6">
        <f t="shared" si="625"/>
        <v>45470.791666666664</v>
      </c>
      <c r="W1174">
        <f t="shared" si="626"/>
        <v>11.6</v>
      </c>
      <c r="X1174">
        <f t="shared" si="627"/>
        <v>17.8</v>
      </c>
      <c r="Y1174">
        <f t="shared" si="628"/>
        <v>9.1999999999999993</v>
      </c>
      <c r="Z1174">
        <f t="shared" si="629"/>
        <v>12.6</v>
      </c>
    </row>
    <row r="1175" spans="1:26" x14ac:dyDescent="0.2">
      <c r="A1175" s="1">
        <v>45470</v>
      </c>
      <c r="B1175" s="2">
        <v>0.83333333333333337</v>
      </c>
      <c r="C1175" s="6">
        <v>45470.833333333336</v>
      </c>
      <c r="D1175">
        <v>103.6</v>
      </c>
      <c r="E1175">
        <v>108.4</v>
      </c>
      <c r="F1175">
        <v>94.8</v>
      </c>
      <c r="G1175" t="s">
        <v>6</v>
      </c>
      <c r="H1175">
        <v>12.2</v>
      </c>
      <c r="I1175">
        <v>19.2</v>
      </c>
      <c r="J1175">
        <v>9.8000000000000007</v>
      </c>
      <c r="K1175" t="s">
        <v>6</v>
      </c>
      <c r="L1175">
        <v>224</v>
      </c>
      <c r="M1175" t="s">
        <v>6</v>
      </c>
      <c r="O1175" s="6">
        <f t="shared" si="620"/>
        <v>45470.833333333336</v>
      </c>
      <c r="P1175">
        <f t="shared" si="621"/>
        <v>103.6</v>
      </c>
      <c r="Q1175">
        <f t="shared" si="622"/>
        <v>108.4</v>
      </c>
      <c r="R1175">
        <f t="shared" si="623"/>
        <v>94.8</v>
      </c>
      <c r="S1175">
        <f t="shared" si="624"/>
        <v>104.6</v>
      </c>
      <c r="V1175" s="6">
        <f t="shared" si="625"/>
        <v>45470.833333333336</v>
      </c>
      <c r="W1175">
        <f t="shared" si="626"/>
        <v>12.2</v>
      </c>
      <c r="X1175">
        <f t="shared" si="627"/>
        <v>19.2</v>
      </c>
      <c r="Y1175">
        <f t="shared" si="628"/>
        <v>9.8000000000000007</v>
      </c>
      <c r="Z1175">
        <f t="shared" si="629"/>
        <v>13.2</v>
      </c>
    </row>
    <row r="1176" spans="1:26" x14ac:dyDescent="0.2">
      <c r="A1176" s="1">
        <v>45470</v>
      </c>
      <c r="B1176" s="2">
        <v>0.875</v>
      </c>
      <c r="C1176" s="6">
        <v>45470.875</v>
      </c>
      <c r="D1176">
        <v>103</v>
      </c>
      <c r="E1176">
        <v>104.7</v>
      </c>
      <c r="F1176">
        <v>99.5</v>
      </c>
      <c r="G1176" t="s">
        <v>6</v>
      </c>
      <c r="H1176">
        <v>12.4</v>
      </c>
      <c r="I1176">
        <v>18.8</v>
      </c>
      <c r="J1176">
        <v>9.3000000000000007</v>
      </c>
      <c r="K1176" t="s">
        <v>6</v>
      </c>
      <c r="L1176">
        <v>210</v>
      </c>
      <c r="M1176" t="s">
        <v>6</v>
      </c>
      <c r="O1176" s="6">
        <f t="shared" si="620"/>
        <v>45470.875</v>
      </c>
      <c r="P1176">
        <f t="shared" si="621"/>
        <v>103</v>
      </c>
      <c r="Q1176">
        <f t="shared" si="622"/>
        <v>104.7</v>
      </c>
      <c r="R1176">
        <f t="shared" si="623"/>
        <v>99.5</v>
      </c>
      <c r="S1176">
        <f t="shared" si="624"/>
        <v>104</v>
      </c>
      <c r="V1176" s="6">
        <f t="shared" si="625"/>
        <v>45470.875</v>
      </c>
      <c r="W1176">
        <f t="shared" si="626"/>
        <v>12.4</v>
      </c>
      <c r="X1176">
        <f t="shared" si="627"/>
        <v>18.8</v>
      </c>
      <c r="Y1176">
        <f t="shared" si="628"/>
        <v>9.3000000000000007</v>
      </c>
      <c r="Z1176">
        <f t="shared" si="629"/>
        <v>13.4</v>
      </c>
    </row>
    <row r="1177" spans="1:26" x14ac:dyDescent="0.2">
      <c r="A1177" s="1">
        <v>45470</v>
      </c>
      <c r="B1177" s="2">
        <v>0.91666666666666663</v>
      </c>
      <c r="C1177" s="6">
        <v>45470.916666666664</v>
      </c>
      <c r="D1177">
        <v>101.6</v>
      </c>
      <c r="E1177">
        <v>105.1</v>
      </c>
      <c r="F1177">
        <v>95.6</v>
      </c>
      <c r="G1177" t="s">
        <v>6</v>
      </c>
      <c r="H1177">
        <v>10.8</v>
      </c>
      <c r="I1177">
        <v>12.9</v>
      </c>
      <c r="J1177">
        <v>9.1999999999999993</v>
      </c>
      <c r="K1177" t="s">
        <v>6</v>
      </c>
      <c r="L1177">
        <v>223</v>
      </c>
      <c r="M1177" t="s">
        <v>6</v>
      </c>
      <c r="O1177" s="6">
        <f t="shared" si="620"/>
        <v>45470.916666666664</v>
      </c>
      <c r="P1177">
        <f t="shared" si="621"/>
        <v>101.6</v>
      </c>
      <c r="Q1177">
        <f t="shared" si="622"/>
        <v>105.1</v>
      </c>
      <c r="R1177">
        <f t="shared" si="623"/>
        <v>95.6</v>
      </c>
      <c r="S1177">
        <f t="shared" si="624"/>
        <v>102.6</v>
      </c>
      <c r="V1177" s="6">
        <f t="shared" si="625"/>
        <v>45470.916666666664</v>
      </c>
      <c r="W1177">
        <f t="shared" si="626"/>
        <v>10.8</v>
      </c>
      <c r="X1177">
        <f t="shared" si="627"/>
        <v>12.9</v>
      </c>
      <c r="Y1177">
        <f t="shared" si="628"/>
        <v>9.1999999999999993</v>
      </c>
      <c r="Z1177">
        <f t="shared" si="629"/>
        <v>11.8</v>
      </c>
    </row>
    <row r="1178" spans="1:26" x14ac:dyDescent="0.2">
      <c r="A1178" s="1">
        <v>45470</v>
      </c>
      <c r="B1178" s="2">
        <v>0.95833333333333337</v>
      </c>
      <c r="C1178" s="6">
        <v>45470.958333333336</v>
      </c>
      <c r="D1178">
        <v>101.8</v>
      </c>
      <c r="E1178">
        <v>105</v>
      </c>
      <c r="F1178">
        <v>95.3</v>
      </c>
      <c r="G1178" t="s">
        <v>6</v>
      </c>
      <c r="H1178">
        <v>10.7</v>
      </c>
      <c r="I1178">
        <v>13.6</v>
      </c>
      <c r="J1178">
        <v>9.1</v>
      </c>
      <c r="K1178" t="s">
        <v>6</v>
      </c>
      <c r="L1178">
        <v>229</v>
      </c>
      <c r="M1178" t="s">
        <v>6</v>
      </c>
      <c r="O1178" s="6">
        <f t="shared" si="620"/>
        <v>45470.958333333336</v>
      </c>
      <c r="P1178">
        <f t="shared" si="621"/>
        <v>101.8</v>
      </c>
      <c r="Q1178">
        <f t="shared" si="622"/>
        <v>105</v>
      </c>
      <c r="R1178">
        <f t="shared" si="623"/>
        <v>95.3</v>
      </c>
      <c r="S1178">
        <f t="shared" si="624"/>
        <v>102.8</v>
      </c>
      <c r="V1178" s="6">
        <f t="shared" si="625"/>
        <v>45470.958333333336</v>
      </c>
      <c r="W1178">
        <f t="shared" si="626"/>
        <v>10.7</v>
      </c>
      <c r="X1178">
        <f t="shared" si="627"/>
        <v>13.6</v>
      </c>
      <c r="Y1178">
        <f t="shared" si="628"/>
        <v>9.1</v>
      </c>
      <c r="Z1178">
        <f t="shared" si="629"/>
        <v>11.7</v>
      </c>
    </row>
    <row r="1179" spans="1:26" x14ac:dyDescent="0.2">
      <c r="A1179" s="1">
        <v>45471</v>
      </c>
      <c r="B1179" s="2">
        <v>0</v>
      </c>
      <c r="C1179" s="6">
        <v>45471</v>
      </c>
      <c r="D1179">
        <v>102.8</v>
      </c>
      <c r="E1179">
        <v>104.8</v>
      </c>
      <c r="F1179">
        <v>98.7</v>
      </c>
      <c r="G1179" t="s">
        <v>6</v>
      </c>
      <c r="H1179">
        <v>11.2</v>
      </c>
      <c r="I1179">
        <v>16.7</v>
      </c>
      <c r="J1179">
        <v>9.3000000000000007</v>
      </c>
      <c r="K1179" t="s">
        <v>6</v>
      </c>
      <c r="L1179">
        <v>226</v>
      </c>
      <c r="M1179" t="s">
        <v>6</v>
      </c>
      <c r="O1179" s="6">
        <f t="shared" si="620"/>
        <v>45471</v>
      </c>
      <c r="P1179">
        <f t="shared" si="621"/>
        <v>102.8</v>
      </c>
      <c r="Q1179">
        <f t="shared" si="622"/>
        <v>104.8</v>
      </c>
      <c r="R1179">
        <f t="shared" si="623"/>
        <v>98.7</v>
      </c>
      <c r="S1179">
        <f t="shared" si="624"/>
        <v>103.8</v>
      </c>
      <c r="V1179" s="6">
        <f t="shared" si="625"/>
        <v>45471</v>
      </c>
      <c r="W1179">
        <f t="shared" si="626"/>
        <v>11.2</v>
      </c>
      <c r="X1179">
        <f t="shared" si="627"/>
        <v>16.7</v>
      </c>
      <c r="Y1179">
        <f t="shared" si="628"/>
        <v>9.3000000000000007</v>
      </c>
      <c r="Z1179">
        <f t="shared" si="629"/>
        <v>12.2</v>
      </c>
    </row>
    <row r="1180" spans="1:26" x14ac:dyDescent="0.2">
      <c r="A1180" s="1">
        <v>45471</v>
      </c>
      <c r="B1180" s="2">
        <v>4.1666666666666664E-2</v>
      </c>
      <c r="C1180" s="6">
        <v>45471.041666666664</v>
      </c>
      <c r="D1180">
        <v>102.2</v>
      </c>
      <c r="E1180">
        <v>108.8</v>
      </c>
      <c r="F1180">
        <v>91.1</v>
      </c>
      <c r="G1180" t="s">
        <v>6</v>
      </c>
      <c r="H1180">
        <v>11.8</v>
      </c>
      <c r="I1180">
        <v>15.5</v>
      </c>
      <c r="J1180">
        <v>10</v>
      </c>
      <c r="K1180" t="s">
        <v>6</v>
      </c>
      <c r="L1180">
        <v>221</v>
      </c>
      <c r="M1180" t="s">
        <v>6</v>
      </c>
      <c r="O1180" s="6">
        <f t="shared" si="620"/>
        <v>45471.041666666664</v>
      </c>
      <c r="P1180">
        <f t="shared" si="621"/>
        <v>102.2</v>
      </c>
      <c r="Q1180">
        <f t="shared" si="622"/>
        <v>108.8</v>
      </c>
      <c r="R1180">
        <f t="shared" si="623"/>
        <v>91.1</v>
      </c>
      <c r="S1180">
        <f t="shared" si="624"/>
        <v>103.2</v>
      </c>
      <c r="V1180" s="6">
        <f t="shared" si="625"/>
        <v>45471.041666666664</v>
      </c>
      <c r="W1180">
        <f t="shared" si="626"/>
        <v>11.8</v>
      </c>
      <c r="X1180">
        <f t="shared" si="627"/>
        <v>15.5</v>
      </c>
      <c r="Y1180">
        <f t="shared" si="628"/>
        <v>10</v>
      </c>
      <c r="Z1180">
        <f t="shared" si="629"/>
        <v>12.8</v>
      </c>
    </row>
    <row r="1181" spans="1:26" x14ac:dyDescent="0.2">
      <c r="A1181" s="1">
        <v>45471</v>
      </c>
      <c r="B1181" s="2">
        <v>8.3333333333333329E-2</v>
      </c>
      <c r="C1181" s="6">
        <v>45471.083333333336</v>
      </c>
      <c r="D1181">
        <v>102.4</v>
      </c>
      <c r="E1181">
        <v>104.9</v>
      </c>
      <c r="F1181">
        <v>99.1</v>
      </c>
      <c r="G1181" t="s">
        <v>6</v>
      </c>
      <c r="H1181">
        <v>12.5</v>
      </c>
      <c r="I1181">
        <v>17.600000000000001</v>
      </c>
      <c r="J1181">
        <v>10</v>
      </c>
      <c r="K1181" t="s">
        <v>6</v>
      </c>
      <c r="L1181">
        <v>227</v>
      </c>
      <c r="M1181" t="s">
        <v>6</v>
      </c>
      <c r="O1181" s="6">
        <f t="shared" si="620"/>
        <v>45471.083333333336</v>
      </c>
      <c r="P1181">
        <f t="shared" si="621"/>
        <v>102.4</v>
      </c>
      <c r="Q1181">
        <f t="shared" si="622"/>
        <v>104.9</v>
      </c>
      <c r="R1181">
        <f t="shared" si="623"/>
        <v>99.1</v>
      </c>
      <c r="S1181">
        <f t="shared" si="624"/>
        <v>103.4</v>
      </c>
      <c r="V1181" s="6">
        <f t="shared" si="625"/>
        <v>45471.083333333336</v>
      </c>
      <c r="W1181">
        <f t="shared" si="626"/>
        <v>12.5</v>
      </c>
      <c r="X1181">
        <f t="shared" si="627"/>
        <v>17.600000000000001</v>
      </c>
      <c r="Y1181">
        <f t="shared" si="628"/>
        <v>10</v>
      </c>
      <c r="Z1181">
        <f t="shared" si="629"/>
        <v>13.5</v>
      </c>
    </row>
    <row r="1182" spans="1:26" x14ac:dyDescent="0.2">
      <c r="A1182" s="1">
        <v>45471</v>
      </c>
      <c r="B1182" s="2">
        <v>0.125</v>
      </c>
      <c r="C1182" s="6">
        <v>45471.125</v>
      </c>
      <c r="D1182">
        <v>97.7</v>
      </c>
      <c r="E1182">
        <v>104.3</v>
      </c>
      <c r="F1182">
        <v>89.2</v>
      </c>
      <c r="G1182" t="s">
        <v>6</v>
      </c>
      <c r="H1182">
        <v>13.6</v>
      </c>
      <c r="I1182">
        <v>19.600000000000001</v>
      </c>
      <c r="J1182">
        <v>10.3</v>
      </c>
      <c r="K1182" t="s">
        <v>6</v>
      </c>
      <c r="L1182">
        <v>229</v>
      </c>
      <c r="M1182" t="s">
        <v>6</v>
      </c>
      <c r="O1182" s="6">
        <f t="shared" si="620"/>
        <v>45471.125</v>
      </c>
      <c r="P1182">
        <f t="shared" si="621"/>
        <v>97.7</v>
      </c>
      <c r="Q1182">
        <f t="shared" si="622"/>
        <v>104.3</v>
      </c>
      <c r="R1182">
        <f t="shared" si="623"/>
        <v>89.2</v>
      </c>
      <c r="S1182">
        <f t="shared" si="624"/>
        <v>98.7</v>
      </c>
      <c r="V1182" s="6">
        <f t="shared" si="625"/>
        <v>45471.125</v>
      </c>
      <c r="W1182">
        <f t="shared" si="626"/>
        <v>13.6</v>
      </c>
      <c r="X1182">
        <f t="shared" si="627"/>
        <v>19.600000000000001</v>
      </c>
      <c r="Y1182">
        <f t="shared" si="628"/>
        <v>10.3</v>
      </c>
      <c r="Z1182">
        <f t="shared" si="629"/>
        <v>14.6</v>
      </c>
    </row>
    <row r="1183" spans="1:26" x14ac:dyDescent="0.2">
      <c r="A1183" s="1">
        <v>45471</v>
      </c>
      <c r="B1183" s="2">
        <v>0.16666666666666666</v>
      </c>
      <c r="C1183" s="6">
        <v>45471.166666666664</v>
      </c>
      <c r="D1183">
        <v>97.5</v>
      </c>
      <c r="E1183">
        <v>104.2</v>
      </c>
      <c r="F1183">
        <v>93.8</v>
      </c>
      <c r="G1183" t="s">
        <v>6</v>
      </c>
      <c r="H1183">
        <v>12</v>
      </c>
      <c r="I1183">
        <v>18.8</v>
      </c>
      <c r="J1183">
        <v>9.6</v>
      </c>
      <c r="K1183" t="s">
        <v>6</v>
      </c>
      <c r="L1183">
        <v>225</v>
      </c>
      <c r="M1183" t="s">
        <v>6</v>
      </c>
      <c r="O1183" s="6">
        <f t="shared" si="620"/>
        <v>45471.166666666664</v>
      </c>
      <c r="P1183">
        <f t="shared" si="621"/>
        <v>97.5</v>
      </c>
      <c r="Q1183">
        <f t="shared" si="622"/>
        <v>104.2</v>
      </c>
      <c r="R1183">
        <f t="shared" si="623"/>
        <v>93.8</v>
      </c>
      <c r="S1183">
        <f t="shared" si="624"/>
        <v>98.5</v>
      </c>
      <c r="V1183" s="6">
        <f t="shared" si="625"/>
        <v>45471.166666666664</v>
      </c>
      <c r="W1183">
        <f t="shared" si="626"/>
        <v>12</v>
      </c>
      <c r="X1183">
        <f t="shared" si="627"/>
        <v>18.8</v>
      </c>
      <c r="Y1183">
        <f t="shared" si="628"/>
        <v>9.6</v>
      </c>
      <c r="Z1183">
        <f t="shared" si="629"/>
        <v>13</v>
      </c>
    </row>
    <row r="1184" spans="1:26" x14ac:dyDescent="0.2">
      <c r="A1184" s="1">
        <v>45471</v>
      </c>
      <c r="B1184" s="2">
        <v>0.20833333333333334</v>
      </c>
      <c r="C1184" s="6">
        <v>45471.208333333336</v>
      </c>
      <c r="D1184">
        <v>95.2</v>
      </c>
      <c r="E1184">
        <v>103.3</v>
      </c>
      <c r="F1184">
        <v>82.8</v>
      </c>
      <c r="G1184" t="s">
        <v>6</v>
      </c>
      <c r="H1184">
        <v>12</v>
      </c>
      <c r="I1184">
        <v>15.2</v>
      </c>
      <c r="J1184">
        <v>9.9</v>
      </c>
      <c r="K1184" t="s">
        <v>6</v>
      </c>
      <c r="L1184">
        <v>221</v>
      </c>
      <c r="M1184" t="s">
        <v>6</v>
      </c>
      <c r="O1184" s="6">
        <f t="shared" si="620"/>
        <v>45471.208333333336</v>
      </c>
      <c r="P1184">
        <f t="shared" si="621"/>
        <v>95.2</v>
      </c>
      <c r="Q1184">
        <f t="shared" si="622"/>
        <v>103.3</v>
      </c>
      <c r="R1184">
        <f t="shared" si="623"/>
        <v>82.8</v>
      </c>
      <c r="S1184">
        <f t="shared" si="624"/>
        <v>96.2</v>
      </c>
      <c r="V1184" s="6">
        <f t="shared" si="625"/>
        <v>45471.208333333336</v>
      </c>
      <c r="W1184">
        <f t="shared" si="626"/>
        <v>12</v>
      </c>
      <c r="X1184">
        <f t="shared" si="627"/>
        <v>15.2</v>
      </c>
      <c r="Y1184">
        <f t="shared" si="628"/>
        <v>9.9</v>
      </c>
      <c r="Z1184">
        <f t="shared" si="629"/>
        <v>13</v>
      </c>
    </row>
    <row r="1185" spans="1:26" x14ac:dyDescent="0.2">
      <c r="A1185" s="1">
        <v>45471</v>
      </c>
      <c r="B1185" s="2">
        <v>0.25</v>
      </c>
      <c r="C1185" s="6">
        <v>45471.25</v>
      </c>
      <c r="D1185">
        <v>93.6</v>
      </c>
      <c r="E1185">
        <v>99.4</v>
      </c>
      <c r="F1185">
        <v>83.2</v>
      </c>
      <c r="G1185" t="s">
        <v>6</v>
      </c>
      <c r="H1185">
        <v>12.1</v>
      </c>
      <c r="I1185">
        <v>17.399999999999999</v>
      </c>
      <c r="J1185">
        <v>9.1999999999999993</v>
      </c>
      <c r="K1185" t="s">
        <v>6</v>
      </c>
      <c r="L1185">
        <v>228</v>
      </c>
      <c r="M1185" t="s">
        <v>6</v>
      </c>
      <c r="O1185" s="6">
        <f t="shared" si="620"/>
        <v>45471.25</v>
      </c>
      <c r="P1185">
        <f t="shared" si="621"/>
        <v>93.6</v>
      </c>
      <c r="Q1185">
        <f t="shared" si="622"/>
        <v>99.4</v>
      </c>
      <c r="R1185">
        <f t="shared" si="623"/>
        <v>83.2</v>
      </c>
      <c r="S1185">
        <f t="shared" si="624"/>
        <v>94.6</v>
      </c>
      <c r="V1185" s="6">
        <f t="shared" si="625"/>
        <v>45471.25</v>
      </c>
      <c r="W1185">
        <f t="shared" si="626"/>
        <v>12.1</v>
      </c>
      <c r="X1185">
        <f t="shared" si="627"/>
        <v>17.399999999999999</v>
      </c>
      <c r="Y1185">
        <f t="shared" si="628"/>
        <v>9.1999999999999993</v>
      </c>
      <c r="Z1185">
        <f t="shared" si="629"/>
        <v>13.1</v>
      </c>
    </row>
    <row r="1186" spans="1:26" x14ac:dyDescent="0.2">
      <c r="A1186" s="1">
        <v>45471</v>
      </c>
      <c r="B1186" s="2">
        <v>0.29166666666666669</v>
      </c>
      <c r="C1186" s="6">
        <v>45471.291666666664</v>
      </c>
      <c r="D1186">
        <v>94.2</v>
      </c>
      <c r="E1186">
        <v>101.2</v>
      </c>
      <c r="F1186">
        <v>77</v>
      </c>
      <c r="G1186" t="s">
        <v>6</v>
      </c>
      <c r="H1186">
        <v>12.1</v>
      </c>
      <c r="I1186">
        <v>15.3</v>
      </c>
      <c r="J1186">
        <v>9.1</v>
      </c>
      <c r="K1186" t="s">
        <v>6</v>
      </c>
      <c r="L1186">
        <v>231</v>
      </c>
      <c r="M1186" t="s">
        <v>6</v>
      </c>
      <c r="O1186" s="6">
        <f t="shared" si="620"/>
        <v>45471.291666666664</v>
      </c>
      <c r="P1186">
        <f t="shared" si="621"/>
        <v>94.2</v>
      </c>
      <c r="Q1186">
        <f t="shared" si="622"/>
        <v>101.2</v>
      </c>
      <c r="R1186">
        <f t="shared" si="623"/>
        <v>77</v>
      </c>
      <c r="S1186">
        <f t="shared" si="624"/>
        <v>95.2</v>
      </c>
      <c r="V1186" s="6">
        <f t="shared" si="625"/>
        <v>45471.291666666664</v>
      </c>
      <c r="W1186">
        <f t="shared" si="626"/>
        <v>12.1</v>
      </c>
      <c r="X1186">
        <f t="shared" si="627"/>
        <v>15.3</v>
      </c>
      <c r="Y1186">
        <f t="shared" si="628"/>
        <v>9.1</v>
      </c>
      <c r="Z1186">
        <f t="shared" si="629"/>
        <v>13.1</v>
      </c>
    </row>
    <row r="1187" spans="1:26" x14ac:dyDescent="0.2">
      <c r="A1187" s="14">
        <v>45471</v>
      </c>
      <c r="B1187" s="7">
        <v>0.33333333333333331</v>
      </c>
      <c r="C1187" s="8">
        <v>45471.333333333336</v>
      </c>
      <c r="D1187" s="9">
        <v>94.1</v>
      </c>
      <c r="E1187" s="9">
        <v>99.3</v>
      </c>
      <c r="F1187" s="9">
        <v>87.2</v>
      </c>
      <c r="G1187" s="9" t="s">
        <v>6</v>
      </c>
      <c r="H1187" s="9">
        <v>11.6</v>
      </c>
      <c r="I1187" s="9">
        <v>13.8</v>
      </c>
      <c r="J1187" s="9">
        <v>9.6999999999999993</v>
      </c>
      <c r="K1187" s="9" t="s">
        <v>6</v>
      </c>
      <c r="L1187" s="9">
        <v>200</v>
      </c>
      <c r="M1187" t="s">
        <v>6</v>
      </c>
      <c r="O1187" s="6">
        <f t="shared" si="620"/>
        <v>45471.333333333336</v>
      </c>
      <c r="P1187">
        <f t="shared" si="621"/>
        <v>94.1</v>
      </c>
      <c r="Q1187">
        <f t="shared" si="622"/>
        <v>99.3</v>
      </c>
      <c r="R1187">
        <f t="shared" si="623"/>
        <v>87.2</v>
      </c>
      <c r="S1187">
        <f t="shared" si="624"/>
        <v>95.1</v>
      </c>
      <c r="V1187" s="6">
        <f t="shared" si="625"/>
        <v>45471.333333333336</v>
      </c>
      <c r="W1187">
        <f t="shared" si="626"/>
        <v>11.6</v>
      </c>
      <c r="X1187">
        <f t="shared" si="627"/>
        <v>13.8</v>
      </c>
      <c r="Y1187">
        <f t="shared" si="628"/>
        <v>9.6999999999999993</v>
      </c>
      <c r="Z1187">
        <f t="shared" si="629"/>
        <v>12.6</v>
      </c>
    </row>
    <row r="1188" spans="1:26" x14ac:dyDescent="0.2">
      <c r="A1188" s="13">
        <v>45471</v>
      </c>
      <c r="B1188" s="3">
        <v>0.375</v>
      </c>
      <c r="C1188" s="4">
        <v>45471.375</v>
      </c>
      <c r="D1188" s="5">
        <v>97</v>
      </c>
      <c r="E1188" s="5">
        <v>99.8</v>
      </c>
      <c r="F1188" s="5">
        <v>90.3</v>
      </c>
      <c r="G1188" s="5" t="s">
        <v>6</v>
      </c>
      <c r="H1188" s="5">
        <v>10.8</v>
      </c>
      <c r="I1188" s="5">
        <v>16.399999999999999</v>
      </c>
      <c r="J1188" s="5">
        <v>9.6999999999999993</v>
      </c>
      <c r="K1188" s="5" t="s">
        <v>6</v>
      </c>
      <c r="L1188" s="5">
        <v>227</v>
      </c>
      <c r="M1188" t="s">
        <v>6</v>
      </c>
      <c r="O1188" s="6">
        <f t="shared" si="620"/>
        <v>45471.375</v>
      </c>
      <c r="P1188">
        <f t="shared" si="621"/>
        <v>97</v>
      </c>
      <c r="Q1188">
        <f t="shared" si="622"/>
        <v>99.8</v>
      </c>
      <c r="R1188">
        <f t="shared" si="623"/>
        <v>90.3</v>
      </c>
      <c r="S1188">
        <f t="shared" si="624"/>
        <v>98</v>
      </c>
      <c r="V1188" s="6">
        <f t="shared" si="625"/>
        <v>45471.375</v>
      </c>
      <c r="W1188">
        <f t="shared" si="626"/>
        <v>10.8</v>
      </c>
      <c r="X1188">
        <f t="shared" si="627"/>
        <v>16.399999999999999</v>
      </c>
      <c r="Y1188">
        <f t="shared" si="628"/>
        <v>9.6999999999999993</v>
      </c>
      <c r="Z1188">
        <f t="shared" si="629"/>
        <v>11.8</v>
      </c>
    </row>
    <row r="1189" spans="1:26" x14ac:dyDescent="0.2">
      <c r="A1189" s="1">
        <v>45471</v>
      </c>
      <c r="B1189" s="2">
        <v>0.41666666666666669</v>
      </c>
      <c r="C1189" s="6">
        <v>45471.416666666664</v>
      </c>
      <c r="D1189">
        <v>98.1</v>
      </c>
      <c r="E1189">
        <v>99.9</v>
      </c>
      <c r="F1189">
        <v>93.7</v>
      </c>
      <c r="G1189" t="s">
        <v>6</v>
      </c>
      <c r="H1189">
        <v>10.6</v>
      </c>
      <c r="I1189">
        <v>13.8</v>
      </c>
      <c r="J1189">
        <v>9.5</v>
      </c>
      <c r="K1189" t="s">
        <v>6</v>
      </c>
      <c r="L1189">
        <v>229</v>
      </c>
      <c r="M1189" t="s">
        <v>6</v>
      </c>
      <c r="O1189" s="6">
        <f t="shared" si="620"/>
        <v>45471.416666666664</v>
      </c>
      <c r="P1189">
        <f t="shared" si="621"/>
        <v>98.1</v>
      </c>
      <c r="Q1189">
        <f t="shared" si="622"/>
        <v>99.9</v>
      </c>
      <c r="R1189">
        <f t="shared" si="623"/>
        <v>93.7</v>
      </c>
      <c r="S1189">
        <f t="shared" si="624"/>
        <v>99.1</v>
      </c>
      <c r="V1189" s="6">
        <f t="shared" si="625"/>
        <v>45471.416666666664</v>
      </c>
      <c r="W1189">
        <f t="shared" si="626"/>
        <v>10.6</v>
      </c>
      <c r="X1189">
        <f t="shared" si="627"/>
        <v>13.8</v>
      </c>
      <c r="Y1189">
        <f t="shared" si="628"/>
        <v>9.5</v>
      </c>
      <c r="Z1189">
        <f t="shared" si="629"/>
        <v>11.6</v>
      </c>
    </row>
    <row r="1190" spans="1:26" x14ac:dyDescent="0.2">
      <c r="A1190" s="1">
        <v>45471</v>
      </c>
      <c r="B1190" s="2">
        <v>0.45833333333333331</v>
      </c>
      <c r="C1190" s="6">
        <v>45471.458333333336</v>
      </c>
      <c r="D1190">
        <v>91.6</v>
      </c>
      <c r="E1190">
        <v>99.2</v>
      </c>
      <c r="F1190">
        <v>86.1</v>
      </c>
      <c r="G1190" t="s">
        <v>6</v>
      </c>
      <c r="H1190">
        <v>11.9</v>
      </c>
      <c r="I1190">
        <v>16.899999999999999</v>
      </c>
      <c r="J1190">
        <v>9.9</v>
      </c>
      <c r="K1190" t="s">
        <v>6</v>
      </c>
      <c r="L1190">
        <v>108</v>
      </c>
      <c r="M1190" t="s">
        <v>6</v>
      </c>
      <c r="O1190" s="6">
        <f t="shared" si="620"/>
        <v>45471.458333333336</v>
      </c>
      <c r="P1190">
        <f t="shared" si="621"/>
        <v>91.6</v>
      </c>
      <c r="Q1190">
        <f t="shared" si="622"/>
        <v>99.2</v>
      </c>
      <c r="R1190">
        <f t="shared" si="623"/>
        <v>86.1</v>
      </c>
      <c r="S1190">
        <f t="shared" si="624"/>
        <v>92.6</v>
      </c>
      <c r="V1190" s="6">
        <f t="shared" si="625"/>
        <v>45471.458333333336</v>
      </c>
      <c r="W1190">
        <f t="shared" si="626"/>
        <v>11.9</v>
      </c>
      <c r="X1190">
        <f t="shared" si="627"/>
        <v>16.899999999999999</v>
      </c>
      <c r="Y1190">
        <f t="shared" si="628"/>
        <v>9.9</v>
      </c>
      <c r="Z1190">
        <f t="shared" si="629"/>
        <v>12.9</v>
      </c>
    </row>
    <row r="1191" spans="1:26" x14ac:dyDescent="0.2">
      <c r="A1191" s="1">
        <v>45471</v>
      </c>
      <c r="B1191" s="2">
        <v>0.5</v>
      </c>
      <c r="C1191" s="6">
        <v>45471.5</v>
      </c>
      <c r="D1191">
        <v>87.1</v>
      </c>
      <c r="E1191">
        <v>94.9</v>
      </c>
      <c r="F1191">
        <v>72.8</v>
      </c>
      <c r="G1191" t="s">
        <v>6</v>
      </c>
      <c r="H1191">
        <v>12.1</v>
      </c>
      <c r="I1191">
        <v>20.2</v>
      </c>
      <c r="J1191">
        <v>9.6</v>
      </c>
      <c r="K1191" t="s">
        <v>6</v>
      </c>
      <c r="L1191">
        <v>173</v>
      </c>
      <c r="M1191" t="s">
        <v>6</v>
      </c>
      <c r="O1191" s="6">
        <f t="shared" si="620"/>
        <v>45471.5</v>
      </c>
      <c r="P1191">
        <f t="shared" si="621"/>
        <v>87.1</v>
      </c>
      <c r="Q1191">
        <f t="shared" si="622"/>
        <v>94.9</v>
      </c>
      <c r="R1191">
        <f t="shared" si="623"/>
        <v>72.8</v>
      </c>
      <c r="S1191">
        <f t="shared" si="624"/>
        <v>88.1</v>
      </c>
      <c r="V1191" s="6">
        <f t="shared" si="625"/>
        <v>45471.5</v>
      </c>
      <c r="W1191">
        <f t="shared" si="626"/>
        <v>12.1</v>
      </c>
      <c r="X1191">
        <f t="shared" si="627"/>
        <v>20.2</v>
      </c>
      <c r="Y1191">
        <f t="shared" si="628"/>
        <v>9.6</v>
      </c>
      <c r="Z1191">
        <f t="shared" si="629"/>
        <v>13.1</v>
      </c>
    </row>
    <row r="1192" spans="1:26" x14ac:dyDescent="0.2">
      <c r="A1192" s="1">
        <v>45471</v>
      </c>
      <c r="B1192" s="2">
        <v>0.54166666666666663</v>
      </c>
      <c r="C1192" s="6">
        <v>45471.541666666664</v>
      </c>
      <c r="D1192">
        <v>84.3</v>
      </c>
      <c r="E1192">
        <v>95</v>
      </c>
      <c r="F1192">
        <v>59.6</v>
      </c>
      <c r="G1192" t="s">
        <v>6</v>
      </c>
      <c r="H1192">
        <v>13.7</v>
      </c>
      <c r="I1192">
        <v>24.9</v>
      </c>
      <c r="J1192">
        <v>9.8000000000000007</v>
      </c>
      <c r="K1192" t="s">
        <v>6</v>
      </c>
      <c r="L1192">
        <v>173</v>
      </c>
      <c r="M1192" t="s">
        <v>6</v>
      </c>
      <c r="O1192" s="6">
        <f t="shared" si="620"/>
        <v>45471.541666666664</v>
      </c>
      <c r="P1192">
        <f t="shared" si="621"/>
        <v>84.3</v>
      </c>
      <c r="Q1192">
        <f t="shared" si="622"/>
        <v>95</v>
      </c>
      <c r="R1192">
        <f t="shared" si="623"/>
        <v>59.6</v>
      </c>
      <c r="S1192">
        <f t="shared" si="624"/>
        <v>85.3</v>
      </c>
      <c r="V1192" s="6">
        <f t="shared" si="625"/>
        <v>45471.541666666664</v>
      </c>
      <c r="W1192">
        <f t="shared" si="626"/>
        <v>13.7</v>
      </c>
      <c r="X1192">
        <f t="shared" si="627"/>
        <v>24.9</v>
      </c>
      <c r="Y1192">
        <f t="shared" si="628"/>
        <v>9.8000000000000007</v>
      </c>
      <c r="Z1192">
        <f t="shared" si="629"/>
        <v>14.7</v>
      </c>
    </row>
    <row r="1193" spans="1:26" x14ac:dyDescent="0.2">
      <c r="A1193" s="1">
        <v>45471</v>
      </c>
      <c r="B1193" s="2">
        <v>0.58333333333333337</v>
      </c>
      <c r="C1193" s="6">
        <v>45471.583333333336</v>
      </c>
      <c r="D1193">
        <v>88.4</v>
      </c>
      <c r="E1193">
        <v>98.9</v>
      </c>
      <c r="F1193">
        <v>73.900000000000006</v>
      </c>
      <c r="G1193" t="s">
        <v>6</v>
      </c>
      <c r="H1193">
        <v>11.3</v>
      </c>
      <c r="I1193">
        <v>13.4</v>
      </c>
      <c r="J1193">
        <v>9.8000000000000007</v>
      </c>
      <c r="K1193" t="s">
        <v>6</v>
      </c>
      <c r="L1193">
        <v>227</v>
      </c>
      <c r="M1193" t="s">
        <v>6</v>
      </c>
      <c r="O1193" s="6">
        <f t="shared" si="620"/>
        <v>45471.583333333336</v>
      </c>
      <c r="P1193">
        <f t="shared" si="621"/>
        <v>88.4</v>
      </c>
      <c r="Q1193">
        <f t="shared" si="622"/>
        <v>98.9</v>
      </c>
      <c r="R1193">
        <f t="shared" si="623"/>
        <v>73.900000000000006</v>
      </c>
      <c r="S1193">
        <f t="shared" si="624"/>
        <v>89.4</v>
      </c>
      <c r="V1193" s="6">
        <f t="shared" si="625"/>
        <v>45471.583333333336</v>
      </c>
      <c r="W1193">
        <f t="shared" si="626"/>
        <v>11.3</v>
      </c>
      <c r="X1193">
        <f t="shared" si="627"/>
        <v>13.4</v>
      </c>
      <c r="Y1193">
        <f t="shared" si="628"/>
        <v>9.8000000000000007</v>
      </c>
      <c r="Z1193">
        <f t="shared" si="629"/>
        <v>12.3</v>
      </c>
    </row>
    <row r="1194" spans="1:26" x14ac:dyDescent="0.2">
      <c r="A1194" s="1">
        <v>45471</v>
      </c>
      <c r="B1194" s="2">
        <v>0.625</v>
      </c>
      <c r="C1194" s="6">
        <v>45471.625</v>
      </c>
      <c r="D1194">
        <v>85.1</v>
      </c>
      <c r="E1194">
        <v>93.8</v>
      </c>
      <c r="F1194">
        <v>69.599999999999994</v>
      </c>
      <c r="G1194" t="s">
        <v>6</v>
      </c>
      <c r="H1194">
        <v>11.4</v>
      </c>
      <c r="I1194">
        <v>13.7</v>
      </c>
      <c r="J1194">
        <v>10.4</v>
      </c>
      <c r="K1194" t="s">
        <v>6</v>
      </c>
      <c r="L1194">
        <v>220</v>
      </c>
      <c r="M1194" t="s">
        <v>6</v>
      </c>
      <c r="O1194" s="6">
        <f t="shared" si="620"/>
        <v>45471.625</v>
      </c>
      <c r="P1194">
        <f t="shared" si="621"/>
        <v>85.1</v>
      </c>
      <c r="Q1194">
        <f t="shared" si="622"/>
        <v>93.8</v>
      </c>
      <c r="R1194">
        <f t="shared" si="623"/>
        <v>69.599999999999994</v>
      </c>
      <c r="S1194">
        <f t="shared" si="624"/>
        <v>86.1</v>
      </c>
      <c r="V1194" s="6">
        <f t="shared" si="625"/>
        <v>45471.625</v>
      </c>
      <c r="W1194">
        <f t="shared" si="626"/>
        <v>11.4</v>
      </c>
      <c r="X1194">
        <f t="shared" si="627"/>
        <v>13.7</v>
      </c>
      <c r="Y1194">
        <f t="shared" si="628"/>
        <v>10.4</v>
      </c>
      <c r="Z1194">
        <f t="shared" si="629"/>
        <v>12.4</v>
      </c>
    </row>
    <row r="1195" spans="1:26" x14ac:dyDescent="0.2">
      <c r="A1195" s="1">
        <v>45471</v>
      </c>
      <c r="B1195" s="2">
        <v>0.66666666666666663</v>
      </c>
      <c r="C1195" s="6">
        <v>45471.666666666664</v>
      </c>
      <c r="D1195">
        <v>90.7</v>
      </c>
      <c r="E1195">
        <v>94.7</v>
      </c>
      <c r="F1195">
        <v>87.3</v>
      </c>
      <c r="G1195" t="s">
        <v>6</v>
      </c>
      <c r="H1195">
        <v>11.3</v>
      </c>
      <c r="I1195">
        <v>13.8</v>
      </c>
      <c r="J1195">
        <v>9.8000000000000007</v>
      </c>
      <c r="K1195" t="s">
        <v>6</v>
      </c>
      <c r="L1195">
        <v>228</v>
      </c>
      <c r="M1195" t="s">
        <v>6</v>
      </c>
      <c r="O1195" s="6">
        <f t="shared" si="620"/>
        <v>45471.666666666664</v>
      </c>
      <c r="P1195">
        <f t="shared" si="621"/>
        <v>90.7</v>
      </c>
      <c r="Q1195">
        <f t="shared" si="622"/>
        <v>94.7</v>
      </c>
      <c r="R1195">
        <f t="shared" si="623"/>
        <v>87.3</v>
      </c>
      <c r="S1195">
        <f t="shared" si="624"/>
        <v>91.7</v>
      </c>
      <c r="V1195" s="6">
        <f t="shared" si="625"/>
        <v>45471.666666666664</v>
      </c>
      <c r="W1195">
        <f t="shared" si="626"/>
        <v>11.3</v>
      </c>
      <c r="X1195">
        <f t="shared" si="627"/>
        <v>13.8</v>
      </c>
      <c r="Y1195">
        <f t="shared" si="628"/>
        <v>9.8000000000000007</v>
      </c>
      <c r="Z1195">
        <f t="shared" si="629"/>
        <v>12.3</v>
      </c>
    </row>
    <row r="1196" spans="1:26" x14ac:dyDescent="0.2">
      <c r="A1196" s="1">
        <v>45471</v>
      </c>
      <c r="B1196" s="2">
        <v>0.70833333333333337</v>
      </c>
      <c r="C1196" s="6">
        <v>45471.708333333336</v>
      </c>
      <c r="D1196">
        <v>85.2</v>
      </c>
      <c r="E1196">
        <v>93.5</v>
      </c>
      <c r="F1196">
        <v>72.099999999999994</v>
      </c>
      <c r="G1196" t="s">
        <v>6</v>
      </c>
      <c r="H1196">
        <v>11.1</v>
      </c>
      <c r="I1196">
        <v>13.8</v>
      </c>
      <c r="J1196">
        <v>9.3000000000000007</v>
      </c>
      <c r="K1196" t="s">
        <v>6</v>
      </c>
      <c r="L1196">
        <v>224</v>
      </c>
      <c r="M1196" t="s">
        <v>6</v>
      </c>
      <c r="O1196" s="6">
        <f t="shared" si="620"/>
        <v>45471.708333333336</v>
      </c>
      <c r="P1196">
        <f t="shared" si="621"/>
        <v>85.2</v>
      </c>
      <c r="Q1196">
        <f t="shared" si="622"/>
        <v>93.5</v>
      </c>
      <c r="R1196">
        <f t="shared" si="623"/>
        <v>72.099999999999994</v>
      </c>
      <c r="S1196">
        <f t="shared" si="624"/>
        <v>86.2</v>
      </c>
      <c r="V1196" s="6">
        <f t="shared" si="625"/>
        <v>45471.708333333336</v>
      </c>
      <c r="W1196">
        <f t="shared" si="626"/>
        <v>11.1</v>
      </c>
      <c r="X1196">
        <f t="shared" si="627"/>
        <v>13.8</v>
      </c>
      <c r="Y1196">
        <f t="shared" si="628"/>
        <v>9.3000000000000007</v>
      </c>
      <c r="Z1196">
        <f t="shared" si="629"/>
        <v>12.1</v>
      </c>
    </row>
    <row r="1197" spans="1:26" x14ac:dyDescent="0.2">
      <c r="A1197" s="1">
        <v>45471</v>
      </c>
      <c r="B1197" s="2">
        <v>0.75</v>
      </c>
      <c r="C1197" s="6">
        <v>45471.75</v>
      </c>
      <c r="D1197">
        <v>82.6</v>
      </c>
      <c r="E1197">
        <v>89.7</v>
      </c>
      <c r="F1197">
        <v>69</v>
      </c>
      <c r="G1197" t="s">
        <v>6</v>
      </c>
      <c r="H1197">
        <v>11.6</v>
      </c>
      <c r="I1197">
        <v>15.6</v>
      </c>
      <c r="J1197">
        <v>9.5</v>
      </c>
      <c r="K1197" t="s">
        <v>6</v>
      </c>
      <c r="L1197">
        <v>209</v>
      </c>
      <c r="M1197" t="s">
        <v>6</v>
      </c>
      <c r="O1197" s="6">
        <f t="shared" si="620"/>
        <v>45471.75</v>
      </c>
      <c r="P1197">
        <f t="shared" si="621"/>
        <v>82.6</v>
      </c>
      <c r="Q1197">
        <f t="shared" si="622"/>
        <v>89.7</v>
      </c>
      <c r="R1197">
        <f t="shared" si="623"/>
        <v>69</v>
      </c>
      <c r="S1197">
        <f t="shared" si="624"/>
        <v>83.6</v>
      </c>
      <c r="V1197" s="6">
        <f t="shared" si="625"/>
        <v>45471.75</v>
      </c>
      <c r="W1197">
        <f t="shared" si="626"/>
        <v>11.6</v>
      </c>
      <c r="X1197">
        <f t="shared" si="627"/>
        <v>15.6</v>
      </c>
      <c r="Y1197">
        <f t="shared" si="628"/>
        <v>9.5</v>
      </c>
      <c r="Z1197">
        <f t="shared" si="629"/>
        <v>12.6</v>
      </c>
    </row>
    <row r="1198" spans="1:26" x14ac:dyDescent="0.2">
      <c r="A1198" s="1">
        <v>45471</v>
      </c>
      <c r="B1198" s="2">
        <v>0.79166666666666663</v>
      </c>
      <c r="C1198" s="6">
        <v>45471.791666666664</v>
      </c>
      <c r="D1198">
        <v>75.5</v>
      </c>
      <c r="E1198">
        <v>83.1</v>
      </c>
      <c r="F1198">
        <v>65.3</v>
      </c>
      <c r="G1198" t="s">
        <v>6</v>
      </c>
      <c r="H1198">
        <v>11.8</v>
      </c>
      <c r="I1198">
        <v>16.8</v>
      </c>
      <c r="J1198">
        <v>10</v>
      </c>
      <c r="K1198" t="s">
        <v>6</v>
      </c>
      <c r="L1198">
        <v>231</v>
      </c>
      <c r="M1198" t="s">
        <v>6</v>
      </c>
      <c r="O1198" s="6">
        <f t="shared" si="620"/>
        <v>45471.791666666664</v>
      </c>
      <c r="P1198">
        <f t="shared" si="621"/>
        <v>75.5</v>
      </c>
      <c r="Q1198">
        <f t="shared" si="622"/>
        <v>83.1</v>
      </c>
      <c r="R1198">
        <f t="shared" si="623"/>
        <v>65.3</v>
      </c>
      <c r="S1198">
        <f t="shared" si="624"/>
        <v>76.5</v>
      </c>
      <c r="V1198" s="6">
        <f t="shared" si="625"/>
        <v>45471.791666666664</v>
      </c>
      <c r="W1198">
        <f t="shared" si="626"/>
        <v>11.8</v>
      </c>
      <c r="X1198">
        <f t="shared" si="627"/>
        <v>16.8</v>
      </c>
      <c r="Y1198">
        <f t="shared" si="628"/>
        <v>10</v>
      </c>
      <c r="Z1198">
        <f t="shared" si="629"/>
        <v>12.8</v>
      </c>
    </row>
    <row r="1199" spans="1:26" x14ac:dyDescent="0.2">
      <c r="A1199" s="1">
        <v>45471</v>
      </c>
      <c r="B1199" s="2">
        <v>0.83333333333333337</v>
      </c>
      <c r="C1199" s="6">
        <v>45471.833333333336</v>
      </c>
      <c r="D1199">
        <v>83.8</v>
      </c>
      <c r="E1199">
        <v>91.3</v>
      </c>
      <c r="F1199">
        <v>65.8</v>
      </c>
      <c r="G1199" t="s">
        <v>6</v>
      </c>
      <c r="H1199">
        <v>12.3</v>
      </c>
      <c r="I1199">
        <v>19.8</v>
      </c>
      <c r="J1199">
        <v>9.3000000000000007</v>
      </c>
      <c r="K1199" t="s">
        <v>6</v>
      </c>
      <c r="L1199">
        <v>197</v>
      </c>
      <c r="M1199" t="s">
        <v>6</v>
      </c>
      <c r="O1199" s="6">
        <f t="shared" si="620"/>
        <v>45471.833333333336</v>
      </c>
      <c r="P1199">
        <f t="shared" si="621"/>
        <v>83.8</v>
      </c>
      <c r="Q1199">
        <f t="shared" si="622"/>
        <v>91.3</v>
      </c>
      <c r="R1199">
        <f t="shared" si="623"/>
        <v>65.8</v>
      </c>
      <c r="S1199">
        <f t="shared" si="624"/>
        <v>84.8</v>
      </c>
      <c r="V1199" s="6">
        <f t="shared" si="625"/>
        <v>45471.833333333336</v>
      </c>
      <c r="W1199">
        <f t="shared" si="626"/>
        <v>12.3</v>
      </c>
      <c r="X1199">
        <f t="shared" si="627"/>
        <v>19.8</v>
      </c>
      <c r="Y1199">
        <f t="shared" si="628"/>
        <v>9.3000000000000007</v>
      </c>
      <c r="Z1199">
        <f t="shared" si="629"/>
        <v>13.3</v>
      </c>
    </row>
    <row r="1200" spans="1:26" x14ac:dyDescent="0.2">
      <c r="A1200" s="1">
        <v>45471</v>
      </c>
      <c r="B1200" s="2">
        <v>0.875</v>
      </c>
      <c r="C1200" s="6">
        <v>45471.875</v>
      </c>
      <c r="D1200">
        <v>87.1</v>
      </c>
      <c r="E1200">
        <v>91.9</v>
      </c>
      <c r="F1200">
        <v>67.2</v>
      </c>
      <c r="G1200" t="s">
        <v>6</v>
      </c>
      <c r="H1200">
        <v>12.2</v>
      </c>
      <c r="I1200">
        <v>18.8</v>
      </c>
      <c r="J1200">
        <v>9.5</v>
      </c>
      <c r="K1200" t="s">
        <v>6</v>
      </c>
      <c r="L1200">
        <v>223</v>
      </c>
      <c r="M1200" t="s">
        <v>6</v>
      </c>
      <c r="O1200" s="6">
        <f t="shared" si="620"/>
        <v>45471.875</v>
      </c>
      <c r="P1200">
        <f t="shared" si="621"/>
        <v>87.1</v>
      </c>
      <c r="Q1200">
        <f t="shared" si="622"/>
        <v>91.9</v>
      </c>
      <c r="R1200">
        <f t="shared" si="623"/>
        <v>67.2</v>
      </c>
      <c r="S1200">
        <f t="shared" si="624"/>
        <v>88.1</v>
      </c>
      <c r="V1200" s="6">
        <f t="shared" si="625"/>
        <v>45471.875</v>
      </c>
      <c r="W1200">
        <f t="shared" si="626"/>
        <v>12.2</v>
      </c>
      <c r="X1200">
        <f t="shared" si="627"/>
        <v>18.8</v>
      </c>
      <c r="Y1200">
        <f t="shared" si="628"/>
        <v>9.5</v>
      </c>
      <c r="Z1200">
        <f t="shared" si="629"/>
        <v>13.2</v>
      </c>
    </row>
    <row r="1201" spans="1:26" x14ac:dyDescent="0.2">
      <c r="A1201" s="1">
        <v>45471</v>
      </c>
      <c r="B1201" s="2">
        <v>0.91666666666666663</v>
      </c>
      <c r="C1201" s="6">
        <v>45471.916666666664</v>
      </c>
      <c r="D1201">
        <v>86.2</v>
      </c>
      <c r="E1201">
        <v>94.5</v>
      </c>
      <c r="F1201">
        <v>74.900000000000006</v>
      </c>
      <c r="G1201" t="s">
        <v>6</v>
      </c>
      <c r="H1201">
        <v>11.4</v>
      </c>
      <c r="I1201">
        <v>14.6</v>
      </c>
      <c r="J1201">
        <v>9.6</v>
      </c>
      <c r="K1201" t="s">
        <v>6</v>
      </c>
      <c r="L1201">
        <v>181</v>
      </c>
      <c r="M1201" t="s">
        <v>6</v>
      </c>
      <c r="O1201" s="6">
        <f t="shared" si="620"/>
        <v>45471.916666666664</v>
      </c>
      <c r="P1201">
        <f t="shared" si="621"/>
        <v>86.2</v>
      </c>
      <c r="Q1201">
        <f t="shared" si="622"/>
        <v>94.5</v>
      </c>
      <c r="R1201">
        <f t="shared" si="623"/>
        <v>74.900000000000006</v>
      </c>
      <c r="S1201">
        <f t="shared" si="624"/>
        <v>87.2</v>
      </c>
      <c r="V1201" s="6">
        <f t="shared" si="625"/>
        <v>45471.916666666664</v>
      </c>
      <c r="W1201">
        <f t="shared" si="626"/>
        <v>11.4</v>
      </c>
      <c r="X1201">
        <f t="shared" si="627"/>
        <v>14.6</v>
      </c>
      <c r="Y1201">
        <f t="shared" si="628"/>
        <v>9.6</v>
      </c>
      <c r="Z1201">
        <f t="shared" si="629"/>
        <v>12.4</v>
      </c>
    </row>
    <row r="1202" spans="1:26" x14ac:dyDescent="0.2">
      <c r="A1202" s="1">
        <v>45471</v>
      </c>
      <c r="B1202" s="2">
        <v>0.95833333333333337</v>
      </c>
      <c r="C1202" s="6">
        <v>45471.958333333336</v>
      </c>
      <c r="D1202">
        <v>84.1</v>
      </c>
      <c r="E1202">
        <v>90.1</v>
      </c>
      <c r="F1202">
        <v>74.900000000000006</v>
      </c>
      <c r="G1202" t="s">
        <v>6</v>
      </c>
      <c r="H1202">
        <v>11.8</v>
      </c>
      <c r="I1202">
        <v>20</v>
      </c>
      <c r="J1202">
        <v>9.9</v>
      </c>
      <c r="K1202" t="s">
        <v>6</v>
      </c>
      <c r="L1202">
        <v>222</v>
      </c>
      <c r="M1202" t="s">
        <v>6</v>
      </c>
      <c r="O1202" s="6">
        <f t="shared" si="620"/>
        <v>45471.958333333336</v>
      </c>
      <c r="P1202">
        <f t="shared" si="621"/>
        <v>84.1</v>
      </c>
      <c r="Q1202">
        <f t="shared" si="622"/>
        <v>90.1</v>
      </c>
      <c r="R1202">
        <f t="shared" si="623"/>
        <v>74.900000000000006</v>
      </c>
      <c r="S1202">
        <f t="shared" si="624"/>
        <v>85.1</v>
      </c>
      <c r="V1202" s="6">
        <f t="shared" si="625"/>
        <v>45471.958333333336</v>
      </c>
      <c r="W1202">
        <f t="shared" si="626"/>
        <v>11.8</v>
      </c>
      <c r="X1202">
        <f t="shared" si="627"/>
        <v>20</v>
      </c>
      <c r="Y1202">
        <f t="shared" si="628"/>
        <v>9.9</v>
      </c>
      <c r="Z1202">
        <f t="shared" si="629"/>
        <v>12.8</v>
      </c>
    </row>
    <row r="1203" spans="1:26" x14ac:dyDescent="0.2">
      <c r="A1203" s="1">
        <v>45472</v>
      </c>
      <c r="B1203" s="2">
        <v>0</v>
      </c>
      <c r="C1203" s="6">
        <v>45472</v>
      </c>
      <c r="D1203">
        <v>86.3</v>
      </c>
      <c r="E1203">
        <v>90.8</v>
      </c>
      <c r="F1203">
        <v>78.5</v>
      </c>
      <c r="G1203" t="s">
        <v>6</v>
      </c>
      <c r="H1203">
        <v>11.1</v>
      </c>
      <c r="I1203">
        <v>12.8</v>
      </c>
      <c r="J1203">
        <v>9.8000000000000007</v>
      </c>
      <c r="K1203" t="s">
        <v>6</v>
      </c>
      <c r="L1203">
        <v>227</v>
      </c>
      <c r="M1203" t="s">
        <v>6</v>
      </c>
      <c r="O1203" s="6">
        <f t="shared" si="620"/>
        <v>45472</v>
      </c>
      <c r="P1203">
        <f t="shared" si="621"/>
        <v>86.3</v>
      </c>
      <c r="Q1203">
        <f t="shared" si="622"/>
        <v>90.8</v>
      </c>
      <c r="R1203">
        <f t="shared" si="623"/>
        <v>78.5</v>
      </c>
      <c r="S1203">
        <f t="shared" si="624"/>
        <v>87.3</v>
      </c>
      <c r="V1203" s="6">
        <f t="shared" si="625"/>
        <v>45472</v>
      </c>
      <c r="W1203">
        <f t="shared" si="626"/>
        <v>11.1</v>
      </c>
      <c r="X1203">
        <f t="shared" si="627"/>
        <v>12.8</v>
      </c>
      <c r="Y1203">
        <f t="shared" si="628"/>
        <v>9.8000000000000007</v>
      </c>
      <c r="Z1203">
        <f t="shared" si="629"/>
        <v>12.1</v>
      </c>
    </row>
    <row r="1204" spans="1:26" x14ac:dyDescent="0.2">
      <c r="A1204" s="1">
        <v>45472</v>
      </c>
      <c r="B1204" s="2">
        <v>4.1666666666666664E-2</v>
      </c>
      <c r="C1204" s="6">
        <v>45472.041666666664</v>
      </c>
      <c r="D1204">
        <v>82.8</v>
      </c>
      <c r="E1204">
        <v>92.4</v>
      </c>
      <c r="F1204">
        <v>62.9</v>
      </c>
      <c r="G1204" t="s">
        <v>6</v>
      </c>
      <c r="H1204">
        <v>11.8</v>
      </c>
      <c r="I1204">
        <v>14.9</v>
      </c>
      <c r="J1204">
        <v>10.1</v>
      </c>
      <c r="K1204" t="s">
        <v>6</v>
      </c>
      <c r="L1204">
        <v>228</v>
      </c>
      <c r="M1204" t="s">
        <v>6</v>
      </c>
      <c r="O1204" s="6">
        <f t="shared" si="620"/>
        <v>45472.041666666664</v>
      </c>
      <c r="P1204">
        <f t="shared" si="621"/>
        <v>82.8</v>
      </c>
      <c r="Q1204">
        <f t="shared" si="622"/>
        <v>92.4</v>
      </c>
      <c r="R1204">
        <f t="shared" si="623"/>
        <v>62.9</v>
      </c>
      <c r="S1204">
        <f t="shared" si="624"/>
        <v>83.8</v>
      </c>
      <c r="V1204" s="6">
        <f t="shared" si="625"/>
        <v>45472.041666666664</v>
      </c>
      <c r="W1204">
        <f t="shared" si="626"/>
        <v>11.8</v>
      </c>
      <c r="X1204">
        <f t="shared" si="627"/>
        <v>14.9</v>
      </c>
      <c r="Y1204">
        <f t="shared" si="628"/>
        <v>10.1</v>
      </c>
      <c r="Z1204">
        <f t="shared" si="629"/>
        <v>12.8</v>
      </c>
    </row>
    <row r="1205" spans="1:26" x14ac:dyDescent="0.2">
      <c r="A1205" s="1">
        <v>45472</v>
      </c>
      <c r="B1205" s="2">
        <v>8.3333333333333329E-2</v>
      </c>
      <c r="C1205" s="6">
        <v>45472.083333333336</v>
      </c>
      <c r="D1205">
        <v>88.9</v>
      </c>
      <c r="E1205">
        <v>95.5</v>
      </c>
      <c r="F1205">
        <v>81.2</v>
      </c>
      <c r="G1205" t="s">
        <v>6</v>
      </c>
      <c r="H1205">
        <v>11.5</v>
      </c>
      <c r="I1205">
        <v>14.5</v>
      </c>
      <c r="J1205">
        <v>10.1</v>
      </c>
      <c r="K1205" t="s">
        <v>6</v>
      </c>
      <c r="L1205">
        <v>221</v>
      </c>
      <c r="M1205" t="s">
        <v>6</v>
      </c>
      <c r="O1205" s="6">
        <f t="shared" si="620"/>
        <v>45472.083333333336</v>
      </c>
      <c r="P1205">
        <f t="shared" si="621"/>
        <v>88.9</v>
      </c>
      <c r="Q1205">
        <f t="shared" si="622"/>
        <v>95.5</v>
      </c>
      <c r="R1205">
        <f t="shared" si="623"/>
        <v>81.2</v>
      </c>
      <c r="S1205">
        <f t="shared" si="624"/>
        <v>89.9</v>
      </c>
      <c r="V1205" s="6">
        <f t="shared" si="625"/>
        <v>45472.083333333336</v>
      </c>
      <c r="W1205">
        <f t="shared" si="626"/>
        <v>11.5</v>
      </c>
      <c r="X1205">
        <f t="shared" si="627"/>
        <v>14.5</v>
      </c>
      <c r="Y1205">
        <f t="shared" si="628"/>
        <v>10.1</v>
      </c>
      <c r="Z1205">
        <f t="shared" si="629"/>
        <v>12.5</v>
      </c>
    </row>
    <row r="1206" spans="1:26" x14ac:dyDescent="0.2">
      <c r="A1206" s="1">
        <v>45472</v>
      </c>
      <c r="B1206" s="2">
        <v>0.125</v>
      </c>
      <c r="C1206" s="6">
        <v>45472.125</v>
      </c>
      <c r="D1206">
        <v>81.2</v>
      </c>
      <c r="E1206">
        <v>92.7</v>
      </c>
      <c r="F1206">
        <v>66.3</v>
      </c>
      <c r="G1206" t="s">
        <v>6</v>
      </c>
      <c r="H1206">
        <v>11.6</v>
      </c>
      <c r="I1206">
        <v>15.5</v>
      </c>
      <c r="J1206">
        <v>10</v>
      </c>
      <c r="K1206" t="s">
        <v>6</v>
      </c>
      <c r="L1206">
        <v>229</v>
      </c>
      <c r="M1206" t="s">
        <v>6</v>
      </c>
      <c r="O1206" s="6">
        <f t="shared" si="620"/>
        <v>45472.125</v>
      </c>
      <c r="P1206">
        <f t="shared" si="621"/>
        <v>81.2</v>
      </c>
      <c r="Q1206">
        <f t="shared" si="622"/>
        <v>92.7</v>
      </c>
      <c r="R1206">
        <f t="shared" si="623"/>
        <v>66.3</v>
      </c>
      <c r="S1206">
        <f t="shared" si="624"/>
        <v>82.2</v>
      </c>
      <c r="V1206" s="6">
        <f t="shared" si="625"/>
        <v>45472.125</v>
      </c>
      <c r="W1206">
        <f t="shared" si="626"/>
        <v>11.6</v>
      </c>
      <c r="X1206">
        <f t="shared" si="627"/>
        <v>15.5</v>
      </c>
      <c r="Y1206">
        <f t="shared" si="628"/>
        <v>10</v>
      </c>
      <c r="Z1206">
        <f t="shared" si="629"/>
        <v>12.6</v>
      </c>
    </row>
    <row r="1207" spans="1:26" x14ac:dyDescent="0.2">
      <c r="A1207" s="1">
        <v>45472</v>
      </c>
      <c r="B1207" s="2">
        <v>0.16666666666666666</v>
      </c>
      <c r="C1207" s="6">
        <v>45472.166666666664</v>
      </c>
      <c r="D1207">
        <v>61.1</v>
      </c>
      <c r="E1207">
        <v>67.900000000000006</v>
      </c>
      <c r="F1207">
        <v>54.6</v>
      </c>
      <c r="G1207" t="s">
        <v>6</v>
      </c>
      <c r="H1207">
        <v>12.3</v>
      </c>
      <c r="I1207">
        <v>16.2</v>
      </c>
      <c r="J1207">
        <v>10.6</v>
      </c>
      <c r="K1207" t="s">
        <v>6</v>
      </c>
      <c r="L1207">
        <v>229</v>
      </c>
      <c r="M1207" t="s">
        <v>6</v>
      </c>
      <c r="O1207" s="6">
        <f t="shared" si="620"/>
        <v>45472.166666666664</v>
      </c>
      <c r="P1207">
        <f t="shared" si="621"/>
        <v>61.1</v>
      </c>
      <c r="Q1207">
        <f t="shared" si="622"/>
        <v>67.900000000000006</v>
      </c>
      <c r="R1207">
        <f t="shared" si="623"/>
        <v>54.6</v>
      </c>
      <c r="S1207">
        <f t="shared" si="624"/>
        <v>62.1</v>
      </c>
      <c r="V1207" s="6">
        <f t="shared" si="625"/>
        <v>45472.166666666664</v>
      </c>
      <c r="W1207">
        <f t="shared" si="626"/>
        <v>12.3</v>
      </c>
      <c r="X1207">
        <f t="shared" si="627"/>
        <v>16.2</v>
      </c>
      <c r="Y1207">
        <f t="shared" si="628"/>
        <v>10.6</v>
      </c>
      <c r="Z1207">
        <f t="shared" si="629"/>
        <v>13.3</v>
      </c>
    </row>
    <row r="1208" spans="1:26" x14ac:dyDescent="0.2">
      <c r="A1208" s="1">
        <v>45472</v>
      </c>
      <c r="B1208" s="2">
        <v>0.20833333333333334</v>
      </c>
      <c r="C1208" s="6">
        <v>45472.208333333336</v>
      </c>
      <c r="D1208">
        <v>62</v>
      </c>
      <c r="E1208">
        <v>67</v>
      </c>
      <c r="F1208">
        <v>54.1</v>
      </c>
      <c r="G1208" t="s">
        <v>6</v>
      </c>
      <c r="H1208">
        <v>12.7</v>
      </c>
      <c r="I1208">
        <v>17.100000000000001</v>
      </c>
      <c r="J1208">
        <v>10.8</v>
      </c>
      <c r="K1208" t="s">
        <v>6</v>
      </c>
      <c r="L1208">
        <v>225</v>
      </c>
      <c r="M1208" t="s">
        <v>6</v>
      </c>
      <c r="O1208" s="6">
        <f t="shared" si="620"/>
        <v>45472.208333333336</v>
      </c>
      <c r="P1208">
        <f t="shared" si="621"/>
        <v>62</v>
      </c>
      <c r="Q1208">
        <f t="shared" si="622"/>
        <v>67</v>
      </c>
      <c r="R1208">
        <f t="shared" si="623"/>
        <v>54.1</v>
      </c>
      <c r="S1208">
        <f t="shared" si="624"/>
        <v>63</v>
      </c>
      <c r="V1208" s="6">
        <f t="shared" si="625"/>
        <v>45472.208333333336</v>
      </c>
      <c r="W1208">
        <f t="shared" si="626"/>
        <v>12.7</v>
      </c>
      <c r="X1208">
        <f t="shared" si="627"/>
        <v>17.100000000000001</v>
      </c>
      <c r="Y1208">
        <f t="shared" si="628"/>
        <v>10.8</v>
      </c>
      <c r="Z1208">
        <f t="shared" si="629"/>
        <v>13.7</v>
      </c>
    </row>
    <row r="1209" spans="1:26" x14ac:dyDescent="0.2">
      <c r="A1209" s="1">
        <v>45472</v>
      </c>
      <c r="B1209" s="2">
        <v>0.25</v>
      </c>
      <c r="C1209" s="6">
        <v>45472.25</v>
      </c>
      <c r="D1209">
        <v>50.2</v>
      </c>
      <c r="E1209">
        <v>60.4</v>
      </c>
      <c r="F1209">
        <v>44.5</v>
      </c>
      <c r="G1209" t="s">
        <v>6</v>
      </c>
      <c r="H1209">
        <v>14.1</v>
      </c>
      <c r="I1209">
        <v>21.6</v>
      </c>
      <c r="J1209">
        <v>11.9</v>
      </c>
      <c r="K1209" t="s">
        <v>6</v>
      </c>
      <c r="L1209">
        <v>222</v>
      </c>
      <c r="M1209" t="s">
        <v>6</v>
      </c>
      <c r="O1209" s="6">
        <f t="shared" si="620"/>
        <v>45472.25</v>
      </c>
      <c r="P1209">
        <f t="shared" si="621"/>
        <v>50.2</v>
      </c>
      <c r="Q1209">
        <f t="shared" si="622"/>
        <v>60.4</v>
      </c>
      <c r="R1209">
        <f t="shared" si="623"/>
        <v>44.5</v>
      </c>
      <c r="S1209">
        <f t="shared" si="624"/>
        <v>51.2</v>
      </c>
      <c r="V1209" s="6">
        <f t="shared" si="625"/>
        <v>45472.25</v>
      </c>
      <c r="W1209">
        <f t="shared" si="626"/>
        <v>14.1</v>
      </c>
      <c r="X1209">
        <f t="shared" si="627"/>
        <v>21.6</v>
      </c>
      <c r="Y1209">
        <f t="shared" si="628"/>
        <v>11.9</v>
      </c>
      <c r="Z1209">
        <f t="shared" si="629"/>
        <v>15.1</v>
      </c>
    </row>
    <row r="1210" spans="1:26" x14ac:dyDescent="0.2">
      <c r="A1210" s="1">
        <v>45472</v>
      </c>
      <c r="B1210" s="2">
        <v>0.29166666666666669</v>
      </c>
      <c r="C1210" s="6">
        <v>45472.291666666664</v>
      </c>
      <c r="D1210">
        <v>52.6</v>
      </c>
      <c r="E1210">
        <v>57.1</v>
      </c>
      <c r="F1210">
        <v>46.4</v>
      </c>
      <c r="G1210" t="s">
        <v>6</v>
      </c>
      <c r="H1210">
        <v>16.7</v>
      </c>
      <c r="I1210">
        <v>21</v>
      </c>
      <c r="J1210">
        <v>11.3</v>
      </c>
      <c r="K1210" t="s">
        <v>6</v>
      </c>
      <c r="L1210">
        <v>185</v>
      </c>
      <c r="M1210" t="s">
        <v>6</v>
      </c>
      <c r="O1210" s="6">
        <f t="shared" si="620"/>
        <v>45472.291666666664</v>
      </c>
      <c r="P1210">
        <f t="shared" si="621"/>
        <v>52.6</v>
      </c>
      <c r="Q1210">
        <f t="shared" si="622"/>
        <v>57.1</v>
      </c>
      <c r="R1210">
        <f t="shared" si="623"/>
        <v>46.4</v>
      </c>
      <c r="S1210">
        <f t="shared" si="624"/>
        <v>53.6</v>
      </c>
      <c r="V1210" s="6">
        <f t="shared" si="625"/>
        <v>45472.291666666664</v>
      </c>
      <c r="W1210">
        <f t="shared" si="626"/>
        <v>16.7</v>
      </c>
      <c r="X1210">
        <f t="shared" si="627"/>
        <v>21</v>
      </c>
      <c r="Y1210">
        <f t="shared" si="628"/>
        <v>11.3</v>
      </c>
      <c r="Z1210">
        <f t="shared" si="629"/>
        <v>17.7</v>
      </c>
    </row>
    <row r="1211" spans="1:26" x14ac:dyDescent="0.2">
      <c r="A1211" s="14">
        <v>45472</v>
      </c>
      <c r="B1211" s="7">
        <v>0.33333333333333331</v>
      </c>
      <c r="C1211" s="8">
        <v>45472.333333333336</v>
      </c>
      <c r="D1211" s="9">
        <v>46.8</v>
      </c>
      <c r="E1211" s="9">
        <v>46.8</v>
      </c>
      <c r="F1211" s="9">
        <v>46.8</v>
      </c>
      <c r="G1211" s="9" t="s">
        <v>6</v>
      </c>
      <c r="H1211" s="9">
        <v>11.1</v>
      </c>
      <c r="I1211" s="9">
        <v>11.2</v>
      </c>
      <c r="J1211" s="9">
        <v>11</v>
      </c>
      <c r="K1211" s="9" t="s">
        <v>6</v>
      </c>
      <c r="L1211" s="9">
        <v>2</v>
      </c>
      <c r="M1211" t="s">
        <v>6</v>
      </c>
      <c r="O1211" s="6">
        <f t="shared" si="620"/>
        <v>45472.333333333336</v>
      </c>
      <c r="P1211">
        <f t="shared" si="621"/>
        <v>46.8</v>
      </c>
      <c r="Q1211">
        <f t="shared" si="622"/>
        <v>46.8</v>
      </c>
      <c r="R1211">
        <f t="shared" si="623"/>
        <v>46.8</v>
      </c>
      <c r="S1211">
        <f t="shared" si="624"/>
        <v>47.8</v>
      </c>
      <c r="V1211" s="6">
        <f t="shared" si="625"/>
        <v>45472.333333333336</v>
      </c>
      <c r="W1211">
        <f t="shared" si="626"/>
        <v>11.1</v>
      </c>
      <c r="X1211">
        <f t="shared" si="627"/>
        <v>11.2</v>
      </c>
      <c r="Y1211">
        <f t="shared" si="628"/>
        <v>11</v>
      </c>
      <c r="Z1211">
        <f t="shared" si="629"/>
        <v>12.1</v>
      </c>
    </row>
    <row r="1212" spans="1:26" x14ac:dyDescent="0.2">
      <c r="A1212" s="13">
        <v>45472</v>
      </c>
      <c r="B1212" s="3">
        <v>0.375</v>
      </c>
      <c r="C1212" s="4">
        <v>45472.375</v>
      </c>
      <c r="D1212" s="5">
        <v>53.6</v>
      </c>
      <c r="E1212" s="5">
        <v>54.6</v>
      </c>
      <c r="F1212" s="5">
        <v>52.7</v>
      </c>
      <c r="G1212" s="5" t="s">
        <v>6</v>
      </c>
      <c r="H1212" s="5">
        <v>13.5</v>
      </c>
      <c r="I1212" s="5">
        <v>15.2</v>
      </c>
      <c r="J1212" s="5">
        <v>12.5</v>
      </c>
      <c r="K1212" s="5" t="s">
        <v>6</v>
      </c>
      <c r="L1212" s="5">
        <v>10</v>
      </c>
      <c r="M1212" t="s">
        <v>6</v>
      </c>
      <c r="O1212" s="6">
        <f t="shared" si="620"/>
        <v>45472.375</v>
      </c>
      <c r="P1212">
        <f t="shared" si="621"/>
        <v>53.6</v>
      </c>
      <c r="Q1212">
        <f t="shared" si="622"/>
        <v>54.6</v>
      </c>
      <c r="R1212">
        <f t="shared" si="623"/>
        <v>52.7</v>
      </c>
      <c r="S1212">
        <f t="shared" si="624"/>
        <v>54.6</v>
      </c>
      <c r="V1212" s="6">
        <f t="shared" si="625"/>
        <v>45472.375</v>
      </c>
      <c r="W1212">
        <f t="shared" si="626"/>
        <v>13.5</v>
      </c>
      <c r="X1212">
        <f t="shared" si="627"/>
        <v>15.2</v>
      </c>
      <c r="Y1212">
        <f t="shared" si="628"/>
        <v>12.5</v>
      </c>
      <c r="Z1212">
        <f t="shared" si="629"/>
        <v>14.5</v>
      </c>
    </row>
    <row r="1213" spans="1:26" x14ac:dyDescent="0.2">
      <c r="A1213" s="1">
        <v>45472</v>
      </c>
      <c r="B1213" s="2">
        <v>0.41666666666666669</v>
      </c>
      <c r="C1213" s="6">
        <v>45472.416666666664</v>
      </c>
      <c r="D1213">
        <v>64.900000000000006</v>
      </c>
      <c r="E1213">
        <v>65.099999999999994</v>
      </c>
      <c r="F1213">
        <v>64.7</v>
      </c>
      <c r="G1213" t="s">
        <v>6</v>
      </c>
      <c r="H1213">
        <v>11.6</v>
      </c>
      <c r="I1213">
        <v>11.9</v>
      </c>
      <c r="J1213">
        <v>11.2</v>
      </c>
      <c r="K1213" t="s">
        <v>6</v>
      </c>
      <c r="L1213">
        <v>4</v>
      </c>
      <c r="M1213" t="s">
        <v>6</v>
      </c>
      <c r="O1213" s="6">
        <f t="shared" si="620"/>
        <v>45472.416666666664</v>
      </c>
      <c r="P1213">
        <f t="shared" si="621"/>
        <v>64.900000000000006</v>
      </c>
      <c r="Q1213">
        <f t="shared" si="622"/>
        <v>65.099999999999994</v>
      </c>
      <c r="R1213">
        <f t="shared" si="623"/>
        <v>64.7</v>
      </c>
      <c r="S1213">
        <f t="shared" si="624"/>
        <v>65.900000000000006</v>
      </c>
      <c r="V1213" s="6">
        <f t="shared" si="625"/>
        <v>45472.416666666664</v>
      </c>
      <c r="W1213">
        <f t="shared" si="626"/>
        <v>11.6</v>
      </c>
      <c r="X1213">
        <f t="shared" si="627"/>
        <v>11.9</v>
      </c>
      <c r="Y1213">
        <f t="shared" si="628"/>
        <v>11.2</v>
      </c>
      <c r="Z1213">
        <f t="shared" si="629"/>
        <v>12.6</v>
      </c>
    </row>
    <row r="1214" spans="1:26" x14ac:dyDescent="0.2">
      <c r="A1214" s="1">
        <v>45472</v>
      </c>
      <c r="B1214" s="2">
        <v>0.70833333333333337</v>
      </c>
      <c r="C1214" s="6">
        <v>45472.708333333336</v>
      </c>
      <c r="D1214">
        <v>62.5</v>
      </c>
      <c r="E1214">
        <v>65.400000000000006</v>
      </c>
      <c r="F1214">
        <v>60.2</v>
      </c>
      <c r="G1214" t="s">
        <v>6</v>
      </c>
      <c r="H1214">
        <v>13.5</v>
      </c>
      <c r="I1214">
        <v>16.100000000000001</v>
      </c>
      <c r="J1214">
        <v>11.6</v>
      </c>
      <c r="K1214" t="s">
        <v>6</v>
      </c>
      <c r="L1214">
        <v>18</v>
      </c>
      <c r="M1214" t="s">
        <v>6</v>
      </c>
      <c r="O1214" s="6">
        <f t="shared" si="620"/>
        <v>45472.708333333336</v>
      </c>
      <c r="P1214">
        <f t="shared" si="621"/>
        <v>62.5</v>
      </c>
      <c r="Q1214">
        <f t="shared" si="622"/>
        <v>65.400000000000006</v>
      </c>
      <c r="R1214">
        <f t="shared" si="623"/>
        <v>60.2</v>
      </c>
      <c r="S1214">
        <f t="shared" si="624"/>
        <v>63.5</v>
      </c>
      <c r="V1214" s="6">
        <f t="shared" si="625"/>
        <v>45472.708333333336</v>
      </c>
      <c r="W1214">
        <f t="shared" si="626"/>
        <v>13.5</v>
      </c>
      <c r="X1214">
        <f t="shared" si="627"/>
        <v>16.100000000000001</v>
      </c>
      <c r="Y1214">
        <f t="shared" si="628"/>
        <v>11.6</v>
      </c>
      <c r="Z1214">
        <f t="shared" si="629"/>
        <v>14.5</v>
      </c>
    </row>
    <row r="1215" spans="1:26" x14ac:dyDescent="0.2">
      <c r="A1215" s="1">
        <v>45472</v>
      </c>
      <c r="B1215" s="2">
        <v>0.75</v>
      </c>
      <c r="C1215" s="6">
        <v>45472.75</v>
      </c>
      <c r="D1215">
        <v>56.6</v>
      </c>
      <c r="E1215">
        <v>62</v>
      </c>
      <c r="F1215">
        <v>52.9</v>
      </c>
      <c r="G1215" t="s">
        <v>6</v>
      </c>
      <c r="H1215">
        <v>18.100000000000001</v>
      </c>
      <c r="I1215">
        <v>24.3</v>
      </c>
      <c r="J1215">
        <v>13.2</v>
      </c>
      <c r="K1215" t="s">
        <v>6</v>
      </c>
      <c r="L1215">
        <v>153</v>
      </c>
      <c r="M1215" t="s">
        <v>6</v>
      </c>
      <c r="O1215" s="6">
        <f t="shared" si="620"/>
        <v>45472.75</v>
      </c>
      <c r="P1215">
        <f t="shared" si="621"/>
        <v>56.6</v>
      </c>
      <c r="Q1215">
        <f t="shared" si="622"/>
        <v>62</v>
      </c>
      <c r="R1215">
        <f t="shared" si="623"/>
        <v>52.9</v>
      </c>
      <c r="S1215">
        <f t="shared" si="624"/>
        <v>57.6</v>
      </c>
      <c r="V1215" s="6">
        <f t="shared" si="625"/>
        <v>45472.75</v>
      </c>
      <c r="W1215">
        <f t="shared" si="626"/>
        <v>18.100000000000001</v>
      </c>
      <c r="X1215">
        <f t="shared" si="627"/>
        <v>24.3</v>
      </c>
      <c r="Y1215">
        <f t="shared" si="628"/>
        <v>13.2</v>
      </c>
      <c r="Z1215">
        <f t="shared" si="629"/>
        <v>19.100000000000001</v>
      </c>
    </row>
    <row r="1216" spans="1:26" x14ac:dyDescent="0.2">
      <c r="A1216" s="14">
        <v>45472</v>
      </c>
      <c r="B1216" s="7">
        <v>0.79166666666666663</v>
      </c>
      <c r="C1216" s="8">
        <v>45472.791666666664</v>
      </c>
      <c r="D1216" s="9">
        <v>54.7</v>
      </c>
      <c r="E1216" s="9">
        <v>55.4</v>
      </c>
      <c r="F1216" s="9">
        <v>54.1</v>
      </c>
      <c r="G1216" s="9" t="s">
        <v>6</v>
      </c>
      <c r="H1216" s="9">
        <v>18.100000000000001</v>
      </c>
      <c r="I1216" s="9">
        <v>19.8</v>
      </c>
      <c r="J1216" s="9">
        <v>15.4</v>
      </c>
      <c r="K1216" s="9" t="s">
        <v>6</v>
      </c>
      <c r="L1216" s="9">
        <v>5</v>
      </c>
      <c r="M1216" t="s">
        <v>6</v>
      </c>
      <c r="O1216" s="6">
        <f t="shared" ref="O1216:O1219" si="630">C1216</f>
        <v>45472.791666666664</v>
      </c>
      <c r="P1216">
        <f t="shared" ref="P1216:P1219" si="631">D1216</f>
        <v>54.7</v>
      </c>
      <c r="Q1216">
        <f t="shared" ref="Q1216:Q1219" si="632">E1216</f>
        <v>55.4</v>
      </c>
      <c r="R1216">
        <f t="shared" ref="R1216:R1219" si="633">F1216</f>
        <v>54.1</v>
      </c>
      <c r="S1216">
        <f t="shared" ref="S1216:S1219" si="634">P1216+1</f>
        <v>55.7</v>
      </c>
      <c r="V1216" s="6">
        <f t="shared" ref="V1216:V1219" si="635">O1216</f>
        <v>45472.791666666664</v>
      </c>
      <c r="W1216">
        <f t="shared" ref="W1216:W1219" si="636">H1216</f>
        <v>18.100000000000001</v>
      </c>
      <c r="X1216">
        <f t="shared" ref="X1216:X1219" si="637">I1216</f>
        <v>19.8</v>
      </c>
      <c r="Y1216">
        <f t="shared" ref="Y1216:Y1219" si="638">J1216</f>
        <v>15.4</v>
      </c>
      <c r="Z1216">
        <f t="shared" ref="Z1216:Z1219" si="639">W1216+1</f>
        <v>19.100000000000001</v>
      </c>
    </row>
    <row r="1217" spans="1:26" x14ac:dyDescent="0.2">
      <c r="A1217" s="13">
        <v>45473</v>
      </c>
      <c r="B1217" s="3">
        <v>0.58333333333333337</v>
      </c>
      <c r="C1217" s="4">
        <v>45473.583333333336</v>
      </c>
      <c r="D1217" s="5">
        <v>69.099999999999994</v>
      </c>
      <c r="E1217" s="5">
        <v>70.3</v>
      </c>
      <c r="F1217" s="5">
        <v>67.900000000000006</v>
      </c>
      <c r="G1217" s="5" t="s">
        <v>6</v>
      </c>
      <c r="H1217" s="5">
        <v>12.2</v>
      </c>
      <c r="I1217" s="5">
        <v>12.5</v>
      </c>
      <c r="J1217" s="5">
        <v>11.9</v>
      </c>
      <c r="K1217" s="5" t="s">
        <v>6</v>
      </c>
      <c r="L1217" s="5">
        <v>2</v>
      </c>
      <c r="M1217" t="s">
        <v>6</v>
      </c>
      <c r="O1217" s="6">
        <f t="shared" si="630"/>
        <v>45473.583333333336</v>
      </c>
      <c r="P1217">
        <f t="shared" si="631"/>
        <v>69.099999999999994</v>
      </c>
      <c r="Q1217">
        <f t="shared" si="632"/>
        <v>70.3</v>
      </c>
      <c r="R1217">
        <f t="shared" si="633"/>
        <v>67.900000000000006</v>
      </c>
      <c r="S1217">
        <f t="shared" si="634"/>
        <v>70.099999999999994</v>
      </c>
      <c r="V1217" s="6">
        <f t="shared" si="635"/>
        <v>45473.583333333336</v>
      </c>
      <c r="W1217">
        <f t="shared" si="636"/>
        <v>12.2</v>
      </c>
      <c r="X1217">
        <f t="shared" si="637"/>
        <v>12.5</v>
      </c>
      <c r="Y1217">
        <f t="shared" si="638"/>
        <v>11.9</v>
      </c>
      <c r="Z1217">
        <f t="shared" si="639"/>
        <v>13.2</v>
      </c>
    </row>
    <row r="1218" spans="1:26" x14ac:dyDescent="0.2">
      <c r="A1218" s="1">
        <v>45473</v>
      </c>
      <c r="B1218" s="2">
        <v>0.625</v>
      </c>
      <c r="C1218" s="6">
        <v>45473.625</v>
      </c>
      <c r="D1218">
        <v>50.6</v>
      </c>
      <c r="E1218">
        <v>50.8</v>
      </c>
      <c r="F1218">
        <v>50.1</v>
      </c>
      <c r="G1218" t="s">
        <v>6</v>
      </c>
      <c r="H1218">
        <v>19.2</v>
      </c>
      <c r="I1218">
        <v>20.3</v>
      </c>
      <c r="J1218">
        <v>16.899999999999999</v>
      </c>
      <c r="K1218" t="s">
        <v>6</v>
      </c>
      <c r="L1218">
        <v>7</v>
      </c>
      <c r="M1218" t="s">
        <v>6</v>
      </c>
      <c r="O1218" s="6">
        <f t="shared" si="630"/>
        <v>45473.625</v>
      </c>
      <c r="P1218">
        <f t="shared" si="631"/>
        <v>50.6</v>
      </c>
      <c r="Q1218">
        <f t="shared" si="632"/>
        <v>50.8</v>
      </c>
      <c r="R1218">
        <f t="shared" si="633"/>
        <v>50.1</v>
      </c>
      <c r="S1218">
        <f t="shared" si="634"/>
        <v>51.6</v>
      </c>
      <c r="V1218" s="6">
        <f t="shared" si="635"/>
        <v>45473.625</v>
      </c>
      <c r="W1218">
        <f t="shared" si="636"/>
        <v>19.2</v>
      </c>
      <c r="X1218">
        <f t="shared" si="637"/>
        <v>20.3</v>
      </c>
      <c r="Y1218">
        <f t="shared" si="638"/>
        <v>16.899999999999999</v>
      </c>
      <c r="Z1218">
        <f t="shared" si="639"/>
        <v>20.2</v>
      </c>
    </row>
    <row r="1219" spans="1:26" x14ac:dyDescent="0.2">
      <c r="A1219" s="14">
        <v>45473</v>
      </c>
      <c r="B1219" s="7">
        <v>0.75</v>
      </c>
      <c r="C1219" s="8">
        <v>45473.75</v>
      </c>
      <c r="D1219" s="9">
        <v>59.3</v>
      </c>
      <c r="E1219" s="9">
        <v>60.7</v>
      </c>
      <c r="F1219" s="9">
        <v>56.9</v>
      </c>
      <c r="G1219" s="9" t="s">
        <v>6</v>
      </c>
      <c r="H1219" s="9">
        <v>13.1</v>
      </c>
      <c r="I1219" s="9">
        <v>16.899999999999999</v>
      </c>
      <c r="J1219" s="9">
        <v>11.4</v>
      </c>
      <c r="K1219" s="9" t="s">
        <v>6</v>
      </c>
      <c r="L1219" s="9">
        <v>19</v>
      </c>
      <c r="M1219" t="s">
        <v>6</v>
      </c>
      <c r="O1219" s="6">
        <f t="shared" si="630"/>
        <v>45473.75</v>
      </c>
      <c r="P1219">
        <f t="shared" si="631"/>
        <v>59.3</v>
      </c>
      <c r="Q1219">
        <f t="shared" si="632"/>
        <v>60.7</v>
      </c>
      <c r="R1219">
        <f t="shared" si="633"/>
        <v>56.9</v>
      </c>
      <c r="S1219">
        <f t="shared" si="634"/>
        <v>60.3</v>
      </c>
      <c r="V1219" s="6">
        <f t="shared" si="635"/>
        <v>45473.75</v>
      </c>
      <c r="W1219">
        <f t="shared" si="636"/>
        <v>13.1</v>
      </c>
      <c r="X1219">
        <f t="shared" si="637"/>
        <v>16.899999999999999</v>
      </c>
      <c r="Y1219">
        <f t="shared" si="638"/>
        <v>11.4</v>
      </c>
      <c r="Z1219">
        <f t="shared" si="639"/>
        <v>14.1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934297-0122 J.LivRm_PVitalsag_2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WayneH</dc:creator>
  <cp:lastModifiedBy>Saj G</cp:lastModifiedBy>
  <dcterms:modified xsi:type="dcterms:W3CDTF">2024-07-17T01:00:38Z</dcterms:modified>
</cp:coreProperties>
</file>