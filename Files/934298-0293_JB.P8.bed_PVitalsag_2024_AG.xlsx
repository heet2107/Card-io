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jolghoshal-m3/Documents/ATS/Technology/Data_Analysis/PAM Health - JB Patient with medication change/"/>
    </mc:Choice>
  </mc:AlternateContent>
  <xr:revisionPtr revIDLastSave="0" documentId="13_ncr:1_{EA7E86D5-0B2C-8244-ADA7-1CD330E58C09}" xr6:coauthVersionLast="47" xr6:coauthVersionMax="47" xr10:uidLastSave="{00000000-0000-0000-0000-000000000000}"/>
  <bookViews>
    <workbookView xWindow="3700" yWindow="760" windowWidth="30860" windowHeight="18720" xr2:uid="{00000000-000D-0000-FFFF-FFFF00000000}"/>
  </bookViews>
  <sheets>
    <sheet name="934297-0122 J.LivRm_PVitalsag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1" l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P46" i="1"/>
  <c r="P55" i="1"/>
  <c r="P86" i="1"/>
  <c r="O23" i="1"/>
  <c r="P66" i="1"/>
  <c r="P98" i="1"/>
  <c r="P33" i="1"/>
  <c r="O14" i="1"/>
  <c r="O82" i="1"/>
  <c r="P13" i="1"/>
  <c r="O111" i="1"/>
  <c r="O80" i="1"/>
  <c r="P7" i="1"/>
  <c r="O71" i="1"/>
  <c r="P36" i="1"/>
  <c r="P72" i="1"/>
  <c r="P65" i="1"/>
  <c r="O46" i="1"/>
  <c r="O13" i="1"/>
  <c r="O9" i="1"/>
  <c r="O60" i="1"/>
  <c r="P79" i="1"/>
  <c r="P25" i="1"/>
  <c r="O10" i="1"/>
  <c r="P87" i="1"/>
  <c r="P74" i="1"/>
  <c r="O68" i="1"/>
  <c r="O109" i="1"/>
  <c r="O101" i="1"/>
  <c r="P70" i="1"/>
  <c r="O108" i="1"/>
  <c r="P75" i="1"/>
  <c r="P9" i="1"/>
  <c r="P96" i="1"/>
  <c r="P30" i="1"/>
  <c r="P21" i="1"/>
  <c r="O89" i="1"/>
  <c r="P3" i="1"/>
  <c r="P88" i="1"/>
  <c r="O96" i="1"/>
  <c r="P110" i="1"/>
  <c r="O52" i="1"/>
  <c r="O33" i="1"/>
  <c r="P89" i="1"/>
  <c r="P83" i="1"/>
  <c r="O39" i="1"/>
  <c r="O12" i="1"/>
  <c r="O3" i="1"/>
  <c r="O81" i="1"/>
  <c r="P94" i="1"/>
  <c r="O48" i="1"/>
  <c r="P17" i="1"/>
  <c r="P61" i="1"/>
  <c r="P95" i="1"/>
  <c r="O85" i="1"/>
  <c r="O54" i="1"/>
  <c r="O115" i="1"/>
  <c r="O59" i="1"/>
  <c r="P19" i="1"/>
  <c r="O49" i="1"/>
  <c r="P64" i="1"/>
  <c r="P60" i="1"/>
  <c r="O112" i="1"/>
  <c r="O8" i="1"/>
  <c r="P115" i="1"/>
  <c r="O84" i="1"/>
  <c r="P59" i="1"/>
  <c r="P81" i="1"/>
  <c r="O44" i="1"/>
  <c r="P43" i="1"/>
  <c r="P15" i="1"/>
  <c r="P111" i="1"/>
  <c r="O6" i="1"/>
  <c r="P41" i="1"/>
  <c r="O35" i="1"/>
  <c r="O90" i="1"/>
  <c r="O47" i="1"/>
  <c r="O42" i="1"/>
  <c r="O102" i="1"/>
  <c r="P18" i="1"/>
  <c r="O22" i="1"/>
  <c r="P49" i="1"/>
  <c r="O93" i="1"/>
  <c r="P56" i="1"/>
  <c r="P63" i="1"/>
  <c r="P99" i="1"/>
  <c r="O70" i="1"/>
  <c r="O25" i="1"/>
  <c r="P12" i="1"/>
  <c r="O11" i="1"/>
  <c r="P114" i="1"/>
  <c r="P24" i="1"/>
  <c r="O64" i="1"/>
  <c r="O43" i="1"/>
  <c r="P5" i="1"/>
  <c r="O103" i="1"/>
  <c r="P102" i="1"/>
  <c r="P6" i="1"/>
  <c r="O86" i="1"/>
  <c r="P39" i="1"/>
  <c r="O28" i="1"/>
  <c r="P78" i="1"/>
  <c r="P16" i="1"/>
  <c r="P71" i="1"/>
  <c r="P85" i="1"/>
  <c r="P109" i="1"/>
  <c r="P100" i="1"/>
  <c r="P84" i="1"/>
  <c r="P8" i="1"/>
  <c r="O19" i="1"/>
  <c r="O63" i="1"/>
  <c r="P57" i="1"/>
  <c r="P104" i="1"/>
  <c r="O61" i="1"/>
  <c r="O79" i="1"/>
  <c r="P69" i="1"/>
  <c r="P53" i="1"/>
  <c r="O29" i="1"/>
  <c r="O105" i="1"/>
  <c r="O24" i="1"/>
  <c r="P50" i="1"/>
  <c r="P22" i="1"/>
  <c r="P35" i="1"/>
  <c r="O32" i="1"/>
  <c r="P108" i="1"/>
  <c r="O36" i="1"/>
  <c r="O104" i="1"/>
  <c r="O87" i="1"/>
  <c r="O51" i="1"/>
  <c r="O31" i="1"/>
  <c r="O17" i="1"/>
  <c r="O72" i="1"/>
  <c r="O4" i="1"/>
  <c r="O113" i="1"/>
  <c r="O38" i="1"/>
  <c r="P80" i="1"/>
  <c r="P38" i="1"/>
  <c r="O30" i="1"/>
  <c r="O97" i="1"/>
  <c r="O16" i="1"/>
  <c r="P32" i="1"/>
  <c r="P11" i="1"/>
  <c r="P90" i="1"/>
  <c r="O65" i="1"/>
  <c r="P42" i="1"/>
  <c r="O67" i="1"/>
  <c r="P52" i="1"/>
  <c r="O50" i="1"/>
  <c r="O88" i="1"/>
  <c r="O18" i="1"/>
  <c r="P112" i="1"/>
  <c r="P34" i="1"/>
  <c r="O55" i="1"/>
  <c r="O95" i="1"/>
  <c r="O53" i="1"/>
  <c r="P77" i="1"/>
  <c r="O99" i="1"/>
  <c r="O56" i="1"/>
  <c r="O26" i="1"/>
  <c r="O110" i="1"/>
  <c r="O74" i="1"/>
  <c r="P76" i="1"/>
  <c r="P20" i="1"/>
  <c r="P73" i="1"/>
  <c r="P105" i="1"/>
  <c r="O114" i="1"/>
  <c r="P23" i="1"/>
  <c r="P31" i="1"/>
  <c r="O15" i="1"/>
  <c r="O7" i="1"/>
  <c r="O91" i="1"/>
  <c r="P93" i="1"/>
  <c r="P82" i="1"/>
  <c r="P68" i="1"/>
  <c r="P40" i="1"/>
  <c r="O41" i="1"/>
  <c r="O92" i="1"/>
  <c r="P47" i="1"/>
  <c r="P91" i="1"/>
  <c r="P106" i="1"/>
  <c r="O57" i="1"/>
  <c r="O100" i="1"/>
  <c r="O40" i="1"/>
  <c r="P97" i="1"/>
  <c r="O98" i="1"/>
  <c r="O75" i="1"/>
  <c r="P14" i="1"/>
  <c r="O77" i="1"/>
  <c r="O37" i="1"/>
  <c r="O34" i="1"/>
  <c r="O21" i="1"/>
  <c r="O83" i="1"/>
  <c r="P67" i="1"/>
  <c r="P62" i="1"/>
  <c r="O5" i="1"/>
  <c r="P103" i="1"/>
  <c r="O94" i="1"/>
  <c r="O66" i="1"/>
  <c r="O62" i="1"/>
  <c r="P29" i="1"/>
  <c r="O76" i="1"/>
  <c r="P92" i="1"/>
  <c r="O69" i="1"/>
  <c r="P107" i="1"/>
  <c r="P113" i="1"/>
  <c r="O106" i="1"/>
  <c r="O20" i="1"/>
  <c r="P10" i="1"/>
  <c r="P45" i="1"/>
  <c r="P44" i="1"/>
  <c r="P4" i="1"/>
  <c r="O73" i="1"/>
  <c r="O45" i="1"/>
  <c r="P58" i="1"/>
  <c r="P37" i="1"/>
  <c r="P54" i="1"/>
  <c r="P51" i="1"/>
  <c r="P26" i="1"/>
  <c r="P101" i="1"/>
  <c r="P48" i="1"/>
  <c r="O78" i="1"/>
  <c r="O58" i="1"/>
  <c r="P28" i="1"/>
  <c r="O107" i="1"/>
  <c r="T49" i="1" l="1"/>
  <c r="AA6" i="1"/>
  <c r="R29" i="1"/>
  <c r="Y43" i="1"/>
  <c r="S24" i="1"/>
  <c r="T86" i="1"/>
  <c r="Y84" i="1"/>
  <c r="T68" i="1"/>
  <c r="S81" i="1"/>
  <c r="Z111" i="1"/>
  <c r="R69" i="1"/>
  <c r="Z43" i="1"/>
  <c r="S66" i="1"/>
  <c r="Y13" i="1"/>
  <c r="S71" i="1"/>
  <c r="R54" i="1"/>
  <c r="S30" i="1"/>
  <c r="S105" i="1"/>
  <c r="S82" i="1"/>
  <c r="Z83" i="1"/>
  <c r="Y73" i="1"/>
  <c r="R115" i="1"/>
  <c r="AA93" i="1"/>
  <c r="Y103" i="1"/>
  <c r="Y40" i="1"/>
  <c r="AA78" i="1"/>
  <c r="T103" i="1"/>
  <c r="Y51" i="1"/>
  <c r="S92" i="1"/>
  <c r="Y56" i="1"/>
  <c r="Y91" i="1"/>
  <c r="S47" i="1"/>
  <c r="Y99" i="1"/>
  <c r="Z90" i="1"/>
  <c r="AA102" i="1"/>
  <c r="T93" i="1"/>
  <c r="S77" i="1"/>
  <c r="S78" i="1"/>
  <c r="AA32" i="1"/>
  <c r="Y41" i="1"/>
  <c r="Y111" i="1"/>
  <c r="Y85" i="1"/>
  <c r="Z66" i="1"/>
  <c r="AA63" i="1"/>
  <c r="AA71" i="1"/>
  <c r="R84" i="1"/>
  <c r="T47" i="1"/>
  <c r="Y45" i="1"/>
  <c r="R42" i="1"/>
  <c r="AA45" i="1"/>
  <c r="S14" i="1"/>
  <c r="T111" i="1"/>
  <c r="S19" i="1"/>
  <c r="S51" i="1"/>
  <c r="Z96" i="1"/>
  <c r="Z89" i="1"/>
  <c r="R70" i="1"/>
  <c r="S6" i="1"/>
  <c r="Y69" i="1"/>
  <c r="AA60" i="1"/>
  <c r="S58" i="1"/>
  <c r="Z109" i="1"/>
  <c r="T18" i="1"/>
  <c r="S67" i="1"/>
  <c r="AA115" i="1"/>
  <c r="S57" i="1"/>
  <c r="T104" i="1"/>
  <c r="AA24" i="1"/>
  <c r="Z41" i="1"/>
  <c r="Z10" i="1"/>
  <c r="T12" i="1"/>
  <c r="Y62" i="1"/>
  <c r="T115" i="1"/>
  <c r="AA40" i="1"/>
  <c r="T35" i="1"/>
  <c r="Z106" i="1"/>
  <c r="Z79" i="1"/>
  <c r="T36" i="1"/>
  <c r="AA7" i="1"/>
  <c r="T17" i="1"/>
  <c r="Y109" i="1"/>
  <c r="T41" i="1"/>
  <c r="Z81" i="1"/>
  <c r="S49" i="1"/>
  <c r="R36" i="1"/>
  <c r="AA86" i="1"/>
  <c r="S108" i="1"/>
  <c r="AA36" i="1"/>
  <c r="Y52" i="1"/>
  <c r="Z30" i="1"/>
  <c r="Z112" i="1"/>
  <c r="AA43" i="1"/>
  <c r="R92" i="1"/>
  <c r="Z3" i="1"/>
  <c r="R78" i="1"/>
  <c r="AA39" i="1"/>
  <c r="R67" i="1"/>
  <c r="S80" i="1"/>
  <c r="R37" i="1"/>
  <c r="R49" i="1"/>
  <c r="S21" i="1"/>
  <c r="T44" i="1"/>
  <c r="Y7" i="1"/>
  <c r="T28" i="1"/>
  <c r="Y105" i="1"/>
  <c r="T83" i="1"/>
  <c r="AA107" i="1"/>
  <c r="T80" i="1"/>
  <c r="S87" i="1"/>
  <c r="Y44" i="1"/>
  <c r="R89" i="1"/>
  <c r="Z105" i="1"/>
  <c r="S22" i="1"/>
  <c r="T74" i="1"/>
  <c r="T77" i="1"/>
  <c r="S103" i="1"/>
  <c r="Y67" i="1"/>
  <c r="T84" i="1"/>
  <c r="T52" i="1"/>
  <c r="R35" i="1"/>
  <c r="R80" i="1"/>
  <c r="R45" i="1"/>
  <c r="Y77" i="1"/>
  <c r="T62" i="1"/>
  <c r="T98" i="1"/>
  <c r="Z31" i="1"/>
  <c r="R111" i="1"/>
  <c r="R72" i="1"/>
  <c r="S111" i="1"/>
  <c r="Z23" i="1"/>
  <c r="Z70" i="1"/>
  <c r="Y72" i="1"/>
  <c r="Z91" i="1"/>
  <c r="R47" i="1"/>
  <c r="Y101" i="1"/>
  <c r="T90" i="1"/>
  <c r="S29" i="1"/>
  <c r="R58" i="1"/>
  <c r="T61" i="1"/>
  <c r="AA74" i="1"/>
  <c r="Y20" i="1"/>
  <c r="Y23" i="1"/>
  <c r="AA100" i="1"/>
  <c r="AA66" i="1"/>
  <c r="Y58" i="1"/>
  <c r="Z33" i="1"/>
  <c r="S28" i="1"/>
  <c r="R10" i="1"/>
  <c r="T60" i="1"/>
  <c r="Y10" i="1"/>
  <c r="R43" i="1"/>
  <c r="T63" i="1"/>
  <c r="AA10" i="1"/>
  <c r="AA37" i="1"/>
  <c r="Z54" i="1"/>
  <c r="Z104" i="1"/>
  <c r="T82" i="1"/>
  <c r="T87" i="1"/>
  <c r="Z62" i="1"/>
  <c r="S16" i="1"/>
  <c r="Y24" i="1"/>
  <c r="S90" i="1"/>
  <c r="AA75" i="1"/>
  <c r="R94" i="1"/>
  <c r="R44" i="1"/>
  <c r="Z14" i="1"/>
  <c r="R77" i="1"/>
  <c r="S48" i="1"/>
  <c r="T56" i="1"/>
  <c r="AA101" i="1"/>
  <c r="AA26" i="1"/>
  <c r="S104" i="1"/>
  <c r="AA106" i="1"/>
  <c r="Y25" i="1"/>
  <c r="R7" i="1"/>
  <c r="Z92" i="1"/>
  <c r="R15" i="1"/>
  <c r="AA96" i="1"/>
  <c r="S61" i="1"/>
  <c r="T14" i="1"/>
  <c r="S50" i="1"/>
  <c r="S91" i="1"/>
  <c r="R99" i="1"/>
  <c r="T110" i="1"/>
  <c r="Z46" i="1"/>
  <c r="T16" i="1"/>
  <c r="AA105" i="1"/>
  <c r="Z103" i="1"/>
  <c r="T38" i="1"/>
  <c r="Z76" i="1"/>
  <c r="S46" i="1"/>
  <c r="Z87" i="1"/>
  <c r="Z17" i="1"/>
  <c r="T99" i="1"/>
  <c r="T106" i="1"/>
  <c r="R81" i="1"/>
  <c r="Y88" i="1"/>
  <c r="S65" i="1"/>
  <c r="S93" i="1"/>
  <c r="T88" i="1"/>
  <c r="Y112" i="1"/>
  <c r="S5" i="1"/>
  <c r="Y34" i="1"/>
  <c r="R3" i="1"/>
  <c r="S85" i="1"/>
  <c r="Z48" i="1"/>
  <c r="AA103" i="1"/>
  <c r="R12" i="1"/>
  <c r="Z21" i="1"/>
  <c r="AA30" i="1"/>
  <c r="AA48" i="1"/>
  <c r="R50" i="1"/>
  <c r="Y49" i="1"/>
  <c r="Z72" i="1"/>
  <c r="AA25" i="1"/>
  <c r="Y104" i="1"/>
  <c r="R71" i="1"/>
  <c r="AA94" i="1"/>
  <c r="Y80" i="1"/>
  <c r="R33" i="1"/>
  <c r="T76" i="1"/>
  <c r="Z51" i="1"/>
  <c r="Y87" i="1"/>
  <c r="Z5" i="1"/>
  <c r="R82" i="1"/>
  <c r="Z11" i="1"/>
  <c r="S98" i="1"/>
  <c r="T85" i="1"/>
  <c r="AA62" i="1"/>
  <c r="T107" i="1"/>
  <c r="T24" i="1"/>
  <c r="AA44" i="1"/>
  <c r="Y32" i="1"/>
  <c r="T89" i="1"/>
  <c r="T45" i="1"/>
  <c r="Z34" i="1"/>
  <c r="AA28" i="1"/>
  <c r="AA113" i="1"/>
  <c r="Z36" i="1"/>
  <c r="R62" i="1"/>
  <c r="Z86" i="1"/>
  <c r="S59" i="1"/>
  <c r="T50" i="1"/>
  <c r="R91" i="1"/>
  <c r="AA9" i="1"/>
  <c r="Z6" i="1"/>
  <c r="T31" i="1"/>
  <c r="S3" i="1"/>
  <c r="R114" i="1"/>
  <c r="Y96" i="1"/>
  <c r="AA110" i="1"/>
  <c r="S10" i="1"/>
  <c r="AA33" i="1"/>
  <c r="Y5" i="1"/>
  <c r="T39" i="1"/>
  <c r="Y33" i="1"/>
  <c r="AA42" i="1"/>
  <c r="T69" i="1"/>
  <c r="T20" i="1"/>
  <c r="Z22" i="1"/>
  <c r="T8" i="1"/>
  <c r="R21" i="1"/>
  <c r="T42" i="1"/>
  <c r="Z13" i="1"/>
  <c r="R74" i="1"/>
  <c r="AA29" i="1"/>
  <c r="S110" i="1"/>
  <c r="Y4" i="1"/>
  <c r="Y66" i="1"/>
  <c r="S8" i="1"/>
  <c r="R30" i="1"/>
  <c r="Z7" i="1"/>
  <c r="R24" i="1"/>
  <c r="R100" i="1"/>
  <c r="AA95" i="1"/>
  <c r="S31" i="1"/>
  <c r="AA12" i="1"/>
  <c r="Y53" i="1"/>
  <c r="Y42" i="1"/>
  <c r="Z67" i="1"/>
  <c r="Z98" i="1"/>
  <c r="Z59" i="1"/>
  <c r="Y70" i="1"/>
  <c r="R105" i="1"/>
  <c r="AA5" i="1"/>
  <c r="R73" i="1"/>
  <c r="Y55" i="1"/>
  <c r="Z99" i="1"/>
  <c r="Z78" i="1"/>
  <c r="AA59" i="1"/>
  <c r="T72" i="1"/>
  <c r="S84" i="1"/>
  <c r="R109" i="1"/>
  <c r="S72" i="1"/>
  <c r="AA4" i="1"/>
  <c r="R6" i="1"/>
  <c r="Z75" i="1"/>
  <c r="Z25" i="1"/>
  <c r="R22" i="1"/>
  <c r="Z45" i="1"/>
  <c r="Y108" i="1"/>
  <c r="AA19" i="1"/>
  <c r="T70" i="1"/>
  <c r="R110" i="1"/>
  <c r="R113" i="1"/>
  <c r="S68" i="1"/>
  <c r="R93" i="1"/>
  <c r="R23" i="1"/>
  <c r="S53" i="1"/>
  <c r="AA109" i="1"/>
  <c r="Y89" i="1"/>
  <c r="Z19" i="1"/>
  <c r="S97" i="1"/>
  <c r="S70" i="1"/>
  <c r="AA14" i="1"/>
  <c r="Z61" i="1"/>
  <c r="AA23" i="1"/>
  <c r="S12" i="1"/>
  <c r="Z38" i="1"/>
  <c r="S99" i="1"/>
  <c r="Z115" i="1"/>
  <c r="AA56" i="1"/>
  <c r="S101" i="1"/>
  <c r="AA57" i="1"/>
  <c r="S69" i="1"/>
  <c r="AA89" i="1"/>
  <c r="AA22" i="1"/>
  <c r="T97" i="1"/>
  <c r="S37" i="1"/>
  <c r="AA20" i="1"/>
  <c r="Y14" i="1"/>
  <c r="Z73" i="1"/>
  <c r="Y19" i="1"/>
  <c r="T51" i="1"/>
  <c r="AA34" i="1"/>
  <c r="Y17" i="1"/>
  <c r="Y98" i="1"/>
  <c r="AA65" i="1"/>
  <c r="T58" i="1"/>
  <c r="T29" i="1"/>
  <c r="T19" i="1"/>
  <c r="AA112" i="1"/>
  <c r="Y107" i="1"/>
  <c r="Z29" i="1"/>
  <c r="Y71" i="1"/>
  <c r="Y47" i="1"/>
  <c r="T100" i="1"/>
  <c r="T101" i="1"/>
  <c r="R83" i="1"/>
  <c r="R11" i="1"/>
  <c r="Y61" i="1"/>
  <c r="R55" i="1"/>
  <c r="T112" i="1"/>
  <c r="Y115" i="1"/>
  <c r="T4" i="1"/>
  <c r="S113" i="1"/>
  <c r="AA85" i="1"/>
  <c r="Z15" i="1"/>
  <c r="R8" i="1"/>
  <c r="Y38" i="1"/>
  <c r="R97" i="1"/>
  <c r="AA3" i="1"/>
  <c r="R96" i="1"/>
  <c r="Z32" i="1"/>
  <c r="Z26" i="1"/>
  <c r="Y76" i="1"/>
  <c r="S43" i="1"/>
  <c r="AA83" i="1"/>
  <c r="S23" i="1"/>
  <c r="Y79" i="1"/>
  <c r="Y75" i="1"/>
  <c r="S26" i="1"/>
  <c r="AA72" i="1"/>
  <c r="Y94" i="1"/>
  <c r="T15" i="1"/>
  <c r="Y8" i="1"/>
  <c r="R88" i="1"/>
  <c r="R75" i="1"/>
  <c r="Y60" i="1"/>
  <c r="S18" i="1"/>
  <c r="S115" i="1"/>
  <c r="AA47" i="1"/>
  <c r="T113" i="1"/>
  <c r="R63" i="1"/>
  <c r="Y11" i="1"/>
  <c r="R95" i="1"/>
  <c r="T114" i="1"/>
  <c r="Y114" i="1"/>
  <c r="AA31" i="1"/>
  <c r="S11" i="1"/>
  <c r="S63" i="1"/>
  <c r="Y106" i="1"/>
  <c r="Y95" i="1"/>
  <c r="Y63" i="1"/>
  <c r="AA69" i="1"/>
  <c r="AA88" i="1"/>
  <c r="Z47" i="1"/>
  <c r="Z102" i="1"/>
  <c r="Y102" i="1"/>
  <c r="Y74" i="1"/>
  <c r="T23" i="1"/>
  <c r="T30" i="1"/>
  <c r="T43" i="1"/>
  <c r="T96" i="1"/>
  <c r="S76" i="1"/>
  <c r="Z9" i="1"/>
  <c r="T7" i="1"/>
  <c r="Z35" i="1"/>
  <c r="R112" i="1"/>
  <c r="R76" i="1"/>
  <c r="Y28" i="1"/>
  <c r="T75" i="1"/>
  <c r="R68" i="1"/>
  <c r="AA54" i="1"/>
  <c r="R4" i="1"/>
  <c r="AA97" i="1"/>
  <c r="AA46" i="1"/>
  <c r="Y26" i="1"/>
  <c r="R19" i="1"/>
  <c r="S114" i="1"/>
  <c r="S88" i="1"/>
  <c r="R56" i="1"/>
  <c r="S13" i="1"/>
  <c r="Z58" i="1"/>
  <c r="Y92" i="1"/>
  <c r="Y21" i="1"/>
  <c r="T55" i="1"/>
  <c r="AA38" i="1"/>
  <c r="R103" i="1"/>
  <c r="R41" i="1"/>
  <c r="R48" i="1"/>
  <c r="T105" i="1"/>
  <c r="S54" i="1"/>
  <c r="AA16" i="1"/>
  <c r="S100" i="1"/>
  <c r="R28" i="1"/>
  <c r="S38" i="1"/>
  <c r="Z114" i="1"/>
  <c r="Z68" i="1"/>
  <c r="AA49" i="1"/>
  <c r="Y82" i="1"/>
  <c r="T65" i="1"/>
  <c r="AA53" i="1"/>
  <c r="Y12" i="1"/>
  <c r="Z49" i="1"/>
  <c r="S56" i="1"/>
  <c r="AA58" i="1"/>
  <c r="R5" i="1"/>
  <c r="R32" i="1"/>
  <c r="R46" i="1"/>
  <c r="S25" i="1"/>
  <c r="T108" i="1"/>
  <c r="R65" i="1"/>
  <c r="R39" i="1"/>
  <c r="R64" i="1"/>
  <c r="T22" i="1"/>
  <c r="AA111" i="1"/>
  <c r="T37" i="1"/>
  <c r="Y22" i="1"/>
  <c r="S62" i="1"/>
  <c r="Y100" i="1"/>
  <c r="Z100" i="1"/>
  <c r="S86" i="1"/>
  <c r="Z8" i="1"/>
  <c r="R101" i="1"/>
  <c r="T95" i="1"/>
  <c r="Y110" i="1"/>
  <c r="S96" i="1"/>
  <c r="Y29" i="1"/>
  <c r="Y113" i="1"/>
  <c r="R90" i="1"/>
  <c r="Z57" i="1"/>
  <c r="AA18" i="1"/>
  <c r="T6" i="1"/>
  <c r="Z74" i="1"/>
  <c r="S39" i="1"/>
  <c r="S107" i="1"/>
  <c r="Z18" i="1"/>
  <c r="Y68" i="1"/>
  <c r="S36" i="1"/>
  <c r="AA81" i="1"/>
  <c r="Y31" i="1"/>
  <c r="AA84" i="1"/>
  <c r="Z24" i="1"/>
  <c r="AA114" i="1"/>
  <c r="AA108" i="1"/>
  <c r="Z53" i="1"/>
  <c r="Y86" i="1"/>
  <c r="S7" i="1"/>
  <c r="S45" i="1"/>
  <c r="AA11" i="1"/>
  <c r="T91" i="1"/>
  <c r="Z85" i="1"/>
  <c r="Y48" i="1"/>
  <c r="AA50" i="1"/>
  <c r="Y57" i="1"/>
  <c r="T5" i="1"/>
  <c r="S112" i="1"/>
  <c r="AA77" i="1"/>
  <c r="S35" i="1"/>
  <c r="T9" i="1"/>
  <c r="T81" i="1"/>
  <c r="Z80" i="1"/>
  <c r="R52" i="1"/>
  <c r="T73" i="1"/>
  <c r="S41" i="1"/>
  <c r="R108" i="1"/>
  <c r="R38" i="1"/>
  <c r="AA13" i="1"/>
  <c r="Y83" i="1"/>
  <c r="Y59" i="1"/>
  <c r="AA55" i="1"/>
  <c r="AA68" i="1"/>
  <c r="T25" i="1"/>
  <c r="AA80" i="1"/>
  <c r="Z94" i="1"/>
  <c r="R79" i="1"/>
  <c r="R59" i="1"/>
  <c r="Y6" i="1"/>
  <c r="S40" i="1"/>
  <c r="Y39" i="1"/>
  <c r="AA51" i="1"/>
  <c r="Z28" i="1"/>
  <c r="AA90" i="1"/>
  <c r="AA87" i="1"/>
  <c r="T40" i="1"/>
  <c r="T46" i="1"/>
  <c r="S20" i="1"/>
  <c r="Y15" i="1"/>
  <c r="T66" i="1"/>
  <c r="Z82" i="1"/>
  <c r="AA17" i="1"/>
  <c r="AA104" i="1"/>
  <c r="AA64" i="1"/>
  <c r="T33" i="1"/>
  <c r="Y9" i="1"/>
  <c r="AA67" i="1"/>
  <c r="Y50" i="1"/>
  <c r="R107" i="1"/>
  <c r="Z39" i="1"/>
  <c r="AA82" i="1"/>
  <c r="R66" i="1"/>
  <c r="S74" i="1"/>
  <c r="Z37" i="1"/>
  <c r="T109" i="1"/>
  <c r="S32" i="1"/>
  <c r="Z64" i="1"/>
  <c r="Z52" i="1"/>
  <c r="S73" i="1"/>
  <c r="R14" i="1"/>
  <c r="AA21" i="1"/>
  <c r="Y64" i="1"/>
  <c r="Z101" i="1"/>
  <c r="Z44" i="1"/>
  <c r="AA99" i="1"/>
  <c r="Z4" i="1"/>
  <c r="S15" i="1"/>
  <c r="R53" i="1"/>
  <c r="T71" i="1"/>
  <c r="R85" i="1"/>
  <c r="AA98" i="1"/>
  <c r="Y97" i="1"/>
  <c r="Y81" i="1"/>
  <c r="AA61" i="1"/>
  <c r="T92" i="1"/>
  <c r="Z60" i="1"/>
  <c r="S89" i="1"/>
  <c r="T13" i="1"/>
  <c r="Z42" i="1"/>
  <c r="T64" i="1"/>
  <c r="Z93" i="1"/>
  <c r="Z16" i="1"/>
  <c r="S42" i="1"/>
  <c r="R34" i="1"/>
  <c r="S75" i="1"/>
  <c r="Y35" i="1"/>
  <c r="T57" i="1"/>
  <c r="R31" i="1"/>
  <c r="R61" i="1"/>
  <c r="AA8" i="1"/>
  <c r="Z63" i="1"/>
  <c r="Y65" i="1"/>
  <c r="T11" i="1"/>
  <c r="AA52" i="1"/>
  <c r="Z77" i="1"/>
  <c r="R26" i="1"/>
  <c r="Z65" i="1"/>
  <c r="Y90" i="1"/>
  <c r="Z56" i="1"/>
  <c r="S64" i="1"/>
  <c r="Z88" i="1"/>
  <c r="Y3" i="1"/>
  <c r="Y54" i="1"/>
  <c r="T34" i="1"/>
  <c r="R40" i="1"/>
  <c r="S34" i="1"/>
  <c r="AA70" i="1"/>
  <c r="R16" i="1"/>
  <c r="R87" i="1"/>
  <c r="S60" i="1"/>
  <c r="R20" i="1"/>
  <c r="Z97" i="1"/>
  <c r="T21" i="1"/>
  <c r="Z55" i="1"/>
  <c r="Y36" i="1"/>
  <c r="T94" i="1"/>
  <c r="Z40" i="1"/>
  <c r="R102" i="1"/>
  <c r="R9" i="1"/>
  <c r="Z12" i="1"/>
  <c r="Y30" i="1"/>
  <c r="R57" i="1"/>
  <c r="Y93" i="1"/>
  <c r="AA15" i="1"/>
  <c r="S4" i="1"/>
  <c r="AA79" i="1"/>
  <c r="R51" i="1"/>
  <c r="T78" i="1"/>
  <c r="AA73" i="1"/>
  <c r="S17" i="1"/>
  <c r="T102" i="1"/>
  <c r="T59" i="1"/>
  <c r="Y18" i="1"/>
  <c r="S52" i="1"/>
  <c r="S95" i="1"/>
  <c r="S55" i="1"/>
  <c r="Y37" i="1"/>
  <c r="S109" i="1"/>
  <c r="S83" i="1"/>
  <c r="AA41" i="1"/>
  <c r="T53" i="1"/>
  <c r="T79" i="1"/>
  <c r="S44" i="1"/>
  <c r="Z110" i="1"/>
  <c r="T26" i="1"/>
  <c r="T48" i="1"/>
  <c r="Z113" i="1"/>
  <c r="R25" i="1"/>
  <c r="S102" i="1"/>
  <c r="T3" i="1"/>
  <c r="Y78" i="1"/>
  <c r="R17" i="1"/>
  <c r="S106" i="1"/>
  <c r="R106" i="1"/>
  <c r="R86" i="1"/>
  <c r="Y16" i="1"/>
  <c r="Z84" i="1"/>
  <c r="Z108" i="1"/>
  <c r="R98" i="1"/>
  <c r="AA91" i="1"/>
  <c r="R18" i="1"/>
  <c r="Z20" i="1"/>
  <c r="AA76" i="1"/>
  <c r="Y46" i="1"/>
  <c r="T54" i="1"/>
  <c r="S33" i="1"/>
  <c r="Z69" i="1"/>
  <c r="R104" i="1"/>
  <c r="Z50" i="1"/>
  <c r="R13" i="1"/>
  <c r="S94" i="1"/>
  <c r="S79" i="1"/>
  <c r="AA92" i="1"/>
  <c r="Z71" i="1"/>
  <c r="T32" i="1"/>
  <c r="AA35" i="1"/>
  <c r="T10" i="1"/>
  <c r="Z95" i="1"/>
  <c r="S9" i="1"/>
  <c r="R60" i="1"/>
  <c r="Z107" i="1"/>
  <c r="T67" i="1"/>
  <c r="U60" i="1" l="1"/>
  <c r="U13" i="1"/>
  <c r="U104" i="1"/>
  <c r="AB46" i="1"/>
  <c r="U18" i="1"/>
  <c r="U98" i="1"/>
  <c r="AB16" i="1"/>
  <c r="U86" i="1"/>
  <c r="U106" i="1"/>
  <c r="U17" i="1"/>
  <c r="AB78" i="1"/>
  <c r="U25" i="1"/>
  <c r="AB37" i="1"/>
  <c r="AB18" i="1"/>
  <c r="U51" i="1"/>
  <c r="AB93" i="1"/>
  <c r="U57" i="1"/>
  <c r="AB30" i="1"/>
  <c r="U9" i="1"/>
  <c r="U102" i="1"/>
  <c r="AB36" i="1"/>
  <c r="U20" i="1"/>
  <c r="U87" i="1"/>
  <c r="U16" i="1"/>
  <c r="U40" i="1"/>
  <c r="AB54" i="1"/>
  <c r="AB3" i="1"/>
  <c r="AB90" i="1"/>
  <c r="U26" i="1"/>
  <c r="AB65" i="1"/>
  <c r="U61" i="1"/>
  <c r="U31" i="1"/>
  <c r="AB35" i="1"/>
  <c r="U34" i="1"/>
  <c r="AB81" i="1"/>
  <c r="AB97" i="1"/>
  <c r="U85" i="1"/>
  <c r="U53" i="1"/>
  <c r="AB64" i="1"/>
  <c r="U14" i="1"/>
  <c r="U66" i="1"/>
  <c r="U107" i="1"/>
  <c r="AB50" i="1"/>
  <c r="AB9" i="1"/>
  <c r="AB15" i="1"/>
  <c r="AB39" i="1"/>
  <c r="AB6" i="1"/>
  <c r="U59" i="1"/>
  <c r="U79" i="1"/>
  <c r="AB59" i="1"/>
  <c r="AB83" i="1"/>
  <c r="U38" i="1"/>
  <c r="U108" i="1"/>
  <c r="U52" i="1"/>
  <c r="AB57" i="1"/>
  <c r="AB48" i="1"/>
  <c r="AB86" i="1"/>
  <c r="AB31" i="1"/>
  <c r="AB68" i="1"/>
  <c r="U90" i="1"/>
  <c r="AB113" i="1"/>
  <c r="AB29" i="1"/>
  <c r="AB110" i="1"/>
  <c r="U101" i="1"/>
  <c r="AB100" i="1"/>
  <c r="AB22" i="1"/>
  <c r="U64" i="1"/>
  <c r="U39" i="1"/>
  <c r="U65" i="1"/>
  <c r="U46" i="1"/>
  <c r="U32" i="1"/>
  <c r="U5" i="1"/>
  <c r="AB12" i="1"/>
  <c r="AB82" i="1"/>
  <c r="U28" i="1"/>
  <c r="U48" i="1"/>
  <c r="U41" i="1"/>
  <c r="U103" i="1"/>
  <c r="AB21" i="1"/>
  <c r="AB92" i="1"/>
  <c r="U56" i="1"/>
  <c r="U19" i="1"/>
  <c r="AB26" i="1"/>
  <c r="U4" i="1"/>
  <c r="U68" i="1"/>
  <c r="AB28" i="1"/>
  <c r="U76" i="1"/>
  <c r="U112" i="1"/>
  <c r="AB74" i="1"/>
  <c r="AB102" i="1"/>
  <c r="AB63" i="1"/>
  <c r="AB95" i="1"/>
  <c r="AB106" i="1"/>
  <c r="AB114" i="1"/>
  <c r="U95" i="1"/>
  <c r="AB11" i="1"/>
  <c r="U63" i="1"/>
  <c r="AB60" i="1"/>
  <c r="U75" i="1"/>
  <c r="U88" i="1"/>
  <c r="AB8" i="1"/>
  <c r="AB94" i="1"/>
  <c r="AB75" i="1"/>
  <c r="AB79" i="1"/>
  <c r="AB76" i="1"/>
  <c r="U96" i="1"/>
  <c r="U97" i="1"/>
  <c r="AB38" i="1"/>
  <c r="U8" i="1"/>
  <c r="AB115" i="1"/>
  <c r="U55" i="1"/>
  <c r="AB61" i="1"/>
  <c r="U11" i="1"/>
  <c r="U83" i="1"/>
  <c r="AB47" i="1"/>
  <c r="AB71" i="1"/>
  <c r="AB107" i="1"/>
  <c r="AB98" i="1"/>
  <c r="AB17" i="1"/>
  <c r="AB19" i="1"/>
  <c r="AB14" i="1"/>
  <c r="AB89" i="1"/>
  <c r="U23" i="1"/>
  <c r="U93" i="1"/>
  <c r="U113" i="1"/>
  <c r="U110" i="1"/>
  <c r="AB108" i="1"/>
  <c r="U22" i="1"/>
  <c r="U6" i="1"/>
  <c r="U109" i="1"/>
  <c r="AB55" i="1"/>
  <c r="U73" i="1"/>
  <c r="U105" i="1"/>
  <c r="AB70" i="1"/>
  <c r="AB42" i="1"/>
  <c r="AB53" i="1"/>
  <c r="U100" i="1"/>
  <c r="U24" i="1"/>
  <c r="U30" i="1"/>
  <c r="AB66" i="1"/>
  <c r="AB4" i="1"/>
  <c r="U74" i="1"/>
  <c r="U21" i="1"/>
  <c r="AB33" i="1"/>
  <c r="AB5" i="1"/>
  <c r="AB96" i="1"/>
  <c r="U114" i="1"/>
  <c r="U91" i="1"/>
  <c r="U62" i="1"/>
  <c r="AB32" i="1"/>
  <c r="U82" i="1"/>
  <c r="AB87" i="1"/>
  <c r="U33" i="1"/>
  <c r="AB80" i="1"/>
  <c r="U71" i="1"/>
  <c r="AB104" i="1"/>
  <c r="AB49" i="1"/>
  <c r="U50" i="1"/>
  <c r="U12" i="1"/>
  <c r="U3" i="1"/>
  <c r="AB34" i="1"/>
  <c r="AB112" i="1"/>
  <c r="AB88" i="1"/>
  <c r="U81" i="1"/>
  <c r="U99" i="1"/>
  <c r="U15" i="1"/>
  <c r="U7" i="1"/>
  <c r="AB25" i="1"/>
  <c r="U77" i="1"/>
  <c r="U44" i="1"/>
  <c r="U94" i="1"/>
  <c r="AB24" i="1"/>
  <c r="U43" i="1"/>
  <c r="AB10" i="1"/>
  <c r="U10" i="1"/>
  <c r="AB58" i="1"/>
  <c r="AB23" i="1"/>
  <c r="AB20" i="1"/>
  <c r="U58" i="1"/>
  <c r="AB101" i="1"/>
  <c r="U47" i="1"/>
  <c r="AB72" i="1"/>
  <c r="U72" i="1"/>
  <c r="U111" i="1"/>
  <c r="AB77" i="1"/>
  <c r="U45" i="1"/>
  <c r="U80" i="1"/>
  <c r="U35" i="1"/>
  <c r="AB67" i="1"/>
  <c r="U89" i="1"/>
  <c r="AB44" i="1"/>
  <c r="AB105" i="1"/>
  <c r="AB7" i="1"/>
  <c r="U49" i="1"/>
  <c r="U37" i="1"/>
  <c r="U67" i="1"/>
  <c r="U78" i="1"/>
  <c r="U92" i="1"/>
  <c r="AB52" i="1"/>
  <c r="U36" i="1"/>
  <c r="AB109" i="1"/>
  <c r="AB62" i="1"/>
  <c r="AB69" i="1"/>
  <c r="U70" i="1"/>
  <c r="U42" i="1"/>
  <c r="AB45" i="1"/>
  <c r="U84" i="1"/>
  <c r="AB85" i="1"/>
  <c r="AB111" i="1"/>
  <c r="AB41" i="1"/>
  <c r="AB99" i="1"/>
  <c r="AB91" i="1"/>
  <c r="AB56" i="1"/>
  <c r="AB51" i="1"/>
  <c r="AB40" i="1"/>
  <c r="AB103" i="1"/>
  <c r="U115" i="1"/>
  <c r="AB73" i="1"/>
  <c r="U54" i="1"/>
  <c r="AB13" i="1"/>
  <c r="U69" i="1"/>
  <c r="AB84" i="1"/>
  <c r="AB43" i="1"/>
  <c r="U29" i="1"/>
</calcChain>
</file>

<file path=xl/sharedStrings.xml><?xml version="1.0" encoding="utf-8"?>
<sst xmlns="http://schemas.openxmlformats.org/spreadsheetml/2006/main" count="6743" uniqueCount="130">
  <si>
    <t>Date</t>
  </si>
  <si>
    <t xml:space="preserve"> Time</t>
  </si>
  <si>
    <t xml:space="preserve"> XL-time</t>
  </si>
  <si>
    <t xml:space="preserve"> avg_Hr</t>
  </si>
  <si>
    <t xml:space="preserve">  max_Hr</t>
  </si>
  <si>
    <t xml:space="preserve"> min_Hr</t>
  </si>
  <si>
    <t xml:space="preserve"> </t>
  </si>
  <si>
    <t>avg_Rr</t>
  </si>
  <si>
    <t xml:space="preserve"> max_Rr</t>
  </si>
  <si>
    <t xml:space="preserve"> min_Rr</t>
  </si>
  <si>
    <t>high</t>
  </si>
  <si>
    <t>low</t>
  </si>
  <si>
    <t>avg</t>
  </si>
  <si>
    <t>avg+</t>
  </si>
  <si>
    <t>hi</t>
  </si>
  <si>
    <t>lo</t>
  </si>
  <si>
    <t>hr</t>
  </si>
  <si>
    <t>cnt</t>
  </si>
  <si>
    <t>D3:D21</t>
  </si>
  <si>
    <t>D22:D43</t>
  </si>
  <si>
    <t>D44:D63</t>
  </si>
  <si>
    <t>D64:D76</t>
  </si>
  <si>
    <t>D77:D97</t>
  </si>
  <si>
    <t>D98:D111</t>
  </si>
  <si>
    <t>D112:D132</t>
  </si>
  <si>
    <t>D133:D150</t>
  </si>
  <si>
    <t>D151:D169</t>
  </si>
  <si>
    <t>D170:D192</t>
  </si>
  <si>
    <t>D193:D210</t>
  </si>
  <si>
    <t>D211:D234</t>
  </si>
  <si>
    <t>D235:D257</t>
  </si>
  <si>
    <t>D258:D278</t>
  </si>
  <si>
    <t>D279:D302</t>
  </si>
  <si>
    <t>D303:D324</t>
  </si>
  <si>
    <t>D325:D345</t>
  </si>
  <si>
    <t>D346:D359</t>
  </si>
  <si>
    <t>D360:D375</t>
  </si>
  <si>
    <t>D376:D397</t>
  </si>
  <si>
    <t>D398:D420</t>
  </si>
  <si>
    <t>D421:D441</t>
  </si>
  <si>
    <t>D442:D464</t>
  </si>
  <si>
    <t>D465:D481</t>
  </si>
  <si>
    <t>D482:D496</t>
  </si>
  <si>
    <t>D497:D520</t>
  </si>
  <si>
    <t>D521:D542</t>
  </si>
  <si>
    <t>D543:D559</t>
  </si>
  <si>
    <t>D560:D579</t>
  </si>
  <si>
    <t>D580:D599</t>
  </si>
  <si>
    <t>D600:D620</t>
  </si>
  <si>
    <t>D621:D644</t>
  </si>
  <si>
    <t>D645:D666</t>
  </si>
  <si>
    <t>D667:D688</t>
  </si>
  <si>
    <t>D689:D704</t>
  </si>
  <si>
    <t>D705:D720</t>
  </si>
  <si>
    <t>D721:D738</t>
  </si>
  <si>
    <t>D739:D761</t>
  </si>
  <si>
    <t>D762:D785</t>
  </si>
  <si>
    <t>D786:D807</t>
  </si>
  <si>
    <t>D808:D830</t>
  </si>
  <si>
    <t>D831:D849</t>
  </si>
  <si>
    <t>D850:D867</t>
  </si>
  <si>
    <t>D868:D882</t>
  </si>
  <si>
    <t>D883:D901</t>
  </si>
  <si>
    <t>D902:D920</t>
  </si>
  <si>
    <t>D921:D943</t>
  </si>
  <si>
    <t>D944:D967</t>
  </si>
  <si>
    <t>D968:D990</t>
  </si>
  <si>
    <t>D991:D1003</t>
  </si>
  <si>
    <t>D1004:D1025</t>
  </si>
  <si>
    <t>D1026:D1040</t>
  </si>
  <si>
    <t>D1041:D1058</t>
  </si>
  <si>
    <t>D1059:D1076</t>
  </si>
  <si>
    <t>D1077:D10995</t>
  </si>
  <si>
    <t>D1096:D1115</t>
  </si>
  <si>
    <t>D1116:D1136</t>
  </si>
  <si>
    <t>D1137:D1156</t>
  </si>
  <si>
    <t>D1157:D1175</t>
  </si>
  <si>
    <t>D1176:D1195</t>
  </si>
  <si>
    <t>D1196:D1218</t>
  </si>
  <si>
    <t>D1219:D1238</t>
  </si>
  <si>
    <t>D1239:D1261</t>
  </si>
  <si>
    <t>D1262:D1280</t>
  </si>
  <si>
    <t>D1281:D1299</t>
  </si>
  <si>
    <t>D1300:D1323</t>
  </si>
  <si>
    <t>D1324:D1345</t>
  </si>
  <si>
    <t>D1346:D1366</t>
  </si>
  <si>
    <t>D1367:D1389</t>
  </si>
  <si>
    <t>D1390:D1406</t>
  </si>
  <si>
    <t>D1407:D1428</t>
  </si>
  <si>
    <t>D1429:D1448</t>
  </si>
  <si>
    <t>D1449:D1466</t>
  </si>
  <si>
    <t>D1467:D1483</t>
  </si>
  <si>
    <t>D1484:D1501</t>
  </si>
  <si>
    <t>D1502:D1523</t>
  </si>
  <si>
    <t>D1524:D1540</t>
  </si>
  <si>
    <t>D1541:D1562</t>
  </si>
  <si>
    <t>D1563:D1580</t>
  </si>
  <si>
    <t>D1581:D1603</t>
  </si>
  <si>
    <t>D1604:D1620</t>
  </si>
  <si>
    <t>D1621:D1634</t>
  </si>
  <si>
    <t>D1635:D1655</t>
  </si>
  <si>
    <t>D1656:D1678</t>
  </si>
  <si>
    <t>D1679:D1698</t>
  </si>
  <si>
    <t>D1699:D1715</t>
  </si>
  <si>
    <t>D1716:D1728</t>
  </si>
  <si>
    <t>D1729:D1743</t>
  </si>
  <si>
    <t>D1744:D1756</t>
  </si>
  <si>
    <t>D1757:D1769</t>
  </si>
  <si>
    <t>D1770:D1792</t>
  </si>
  <si>
    <t>D1793:D1812</t>
  </si>
  <si>
    <t>D1813:D1827</t>
  </si>
  <si>
    <t>D1828:D1847</t>
  </si>
  <si>
    <t>D1848:D1869</t>
  </si>
  <si>
    <t>D1870:D1889</t>
  </si>
  <si>
    <t>D1890:D1907</t>
  </si>
  <si>
    <t>D1908:D1931</t>
  </si>
  <si>
    <t>D1932:D1951</t>
  </si>
  <si>
    <t>D1952:D1973</t>
  </si>
  <si>
    <t>D1974:D1992</t>
  </si>
  <si>
    <t>D1993:D2014</t>
  </si>
  <si>
    <t>D2015:D2038</t>
  </si>
  <si>
    <t>D2039:D2059</t>
  </si>
  <si>
    <t>D2060:D2081</t>
  </si>
  <si>
    <t>D2082:D2101</t>
  </si>
  <si>
    <t>D2102:D2124</t>
  </si>
  <si>
    <t>D2125:D2146</t>
  </si>
  <si>
    <t>D2147:D2168</t>
  </si>
  <si>
    <t>D2169:D2192</t>
  </si>
  <si>
    <t>D2193:D2213</t>
  </si>
  <si>
    <t>D2214:D2218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</si>
</sst>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8" fillId="0" borderId="0" xfId="0" applyFont="1"/>
    <xf numFmtId="22" fontId="0" fillId="0" borderId="10" xfId="0" applyNumberFormat="1" applyBorder="1"/>
    <xf numFmtId="22" fontId="0" fillId="0" borderId="11" xfId="0" applyNumberFormat="1" applyBorder="1"/>
    <xf numFmtId="21" fontId="0" fillId="0" borderId="11" xfId="0" applyNumberFormat="1" applyBorder="1"/>
    <xf numFmtId="0" fontId="0" fillId="0" borderId="11" xfId="0" applyBorder="1"/>
    <xf numFmtId="0" fontId="0" fillId="0" borderId="10" xfId="0" applyBorder="1"/>
    <xf numFmtId="21" fontId="0" fillId="0" borderId="10" xfId="0" applyNumberFormat="1" applyBorder="1"/>
    <xf numFmtId="14" fontId="0" fillId="0" borderId="11" xfId="0" applyNumberFormat="1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 month picture of daily Heart Rates at Bedtime</a:t>
            </a:r>
          </a:p>
        </c:rich>
      </c:tx>
      <c:layout>
        <c:manualLayout>
          <c:xMode val="edge"/>
          <c:yMode val="edge"/>
          <c:x val="0.4686075430404617"/>
          <c:y val="1.9656019656019656E-2"/>
        </c:manualLayout>
      </c:layout>
      <c:overlay val="0"/>
    </c:title>
    <c:autoTitleDeleted val="0"/>
    <c:plotArea>
      <c:layout/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J.LivRm_PVitalsag_2'!$R$53:$R$115</c:f>
              <c:numCache>
                <c:formatCode>0.0</c:formatCode>
                <c:ptCount val="63"/>
                <c:pt idx="0">
                  <c:v>60.584615384615375</c:v>
                </c:pt>
                <c:pt idx="1">
                  <c:v>74.427272727272737</c:v>
                </c:pt>
                <c:pt idx="2">
                  <c:v>78.946666666666673</c:v>
                </c:pt>
                <c:pt idx="3">
                  <c:v>72.733333333333334</c:v>
                </c:pt>
                <c:pt idx="4">
                  <c:v>64.061111111111103</c:v>
                </c:pt>
                <c:pt idx="5">
                  <c:v>58.867688266199757</c:v>
                </c:pt>
                <c:pt idx="6">
                  <c:v>70.734999999999999</c:v>
                </c:pt>
                <c:pt idx="7">
                  <c:v>72.671428571428564</c:v>
                </c:pt>
                <c:pt idx="8">
                  <c:v>79.385000000000005</c:v>
                </c:pt>
                <c:pt idx="9">
                  <c:v>73.852631578947381</c:v>
                </c:pt>
                <c:pt idx="10">
                  <c:v>56.080000000000005</c:v>
                </c:pt>
                <c:pt idx="11">
                  <c:v>64.965217391304364</c:v>
                </c:pt>
                <c:pt idx="12">
                  <c:v>76.215000000000003</c:v>
                </c:pt>
                <c:pt idx="13">
                  <c:v>78.586956521739125</c:v>
                </c:pt>
                <c:pt idx="14">
                  <c:v>73.505263157894731</c:v>
                </c:pt>
                <c:pt idx="15">
                  <c:v>78.521052631578939</c:v>
                </c:pt>
                <c:pt idx="16">
                  <c:v>69.350000000000009</c:v>
                </c:pt>
                <c:pt idx="17">
                  <c:v>63.081818181818178</c:v>
                </c:pt>
                <c:pt idx="18">
                  <c:v>60.680952380952377</c:v>
                </c:pt>
                <c:pt idx="19">
                  <c:v>79.839130434782604</c:v>
                </c:pt>
                <c:pt idx="20">
                  <c:v>77.699999999999974</c:v>
                </c:pt>
                <c:pt idx="21">
                  <c:v>64.204545454545453</c:v>
                </c:pt>
                <c:pt idx="22">
                  <c:v>60.614999999999995</c:v>
                </c:pt>
                <c:pt idx="23">
                  <c:v>71.01666666666668</c:v>
                </c:pt>
                <c:pt idx="24">
                  <c:v>62.088235294117631</c:v>
                </c:pt>
                <c:pt idx="25">
                  <c:v>63.461111111111109</c:v>
                </c:pt>
                <c:pt idx="26">
                  <c:v>85.804545454545448</c:v>
                </c:pt>
                <c:pt idx="27">
                  <c:v>59.711764705882352</c:v>
                </c:pt>
                <c:pt idx="28">
                  <c:v>54.145454545454548</c:v>
                </c:pt>
                <c:pt idx="29">
                  <c:v>51.777777777777786</c:v>
                </c:pt>
                <c:pt idx="30">
                  <c:v>50.530434782608701</c:v>
                </c:pt>
                <c:pt idx="31">
                  <c:v>49.447058823529403</c:v>
                </c:pt>
                <c:pt idx="32">
                  <c:v>47.907142857142844</c:v>
                </c:pt>
                <c:pt idx="33">
                  <c:v>49.023809523809526</c:v>
                </c:pt>
                <c:pt idx="34">
                  <c:v>55.639130434782608</c:v>
                </c:pt>
                <c:pt idx="35">
                  <c:v>50.284999999999989</c:v>
                </c:pt>
                <c:pt idx="36">
                  <c:v>48.388235294117642</c:v>
                </c:pt>
                <c:pt idx="37">
                  <c:v>50.284615384615371</c:v>
                </c:pt>
                <c:pt idx="38">
                  <c:v>45.373333333333335</c:v>
                </c:pt>
                <c:pt idx="39">
                  <c:v>49.838461538461544</c:v>
                </c:pt>
                <c:pt idx="40">
                  <c:v>49.030769230769231</c:v>
                </c:pt>
                <c:pt idx="41">
                  <c:v>54.526086956521738</c:v>
                </c:pt>
                <c:pt idx="42">
                  <c:v>54.625000000000014</c:v>
                </c:pt>
                <c:pt idx="43">
                  <c:v>49.493333333333332</c:v>
                </c:pt>
                <c:pt idx="44">
                  <c:v>51.06</c:v>
                </c:pt>
                <c:pt idx="45">
                  <c:v>52.872727272727268</c:v>
                </c:pt>
                <c:pt idx="46">
                  <c:v>45.08</c:v>
                </c:pt>
                <c:pt idx="47">
                  <c:v>47.305555555555564</c:v>
                </c:pt>
                <c:pt idx="48">
                  <c:v>49.837500000000006</c:v>
                </c:pt>
                <c:pt idx="49">
                  <c:v>52.86999999999999</c:v>
                </c:pt>
                <c:pt idx="50">
                  <c:v>53.772727272727273</c:v>
                </c:pt>
                <c:pt idx="51">
                  <c:v>53.284210526315803</c:v>
                </c:pt>
                <c:pt idx="52">
                  <c:v>54.127272727272732</c:v>
                </c:pt>
                <c:pt idx="53">
                  <c:v>56.729166666666679</c:v>
                </c:pt>
                <c:pt idx="54">
                  <c:v>48.380952380952372</c:v>
                </c:pt>
                <c:pt idx="55">
                  <c:v>53.354545454545452</c:v>
                </c:pt>
                <c:pt idx="56">
                  <c:v>46.769999999999996</c:v>
                </c:pt>
                <c:pt idx="57">
                  <c:v>52.017391304347832</c:v>
                </c:pt>
                <c:pt idx="58">
                  <c:v>50.572727272727278</c:v>
                </c:pt>
                <c:pt idx="59">
                  <c:v>50.595454545454551</c:v>
                </c:pt>
                <c:pt idx="60">
                  <c:v>48.595833333333339</c:v>
                </c:pt>
                <c:pt idx="61">
                  <c:v>51.038095238095238</c:v>
                </c:pt>
                <c:pt idx="62">
                  <c:v>57.64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C2-814E-ACB0-41FCC1BFD63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J.LivRm_PVitalsag_2'!$S$53:$S$115</c:f>
              <c:numCache>
                <c:formatCode>General</c:formatCode>
                <c:ptCount val="63"/>
                <c:pt idx="0">
                  <c:v>72.5</c:v>
                </c:pt>
                <c:pt idx="1">
                  <c:v>120.2</c:v>
                </c:pt>
                <c:pt idx="2">
                  <c:v>121</c:v>
                </c:pt>
                <c:pt idx="3">
                  <c:v>120.3</c:v>
                </c:pt>
                <c:pt idx="4">
                  <c:v>99.5</c:v>
                </c:pt>
                <c:pt idx="5">
                  <c:v>131.69999999999999</c:v>
                </c:pt>
                <c:pt idx="6">
                  <c:v>111</c:v>
                </c:pt>
                <c:pt idx="7">
                  <c:v>122</c:v>
                </c:pt>
                <c:pt idx="8">
                  <c:v>115.4</c:v>
                </c:pt>
                <c:pt idx="9">
                  <c:v>127.2</c:v>
                </c:pt>
                <c:pt idx="10">
                  <c:v>107.2</c:v>
                </c:pt>
                <c:pt idx="11">
                  <c:v>114.2</c:v>
                </c:pt>
                <c:pt idx="12">
                  <c:v>114.1</c:v>
                </c:pt>
                <c:pt idx="13">
                  <c:v>124</c:v>
                </c:pt>
                <c:pt idx="14">
                  <c:v>113.7</c:v>
                </c:pt>
                <c:pt idx="15">
                  <c:v>116.7</c:v>
                </c:pt>
                <c:pt idx="16">
                  <c:v>122.5</c:v>
                </c:pt>
                <c:pt idx="17">
                  <c:v>119.2</c:v>
                </c:pt>
                <c:pt idx="18">
                  <c:v>114.2</c:v>
                </c:pt>
                <c:pt idx="19">
                  <c:v>117.4</c:v>
                </c:pt>
                <c:pt idx="20">
                  <c:v>115.5</c:v>
                </c:pt>
                <c:pt idx="21">
                  <c:v>116</c:v>
                </c:pt>
                <c:pt idx="22">
                  <c:v>125.5</c:v>
                </c:pt>
                <c:pt idx="23">
                  <c:v>126.9</c:v>
                </c:pt>
                <c:pt idx="24">
                  <c:v>116.9</c:v>
                </c:pt>
                <c:pt idx="25">
                  <c:v>126</c:v>
                </c:pt>
                <c:pt idx="26">
                  <c:v>130.80000000000001</c:v>
                </c:pt>
                <c:pt idx="27">
                  <c:v>105.8</c:v>
                </c:pt>
                <c:pt idx="28">
                  <c:v>93.3</c:v>
                </c:pt>
                <c:pt idx="29">
                  <c:v>83.8</c:v>
                </c:pt>
                <c:pt idx="30">
                  <c:v>78.7</c:v>
                </c:pt>
                <c:pt idx="31">
                  <c:v>67</c:v>
                </c:pt>
                <c:pt idx="32">
                  <c:v>68.5</c:v>
                </c:pt>
                <c:pt idx="33">
                  <c:v>83.5</c:v>
                </c:pt>
                <c:pt idx="34">
                  <c:v>79.5</c:v>
                </c:pt>
                <c:pt idx="35">
                  <c:v>69.2</c:v>
                </c:pt>
                <c:pt idx="36">
                  <c:v>73.8</c:v>
                </c:pt>
                <c:pt idx="37">
                  <c:v>76.099999999999994</c:v>
                </c:pt>
                <c:pt idx="38">
                  <c:v>57.8</c:v>
                </c:pt>
                <c:pt idx="39">
                  <c:v>81</c:v>
                </c:pt>
                <c:pt idx="40">
                  <c:v>75.3</c:v>
                </c:pt>
                <c:pt idx="41">
                  <c:v>75.8</c:v>
                </c:pt>
                <c:pt idx="42">
                  <c:v>73.5</c:v>
                </c:pt>
                <c:pt idx="43">
                  <c:v>71.400000000000006</c:v>
                </c:pt>
                <c:pt idx="44">
                  <c:v>72.8</c:v>
                </c:pt>
                <c:pt idx="45">
                  <c:v>69.599999999999994</c:v>
                </c:pt>
                <c:pt idx="46">
                  <c:v>56.2</c:v>
                </c:pt>
                <c:pt idx="47">
                  <c:v>70.400000000000006</c:v>
                </c:pt>
                <c:pt idx="48">
                  <c:v>73.2</c:v>
                </c:pt>
                <c:pt idx="49">
                  <c:v>69.2</c:v>
                </c:pt>
                <c:pt idx="50">
                  <c:v>74.099999999999994</c:v>
                </c:pt>
                <c:pt idx="51">
                  <c:v>82.3</c:v>
                </c:pt>
                <c:pt idx="52">
                  <c:v>78.8</c:v>
                </c:pt>
                <c:pt idx="53">
                  <c:v>91.8</c:v>
                </c:pt>
                <c:pt idx="54">
                  <c:v>73.5</c:v>
                </c:pt>
                <c:pt idx="55">
                  <c:v>81.8</c:v>
                </c:pt>
                <c:pt idx="56">
                  <c:v>69.2</c:v>
                </c:pt>
                <c:pt idx="57">
                  <c:v>68.400000000000006</c:v>
                </c:pt>
                <c:pt idx="58">
                  <c:v>79.099999999999994</c:v>
                </c:pt>
                <c:pt idx="59">
                  <c:v>70.2</c:v>
                </c:pt>
                <c:pt idx="60">
                  <c:v>68.8</c:v>
                </c:pt>
                <c:pt idx="61">
                  <c:v>73.3</c:v>
                </c:pt>
                <c:pt idx="62">
                  <c:v>65.099999999999994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C2-814E-ACB0-41FCC1BFD635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J.LivRm_PVitalsag_2'!$T$53:$T$115</c:f>
              <c:numCache>
                <c:formatCode>General</c:formatCode>
                <c:ptCount val="63"/>
                <c:pt idx="0">
                  <c:v>52.5</c:v>
                </c:pt>
                <c:pt idx="1">
                  <c:v>50.3</c:v>
                </c:pt>
                <c:pt idx="2">
                  <c:v>47.9</c:v>
                </c:pt>
                <c:pt idx="3">
                  <c:v>40.1</c:v>
                </c:pt>
                <c:pt idx="4">
                  <c:v>43</c:v>
                </c:pt>
                <c:pt idx="5">
                  <c:v>40.1</c:v>
                </c:pt>
                <c:pt idx="6">
                  <c:v>47.8</c:v>
                </c:pt>
                <c:pt idx="7">
                  <c:v>45.3</c:v>
                </c:pt>
                <c:pt idx="8">
                  <c:v>43</c:v>
                </c:pt>
                <c:pt idx="9">
                  <c:v>44.2</c:v>
                </c:pt>
                <c:pt idx="10">
                  <c:v>40.1</c:v>
                </c:pt>
                <c:pt idx="11">
                  <c:v>40.1</c:v>
                </c:pt>
                <c:pt idx="12">
                  <c:v>40.1</c:v>
                </c:pt>
                <c:pt idx="13">
                  <c:v>52</c:v>
                </c:pt>
                <c:pt idx="14">
                  <c:v>43.1</c:v>
                </c:pt>
                <c:pt idx="15">
                  <c:v>52.2</c:v>
                </c:pt>
                <c:pt idx="16">
                  <c:v>43.9</c:v>
                </c:pt>
                <c:pt idx="17">
                  <c:v>40.1</c:v>
                </c:pt>
                <c:pt idx="18">
                  <c:v>40.200000000000003</c:v>
                </c:pt>
                <c:pt idx="19">
                  <c:v>44.9</c:v>
                </c:pt>
                <c:pt idx="20">
                  <c:v>42.9</c:v>
                </c:pt>
                <c:pt idx="21">
                  <c:v>45</c:v>
                </c:pt>
                <c:pt idx="22">
                  <c:v>40.1</c:v>
                </c:pt>
                <c:pt idx="23">
                  <c:v>40.1</c:v>
                </c:pt>
                <c:pt idx="24">
                  <c:v>40.1</c:v>
                </c:pt>
                <c:pt idx="25">
                  <c:v>40.1</c:v>
                </c:pt>
                <c:pt idx="26">
                  <c:v>45.5</c:v>
                </c:pt>
                <c:pt idx="27">
                  <c:v>42.6</c:v>
                </c:pt>
                <c:pt idx="28">
                  <c:v>40.1</c:v>
                </c:pt>
                <c:pt idx="29">
                  <c:v>40.1</c:v>
                </c:pt>
                <c:pt idx="30">
                  <c:v>40.1</c:v>
                </c:pt>
                <c:pt idx="31">
                  <c:v>40.1</c:v>
                </c:pt>
                <c:pt idx="32">
                  <c:v>40.1</c:v>
                </c:pt>
                <c:pt idx="33">
                  <c:v>40.299999999999997</c:v>
                </c:pt>
                <c:pt idx="34">
                  <c:v>40.1</c:v>
                </c:pt>
                <c:pt idx="35">
                  <c:v>40.1</c:v>
                </c:pt>
                <c:pt idx="36">
                  <c:v>40.1</c:v>
                </c:pt>
                <c:pt idx="37">
                  <c:v>40.1</c:v>
                </c:pt>
                <c:pt idx="38">
                  <c:v>40.1</c:v>
                </c:pt>
                <c:pt idx="39">
                  <c:v>40.1</c:v>
                </c:pt>
                <c:pt idx="40">
                  <c:v>40.1</c:v>
                </c:pt>
                <c:pt idx="41">
                  <c:v>40.4</c:v>
                </c:pt>
                <c:pt idx="42">
                  <c:v>40.1</c:v>
                </c:pt>
                <c:pt idx="43">
                  <c:v>40.1</c:v>
                </c:pt>
                <c:pt idx="44">
                  <c:v>40.1</c:v>
                </c:pt>
                <c:pt idx="45">
                  <c:v>40.1</c:v>
                </c:pt>
                <c:pt idx="46">
                  <c:v>40.1</c:v>
                </c:pt>
                <c:pt idx="47">
                  <c:v>40.1</c:v>
                </c:pt>
                <c:pt idx="48">
                  <c:v>40.1</c:v>
                </c:pt>
                <c:pt idx="49">
                  <c:v>40.1</c:v>
                </c:pt>
                <c:pt idx="50">
                  <c:v>40.1</c:v>
                </c:pt>
                <c:pt idx="51">
                  <c:v>40.1</c:v>
                </c:pt>
                <c:pt idx="52">
                  <c:v>40.1</c:v>
                </c:pt>
                <c:pt idx="53">
                  <c:v>40.1</c:v>
                </c:pt>
                <c:pt idx="54">
                  <c:v>40.1</c:v>
                </c:pt>
                <c:pt idx="55">
                  <c:v>40.200000000000003</c:v>
                </c:pt>
                <c:pt idx="56">
                  <c:v>40.1</c:v>
                </c:pt>
                <c:pt idx="57">
                  <c:v>40.1</c:v>
                </c:pt>
                <c:pt idx="58">
                  <c:v>40.1</c:v>
                </c:pt>
                <c:pt idx="59">
                  <c:v>40.1</c:v>
                </c:pt>
                <c:pt idx="60">
                  <c:v>40.1</c:v>
                </c:pt>
                <c:pt idx="61">
                  <c:v>40.1</c:v>
                </c:pt>
                <c:pt idx="62">
                  <c:v>52.9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C2-814E-ACB0-41FCC1BFD635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J.LivRm_PVitalsag_2'!$U$53:$U$115</c:f>
              <c:numCache>
                <c:formatCode>0.0</c:formatCode>
                <c:ptCount val="63"/>
                <c:pt idx="0">
                  <c:v>61.584615384615375</c:v>
                </c:pt>
                <c:pt idx="1">
                  <c:v>75.427272727272737</c:v>
                </c:pt>
                <c:pt idx="2">
                  <c:v>79.946666666666673</c:v>
                </c:pt>
                <c:pt idx="3">
                  <c:v>73.733333333333334</c:v>
                </c:pt>
                <c:pt idx="4">
                  <c:v>65.061111111111103</c:v>
                </c:pt>
                <c:pt idx="5">
                  <c:v>59.867688266199757</c:v>
                </c:pt>
                <c:pt idx="6">
                  <c:v>71.734999999999999</c:v>
                </c:pt>
                <c:pt idx="7">
                  <c:v>73.671428571428564</c:v>
                </c:pt>
                <c:pt idx="8">
                  <c:v>80.385000000000005</c:v>
                </c:pt>
                <c:pt idx="9">
                  <c:v>74.852631578947381</c:v>
                </c:pt>
                <c:pt idx="10">
                  <c:v>57.080000000000005</c:v>
                </c:pt>
                <c:pt idx="11">
                  <c:v>65.965217391304364</c:v>
                </c:pt>
                <c:pt idx="12">
                  <c:v>77.215000000000003</c:v>
                </c:pt>
                <c:pt idx="13">
                  <c:v>79.586956521739125</c:v>
                </c:pt>
                <c:pt idx="14">
                  <c:v>74.505263157894731</c:v>
                </c:pt>
                <c:pt idx="15">
                  <c:v>79.521052631578939</c:v>
                </c:pt>
                <c:pt idx="16">
                  <c:v>70.350000000000009</c:v>
                </c:pt>
                <c:pt idx="17">
                  <c:v>64.081818181818178</c:v>
                </c:pt>
                <c:pt idx="18">
                  <c:v>61.680952380952377</c:v>
                </c:pt>
                <c:pt idx="19">
                  <c:v>80.839130434782604</c:v>
                </c:pt>
                <c:pt idx="20">
                  <c:v>78.699999999999974</c:v>
                </c:pt>
                <c:pt idx="21">
                  <c:v>65.204545454545453</c:v>
                </c:pt>
                <c:pt idx="22">
                  <c:v>61.614999999999995</c:v>
                </c:pt>
                <c:pt idx="23">
                  <c:v>72.01666666666668</c:v>
                </c:pt>
                <c:pt idx="24">
                  <c:v>63.088235294117631</c:v>
                </c:pt>
                <c:pt idx="25">
                  <c:v>64.461111111111109</c:v>
                </c:pt>
                <c:pt idx="26">
                  <c:v>86.804545454545448</c:v>
                </c:pt>
                <c:pt idx="27">
                  <c:v>60.711764705882352</c:v>
                </c:pt>
                <c:pt idx="28">
                  <c:v>55.145454545454548</c:v>
                </c:pt>
                <c:pt idx="29">
                  <c:v>52.777777777777786</c:v>
                </c:pt>
                <c:pt idx="30">
                  <c:v>51.530434782608701</c:v>
                </c:pt>
                <c:pt idx="31">
                  <c:v>50.447058823529403</c:v>
                </c:pt>
                <c:pt idx="32">
                  <c:v>48.907142857142844</c:v>
                </c:pt>
                <c:pt idx="33">
                  <c:v>50.023809523809526</c:v>
                </c:pt>
                <c:pt idx="34">
                  <c:v>56.639130434782608</c:v>
                </c:pt>
                <c:pt idx="35">
                  <c:v>51.284999999999989</c:v>
                </c:pt>
                <c:pt idx="36">
                  <c:v>49.388235294117642</c:v>
                </c:pt>
                <c:pt idx="37">
                  <c:v>51.284615384615371</c:v>
                </c:pt>
                <c:pt idx="38">
                  <c:v>46.373333333333335</c:v>
                </c:pt>
                <c:pt idx="39">
                  <c:v>50.838461538461544</c:v>
                </c:pt>
                <c:pt idx="40">
                  <c:v>50.030769230769231</c:v>
                </c:pt>
                <c:pt idx="41">
                  <c:v>55.526086956521738</c:v>
                </c:pt>
                <c:pt idx="42">
                  <c:v>55.625000000000014</c:v>
                </c:pt>
                <c:pt idx="43">
                  <c:v>50.493333333333332</c:v>
                </c:pt>
                <c:pt idx="44">
                  <c:v>52.06</c:v>
                </c:pt>
                <c:pt idx="45">
                  <c:v>53.872727272727268</c:v>
                </c:pt>
                <c:pt idx="46">
                  <c:v>46.08</c:v>
                </c:pt>
                <c:pt idx="47">
                  <c:v>48.305555555555564</c:v>
                </c:pt>
                <c:pt idx="48">
                  <c:v>50.837500000000006</c:v>
                </c:pt>
                <c:pt idx="49">
                  <c:v>53.86999999999999</c:v>
                </c:pt>
                <c:pt idx="50">
                  <c:v>54.772727272727273</c:v>
                </c:pt>
                <c:pt idx="51">
                  <c:v>54.284210526315803</c:v>
                </c:pt>
                <c:pt idx="52">
                  <c:v>55.127272727272732</c:v>
                </c:pt>
                <c:pt idx="53">
                  <c:v>57.729166666666679</c:v>
                </c:pt>
                <c:pt idx="54">
                  <c:v>49.380952380952372</c:v>
                </c:pt>
                <c:pt idx="55">
                  <c:v>54.354545454545452</c:v>
                </c:pt>
                <c:pt idx="56">
                  <c:v>47.769999999999996</c:v>
                </c:pt>
                <c:pt idx="57">
                  <c:v>53.017391304347832</c:v>
                </c:pt>
                <c:pt idx="58">
                  <c:v>51.572727272727278</c:v>
                </c:pt>
                <c:pt idx="59">
                  <c:v>51.595454545454551</c:v>
                </c:pt>
                <c:pt idx="60">
                  <c:v>49.595833333333339</c:v>
                </c:pt>
                <c:pt idx="61">
                  <c:v>52.038095238095238</c:v>
                </c:pt>
                <c:pt idx="62">
                  <c:v>58.64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C2-814E-ACB0-41FCC1BFD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193649664"/>
        <c:axId val="194086784"/>
      </c:stockChart>
      <c:dateAx>
        <c:axId val="193649664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txPr>
          <a:bodyPr rot="-5400000" vert="horz" anchor="ctr" anchorCtr="1"/>
          <a:lstStyle/>
          <a:p>
            <a:pPr>
              <a:defRPr/>
            </a:pPr>
            <a:endParaRPr lang="en-US"/>
          </a:p>
        </c:txPr>
        <c:crossAx val="194086784"/>
        <c:crosses val="autoZero"/>
        <c:auto val="0"/>
        <c:lblOffset val="100"/>
        <c:baseTimeUnit val="days"/>
        <c:majorUnit val="3"/>
        <c:majorTimeUnit val="days"/>
      </c:dateAx>
      <c:valAx>
        <c:axId val="194086784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93649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Respiratory Rate-P8-JBarrington_bed</a:t>
            </a:r>
          </a:p>
        </c:rich>
      </c:tx>
      <c:overlay val="1"/>
    </c:title>
    <c:autoTitleDeleted val="0"/>
    <c:plotArea>
      <c:layout/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J.LivRm_PVitalsag_2'!$X$53:$X$115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J.LivRm_PVitalsag_2'!$Y$53:$Y$115</c:f>
              <c:numCache>
                <c:formatCode>0.0</c:formatCode>
                <c:ptCount val="63"/>
                <c:pt idx="0">
                  <c:v>14.569230769230769</c:v>
                </c:pt>
                <c:pt idx="1">
                  <c:v>15.790909090909089</c:v>
                </c:pt>
                <c:pt idx="2">
                  <c:v>15.933333333333332</c:v>
                </c:pt>
                <c:pt idx="3">
                  <c:v>15.144444444444442</c:v>
                </c:pt>
                <c:pt idx="4">
                  <c:v>15.761111111111111</c:v>
                </c:pt>
                <c:pt idx="5">
                  <c:v>15.33257443082312</c:v>
                </c:pt>
                <c:pt idx="6">
                  <c:v>14.574999999999998</c:v>
                </c:pt>
                <c:pt idx="7">
                  <c:v>18.871428571428563</c:v>
                </c:pt>
                <c:pt idx="8">
                  <c:v>16.725000000000001</c:v>
                </c:pt>
                <c:pt idx="9">
                  <c:v>17.442105263157895</c:v>
                </c:pt>
                <c:pt idx="10">
                  <c:v>16.675000000000001</c:v>
                </c:pt>
                <c:pt idx="11">
                  <c:v>15.491304347826087</c:v>
                </c:pt>
                <c:pt idx="12">
                  <c:v>16.414999999999999</c:v>
                </c:pt>
                <c:pt idx="13">
                  <c:v>14.134782608695653</c:v>
                </c:pt>
                <c:pt idx="14">
                  <c:v>16.110526315789475</c:v>
                </c:pt>
                <c:pt idx="15">
                  <c:v>14.173684210526313</c:v>
                </c:pt>
                <c:pt idx="16">
                  <c:v>13.820833333333335</c:v>
                </c:pt>
                <c:pt idx="17">
                  <c:v>14.540909090909095</c:v>
                </c:pt>
                <c:pt idx="18">
                  <c:v>14.261904761904763</c:v>
                </c:pt>
                <c:pt idx="19">
                  <c:v>15.11304347826087</c:v>
                </c:pt>
                <c:pt idx="20">
                  <c:v>15.670588235294117</c:v>
                </c:pt>
                <c:pt idx="21">
                  <c:v>14.745454545454544</c:v>
                </c:pt>
                <c:pt idx="22">
                  <c:v>18.11</c:v>
                </c:pt>
                <c:pt idx="23">
                  <c:v>14.75</c:v>
                </c:pt>
                <c:pt idx="24">
                  <c:v>16.664705882352944</c:v>
                </c:pt>
                <c:pt idx="25">
                  <c:v>14.650000000000002</c:v>
                </c:pt>
                <c:pt idx="26">
                  <c:v>13.759090909090908</c:v>
                </c:pt>
                <c:pt idx="27">
                  <c:v>14.570588235294116</c:v>
                </c:pt>
                <c:pt idx="28">
                  <c:v>14.231818181818181</c:v>
                </c:pt>
                <c:pt idx="29">
                  <c:v>15.211111111111112</c:v>
                </c:pt>
                <c:pt idx="30">
                  <c:v>14.247826086956524</c:v>
                </c:pt>
                <c:pt idx="31">
                  <c:v>17.152941176470591</c:v>
                </c:pt>
                <c:pt idx="32">
                  <c:v>13.514285714285714</c:v>
                </c:pt>
                <c:pt idx="33">
                  <c:v>19.328571428571429</c:v>
                </c:pt>
                <c:pt idx="34">
                  <c:v>20.9</c:v>
                </c:pt>
                <c:pt idx="35">
                  <c:v>13.8</c:v>
                </c:pt>
                <c:pt idx="36">
                  <c:v>16.829411764705881</c:v>
                </c:pt>
                <c:pt idx="37">
                  <c:v>15.346153846153843</c:v>
                </c:pt>
                <c:pt idx="38">
                  <c:v>13.32</c:v>
                </c:pt>
                <c:pt idx="39">
                  <c:v>14.746153846153845</c:v>
                </c:pt>
                <c:pt idx="40">
                  <c:v>13.423076923076925</c:v>
                </c:pt>
                <c:pt idx="41">
                  <c:v>14.508695652173913</c:v>
                </c:pt>
                <c:pt idx="42">
                  <c:v>18.179999999999996</c:v>
                </c:pt>
                <c:pt idx="43">
                  <c:v>14.6</c:v>
                </c:pt>
                <c:pt idx="44">
                  <c:v>14.124999999999996</c:v>
                </c:pt>
                <c:pt idx="45">
                  <c:v>15.390909090909089</c:v>
                </c:pt>
                <c:pt idx="46">
                  <c:v>14.104999999999999</c:v>
                </c:pt>
                <c:pt idx="47">
                  <c:v>15.172222222222224</c:v>
                </c:pt>
                <c:pt idx="48">
                  <c:v>16.733333333333331</c:v>
                </c:pt>
                <c:pt idx="49">
                  <c:v>14.525000000000002</c:v>
                </c:pt>
                <c:pt idx="50">
                  <c:v>13.454545454545455</c:v>
                </c:pt>
                <c:pt idx="51">
                  <c:v>14.047368421052633</c:v>
                </c:pt>
                <c:pt idx="52">
                  <c:v>14.527272727272729</c:v>
                </c:pt>
                <c:pt idx="53">
                  <c:v>15.870833333333337</c:v>
                </c:pt>
                <c:pt idx="54">
                  <c:v>14.919047619047619</c:v>
                </c:pt>
                <c:pt idx="55">
                  <c:v>16.177272727272729</c:v>
                </c:pt>
                <c:pt idx="56">
                  <c:v>14.48</c:v>
                </c:pt>
                <c:pt idx="57">
                  <c:v>13.786956521739132</c:v>
                </c:pt>
                <c:pt idx="58">
                  <c:v>14.354545454545455</c:v>
                </c:pt>
                <c:pt idx="59">
                  <c:v>14.395454545454548</c:v>
                </c:pt>
                <c:pt idx="60">
                  <c:v>15.549999999999999</c:v>
                </c:pt>
                <c:pt idx="61">
                  <c:v>15.866666666666665</c:v>
                </c:pt>
                <c:pt idx="62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0-D84C-B2DE-43552B3BA55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J.LivRm_PVitalsag_2'!$X$53:$X$115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J.LivRm_PVitalsag_2'!$Z$53:$Z$115</c:f>
              <c:numCache>
                <c:formatCode>General</c:formatCode>
                <c:ptCount val="63"/>
                <c:pt idx="0">
                  <c:v>33.299999999999997</c:v>
                </c:pt>
                <c:pt idx="1">
                  <c:v>32.200000000000003</c:v>
                </c:pt>
                <c:pt idx="2">
                  <c:v>30.4</c:v>
                </c:pt>
                <c:pt idx="3">
                  <c:v>33.4</c:v>
                </c:pt>
                <c:pt idx="4">
                  <c:v>33.200000000000003</c:v>
                </c:pt>
                <c:pt idx="5">
                  <c:v>48.4</c:v>
                </c:pt>
                <c:pt idx="6">
                  <c:v>33.799999999999997</c:v>
                </c:pt>
                <c:pt idx="7">
                  <c:v>35.299999999999997</c:v>
                </c:pt>
                <c:pt idx="8">
                  <c:v>34.799999999999997</c:v>
                </c:pt>
                <c:pt idx="9">
                  <c:v>35.1</c:v>
                </c:pt>
                <c:pt idx="10">
                  <c:v>34.5</c:v>
                </c:pt>
                <c:pt idx="11">
                  <c:v>34.5</c:v>
                </c:pt>
                <c:pt idx="12">
                  <c:v>35</c:v>
                </c:pt>
                <c:pt idx="13">
                  <c:v>32.6</c:v>
                </c:pt>
                <c:pt idx="14">
                  <c:v>48.4</c:v>
                </c:pt>
                <c:pt idx="15">
                  <c:v>38</c:v>
                </c:pt>
                <c:pt idx="16">
                  <c:v>31.3</c:v>
                </c:pt>
                <c:pt idx="17">
                  <c:v>32.4</c:v>
                </c:pt>
                <c:pt idx="18">
                  <c:v>32.799999999999997</c:v>
                </c:pt>
                <c:pt idx="19">
                  <c:v>28.4</c:v>
                </c:pt>
                <c:pt idx="20">
                  <c:v>34</c:v>
                </c:pt>
                <c:pt idx="21">
                  <c:v>35.299999999999997</c:v>
                </c:pt>
                <c:pt idx="22">
                  <c:v>37.200000000000003</c:v>
                </c:pt>
                <c:pt idx="23">
                  <c:v>33.4</c:v>
                </c:pt>
                <c:pt idx="24">
                  <c:v>34.799999999999997</c:v>
                </c:pt>
                <c:pt idx="25">
                  <c:v>40.6</c:v>
                </c:pt>
                <c:pt idx="26">
                  <c:v>37.1</c:v>
                </c:pt>
                <c:pt idx="27">
                  <c:v>33.1</c:v>
                </c:pt>
                <c:pt idx="28">
                  <c:v>33.5</c:v>
                </c:pt>
                <c:pt idx="29">
                  <c:v>37.4</c:v>
                </c:pt>
                <c:pt idx="30">
                  <c:v>34.700000000000003</c:v>
                </c:pt>
                <c:pt idx="31">
                  <c:v>36.4</c:v>
                </c:pt>
                <c:pt idx="32">
                  <c:v>26.3</c:v>
                </c:pt>
                <c:pt idx="33">
                  <c:v>35.5</c:v>
                </c:pt>
                <c:pt idx="34">
                  <c:v>36.700000000000003</c:v>
                </c:pt>
                <c:pt idx="35">
                  <c:v>29.6</c:v>
                </c:pt>
                <c:pt idx="36">
                  <c:v>34.200000000000003</c:v>
                </c:pt>
                <c:pt idx="37">
                  <c:v>31.9</c:v>
                </c:pt>
                <c:pt idx="38">
                  <c:v>26.2</c:v>
                </c:pt>
                <c:pt idx="39">
                  <c:v>31.4</c:v>
                </c:pt>
                <c:pt idx="40">
                  <c:v>24.9</c:v>
                </c:pt>
                <c:pt idx="41">
                  <c:v>31.5</c:v>
                </c:pt>
                <c:pt idx="42">
                  <c:v>35.6</c:v>
                </c:pt>
                <c:pt idx="43">
                  <c:v>28.1</c:v>
                </c:pt>
                <c:pt idx="44">
                  <c:v>34.5</c:v>
                </c:pt>
                <c:pt idx="45">
                  <c:v>34.1</c:v>
                </c:pt>
                <c:pt idx="46">
                  <c:v>35</c:v>
                </c:pt>
                <c:pt idx="47">
                  <c:v>32.4</c:v>
                </c:pt>
                <c:pt idx="48">
                  <c:v>34.6</c:v>
                </c:pt>
                <c:pt idx="49">
                  <c:v>27.6</c:v>
                </c:pt>
                <c:pt idx="50">
                  <c:v>31.8</c:v>
                </c:pt>
                <c:pt idx="51">
                  <c:v>32.9</c:v>
                </c:pt>
                <c:pt idx="52">
                  <c:v>34.799999999999997</c:v>
                </c:pt>
                <c:pt idx="53">
                  <c:v>34.700000000000003</c:v>
                </c:pt>
                <c:pt idx="54">
                  <c:v>33.299999999999997</c:v>
                </c:pt>
                <c:pt idx="55">
                  <c:v>38.9</c:v>
                </c:pt>
                <c:pt idx="56">
                  <c:v>31.7</c:v>
                </c:pt>
                <c:pt idx="57">
                  <c:v>29.2</c:v>
                </c:pt>
                <c:pt idx="58">
                  <c:v>33.700000000000003</c:v>
                </c:pt>
                <c:pt idx="59">
                  <c:v>34.799999999999997</c:v>
                </c:pt>
                <c:pt idx="60">
                  <c:v>34.6</c:v>
                </c:pt>
                <c:pt idx="61">
                  <c:v>34.5</c:v>
                </c:pt>
                <c:pt idx="62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30-D84C-B2DE-43552B3BA556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J.LivRm_PVitalsag_2'!$X$53:$X$115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J.LivRm_PVitalsag_2'!$AA$53:$AA$115</c:f>
              <c:numCache>
                <c:formatCode>General</c:formatCode>
                <c:ptCount val="63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10.7</c:v>
                </c:pt>
                <c:pt idx="4">
                  <c:v>10.9</c:v>
                </c:pt>
                <c:pt idx="5">
                  <c:v>8.5</c:v>
                </c:pt>
                <c:pt idx="6">
                  <c:v>8.6999999999999993</c:v>
                </c:pt>
                <c:pt idx="7">
                  <c:v>10.6</c:v>
                </c:pt>
                <c:pt idx="8">
                  <c:v>10</c:v>
                </c:pt>
                <c:pt idx="9">
                  <c:v>9.4</c:v>
                </c:pt>
                <c:pt idx="10">
                  <c:v>10.5</c:v>
                </c:pt>
                <c:pt idx="11">
                  <c:v>10.4</c:v>
                </c:pt>
                <c:pt idx="12">
                  <c:v>9.6999999999999993</c:v>
                </c:pt>
                <c:pt idx="13">
                  <c:v>9.8000000000000007</c:v>
                </c:pt>
                <c:pt idx="14">
                  <c:v>10.4</c:v>
                </c:pt>
                <c:pt idx="15">
                  <c:v>8.6999999999999993</c:v>
                </c:pt>
                <c:pt idx="16">
                  <c:v>8.6999999999999993</c:v>
                </c:pt>
                <c:pt idx="17">
                  <c:v>9.1</c:v>
                </c:pt>
                <c:pt idx="18">
                  <c:v>9.4</c:v>
                </c:pt>
                <c:pt idx="19">
                  <c:v>10.6</c:v>
                </c:pt>
                <c:pt idx="20">
                  <c:v>10.8</c:v>
                </c:pt>
                <c:pt idx="21">
                  <c:v>9.1</c:v>
                </c:pt>
                <c:pt idx="22">
                  <c:v>10.8</c:v>
                </c:pt>
                <c:pt idx="23">
                  <c:v>9.1999999999999993</c:v>
                </c:pt>
                <c:pt idx="24">
                  <c:v>10.5</c:v>
                </c:pt>
                <c:pt idx="25">
                  <c:v>8.8000000000000007</c:v>
                </c:pt>
                <c:pt idx="26">
                  <c:v>9.5</c:v>
                </c:pt>
                <c:pt idx="27">
                  <c:v>9.9</c:v>
                </c:pt>
                <c:pt idx="28">
                  <c:v>8.8000000000000007</c:v>
                </c:pt>
                <c:pt idx="29">
                  <c:v>10.6</c:v>
                </c:pt>
                <c:pt idx="30">
                  <c:v>9.5</c:v>
                </c:pt>
                <c:pt idx="31">
                  <c:v>9.6</c:v>
                </c:pt>
                <c:pt idx="32">
                  <c:v>10.7</c:v>
                </c:pt>
                <c:pt idx="33">
                  <c:v>10.1</c:v>
                </c:pt>
                <c:pt idx="34">
                  <c:v>8.6999999999999993</c:v>
                </c:pt>
                <c:pt idx="35">
                  <c:v>8.6999999999999993</c:v>
                </c:pt>
                <c:pt idx="36">
                  <c:v>10.3</c:v>
                </c:pt>
                <c:pt idx="37">
                  <c:v>10.4</c:v>
                </c:pt>
                <c:pt idx="38">
                  <c:v>9.1999999999999993</c:v>
                </c:pt>
                <c:pt idx="39">
                  <c:v>10.3</c:v>
                </c:pt>
                <c:pt idx="40">
                  <c:v>10.5</c:v>
                </c:pt>
                <c:pt idx="41">
                  <c:v>10</c:v>
                </c:pt>
                <c:pt idx="42">
                  <c:v>9.8000000000000007</c:v>
                </c:pt>
                <c:pt idx="43">
                  <c:v>10.199999999999999</c:v>
                </c:pt>
                <c:pt idx="44">
                  <c:v>9.9</c:v>
                </c:pt>
                <c:pt idx="45">
                  <c:v>8.6999999999999993</c:v>
                </c:pt>
                <c:pt idx="46">
                  <c:v>8.9</c:v>
                </c:pt>
                <c:pt idx="47">
                  <c:v>8.9</c:v>
                </c:pt>
                <c:pt idx="48">
                  <c:v>10.3</c:v>
                </c:pt>
                <c:pt idx="49">
                  <c:v>9.3000000000000007</c:v>
                </c:pt>
                <c:pt idx="50">
                  <c:v>8.6999999999999993</c:v>
                </c:pt>
                <c:pt idx="51">
                  <c:v>8.5</c:v>
                </c:pt>
                <c:pt idx="52">
                  <c:v>9.1999999999999993</c:v>
                </c:pt>
                <c:pt idx="53">
                  <c:v>9.4</c:v>
                </c:pt>
                <c:pt idx="54">
                  <c:v>9.9</c:v>
                </c:pt>
                <c:pt idx="55">
                  <c:v>10.6</c:v>
                </c:pt>
                <c:pt idx="56">
                  <c:v>9</c:v>
                </c:pt>
                <c:pt idx="57">
                  <c:v>8.6</c:v>
                </c:pt>
                <c:pt idx="58">
                  <c:v>10.6</c:v>
                </c:pt>
                <c:pt idx="59">
                  <c:v>9.6</c:v>
                </c:pt>
                <c:pt idx="60">
                  <c:v>9.8000000000000007</c:v>
                </c:pt>
                <c:pt idx="61">
                  <c:v>9</c:v>
                </c:pt>
                <c:pt idx="62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30-D84C-B2DE-43552B3BA556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J.LivRm_PVitalsag_2'!$X$53:$X$115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J.LivRm_PVitalsag_2'!$AB$53:$AB$115</c:f>
              <c:numCache>
                <c:formatCode>0.0</c:formatCode>
                <c:ptCount val="63"/>
                <c:pt idx="0">
                  <c:v>14.86923076923077</c:v>
                </c:pt>
                <c:pt idx="1">
                  <c:v>16.09090909090909</c:v>
                </c:pt>
                <c:pt idx="2">
                  <c:v>16.233333333333331</c:v>
                </c:pt>
                <c:pt idx="3">
                  <c:v>15.444444444444443</c:v>
                </c:pt>
                <c:pt idx="4">
                  <c:v>16.06111111111111</c:v>
                </c:pt>
                <c:pt idx="5">
                  <c:v>15.632574430823121</c:v>
                </c:pt>
                <c:pt idx="6">
                  <c:v>14.874999999999998</c:v>
                </c:pt>
                <c:pt idx="7">
                  <c:v>19.171428571428564</c:v>
                </c:pt>
                <c:pt idx="8">
                  <c:v>17.025000000000002</c:v>
                </c:pt>
                <c:pt idx="9">
                  <c:v>17.742105263157896</c:v>
                </c:pt>
                <c:pt idx="10">
                  <c:v>16.975000000000001</c:v>
                </c:pt>
                <c:pt idx="11">
                  <c:v>15.791304347826088</c:v>
                </c:pt>
                <c:pt idx="12">
                  <c:v>16.715</c:v>
                </c:pt>
                <c:pt idx="13">
                  <c:v>14.434782608695654</c:v>
                </c:pt>
                <c:pt idx="14">
                  <c:v>16.410526315789475</c:v>
                </c:pt>
                <c:pt idx="15">
                  <c:v>14.473684210526313</c:v>
                </c:pt>
                <c:pt idx="16">
                  <c:v>14.120833333333335</c:v>
                </c:pt>
                <c:pt idx="17">
                  <c:v>14.840909090909095</c:v>
                </c:pt>
                <c:pt idx="18">
                  <c:v>14.561904761904763</c:v>
                </c:pt>
                <c:pt idx="19">
                  <c:v>15.413043478260871</c:v>
                </c:pt>
                <c:pt idx="20">
                  <c:v>15.970588235294118</c:v>
                </c:pt>
                <c:pt idx="21">
                  <c:v>15.045454545454545</c:v>
                </c:pt>
                <c:pt idx="22">
                  <c:v>18.41</c:v>
                </c:pt>
                <c:pt idx="23">
                  <c:v>15.05</c:v>
                </c:pt>
                <c:pt idx="24">
                  <c:v>16.964705882352945</c:v>
                </c:pt>
                <c:pt idx="25">
                  <c:v>14.950000000000003</c:v>
                </c:pt>
                <c:pt idx="26">
                  <c:v>14.059090909090909</c:v>
                </c:pt>
                <c:pt idx="27">
                  <c:v>14.870588235294116</c:v>
                </c:pt>
                <c:pt idx="28">
                  <c:v>14.531818181818181</c:v>
                </c:pt>
                <c:pt idx="29">
                  <c:v>15.511111111111113</c:v>
                </c:pt>
                <c:pt idx="30">
                  <c:v>14.547826086956524</c:v>
                </c:pt>
                <c:pt idx="31">
                  <c:v>17.452941176470592</c:v>
                </c:pt>
                <c:pt idx="32">
                  <c:v>13.814285714285715</c:v>
                </c:pt>
                <c:pt idx="33">
                  <c:v>19.62857142857143</c:v>
                </c:pt>
                <c:pt idx="34">
                  <c:v>21.2</c:v>
                </c:pt>
                <c:pt idx="35">
                  <c:v>14.100000000000001</c:v>
                </c:pt>
                <c:pt idx="36">
                  <c:v>17.129411764705882</c:v>
                </c:pt>
                <c:pt idx="37">
                  <c:v>15.646153846153844</c:v>
                </c:pt>
                <c:pt idx="38">
                  <c:v>13.620000000000001</c:v>
                </c:pt>
                <c:pt idx="39">
                  <c:v>15.046153846153846</c:v>
                </c:pt>
                <c:pt idx="40">
                  <c:v>13.723076923076926</c:v>
                </c:pt>
                <c:pt idx="41">
                  <c:v>14.808695652173913</c:v>
                </c:pt>
                <c:pt idx="42">
                  <c:v>18.479999999999997</c:v>
                </c:pt>
                <c:pt idx="43">
                  <c:v>14.9</c:v>
                </c:pt>
                <c:pt idx="44">
                  <c:v>14.424999999999997</c:v>
                </c:pt>
                <c:pt idx="45">
                  <c:v>15.69090909090909</c:v>
                </c:pt>
                <c:pt idx="46">
                  <c:v>14.404999999999999</c:v>
                </c:pt>
                <c:pt idx="47">
                  <c:v>15.472222222222225</c:v>
                </c:pt>
                <c:pt idx="48">
                  <c:v>17.033333333333331</c:v>
                </c:pt>
                <c:pt idx="49">
                  <c:v>14.825000000000003</c:v>
                </c:pt>
                <c:pt idx="50">
                  <c:v>13.754545454545456</c:v>
                </c:pt>
                <c:pt idx="51">
                  <c:v>14.347368421052634</c:v>
                </c:pt>
                <c:pt idx="52">
                  <c:v>14.82727272727273</c:v>
                </c:pt>
                <c:pt idx="53">
                  <c:v>16.170833333333338</c:v>
                </c:pt>
                <c:pt idx="54">
                  <c:v>15.21904761904762</c:v>
                </c:pt>
                <c:pt idx="55">
                  <c:v>16.47727272727273</c:v>
                </c:pt>
                <c:pt idx="56">
                  <c:v>14.780000000000001</c:v>
                </c:pt>
                <c:pt idx="57">
                  <c:v>14.086956521739133</c:v>
                </c:pt>
                <c:pt idx="58">
                  <c:v>14.654545454545456</c:v>
                </c:pt>
                <c:pt idx="59">
                  <c:v>14.695454545454549</c:v>
                </c:pt>
                <c:pt idx="60">
                  <c:v>15.85</c:v>
                </c:pt>
                <c:pt idx="61">
                  <c:v>16.166666666666664</c:v>
                </c:pt>
                <c:pt idx="62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30-D84C-B2DE-43552B3BA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271233024"/>
        <c:axId val="46650496"/>
      </c:stockChart>
      <c:dateAx>
        <c:axId val="271233024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6650496"/>
        <c:crosses val="autoZero"/>
        <c:auto val="1"/>
        <c:lblOffset val="100"/>
        <c:baseTimeUnit val="days"/>
        <c:majorUnit val="1"/>
        <c:majorTimeUnit val="days"/>
      </c:dateAx>
      <c:valAx>
        <c:axId val="4665049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271233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Avg Heart Rate-P8-JBarrington_bed </a:t>
            </a:r>
          </a:p>
        </c:rich>
      </c:tx>
      <c:overlay val="1"/>
    </c:title>
    <c:autoTitleDeleted val="0"/>
    <c:plotArea>
      <c:layout/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J.LivRm_PVitalsag_2'!$R$53:$R$115</c:f>
              <c:numCache>
                <c:formatCode>0.0</c:formatCode>
                <c:ptCount val="63"/>
                <c:pt idx="0">
                  <c:v>60.584615384615375</c:v>
                </c:pt>
                <c:pt idx="1">
                  <c:v>74.427272727272737</c:v>
                </c:pt>
                <c:pt idx="2">
                  <c:v>78.946666666666673</c:v>
                </c:pt>
                <c:pt idx="3">
                  <c:v>72.733333333333334</c:v>
                </c:pt>
                <c:pt idx="4">
                  <c:v>64.061111111111103</c:v>
                </c:pt>
                <c:pt idx="5">
                  <c:v>58.867688266199757</c:v>
                </c:pt>
                <c:pt idx="6">
                  <c:v>70.734999999999999</c:v>
                </c:pt>
                <c:pt idx="7">
                  <c:v>72.671428571428564</c:v>
                </c:pt>
                <c:pt idx="8">
                  <c:v>79.385000000000005</c:v>
                </c:pt>
                <c:pt idx="9">
                  <c:v>73.852631578947381</c:v>
                </c:pt>
                <c:pt idx="10">
                  <c:v>56.080000000000005</c:v>
                </c:pt>
                <c:pt idx="11">
                  <c:v>64.965217391304364</c:v>
                </c:pt>
                <c:pt idx="12">
                  <c:v>76.215000000000003</c:v>
                </c:pt>
                <c:pt idx="13">
                  <c:v>78.586956521739125</c:v>
                </c:pt>
                <c:pt idx="14">
                  <c:v>73.505263157894731</c:v>
                </c:pt>
                <c:pt idx="15">
                  <c:v>78.521052631578939</c:v>
                </c:pt>
                <c:pt idx="16">
                  <c:v>69.350000000000009</c:v>
                </c:pt>
                <c:pt idx="17">
                  <c:v>63.081818181818178</c:v>
                </c:pt>
                <c:pt idx="18">
                  <c:v>60.680952380952377</c:v>
                </c:pt>
                <c:pt idx="19">
                  <c:v>79.839130434782604</c:v>
                </c:pt>
                <c:pt idx="20">
                  <c:v>77.699999999999974</c:v>
                </c:pt>
                <c:pt idx="21">
                  <c:v>64.204545454545453</c:v>
                </c:pt>
                <c:pt idx="22">
                  <c:v>60.614999999999995</c:v>
                </c:pt>
                <c:pt idx="23">
                  <c:v>71.01666666666668</c:v>
                </c:pt>
                <c:pt idx="24">
                  <c:v>62.088235294117631</c:v>
                </c:pt>
                <c:pt idx="25">
                  <c:v>63.461111111111109</c:v>
                </c:pt>
                <c:pt idx="26">
                  <c:v>85.804545454545448</c:v>
                </c:pt>
                <c:pt idx="27">
                  <c:v>59.711764705882352</c:v>
                </c:pt>
                <c:pt idx="28">
                  <c:v>54.145454545454548</c:v>
                </c:pt>
                <c:pt idx="29">
                  <c:v>51.777777777777786</c:v>
                </c:pt>
                <c:pt idx="30">
                  <c:v>50.530434782608701</c:v>
                </c:pt>
                <c:pt idx="31">
                  <c:v>49.447058823529403</c:v>
                </c:pt>
                <c:pt idx="32">
                  <c:v>47.907142857142844</c:v>
                </c:pt>
                <c:pt idx="33">
                  <c:v>49.023809523809526</c:v>
                </c:pt>
                <c:pt idx="34">
                  <c:v>55.639130434782608</c:v>
                </c:pt>
                <c:pt idx="35">
                  <c:v>50.284999999999989</c:v>
                </c:pt>
                <c:pt idx="36">
                  <c:v>48.388235294117642</c:v>
                </c:pt>
                <c:pt idx="37">
                  <c:v>50.284615384615371</c:v>
                </c:pt>
                <c:pt idx="38">
                  <c:v>45.373333333333335</c:v>
                </c:pt>
                <c:pt idx="39">
                  <c:v>49.838461538461544</c:v>
                </c:pt>
                <c:pt idx="40">
                  <c:v>49.030769230769231</c:v>
                </c:pt>
                <c:pt idx="41">
                  <c:v>54.526086956521738</c:v>
                </c:pt>
                <c:pt idx="42">
                  <c:v>54.625000000000014</c:v>
                </c:pt>
                <c:pt idx="43">
                  <c:v>49.493333333333332</c:v>
                </c:pt>
                <c:pt idx="44">
                  <c:v>51.06</c:v>
                </c:pt>
                <c:pt idx="45">
                  <c:v>52.872727272727268</c:v>
                </c:pt>
                <c:pt idx="46">
                  <c:v>45.08</c:v>
                </c:pt>
                <c:pt idx="47">
                  <c:v>47.305555555555564</c:v>
                </c:pt>
                <c:pt idx="48">
                  <c:v>49.837500000000006</c:v>
                </c:pt>
                <c:pt idx="49">
                  <c:v>52.86999999999999</c:v>
                </c:pt>
                <c:pt idx="50">
                  <c:v>53.772727272727273</c:v>
                </c:pt>
                <c:pt idx="51">
                  <c:v>53.284210526315803</c:v>
                </c:pt>
                <c:pt idx="52">
                  <c:v>54.127272727272732</c:v>
                </c:pt>
                <c:pt idx="53">
                  <c:v>56.729166666666679</c:v>
                </c:pt>
                <c:pt idx="54">
                  <c:v>48.380952380952372</c:v>
                </c:pt>
                <c:pt idx="55">
                  <c:v>53.354545454545452</c:v>
                </c:pt>
                <c:pt idx="56">
                  <c:v>46.769999999999996</c:v>
                </c:pt>
                <c:pt idx="57">
                  <c:v>52.017391304347832</c:v>
                </c:pt>
                <c:pt idx="58">
                  <c:v>50.572727272727278</c:v>
                </c:pt>
                <c:pt idx="59">
                  <c:v>50.595454545454551</c:v>
                </c:pt>
                <c:pt idx="60">
                  <c:v>48.595833333333339</c:v>
                </c:pt>
                <c:pt idx="61">
                  <c:v>51.038095238095238</c:v>
                </c:pt>
                <c:pt idx="62">
                  <c:v>57.64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C2-814E-ACB0-41FCC1BFD63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J.LivRm_PVitalsag_2'!$S$53:$S$115</c:f>
              <c:numCache>
                <c:formatCode>General</c:formatCode>
                <c:ptCount val="63"/>
                <c:pt idx="0">
                  <c:v>72.5</c:v>
                </c:pt>
                <c:pt idx="1">
                  <c:v>120.2</c:v>
                </c:pt>
                <c:pt idx="2">
                  <c:v>121</c:v>
                </c:pt>
                <c:pt idx="3">
                  <c:v>120.3</c:v>
                </c:pt>
                <c:pt idx="4">
                  <c:v>99.5</c:v>
                </c:pt>
                <c:pt idx="5">
                  <c:v>131.69999999999999</c:v>
                </c:pt>
                <c:pt idx="6">
                  <c:v>111</c:v>
                </c:pt>
                <c:pt idx="7">
                  <c:v>122</c:v>
                </c:pt>
                <c:pt idx="8">
                  <c:v>115.4</c:v>
                </c:pt>
                <c:pt idx="9">
                  <c:v>127.2</c:v>
                </c:pt>
                <c:pt idx="10">
                  <c:v>107.2</c:v>
                </c:pt>
                <c:pt idx="11">
                  <c:v>114.2</c:v>
                </c:pt>
                <c:pt idx="12">
                  <c:v>114.1</c:v>
                </c:pt>
                <c:pt idx="13">
                  <c:v>124</c:v>
                </c:pt>
                <c:pt idx="14">
                  <c:v>113.7</c:v>
                </c:pt>
                <c:pt idx="15">
                  <c:v>116.7</c:v>
                </c:pt>
                <c:pt idx="16">
                  <c:v>122.5</c:v>
                </c:pt>
                <c:pt idx="17">
                  <c:v>119.2</c:v>
                </c:pt>
                <c:pt idx="18">
                  <c:v>114.2</c:v>
                </c:pt>
                <c:pt idx="19">
                  <c:v>117.4</c:v>
                </c:pt>
                <c:pt idx="20">
                  <c:v>115.5</c:v>
                </c:pt>
                <c:pt idx="21">
                  <c:v>116</c:v>
                </c:pt>
                <c:pt idx="22">
                  <c:v>125.5</c:v>
                </c:pt>
                <c:pt idx="23">
                  <c:v>126.9</c:v>
                </c:pt>
                <c:pt idx="24">
                  <c:v>116.9</c:v>
                </c:pt>
                <c:pt idx="25">
                  <c:v>126</c:v>
                </c:pt>
                <c:pt idx="26">
                  <c:v>130.80000000000001</c:v>
                </c:pt>
                <c:pt idx="27">
                  <c:v>105.8</c:v>
                </c:pt>
                <c:pt idx="28">
                  <c:v>93.3</c:v>
                </c:pt>
                <c:pt idx="29">
                  <c:v>83.8</c:v>
                </c:pt>
                <c:pt idx="30">
                  <c:v>78.7</c:v>
                </c:pt>
                <c:pt idx="31">
                  <c:v>67</c:v>
                </c:pt>
                <c:pt idx="32">
                  <c:v>68.5</c:v>
                </c:pt>
                <c:pt idx="33">
                  <c:v>83.5</c:v>
                </c:pt>
                <c:pt idx="34">
                  <c:v>79.5</c:v>
                </c:pt>
                <c:pt idx="35">
                  <c:v>69.2</c:v>
                </c:pt>
                <c:pt idx="36">
                  <c:v>73.8</c:v>
                </c:pt>
                <c:pt idx="37">
                  <c:v>76.099999999999994</c:v>
                </c:pt>
                <c:pt idx="38">
                  <c:v>57.8</c:v>
                </c:pt>
                <c:pt idx="39">
                  <c:v>81</c:v>
                </c:pt>
                <c:pt idx="40">
                  <c:v>75.3</c:v>
                </c:pt>
                <c:pt idx="41">
                  <c:v>75.8</c:v>
                </c:pt>
                <c:pt idx="42">
                  <c:v>73.5</c:v>
                </c:pt>
                <c:pt idx="43">
                  <c:v>71.400000000000006</c:v>
                </c:pt>
                <c:pt idx="44">
                  <c:v>72.8</c:v>
                </c:pt>
                <c:pt idx="45">
                  <c:v>69.599999999999994</c:v>
                </c:pt>
                <c:pt idx="46">
                  <c:v>56.2</c:v>
                </c:pt>
                <c:pt idx="47">
                  <c:v>70.400000000000006</c:v>
                </c:pt>
                <c:pt idx="48">
                  <c:v>73.2</c:v>
                </c:pt>
                <c:pt idx="49">
                  <c:v>69.2</c:v>
                </c:pt>
                <c:pt idx="50">
                  <c:v>74.099999999999994</c:v>
                </c:pt>
                <c:pt idx="51">
                  <c:v>82.3</c:v>
                </c:pt>
                <c:pt idx="52">
                  <c:v>78.8</c:v>
                </c:pt>
                <c:pt idx="53">
                  <c:v>91.8</c:v>
                </c:pt>
                <c:pt idx="54">
                  <c:v>73.5</c:v>
                </c:pt>
                <c:pt idx="55">
                  <c:v>81.8</c:v>
                </c:pt>
                <c:pt idx="56">
                  <c:v>69.2</c:v>
                </c:pt>
                <c:pt idx="57">
                  <c:v>68.400000000000006</c:v>
                </c:pt>
                <c:pt idx="58">
                  <c:v>79.099999999999994</c:v>
                </c:pt>
                <c:pt idx="59">
                  <c:v>70.2</c:v>
                </c:pt>
                <c:pt idx="60">
                  <c:v>68.8</c:v>
                </c:pt>
                <c:pt idx="61">
                  <c:v>73.3</c:v>
                </c:pt>
                <c:pt idx="62">
                  <c:v>65.099999999999994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C2-814E-ACB0-41FCC1BFD635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J.LivRm_PVitalsag_2'!$T$53:$T$115</c:f>
              <c:numCache>
                <c:formatCode>General</c:formatCode>
                <c:ptCount val="63"/>
                <c:pt idx="0">
                  <c:v>52.5</c:v>
                </c:pt>
                <c:pt idx="1">
                  <c:v>50.3</c:v>
                </c:pt>
                <c:pt idx="2">
                  <c:v>47.9</c:v>
                </c:pt>
                <c:pt idx="3">
                  <c:v>40.1</c:v>
                </c:pt>
                <c:pt idx="4">
                  <c:v>43</c:v>
                </c:pt>
                <c:pt idx="5">
                  <c:v>40.1</c:v>
                </c:pt>
                <c:pt idx="6">
                  <c:v>47.8</c:v>
                </c:pt>
                <c:pt idx="7">
                  <c:v>45.3</c:v>
                </c:pt>
                <c:pt idx="8">
                  <c:v>43</c:v>
                </c:pt>
                <c:pt idx="9">
                  <c:v>44.2</c:v>
                </c:pt>
                <c:pt idx="10">
                  <c:v>40.1</c:v>
                </c:pt>
                <c:pt idx="11">
                  <c:v>40.1</c:v>
                </c:pt>
                <c:pt idx="12">
                  <c:v>40.1</c:v>
                </c:pt>
                <c:pt idx="13">
                  <c:v>52</c:v>
                </c:pt>
                <c:pt idx="14">
                  <c:v>43.1</c:v>
                </c:pt>
                <c:pt idx="15">
                  <c:v>52.2</c:v>
                </c:pt>
                <c:pt idx="16">
                  <c:v>43.9</c:v>
                </c:pt>
                <c:pt idx="17">
                  <c:v>40.1</c:v>
                </c:pt>
                <c:pt idx="18">
                  <c:v>40.200000000000003</c:v>
                </c:pt>
                <c:pt idx="19">
                  <c:v>44.9</c:v>
                </c:pt>
                <c:pt idx="20">
                  <c:v>42.9</c:v>
                </c:pt>
                <c:pt idx="21">
                  <c:v>45</c:v>
                </c:pt>
                <c:pt idx="22">
                  <c:v>40.1</c:v>
                </c:pt>
                <c:pt idx="23">
                  <c:v>40.1</c:v>
                </c:pt>
                <c:pt idx="24">
                  <c:v>40.1</c:v>
                </c:pt>
                <c:pt idx="25">
                  <c:v>40.1</c:v>
                </c:pt>
                <c:pt idx="26">
                  <c:v>45.5</c:v>
                </c:pt>
                <c:pt idx="27">
                  <c:v>42.6</c:v>
                </c:pt>
                <c:pt idx="28">
                  <c:v>40.1</c:v>
                </c:pt>
                <c:pt idx="29">
                  <c:v>40.1</c:v>
                </c:pt>
                <c:pt idx="30">
                  <c:v>40.1</c:v>
                </c:pt>
                <c:pt idx="31">
                  <c:v>40.1</c:v>
                </c:pt>
                <c:pt idx="32">
                  <c:v>40.1</c:v>
                </c:pt>
                <c:pt idx="33">
                  <c:v>40.299999999999997</c:v>
                </c:pt>
                <c:pt idx="34">
                  <c:v>40.1</c:v>
                </c:pt>
                <c:pt idx="35">
                  <c:v>40.1</c:v>
                </c:pt>
                <c:pt idx="36">
                  <c:v>40.1</c:v>
                </c:pt>
                <c:pt idx="37">
                  <c:v>40.1</c:v>
                </c:pt>
                <c:pt idx="38">
                  <c:v>40.1</c:v>
                </c:pt>
                <c:pt idx="39">
                  <c:v>40.1</c:v>
                </c:pt>
                <c:pt idx="40">
                  <c:v>40.1</c:v>
                </c:pt>
                <c:pt idx="41">
                  <c:v>40.4</c:v>
                </c:pt>
                <c:pt idx="42">
                  <c:v>40.1</c:v>
                </c:pt>
                <c:pt idx="43">
                  <c:v>40.1</c:v>
                </c:pt>
                <c:pt idx="44">
                  <c:v>40.1</c:v>
                </c:pt>
                <c:pt idx="45">
                  <c:v>40.1</c:v>
                </c:pt>
                <c:pt idx="46">
                  <c:v>40.1</c:v>
                </c:pt>
                <c:pt idx="47">
                  <c:v>40.1</c:v>
                </c:pt>
                <c:pt idx="48">
                  <c:v>40.1</c:v>
                </c:pt>
                <c:pt idx="49">
                  <c:v>40.1</c:v>
                </c:pt>
                <c:pt idx="50">
                  <c:v>40.1</c:v>
                </c:pt>
                <c:pt idx="51">
                  <c:v>40.1</c:v>
                </c:pt>
                <c:pt idx="52">
                  <c:v>40.1</c:v>
                </c:pt>
                <c:pt idx="53">
                  <c:v>40.1</c:v>
                </c:pt>
                <c:pt idx="54">
                  <c:v>40.1</c:v>
                </c:pt>
                <c:pt idx="55">
                  <c:v>40.200000000000003</c:v>
                </c:pt>
                <c:pt idx="56">
                  <c:v>40.1</c:v>
                </c:pt>
                <c:pt idx="57">
                  <c:v>40.1</c:v>
                </c:pt>
                <c:pt idx="58">
                  <c:v>40.1</c:v>
                </c:pt>
                <c:pt idx="59">
                  <c:v>40.1</c:v>
                </c:pt>
                <c:pt idx="60">
                  <c:v>40.1</c:v>
                </c:pt>
                <c:pt idx="61">
                  <c:v>40.1</c:v>
                </c:pt>
                <c:pt idx="62">
                  <c:v>52.9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C2-814E-ACB0-41FCC1BFD635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J.LivRm_PVitalsag_2'!$U$53:$U$115</c:f>
              <c:numCache>
                <c:formatCode>0.0</c:formatCode>
                <c:ptCount val="63"/>
                <c:pt idx="0">
                  <c:v>61.584615384615375</c:v>
                </c:pt>
                <c:pt idx="1">
                  <c:v>75.427272727272737</c:v>
                </c:pt>
                <c:pt idx="2">
                  <c:v>79.946666666666673</c:v>
                </c:pt>
                <c:pt idx="3">
                  <c:v>73.733333333333334</c:v>
                </c:pt>
                <c:pt idx="4">
                  <c:v>65.061111111111103</c:v>
                </c:pt>
                <c:pt idx="5">
                  <c:v>59.867688266199757</c:v>
                </c:pt>
                <c:pt idx="6">
                  <c:v>71.734999999999999</c:v>
                </c:pt>
                <c:pt idx="7">
                  <c:v>73.671428571428564</c:v>
                </c:pt>
                <c:pt idx="8">
                  <c:v>80.385000000000005</c:v>
                </c:pt>
                <c:pt idx="9">
                  <c:v>74.852631578947381</c:v>
                </c:pt>
                <c:pt idx="10">
                  <c:v>57.080000000000005</c:v>
                </c:pt>
                <c:pt idx="11">
                  <c:v>65.965217391304364</c:v>
                </c:pt>
                <c:pt idx="12">
                  <c:v>77.215000000000003</c:v>
                </c:pt>
                <c:pt idx="13">
                  <c:v>79.586956521739125</c:v>
                </c:pt>
                <c:pt idx="14">
                  <c:v>74.505263157894731</c:v>
                </c:pt>
                <c:pt idx="15">
                  <c:v>79.521052631578939</c:v>
                </c:pt>
                <c:pt idx="16">
                  <c:v>70.350000000000009</c:v>
                </c:pt>
                <c:pt idx="17">
                  <c:v>64.081818181818178</c:v>
                </c:pt>
                <c:pt idx="18">
                  <c:v>61.680952380952377</c:v>
                </c:pt>
                <c:pt idx="19">
                  <c:v>80.839130434782604</c:v>
                </c:pt>
                <c:pt idx="20">
                  <c:v>78.699999999999974</c:v>
                </c:pt>
                <c:pt idx="21">
                  <c:v>65.204545454545453</c:v>
                </c:pt>
                <c:pt idx="22">
                  <c:v>61.614999999999995</c:v>
                </c:pt>
                <c:pt idx="23">
                  <c:v>72.01666666666668</c:v>
                </c:pt>
                <c:pt idx="24">
                  <c:v>63.088235294117631</c:v>
                </c:pt>
                <c:pt idx="25">
                  <c:v>64.461111111111109</c:v>
                </c:pt>
                <c:pt idx="26">
                  <c:v>86.804545454545448</c:v>
                </c:pt>
                <c:pt idx="27">
                  <c:v>60.711764705882352</c:v>
                </c:pt>
                <c:pt idx="28">
                  <c:v>55.145454545454548</c:v>
                </c:pt>
                <c:pt idx="29">
                  <c:v>52.777777777777786</c:v>
                </c:pt>
                <c:pt idx="30">
                  <c:v>51.530434782608701</c:v>
                </c:pt>
                <c:pt idx="31">
                  <c:v>50.447058823529403</c:v>
                </c:pt>
                <c:pt idx="32">
                  <c:v>48.907142857142844</c:v>
                </c:pt>
                <c:pt idx="33">
                  <c:v>50.023809523809526</c:v>
                </c:pt>
                <c:pt idx="34">
                  <c:v>56.639130434782608</c:v>
                </c:pt>
                <c:pt idx="35">
                  <c:v>51.284999999999989</c:v>
                </c:pt>
                <c:pt idx="36">
                  <c:v>49.388235294117642</c:v>
                </c:pt>
                <c:pt idx="37">
                  <c:v>51.284615384615371</c:v>
                </c:pt>
                <c:pt idx="38">
                  <c:v>46.373333333333335</c:v>
                </c:pt>
                <c:pt idx="39">
                  <c:v>50.838461538461544</c:v>
                </c:pt>
                <c:pt idx="40">
                  <c:v>50.030769230769231</c:v>
                </c:pt>
                <c:pt idx="41">
                  <c:v>55.526086956521738</c:v>
                </c:pt>
                <c:pt idx="42">
                  <c:v>55.625000000000014</c:v>
                </c:pt>
                <c:pt idx="43">
                  <c:v>50.493333333333332</c:v>
                </c:pt>
                <c:pt idx="44">
                  <c:v>52.06</c:v>
                </c:pt>
                <c:pt idx="45">
                  <c:v>53.872727272727268</c:v>
                </c:pt>
                <c:pt idx="46">
                  <c:v>46.08</c:v>
                </c:pt>
                <c:pt idx="47">
                  <c:v>48.305555555555564</c:v>
                </c:pt>
                <c:pt idx="48">
                  <c:v>50.837500000000006</c:v>
                </c:pt>
                <c:pt idx="49">
                  <c:v>53.86999999999999</c:v>
                </c:pt>
                <c:pt idx="50">
                  <c:v>54.772727272727273</c:v>
                </c:pt>
                <c:pt idx="51">
                  <c:v>54.284210526315803</c:v>
                </c:pt>
                <c:pt idx="52">
                  <c:v>55.127272727272732</c:v>
                </c:pt>
                <c:pt idx="53">
                  <c:v>57.729166666666679</c:v>
                </c:pt>
                <c:pt idx="54">
                  <c:v>49.380952380952372</c:v>
                </c:pt>
                <c:pt idx="55">
                  <c:v>54.354545454545452</c:v>
                </c:pt>
                <c:pt idx="56">
                  <c:v>47.769999999999996</c:v>
                </c:pt>
                <c:pt idx="57">
                  <c:v>53.017391304347832</c:v>
                </c:pt>
                <c:pt idx="58">
                  <c:v>51.572727272727278</c:v>
                </c:pt>
                <c:pt idx="59">
                  <c:v>51.595454545454551</c:v>
                </c:pt>
                <c:pt idx="60">
                  <c:v>49.595833333333339</c:v>
                </c:pt>
                <c:pt idx="61">
                  <c:v>52.038095238095238</c:v>
                </c:pt>
                <c:pt idx="62">
                  <c:v>58.64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C2-814E-ACB0-41FCC1BFD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193649664"/>
        <c:axId val="194086784"/>
      </c:stockChart>
      <c:dateAx>
        <c:axId val="193649664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94086784"/>
        <c:crosses val="autoZero"/>
        <c:auto val="1"/>
        <c:lblOffset val="100"/>
        <c:baseTimeUnit val="days"/>
        <c:majorUnit val="1"/>
        <c:majorTimeUnit val="days"/>
      </c:dateAx>
      <c:valAx>
        <c:axId val="194086784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936496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2 month picture of daily Low and High Heart Rate at Bedtime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J.LivRm_PVitalsag_2'!$R$53:$R$115</c:f>
              <c:numCache>
                <c:formatCode>0.0</c:formatCode>
                <c:ptCount val="63"/>
                <c:pt idx="0">
                  <c:v>60.584615384615375</c:v>
                </c:pt>
                <c:pt idx="1">
                  <c:v>74.427272727272737</c:v>
                </c:pt>
                <c:pt idx="2">
                  <c:v>78.946666666666673</c:v>
                </c:pt>
                <c:pt idx="3">
                  <c:v>72.733333333333334</c:v>
                </c:pt>
                <c:pt idx="4">
                  <c:v>64.061111111111103</c:v>
                </c:pt>
                <c:pt idx="5">
                  <c:v>58.867688266199757</c:v>
                </c:pt>
                <c:pt idx="6">
                  <c:v>70.734999999999999</c:v>
                </c:pt>
                <c:pt idx="7">
                  <c:v>72.671428571428564</c:v>
                </c:pt>
                <c:pt idx="8">
                  <c:v>79.385000000000005</c:v>
                </c:pt>
                <c:pt idx="9">
                  <c:v>73.852631578947381</c:v>
                </c:pt>
                <c:pt idx="10">
                  <c:v>56.080000000000005</c:v>
                </c:pt>
                <c:pt idx="11">
                  <c:v>64.965217391304364</c:v>
                </c:pt>
                <c:pt idx="12">
                  <c:v>76.215000000000003</c:v>
                </c:pt>
                <c:pt idx="13">
                  <c:v>78.586956521739125</c:v>
                </c:pt>
                <c:pt idx="14">
                  <c:v>73.505263157894731</c:v>
                </c:pt>
                <c:pt idx="15">
                  <c:v>78.521052631578939</c:v>
                </c:pt>
                <c:pt idx="16">
                  <c:v>69.350000000000009</c:v>
                </c:pt>
                <c:pt idx="17">
                  <c:v>63.081818181818178</c:v>
                </c:pt>
                <c:pt idx="18">
                  <c:v>60.680952380952377</c:v>
                </c:pt>
                <c:pt idx="19">
                  <c:v>79.839130434782604</c:v>
                </c:pt>
                <c:pt idx="20">
                  <c:v>77.699999999999974</c:v>
                </c:pt>
                <c:pt idx="21">
                  <c:v>64.204545454545453</c:v>
                </c:pt>
                <c:pt idx="22">
                  <c:v>60.614999999999995</c:v>
                </c:pt>
                <c:pt idx="23">
                  <c:v>71.01666666666668</c:v>
                </c:pt>
                <c:pt idx="24">
                  <c:v>62.088235294117631</c:v>
                </c:pt>
                <c:pt idx="25">
                  <c:v>63.461111111111109</c:v>
                </c:pt>
                <c:pt idx="26">
                  <c:v>85.804545454545448</c:v>
                </c:pt>
                <c:pt idx="27">
                  <c:v>59.711764705882352</c:v>
                </c:pt>
                <c:pt idx="28">
                  <c:v>54.145454545454548</c:v>
                </c:pt>
                <c:pt idx="29">
                  <c:v>51.777777777777786</c:v>
                </c:pt>
                <c:pt idx="30">
                  <c:v>50.530434782608701</c:v>
                </c:pt>
                <c:pt idx="31">
                  <c:v>49.447058823529403</c:v>
                </c:pt>
                <c:pt idx="32">
                  <c:v>47.907142857142844</c:v>
                </c:pt>
                <c:pt idx="33">
                  <c:v>49.023809523809526</c:v>
                </c:pt>
                <c:pt idx="34">
                  <c:v>55.639130434782608</c:v>
                </c:pt>
                <c:pt idx="35">
                  <c:v>50.284999999999989</c:v>
                </c:pt>
                <c:pt idx="36">
                  <c:v>48.388235294117642</c:v>
                </c:pt>
                <c:pt idx="37">
                  <c:v>50.284615384615371</c:v>
                </c:pt>
                <c:pt idx="38">
                  <c:v>45.373333333333335</c:v>
                </c:pt>
                <c:pt idx="39">
                  <c:v>49.838461538461544</c:v>
                </c:pt>
                <c:pt idx="40">
                  <c:v>49.030769230769231</c:v>
                </c:pt>
                <c:pt idx="41">
                  <c:v>54.526086956521738</c:v>
                </c:pt>
                <c:pt idx="42">
                  <c:v>54.625000000000014</c:v>
                </c:pt>
                <c:pt idx="43">
                  <c:v>49.493333333333332</c:v>
                </c:pt>
                <c:pt idx="44">
                  <c:v>51.06</c:v>
                </c:pt>
                <c:pt idx="45">
                  <c:v>52.872727272727268</c:v>
                </c:pt>
                <c:pt idx="46">
                  <c:v>45.08</c:v>
                </c:pt>
                <c:pt idx="47">
                  <c:v>47.305555555555564</c:v>
                </c:pt>
                <c:pt idx="48">
                  <c:v>49.837500000000006</c:v>
                </c:pt>
                <c:pt idx="49">
                  <c:v>52.86999999999999</c:v>
                </c:pt>
                <c:pt idx="50">
                  <c:v>53.772727272727273</c:v>
                </c:pt>
                <c:pt idx="51">
                  <c:v>53.284210526315803</c:v>
                </c:pt>
                <c:pt idx="52">
                  <c:v>54.127272727272732</c:v>
                </c:pt>
                <c:pt idx="53">
                  <c:v>56.729166666666679</c:v>
                </c:pt>
                <c:pt idx="54">
                  <c:v>48.380952380952372</c:v>
                </c:pt>
                <c:pt idx="55">
                  <c:v>53.354545454545452</c:v>
                </c:pt>
                <c:pt idx="56">
                  <c:v>46.769999999999996</c:v>
                </c:pt>
                <c:pt idx="57">
                  <c:v>52.017391304347832</c:v>
                </c:pt>
                <c:pt idx="58">
                  <c:v>50.572727272727278</c:v>
                </c:pt>
                <c:pt idx="59">
                  <c:v>50.595454545454551</c:v>
                </c:pt>
                <c:pt idx="60">
                  <c:v>48.595833333333339</c:v>
                </c:pt>
                <c:pt idx="61">
                  <c:v>51.038095238095238</c:v>
                </c:pt>
                <c:pt idx="62">
                  <c:v>57.64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C2-814E-ACB0-41FCC1BFD63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J.LivRm_PVitalsag_2'!$S$53:$S$115</c:f>
              <c:numCache>
                <c:formatCode>General</c:formatCode>
                <c:ptCount val="63"/>
                <c:pt idx="0">
                  <c:v>72.5</c:v>
                </c:pt>
                <c:pt idx="1">
                  <c:v>120.2</c:v>
                </c:pt>
                <c:pt idx="2">
                  <c:v>121</c:v>
                </c:pt>
                <c:pt idx="3">
                  <c:v>120.3</c:v>
                </c:pt>
                <c:pt idx="4">
                  <c:v>99.5</c:v>
                </c:pt>
                <c:pt idx="5">
                  <c:v>131.69999999999999</c:v>
                </c:pt>
                <c:pt idx="6">
                  <c:v>111</c:v>
                </c:pt>
                <c:pt idx="7">
                  <c:v>122</c:v>
                </c:pt>
                <c:pt idx="8">
                  <c:v>115.4</c:v>
                </c:pt>
                <c:pt idx="9">
                  <c:v>127.2</c:v>
                </c:pt>
                <c:pt idx="10">
                  <c:v>107.2</c:v>
                </c:pt>
                <c:pt idx="11">
                  <c:v>114.2</c:v>
                </c:pt>
                <c:pt idx="12">
                  <c:v>114.1</c:v>
                </c:pt>
                <c:pt idx="13">
                  <c:v>124</c:v>
                </c:pt>
                <c:pt idx="14">
                  <c:v>113.7</c:v>
                </c:pt>
                <c:pt idx="15">
                  <c:v>116.7</c:v>
                </c:pt>
                <c:pt idx="16">
                  <c:v>122.5</c:v>
                </c:pt>
                <c:pt idx="17">
                  <c:v>119.2</c:v>
                </c:pt>
                <c:pt idx="18">
                  <c:v>114.2</c:v>
                </c:pt>
                <c:pt idx="19">
                  <c:v>117.4</c:v>
                </c:pt>
                <c:pt idx="20">
                  <c:v>115.5</c:v>
                </c:pt>
                <c:pt idx="21">
                  <c:v>116</c:v>
                </c:pt>
                <c:pt idx="22">
                  <c:v>125.5</c:v>
                </c:pt>
                <c:pt idx="23">
                  <c:v>126.9</c:v>
                </c:pt>
                <c:pt idx="24">
                  <c:v>116.9</c:v>
                </c:pt>
                <c:pt idx="25">
                  <c:v>126</c:v>
                </c:pt>
                <c:pt idx="26">
                  <c:v>130.80000000000001</c:v>
                </c:pt>
                <c:pt idx="27">
                  <c:v>105.8</c:v>
                </c:pt>
                <c:pt idx="28">
                  <c:v>93.3</c:v>
                </c:pt>
                <c:pt idx="29">
                  <c:v>83.8</c:v>
                </c:pt>
                <c:pt idx="30">
                  <c:v>78.7</c:v>
                </c:pt>
                <c:pt idx="31">
                  <c:v>67</c:v>
                </c:pt>
                <c:pt idx="32">
                  <c:v>68.5</c:v>
                </c:pt>
                <c:pt idx="33">
                  <c:v>83.5</c:v>
                </c:pt>
                <c:pt idx="34">
                  <c:v>79.5</c:v>
                </c:pt>
                <c:pt idx="35">
                  <c:v>69.2</c:v>
                </c:pt>
                <c:pt idx="36">
                  <c:v>73.8</c:v>
                </c:pt>
                <c:pt idx="37">
                  <c:v>76.099999999999994</c:v>
                </c:pt>
                <c:pt idx="38">
                  <c:v>57.8</c:v>
                </c:pt>
                <c:pt idx="39">
                  <c:v>81</c:v>
                </c:pt>
                <c:pt idx="40">
                  <c:v>75.3</c:v>
                </c:pt>
                <c:pt idx="41">
                  <c:v>75.8</c:v>
                </c:pt>
                <c:pt idx="42">
                  <c:v>73.5</c:v>
                </c:pt>
                <c:pt idx="43">
                  <c:v>71.400000000000006</c:v>
                </c:pt>
                <c:pt idx="44">
                  <c:v>72.8</c:v>
                </c:pt>
                <c:pt idx="45">
                  <c:v>69.599999999999994</c:v>
                </c:pt>
                <c:pt idx="46">
                  <c:v>56.2</c:v>
                </c:pt>
                <c:pt idx="47">
                  <c:v>70.400000000000006</c:v>
                </c:pt>
                <c:pt idx="48">
                  <c:v>73.2</c:v>
                </c:pt>
                <c:pt idx="49">
                  <c:v>69.2</c:v>
                </c:pt>
                <c:pt idx="50">
                  <c:v>74.099999999999994</c:v>
                </c:pt>
                <c:pt idx="51">
                  <c:v>82.3</c:v>
                </c:pt>
                <c:pt idx="52">
                  <c:v>78.8</c:v>
                </c:pt>
                <c:pt idx="53">
                  <c:v>91.8</c:v>
                </c:pt>
                <c:pt idx="54">
                  <c:v>73.5</c:v>
                </c:pt>
                <c:pt idx="55">
                  <c:v>81.8</c:v>
                </c:pt>
                <c:pt idx="56">
                  <c:v>69.2</c:v>
                </c:pt>
                <c:pt idx="57">
                  <c:v>68.400000000000006</c:v>
                </c:pt>
                <c:pt idx="58">
                  <c:v>79.099999999999994</c:v>
                </c:pt>
                <c:pt idx="59">
                  <c:v>70.2</c:v>
                </c:pt>
                <c:pt idx="60">
                  <c:v>68.8</c:v>
                </c:pt>
                <c:pt idx="61">
                  <c:v>73.3</c:v>
                </c:pt>
                <c:pt idx="62">
                  <c:v>65.099999999999994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C2-814E-ACB0-41FCC1BFD63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J.LivRm_PVitalsag_2'!$T$53:$T$115</c:f>
              <c:numCache>
                <c:formatCode>General</c:formatCode>
                <c:ptCount val="63"/>
                <c:pt idx="0">
                  <c:v>52.5</c:v>
                </c:pt>
                <c:pt idx="1">
                  <c:v>50.3</c:v>
                </c:pt>
                <c:pt idx="2">
                  <c:v>47.9</c:v>
                </c:pt>
                <c:pt idx="3">
                  <c:v>40.1</c:v>
                </c:pt>
                <c:pt idx="4">
                  <c:v>43</c:v>
                </c:pt>
                <c:pt idx="5">
                  <c:v>40.1</c:v>
                </c:pt>
                <c:pt idx="6">
                  <c:v>47.8</c:v>
                </c:pt>
                <c:pt idx="7">
                  <c:v>45.3</c:v>
                </c:pt>
                <c:pt idx="8">
                  <c:v>43</c:v>
                </c:pt>
                <c:pt idx="9">
                  <c:v>44.2</c:v>
                </c:pt>
                <c:pt idx="10">
                  <c:v>40.1</c:v>
                </c:pt>
                <c:pt idx="11">
                  <c:v>40.1</c:v>
                </c:pt>
                <c:pt idx="12">
                  <c:v>40.1</c:v>
                </c:pt>
                <c:pt idx="13">
                  <c:v>52</c:v>
                </c:pt>
                <c:pt idx="14">
                  <c:v>43.1</c:v>
                </c:pt>
                <c:pt idx="15">
                  <c:v>52.2</c:v>
                </c:pt>
                <c:pt idx="16">
                  <c:v>43.9</c:v>
                </c:pt>
                <c:pt idx="17">
                  <c:v>40.1</c:v>
                </c:pt>
                <c:pt idx="18">
                  <c:v>40.200000000000003</c:v>
                </c:pt>
                <c:pt idx="19">
                  <c:v>44.9</c:v>
                </c:pt>
                <c:pt idx="20">
                  <c:v>42.9</c:v>
                </c:pt>
                <c:pt idx="21">
                  <c:v>45</c:v>
                </c:pt>
                <c:pt idx="22">
                  <c:v>40.1</c:v>
                </c:pt>
                <c:pt idx="23">
                  <c:v>40.1</c:v>
                </c:pt>
                <c:pt idx="24">
                  <c:v>40.1</c:v>
                </c:pt>
                <c:pt idx="25">
                  <c:v>40.1</c:v>
                </c:pt>
                <c:pt idx="26">
                  <c:v>45.5</c:v>
                </c:pt>
                <c:pt idx="27">
                  <c:v>42.6</c:v>
                </c:pt>
                <c:pt idx="28">
                  <c:v>40.1</c:v>
                </c:pt>
                <c:pt idx="29">
                  <c:v>40.1</c:v>
                </c:pt>
                <c:pt idx="30">
                  <c:v>40.1</c:v>
                </c:pt>
                <c:pt idx="31">
                  <c:v>40.1</c:v>
                </c:pt>
                <c:pt idx="32">
                  <c:v>40.1</c:v>
                </c:pt>
                <c:pt idx="33">
                  <c:v>40.299999999999997</c:v>
                </c:pt>
                <c:pt idx="34">
                  <c:v>40.1</c:v>
                </c:pt>
                <c:pt idx="35">
                  <c:v>40.1</c:v>
                </c:pt>
                <c:pt idx="36">
                  <c:v>40.1</c:v>
                </c:pt>
                <c:pt idx="37">
                  <c:v>40.1</c:v>
                </c:pt>
                <c:pt idx="38">
                  <c:v>40.1</c:v>
                </c:pt>
                <c:pt idx="39">
                  <c:v>40.1</c:v>
                </c:pt>
                <c:pt idx="40">
                  <c:v>40.1</c:v>
                </c:pt>
                <c:pt idx="41">
                  <c:v>40.4</c:v>
                </c:pt>
                <c:pt idx="42">
                  <c:v>40.1</c:v>
                </c:pt>
                <c:pt idx="43">
                  <c:v>40.1</c:v>
                </c:pt>
                <c:pt idx="44">
                  <c:v>40.1</c:v>
                </c:pt>
                <c:pt idx="45">
                  <c:v>40.1</c:v>
                </c:pt>
                <c:pt idx="46">
                  <c:v>40.1</c:v>
                </c:pt>
                <c:pt idx="47">
                  <c:v>40.1</c:v>
                </c:pt>
                <c:pt idx="48">
                  <c:v>40.1</c:v>
                </c:pt>
                <c:pt idx="49">
                  <c:v>40.1</c:v>
                </c:pt>
                <c:pt idx="50">
                  <c:v>40.1</c:v>
                </c:pt>
                <c:pt idx="51">
                  <c:v>40.1</c:v>
                </c:pt>
                <c:pt idx="52">
                  <c:v>40.1</c:v>
                </c:pt>
                <c:pt idx="53">
                  <c:v>40.1</c:v>
                </c:pt>
                <c:pt idx="54">
                  <c:v>40.1</c:v>
                </c:pt>
                <c:pt idx="55">
                  <c:v>40.200000000000003</c:v>
                </c:pt>
                <c:pt idx="56">
                  <c:v>40.1</c:v>
                </c:pt>
                <c:pt idx="57">
                  <c:v>40.1</c:v>
                </c:pt>
                <c:pt idx="58">
                  <c:v>40.1</c:v>
                </c:pt>
                <c:pt idx="59">
                  <c:v>40.1</c:v>
                </c:pt>
                <c:pt idx="60">
                  <c:v>40.1</c:v>
                </c:pt>
                <c:pt idx="61">
                  <c:v>40.1</c:v>
                </c:pt>
                <c:pt idx="62">
                  <c:v>52.9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C2-814E-ACB0-41FCC1BFD635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J.LivRm_PVitalsag_2'!$U$53:$U$115</c:f>
              <c:numCache>
                <c:formatCode>0.0</c:formatCode>
                <c:ptCount val="63"/>
                <c:pt idx="0">
                  <c:v>61.584615384615375</c:v>
                </c:pt>
                <c:pt idx="1">
                  <c:v>75.427272727272737</c:v>
                </c:pt>
                <c:pt idx="2">
                  <c:v>79.946666666666673</c:v>
                </c:pt>
                <c:pt idx="3">
                  <c:v>73.733333333333334</c:v>
                </c:pt>
                <c:pt idx="4">
                  <c:v>65.061111111111103</c:v>
                </c:pt>
                <c:pt idx="5">
                  <c:v>59.867688266199757</c:v>
                </c:pt>
                <c:pt idx="6">
                  <c:v>71.734999999999999</c:v>
                </c:pt>
                <c:pt idx="7">
                  <c:v>73.671428571428564</c:v>
                </c:pt>
                <c:pt idx="8">
                  <c:v>80.385000000000005</c:v>
                </c:pt>
                <c:pt idx="9">
                  <c:v>74.852631578947381</c:v>
                </c:pt>
                <c:pt idx="10">
                  <c:v>57.080000000000005</c:v>
                </c:pt>
                <c:pt idx="11">
                  <c:v>65.965217391304364</c:v>
                </c:pt>
                <c:pt idx="12">
                  <c:v>77.215000000000003</c:v>
                </c:pt>
                <c:pt idx="13">
                  <c:v>79.586956521739125</c:v>
                </c:pt>
                <c:pt idx="14">
                  <c:v>74.505263157894731</c:v>
                </c:pt>
                <c:pt idx="15">
                  <c:v>79.521052631578939</c:v>
                </c:pt>
                <c:pt idx="16">
                  <c:v>70.350000000000009</c:v>
                </c:pt>
                <c:pt idx="17">
                  <c:v>64.081818181818178</c:v>
                </c:pt>
                <c:pt idx="18">
                  <c:v>61.680952380952377</c:v>
                </c:pt>
                <c:pt idx="19">
                  <c:v>80.839130434782604</c:v>
                </c:pt>
                <c:pt idx="20">
                  <c:v>78.699999999999974</c:v>
                </c:pt>
                <c:pt idx="21">
                  <c:v>65.204545454545453</c:v>
                </c:pt>
                <c:pt idx="22">
                  <c:v>61.614999999999995</c:v>
                </c:pt>
                <c:pt idx="23">
                  <c:v>72.01666666666668</c:v>
                </c:pt>
                <c:pt idx="24">
                  <c:v>63.088235294117631</c:v>
                </c:pt>
                <c:pt idx="25">
                  <c:v>64.461111111111109</c:v>
                </c:pt>
                <c:pt idx="26">
                  <c:v>86.804545454545448</c:v>
                </c:pt>
                <c:pt idx="27">
                  <c:v>60.711764705882352</c:v>
                </c:pt>
                <c:pt idx="28">
                  <c:v>55.145454545454548</c:v>
                </c:pt>
                <c:pt idx="29">
                  <c:v>52.777777777777786</c:v>
                </c:pt>
                <c:pt idx="30">
                  <c:v>51.530434782608701</c:v>
                </c:pt>
                <c:pt idx="31">
                  <c:v>50.447058823529403</c:v>
                </c:pt>
                <c:pt idx="32">
                  <c:v>48.907142857142844</c:v>
                </c:pt>
                <c:pt idx="33">
                  <c:v>50.023809523809526</c:v>
                </c:pt>
                <c:pt idx="34">
                  <c:v>56.639130434782608</c:v>
                </c:pt>
                <c:pt idx="35">
                  <c:v>51.284999999999989</c:v>
                </c:pt>
                <c:pt idx="36">
                  <c:v>49.388235294117642</c:v>
                </c:pt>
                <c:pt idx="37">
                  <c:v>51.284615384615371</c:v>
                </c:pt>
                <c:pt idx="38">
                  <c:v>46.373333333333335</c:v>
                </c:pt>
                <c:pt idx="39">
                  <c:v>50.838461538461544</c:v>
                </c:pt>
                <c:pt idx="40">
                  <c:v>50.030769230769231</c:v>
                </c:pt>
                <c:pt idx="41">
                  <c:v>55.526086956521738</c:v>
                </c:pt>
                <c:pt idx="42">
                  <c:v>55.625000000000014</c:v>
                </c:pt>
                <c:pt idx="43">
                  <c:v>50.493333333333332</c:v>
                </c:pt>
                <c:pt idx="44">
                  <c:v>52.06</c:v>
                </c:pt>
                <c:pt idx="45">
                  <c:v>53.872727272727268</c:v>
                </c:pt>
                <c:pt idx="46">
                  <c:v>46.08</c:v>
                </c:pt>
                <c:pt idx="47">
                  <c:v>48.305555555555564</c:v>
                </c:pt>
                <c:pt idx="48">
                  <c:v>50.837500000000006</c:v>
                </c:pt>
                <c:pt idx="49">
                  <c:v>53.86999999999999</c:v>
                </c:pt>
                <c:pt idx="50">
                  <c:v>54.772727272727273</c:v>
                </c:pt>
                <c:pt idx="51">
                  <c:v>54.284210526315803</c:v>
                </c:pt>
                <c:pt idx="52">
                  <c:v>55.127272727272732</c:v>
                </c:pt>
                <c:pt idx="53">
                  <c:v>57.729166666666679</c:v>
                </c:pt>
                <c:pt idx="54">
                  <c:v>49.380952380952372</c:v>
                </c:pt>
                <c:pt idx="55">
                  <c:v>54.354545454545452</c:v>
                </c:pt>
                <c:pt idx="56">
                  <c:v>47.769999999999996</c:v>
                </c:pt>
                <c:pt idx="57">
                  <c:v>53.017391304347832</c:v>
                </c:pt>
                <c:pt idx="58">
                  <c:v>51.572727272727278</c:v>
                </c:pt>
                <c:pt idx="59">
                  <c:v>51.595454545454551</c:v>
                </c:pt>
                <c:pt idx="60">
                  <c:v>49.595833333333339</c:v>
                </c:pt>
                <c:pt idx="61">
                  <c:v>52.038095238095238</c:v>
                </c:pt>
                <c:pt idx="62">
                  <c:v>58.64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C2-814E-ACB0-41FCC1BFD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lt1"/>
              </a:solidFill>
              <a:round/>
            </a:ln>
            <a:effectLst/>
          </c:spPr>
        </c:hiLowLines>
        <c:upDownBars>
          <c:gapWidth val="150"/>
          <c:upBars>
            <c:spPr>
              <a:gradFill>
                <a:gsLst>
                  <a:gs pos="100000">
                    <a:schemeClr val="lt1">
                      <a:lumMod val="85000"/>
                    </a:schemeClr>
                  </a:gs>
                  <a:gs pos="0">
                    <a:schemeClr val="lt1"/>
                  </a:gs>
                </a:gsLst>
                <a:path path="circle">
                  <a:fillToRect l="50000" t="50000" r="50000" b="50000"/>
                </a:path>
              </a:gra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upBars>
          <c:downBars>
            <c:spPr>
              <a:gradFill>
                <a:gsLst>
                  <a:gs pos="100000">
                    <a:schemeClr val="dk1">
                      <a:lumMod val="95000"/>
                      <a:lumOff val="5000"/>
                    </a:schemeClr>
                  </a:gs>
                  <a:gs pos="0">
                    <a:schemeClr val="dk1">
                      <a:lumMod val="75000"/>
                      <a:lumOff val="25000"/>
                    </a:schemeClr>
                  </a:gs>
                </a:gsLst>
                <a:path path="circle">
                  <a:fillToRect l="50000" t="50000" r="50000" b="50000"/>
                </a:path>
              </a:gradFill>
              <a:ln w="9525">
                <a:solidFill>
                  <a:schemeClr val="dk1">
                    <a:lumMod val="75000"/>
                    <a:lumOff val="25000"/>
                  </a:schemeClr>
                </a:solidFill>
              </a:ln>
              <a:effectLst/>
            </c:spPr>
          </c:downBars>
        </c:upDownBars>
        <c:axId val="193649664"/>
        <c:axId val="194086784"/>
      </c:stockChart>
      <c:dateAx>
        <c:axId val="193649664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86784"/>
        <c:crosses val="autoZero"/>
        <c:auto val="0"/>
        <c:lblOffset val="100"/>
        <c:baseTimeUnit val="days"/>
        <c:majorUnit val="5"/>
        <c:majorTimeUnit val="days"/>
      </c:dateAx>
      <c:valAx>
        <c:axId val="1940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4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 month picture of daily Heart Rates at Bedtime</a:t>
            </a:r>
          </a:p>
        </c:rich>
      </c:tx>
      <c:layout>
        <c:manualLayout>
          <c:xMode val="edge"/>
          <c:yMode val="edge"/>
          <c:x val="0.4686075430404617"/>
          <c:y val="1.9656019656019656E-2"/>
        </c:manualLayout>
      </c:layout>
      <c:overlay val="0"/>
    </c:title>
    <c:autoTitleDeleted val="0"/>
    <c:plotArea>
      <c:layout/>
      <c:stockChart>
        <c:ser>
          <c:idx val="0"/>
          <c:order val="0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J.LivRm_PVitalsag_2'!$R$53:$R$115</c:f>
              <c:numCache>
                <c:formatCode>0.0</c:formatCode>
                <c:ptCount val="63"/>
                <c:pt idx="0">
                  <c:v>60.584615384615375</c:v>
                </c:pt>
                <c:pt idx="1">
                  <c:v>74.427272727272737</c:v>
                </c:pt>
                <c:pt idx="2">
                  <c:v>78.946666666666673</c:v>
                </c:pt>
                <c:pt idx="3">
                  <c:v>72.733333333333334</c:v>
                </c:pt>
                <c:pt idx="4">
                  <c:v>64.061111111111103</c:v>
                </c:pt>
                <c:pt idx="5">
                  <c:v>58.867688266199757</c:v>
                </c:pt>
                <c:pt idx="6">
                  <c:v>70.734999999999999</c:v>
                </c:pt>
                <c:pt idx="7">
                  <c:v>72.671428571428564</c:v>
                </c:pt>
                <c:pt idx="8">
                  <c:v>79.385000000000005</c:v>
                </c:pt>
                <c:pt idx="9">
                  <c:v>73.852631578947381</c:v>
                </c:pt>
                <c:pt idx="10">
                  <c:v>56.080000000000005</c:v>
                </c:pt>
                <c:pt idx="11">
                  <c:v>64.965217391304364</c:v>
                </c:pt>
                <c:pt idx="12">
                  <c:v>76.215000000000003</c:v>
                </c:pt>
                <c:pt idx="13">
                  <c:v>78.586956521739125</c:v>
                </c:pt>
                <c:pt idx="14">
                  <c:v>73.505263157894731</c:v>
                </c:pt>
                <c:pt idx="15">
                  <c:v>78.521052631578939</c:v>
                </c:pt>
                <c:pt idx="16">
                  <c:v>69.350000000000009</c:v>
                </c:pt>
                <c:pt idx="17">
                  <c:v>63.081818181818178</c:v>
                </c:pt>
                <c:pt idx="18">
                  <c:v>60.680952380952377</c:v>
                </c:pt>
                <c:pt idx="19">
                  <c:v>79.839130434782604</c:v>
                </c:pt>
                <c:pt idx="20">
                  <c:v>77.699999999999974</c:v>
                </c:pt>
                <c:pt idx="21">
                  <c:v>64.204545454545453</c:v>
                </c:pt>
                <c:pt idx="22">
                  <c:v>60.614999999999995</c:v>
                </c:pt>
                <c:pt idx="23">
                  <c:v>71.01666666666668</c:v>
                </c:pt>
                <c:pt idx="24">
                  <c:v>62.088235294117631</c:v>
                </c:pt>
                <c:pt idx="25">
                  <c:v>63.461111111111109</c:v>
                </c:pt>
                <c:pt idx="26">
                  <c:v>85.804545454545448</c:v>
                </c:pt>
                <c:pt idx="27">
                  <c:v>59.711764705882352</c:v>
                </c:pt>
                <c:pt idx="28">
                  <c:v>54.145454545454548</c:v>
                </c:pt>
                <c:pt idx="29">
                  <c:v>51.777777777777786</c:v>
                </c:pt>
                <c:pt idx="30">
                  <c:v>50.530434782608701</c:v>
                </c:pt>
                <c:pt idx="31">
                  <c:v>49.447058823529403</c:v>
                </c:pt>
                <c:pt idx="32">
                  <c:v>47.907142857142844</c:v>
                </c:pt>
                <c:pt idx="33">
                  <c:v>49.023809523809526</c:v>
                </c:pt>
                <c:pt idx="34">
                  <c:v>55.639130434782608</c:v>
                </c:pt>
                <c:pt idx="35">
                  <c:v>50.284999999999989</c:v>
                </c:pt>
                <c:pt idx="36">
                  <c:v>48.388235294117642</c:v>
                </c:pt>
                <c:pt idx="37">
                  <c:v>50.284615384615371</c:v>
                </c:pt>
                <c:pt idx="38">
                  <c:v>45.373333333333335</c:v>
                </c:pt>
                <c:pt idx="39">
                  <c:v>49.838461538461544</c:v>
                </c:pt>
                <c:pt idx="40">
                  <c:v>49.030769230769231</c:v>
                </c:pt>
                <c:pt idx="41">
                  <c:v>54.526086956521738</c:v>
                </c:pt>
                <c:pt idx="42">
                  <c:v>54.625000000000014</c:v>
                </c:pt>
                <c:pt idx="43">
                  <c:v>49.493333333333332</c:v>
                </c:pt>
                <c:pt idx="44">
                  <c:v>51.06</c:v>
                </c:pt>
                <c:pt idx="45">
                  <c:v>52.872727272727268</c:v>
                </c:pt>
                <c:pt idx="46">
                  <c:v>45.08</c:v>
                </c:pt>
                <c:pt idx="47">
                  <c:v>47.305555555555564</c:v>
                </c:pt>
                <c:pt idx="48">
                  <c:v>49.837500000000006</c:v>
                </c:pt>
                <c:pt idx="49">
                  <c:v>52.86999999999999</c:v>
                </c:pt>
                <c:pt idx="50">
                  <c:v>53.772727272727273</c:v>
                </c:pt>
                <c:pt idx="51">
                  <c:v>53.284210526315803</c:v>
                </c:pt>
                <c:pt idx="52">
                  <c:v>54.127272727272732</c:v>
                </c:pt>
                <c:pt idx="53">
                  <c:v>56.729166666666679</c:v>
                </c:pt>
                <c:pt idx="54">
                  <c:v>48.380952380952372</c:v>
                </c:pt>
                <c:pt idx="55">
                  <c:v>53.354545454545452</c:v>
                </c:pt>
                <c:pt idx="56">
                  <c:v>46.769999999999996</c:v>
                </c:pt>
                <c:pt idx="57">
                  <c:v>52.017391304347832</c:v>
                </c:pt>
                <c:pt idx="58">
                  <c:v>50.572727272727278</c:v>
                </c:pt>
                <c:pt idx="59">
                  <c:v>50.595454545454551</c:v>
                </c:pt>
                <c:pt idx="60">
                  <c:v>48.595833333333339</c:v>
                </c:pt>
                <c:pt idx="61">
                  <c:v>51.038095238095238</c:v>
                </c:pt>
                <c:pt idx="62">
                  <c:v>57.64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C2-814E-ACB0-41FCC1BFD63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J.LivRm_PVitalsag_2'!$S$53:$S$115</c:f>
              <c:numCache>
                <c:formatCode>General</c:formatCode>
                <c:ptCount val="63"/>
                <c:pt idx="0">
                  <c:v>72.5</c:v>
                </c:pt>
                <c:pt idx="1">
                  <c:v>120.2</c:v>
                </c:pt>
                <c:pt idx="2">
                  <c:v>121</c:v>
                </c:pt>
                <c:pt idx="3">
                  <c:v>120.3</c:v>
                </c:pt>
                <c:pt idx="4">
                  <c:v>99.5</c:v>
                </c:pt>
                <c:pt idx="5">
                  <c:v>131.69999999999999</c:v>
                </c:pt>
                <c:pt idx="6">
                  <c:v>111</c:v>
                </c:pt>
                <c:pt idx="7">
                  <c:v>122</c:v>
                </c:pt>
                <c:pt idx="8">
                  <c:v>115.4</c:v>
                </c:pt>
                <c:pt idx="9">
                  <c:v>127.2</c:v>
                </c:pt>
                <c:pt idx="10">
                  <c:v>107.2</c:v>
                </c:pt>
                <c:pt idx="11">
                  <c:v>114.2</c:v>
                </c:pt>
                <c:pt idx="12">
                  <c:v>114.1</c:v>
                </c:pt>
                <c:pt idx="13">
                  <c:v>124</c:v>
                </c:pt>
                <c:pt idx="14">
                  <c:v>113.7</c:v>
                </c:pt>
                <c:pt idx="15">
                  <c:v>116.7</c:v>
                </c:pt>
                <c:pt idx="16">
                  <c:v>122.5</c:v>
                </c:pt>
                <c:pt idx="17">
                  <c:v>119.2</c:v>
                </c:pt>
                <c:pt idx="18">
                  <c:v>114.2</c:v>
                </c:pt>
                <c:pt idx="19">
                  <c:v>117.4</c:v>
                </c:pt>
                <c:pt idx="20">
                  <c:v>115.5</c:v>
                </c:pt>
                <c:pt idx="21">
                  <c:v>116</c:v>
                </c:pt>
                <c:pt idx="22">
                  <c:v>125.5</c:v>
                </c:pt>
                <c:pt idx="23">
                  <c:v>126.9</c:v>
                </c:pt>
                <c:pt idx="24">
                  <c:v>116.9</c:v>
                </c:pt>
                <c:pt idx="25">
                  <c:v>126</c:v>
                </c:pt>
                <c:pt idx="26">
                  <c:v>130.80000000000001</c:v>
                </c:pt>
                <c:pt idx="27">
                  <c:v>105.8</c:v>
                </c:pt>
                <c:pt idx="28">
                  <c:v>93.3</c:v>
                </c:pt>
                <c:pt idx="29">
                  <c:v>83.8</c:v>
                </c:pt>
                <c:pt idx="30">
                  <c:v>78.7</c:v>
                </c:pt>
                <c:pt idx="31">
                  <c:v>67</c:v>
                </c:pt>
                <c:pt idx="32">
                  <c:v>68.5</c:v>
                </c:pt>
                <c:pt idx="33">
                  <c:v>83.5</c:v>
                </c:pt>
                <c:pt idx="34">
                  <c:v>79.5</c:v>
                </c:pt>
                <c:pt idx="35">
                  <c:v>69.2</c:v>
                </c:pt>
                <c:pt idx="36">
                  <c:v>73.8</c:v>
                </c:pt>
                <c:pt idx="37">
                  <c:v>76.099999999999994</c:v>
                </c:pt>
                <c:pt idx="38">
                  <c:v>57.8</c:v>
                </c:pt>
                <c:pt idx="39">
                  <c:v>81</c:v>
                </c:pt>
                <c:pt idx="40">
                  <c:v>75.3</c:v>
                </c:pt>
                <c:pt idx="41">
                  <c:v>75.8</c:v>
                </c:pt>
                <c:pt idx="42">
                  <c:v>73.5</c:v>
                </c:pt>
                <c:pt idx="43">
                  <c:v>71.400000000000006</c:v>
                </c:pt>
                <c:pt idx="44">
                  <c:v>72.8</c:v>
                </c:pt>
                <c:pt idx="45">
                  <c:v>69.599999999999994</c:v>
                </c:pt>
                <c:pt idx="46">
                  <c:v>56.2</c:v>
                </c:pt>
                <c:pt idx="47">
                  <c:v>70.400000000000006</c:v>
                </c:pt>
                <c:pt idx="48">
                  <c:v>73.2</c:v>
                </c:pt>
                <c:pt idx="49">
                  <c:v>69.2</c:v>
                </c:pt>
                <c:pt idx="50">
                  <c:v>74.099999999999994</c:v>
                </c:pt>
                <c:pt idx="51">
                  <c:v>82.3</c:v>
                </c:pt>
                <c:pt idx="52">
                  <c:v>78.8</c:v>
                </c:pt>
                <c:pt idx="53">
                  <c:v>91.8</c:v>
                </c:pt>
                <c:pt idx="54">
                  <c:v>73.5</c:v>
                </c:pt>
                <c:pt idx="55">
                  <c:v>81.8</c:v>
                </c:pt>
                <c:pt idx="56">
                  <c:v>69.2</c:v>
                </c:pt>
                <c:pt idx="57">
                  <c:v>68.400000000000006</c:v>
                </c:pt>
                <c:pt idx="58">
                  <c:v>79.099999999999994</c:v>
                </c:pt>
                <c:pt idx="59">
                  <c:v>70.2</c:v>
                </c:pt>
                <c:pt idx="60">
                  <c:v>68.8</c:v>
                </c:pt>
                <c:pt idx="61">
                  <c:v>73.3</c:v>
                </c:pt>
                <c:pt idx="62">
                  <c:v>65.099999999999994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C2-814E-ACB0-41FCC1BFD635}"/>
            </c:ext>
          </c:extLst>
        </c:ser>
        <c:ser>
          <c:idx val="2"/>
          <c:order val="2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J.LivRm_PVitalsag_2'!$T$53:$T$115</c:f>
              <c:numCache>
                <c:formatCode>General</c:formatCode>
                <c:ptCount val="63"/>
                <c:pt idx="0">
                  <c:v>52.5</c:v>
                </c:pt>
                <c:pt idx="1">
                  <c:v>50.3</c:v>
                </c:pt>
                <c:pt idx="2">
                  <c:v>47.9</c:v>
                </c:pt>
                <c:pt idx="3">
                  <c:v>40.1</c:v>
                </c:pt>
                <c:pt idx="4">
                  <c:v>43</c:v>
                </c:pt>
                <c:pt idx="5">
                  <c:v>40.1</c:v>
                </c:pt>
                <c:pt idx="6">
                  <c:v>47.8</c:v>
                </c:pt>
                <c:pt idx="7">
                  <c:v>45.3</c:v>
                </c:pt>
                <c:pt idx="8">
                  <c:v>43</c:v>
                </c:pt>
                <c:pt idx="9">
                  <c:v>44.2</c:v>
                </c:pt>
                <c:pt idx="10">
                  <c:v>40.1</c:v>
                </c:pt>
                <c:pt idx="11">
                  <c:v>40.1</c:v>
                </c:pt>
                <c:pt idx="12">
                  <c:v>40.1</c:v>
                </c:pt>
                <c:pt idx="13">
                  <c:v>52</c:v>
                </c:pt>
                <c:pt idx="14">
                  <c:v>43.1</c:v>
                </c:pt>
                <c:pt idx="15">
                  <c:v>52.2</c:v>
                </c:pt>
                <c:pt idx="16">
                  <c:v>43.9</c:v>
                </c:pt>
                <c:pt idx="17">
                  <c:v>40.1</c:v>
                </c:pt>
                <c:pt idx="18">
                  <c:v>40.200000000000003</c:v>
                </c:pt>
                <c:pt idx="19">
                  <c:v>44.9</c:v>
                </c:pt>
                <c:pt idx="20">
                  <c:v>42.9</c:v>
                </c:pt>
                <c:pt idx="21">
                  <c:v>45</c:v>
                </c:pt>
                <c:pt idx="22">
                  <c:v>40.1</c:v>
                </c:pt>
                <c:pt idx="23">
                  <c:v>40.1</c:v>
                </c:pt>
                <c:pt idx="24">
                  <c:v>40.1</c:v>
                </c:pt>
                <c:pt idx="25">
                  <c:v>40.1</c:v>
                </c:pt>
                <c:pt idx="26">
                  <c:v>45.5</c:v>
                </c:pt>
                <c:pt idx="27">
                  <c:v>42.6</c:v>
                </c:pt>
                <c:pt idx="28">
                  <c:v>40.1</c:v>
                </c:pt>
                <c:pt idx="29">
                  <c:v>40.1</c:v>
                </c:pt>
                <c:pt idx="30">
                  <c:v>40.1</c:v>
                </c:pt>
                <c:pt idx="31">
                  <c:v>40.1</c:v>
                </c:pt>
                <c:pt idx="32">
                  <c:v>40.1</c:v>
                </c:pt>
                <c:pt idx="33">
                  <c:v>40.299999999999997</c:v>
                </c:pt>
                <c:pt idx="34">
                  <c:v>40.1</c:v>
                </c:pt>
                <c:pt idx="35">
                  <c:v>40.1</c:v>
                </c:pt>
                <c:pt idx="36">
                  <c:v>40.1</c:v>
                </c:pt>
                <c:pt idx="37">
                  <c:v>40.1</c:v>
                </c:pt>
                <c:pt idx="38">
                  <c:v>40.1</c:v>
                </c:pt>
                <c:pt idx="39">
                  <c:v>40.1</c:v>
                </c:pt>
                <c:pt idx="40">
                  <c:v>40.1</c:v>
                </c:pt>
                <c:pt idx="41">
                  <c:v>40.4</c:v>
                </c:pt>
                <c:pt idx="42">
                  <c:v>40.1</c:v>
                </c:pt>
                <c:pt idx="43">
                  <c:v>40.1</c:v>
                </c:pt>
                <c:pt idx="44">
                  <c:v>40.1</c:v>
                </c:pt>
                <c:pt idx="45">
                  <c:v>40.1</c:v>
                </c:pt>
                <c:pt idx="46">
                  <c:v>40.1</c:v>
                </c:pt>
                <c:pt idx="47">
                  <c:v>40.1</c:v>
                </c:pt>
                <c:pt idx="48">
                  <c:v>40.1</c:v>
                </c:pt>
                <c:pt idx="49">
                  <c:v>40.1</c:v>
                </c:pt>
                <c:pt idx="50">
                  <c:v>40.1</c:v>
                </c:pt>
                <c:pt idx="51">
                  <c:v>40.1</c:v>
                </c:pt>
                <c:pt idx="52">
                  <c:v>40.1</c:v>
                </c:pt>
                <c:pt idx="53">
                  <c:v>40.1</c:v>
                </c:pt>
                <c:pt idx="54">
                  <c:v>40.1</c:v>
                </c:pt>
                <c:pt idx="55">
                  <c:v>40.200000000000003</c:v>
                </c:pt>
                <c:pt idx="56">
                  <c:v>40.1</c:v>
                </c:pt>
                <c:pt idx="57">
                  <c:v>40.1</c:v>
                </c:pt>
                <c:pt idx="58">
                  <c:v>40.1</c:v>
                </c:pt>
                <c:pt idx="59">
                  <c:v>40.1</c:v>
                </c:pt>
                <c:pt idx="60">
                  <c:v>40.1</c:v>
                </c:pt>
                <c:pt idx="61">
                  <c:v>40.1</c:v>
                </c:pt>
                <c:pt idx="62">
                  <c:v>52.9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C2-814E-ACB0-41FCC1BFD635}"/>
            </c:ext>
          </c:extLst>
        </c:ser>
        <c:ser>
          <c:idx val="3"/>
          <c:order val="3"/>
          <c:spPr>
            <a:ln w="28575">
              <a:noFill/>
            </a:ln>
          </c:spPr>
          <c:marker>
            <c:symbol val="none"/>
          </c:marker>
          <c:cat>
            <c:numRef>
              <c:f>'934297-0122 J.LivRm_PVitalsag_2'!$Q$53:$Q$115</c:f>
              <c:numCache>
                <c:formatCode>m/d/yy;@</c:formatCode>
                <c:ptCount val="63"/>
                <c:pt idx="0">
                  <c:v>45458</c:v>
                </c:pt>
                <c:pt idx="1">
                  <c:v>45459</c:v>
                </c:pt>
                <c:pt idx="2">
                  <c:v>45460</c:v>
                </c:pt>
                <c:pt idx="3">
                  <c:v>45461</c:v>
                </c:pt>
                <c:pt idx="4">
                  <c:v>45462</c:v>
                </c:pt>
                <c:pt idx="5">
                  <c:v>45463</c:v>
                </c:pt>
                <c:pt idx="6">
                  <c:v>45464</c:v>
                </c:pt>
                <c:pt idx="7">
                  <c:v>45465</c:v>
                </c:pt>
                <c:pt idx="8">
                  <c:v>45466</c:v>
                </c:pt>
                <c:pt idx="9">
                  <c:v>45467</c:v>
                </c:pt>
                <c:pt idx="10">
                  <c:v>45468</c:v>
                </c:pt>
                <c:pt idx="11">
                  <c:v>45469</c:v>
                </c:pt>
                <c:pt idx="12">
                  <c:v>45470</c:v>
                </c:pt>
                <c:pt idx="13">
                  <c:v>45471</c:v>
                </c:pt>
                <c:pt idx="14">
                  <c:v>45472</c:v>
                </c:pt>
                <c:pt idx="15">
                  <c:v>45473</c:v>
                </c:pt>
                <c:pt idx="16">
                  <c:v>45474</c:v>
                </c:pt>
                <c:pt idx="17">
                  <c:v>45475</c:v>
                </c:pt>
                <c:pt idx="18">
                  <c:v>45476</c:v>
                </c:pt>
                <c:pt idx="19">
                  <c:v>45477</c:v>
                </c:pt>
                <c:pt idx="20">
                  <c:v>45478</c:v>
                </c:pt>
                <c:pt idx="21">
                  <c:v>45479</c:v>
                </c:pt>
                <c:pt idx="22">
                  <c:v>45480</c:v>
                </c:pt>
                <c:pt idx="23">
                  <c:v>45481</c:v>
                </c:pt>
                <c:pt idx="24">
                  <c:v>45482</c:v>
                </c:pt>
                <c:pt idx="25">
                  <c:v>45483</c:v>
                </c:pt>
                <c:pt idx="26">
                  <c:v>45484</c:v>
                </c:pt>
                <c:pt idx="27">
                  <c:v>45485</c:v>
                </c:pt>
                <c:pt idx="28">
                  <c:v>45486</c:v>
                </c:pt>
                <c:pt idx="29">
                  <c:v>45487</c:v>
                </c:pt>
                <c:pt idx="30">
                  <c:v>45488</c:v>
                </c:pt>
                <c:pt idx="31">
                  <c:v>45489</c:v>
                </c:pt>
                <c:pt idx="32">
                  <c:v>45490</c:v>
                </c:pt>
                <c:pt idx="33">
                  <c:v>45491</c:v>
                </c:pt>
                <c:pt idx="34">
                  <c:v>45492</c:v>
                </c:pt>
                <c:pt idx="35">
                  <c:v>45493</c:v>
                </c:pt>
                <c:pt idx="36">
                  <c:v>45494</c:v>
                </c:pt>
                <c:pt idx="37">
                  <c:v>45495</c:v>
                </c:pt>
                <c:pt idx="38">
                  <c:v>45496</c:v>
                </c:pt>
                <c:pt idx="39">
                  <c:v>45497</c:v>
                </c:pt>
                <c:pt idx="40">
                  <c:v>45498</c:v>
                </c:pt>
                <c:pt idx="41">
                  <c:v>45499</c:v>
                </c:pt>
                <c:pt idx="42">
                  <c:v>45500</c:v>
                </c:pt>
                <c:pt idx="43">
                  <c:v>45501</c:v>
                </c:pt>
                <c:pt idx="44">
                  <c:v>45502</c:v>
                </c:pt>
                <c:pt idx="45">
                  <c:v>45503</c:v>
                </c:pt>
                <c:pt idx="46">
                  <c:v>45504</c:v>
                </c:pt>
                <c:pt idx="47">
                  <c:v>45505</c:v>
                </c:pt>
                <c:pt idx="48">
                  <c:v>45506</c:v>
                </c:pt>
                <c:pt idx="49">
                  <c:v>45507</c:v>
                </c:pt>
                <c:pt idx="50">
                  <c:v>45508</c:v>
                </c:pt>
                <c:pt idx="51">
                  <c:v>45509</c:v>
                </c:pt>
                <c:pt idx="52">
                  <c:v>45510</c:v>
                </c:pt>
                <c:pt idx="53">
                  <c:v>45511</c:v>
                </c:pt>
                <c:pt idx="54">
                  <c:v>45512</c:v>
                </c:pt>
                <c:pt idx="55">
                  <c:v>45513</c:v>
                </c:pt>
                <c:pt idx="56">
                  <c:v>45514</c:v>
                </c:pt>
                <c:pt idx="57">
                  <c:v>45515</c:v>
                </c:pt>
                <c:pt idx="58">
                  <c:v>45516</c:v>
                </c:pt>
                <c:pt idx="59">
                  <c:v>45517</c:v>
                </c:pt>
                <c:pt idx="60">
                  <c:v>45518</c:v>
                </c:pt>
                <c:pt idx="61">
                  <c:v>45519</c:v>
                </c:pt>
                <c:pt idx="62">
                  <c:v>45520</c:v>
                </c:pt>
              </c:numCache>
            </c:numRef>
          </c:cat>
          <c:val>
            <c:numRef>
              <c:f>'934297-0122 J.LivRm_PVitalsag_2'!$U$53:$U$115</c:f>
              <c:numCache>
                <c:formatCode>0.0</c:formatCode>
                <c:ptCount val="63"/>
                <c:pt idx="0">
                  <c:v>61.584615384615375</c:v>
                </c:pt>
                <c:pt idx="1">
                  <c:v>75.427272727272737</c:v>
                </c:pt>
                <c:pt idx="2">
                  <c:v>79.946666666666673</c:v>
                </c:pt>
                <c:pt idx="3">
                  <c:v>73.733333333333334</c:v>
                </c:pt>
                <c:pt idx="4">
                  <c:v>65.061111111111103</c:v>
                </c:pt>
                <c:pt idx="5">
                  <c:v>59.867688266199757</c:v>
                </c:pt>
                <c:pt idx="6">
                  <c:v>71.734999999999999</c:v>
                </c:pt>
                <c:pt idx="7">
                  <c:v>73.671428571428564</c:v>
                </c:pt>
                <c:pt idx="8">
                  <c:v>80.385000000000005</c:v>
                </c:pt>
                <c:pt idx="9">
                  <c:v>74.852631578947381</c:v>
                </c:pt>
                <c:pt idx="10">
                  <c:v>57.080000000000005</c:v>
                </c:pt>
                <c:pt idx="11">
                  <c:v>65.965217391304364</c:v>
                </c:pt>
                <c:pt idx="12">
                  <c:v>77.215000000000003</c:v>
                </c:pt>
                <c:pt idx="13">
                  <c:v>79.586956521739125</c:v>
                </c:pt>
                <c:pt idx="14">
                  <c:v>74.505263157894731</c:v>
                </c:pt>
                <c:pt idx="15">
                  <c:v>79.521052631578939</c:v>
                </c:pt>
                <c:pt idx="16">
                  <c:v>70.350000000000009</c:v>
                </c:pt>
                <c:pt idx="17">
                  <c:v>64.081818181818178</c:v>
                </c:pt>
                <c:pt idx="18">
                  <c:v>61.680952380952377</c:v>
                </c:pt>
                <c:pt idx="19">
                  <c:v>80.839130434782604</c:v>
                </c:pt>
                <c:pt idx="20">
                  <c:v>78.699999999999974</c:v>
                </c:pt>
                <c:pt idx="21">
                  <c:v>65.204545454545453</c:v>
                </c:pt>
                <c:pt idx="22">
                  <c:v>61.614999999999995</c:v>
                </c:pt>
                <c:pt idx="23">
                  <c:v>72.01666666666668</c:v>
                </c:pt>
                <c:pt idx="24">
                  <c:v>63.088235294117631</c:v>
                </c:pt>
                <c:pt idx="25">
                  <c:v>64.461111111111109</c:v>
                </c:pt>
                <c:pt idx="26">
                  <c:v>86.804545454545448</c:v>
                </c:pt>
                <c:pt idx="27">
                  <c:v>60.711764705882352</c:v>
                </c:pt>
                <c:pt idx="28">
                  <c:v>55.145454545454548</c:v>
                </c:pt>
                <c:pt idx="29">
                  <c:v>52.777777777777786</c:v>
                </c:pt>
                <c:pt idx="30">
                  <c:v>51.530434782608701</c:v>
                </c:pt>
                <c:pt idx="31">
                  <c:v>50.447058823529403</c:v>
                </c:pt>
                <c:pt idx="32">
                  <c:v>48.907142857142844</c:v>
                </c:pt>
                <c:pt idx="33">
                  <c:v>50.023809523809526</c:v>
                </c:pt>
                <c:pt idx="34">
                  <c:v>56.639130434782608</c:v>
                </c:pt>
                <c:pt idx="35">
                  <c:v>51.284999999999989</c:v>
                </c:pt>
                <c:pt idx="36">
                  <c:v>49.388235294117642</c:v>
                </c:pt>
                <c:pt idx="37">
                  <c:v>51.284615384615371</c:v>
                </c:pt>
                <c:pt idx="38">
                  <c:v>46.373333333333335</c:v>
                </c:pt>
                <c:pt idx="39">
                  <c:v>50.838461538461544</c:v>
                </c:pt>
                <c:pt idx="40">
                  <c:v>50.030769230769231</c:v>
                </c:pt>
                <c:pt idx="41">
                  <c:v>55.526086956521738</c:v>
                </c:pt>
                <c:pt idx="42">
                  <c:v>55.625000000000014</c:v>
                </c:pt>
                <c:pt idx="43">
                  <c:v>50.493333333333332</c:v>
                </c:pt>
                <c:pt idx="44">
                  <c:v>52.06</c:v>
                </c:pt>
                <c:pt idx="45">
                  <c:v>53.872727272727268</c:v>
                </c:pt>
                <c:pt idx="46">
                  <c:v>46.08</c:v>
                </c:pt>
                <c:pt idx="47">
                  <c:v>48.305555555555564</c:v>
                </c:pt>
                <c:pt idx="48">
                  <c:v>50.837500000000006</c:v>
                </c:pt>
                <c:pt idx="49">
                  <c:v>53.86999999999999</c:v>
                </c:pt>
                <c:pt idx="50">
                  <c:v>54.772727272727273</c:v>
                </c:pt>
                <c:pt idx="51">
                  <c:v>54.284210526315803</c:v>
                </c:pt>
                <c:pt idx="52">
                  <c:v>55.127272727272732</c:v>
                </c:pt>
                <c:pt idx="53">
                  <c:v>57.729166666666679</c:v>
                </c:pt>
                <c:pt idx="54">
                  <c:v>49.380952380952372</c:v>
                </c:pt>
                <c:pt idx="55">
                  <c:v>54.354545454545452</c:v>
                </c:pt>
                <c:pt idx="56">
                  <c:v>47.769999999999996</c:v>
                </c:pt>
                <c:pt idx="57">
                  <c:v>53.017391304347832</c:v>
                </c:pt>
                <c:pt idx="58">
                  <c:v>51.572727272727278</c:v>
                </c:pt>
                <c:pt idx="59">
                  <c:v>51.595454545454551</c:v>
                </c:pt>
                <c:pt idx="60">
                  <c:v>49.595833333333339</c:v>
                </c:pt>
                <c:pt idx="61">
                  <c:v>52.038095238095238</c:v>
                </c:pt>
                <c:pt idx="62">
                  <c:v>58.64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C2-814E-ACB0-41FCC1BFD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FF0000"/>
              </a:solidFill>
            </c:spPr>
          </c:upBars>
          <c:downBars/>
        </c:upDownBars>
        <c:axId val="193649664"/>
        <c:axId val="194086784"/>
      </c:stockChart>
      <c:dateAx>
        <c:axId val="193649664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txPr>
          <a:bodyPr rot="-5400000" vert="horz" anchor="ctr" anchorCtr="1"/>
          <a:lstStyle/>
          <a:p>
            <a:pPr>
              <a:defRPr/>
            </a:pPr>
            <a:endParaRPr lang="en-US"/>
          </a:p>
        </c:txPr>
        <c:crossAx val="194086784"/>
        <c:crosses val="autoZero"/>
        <c:auto val="0"/>
        <c:lblOffset val="100"/>
        <c:baseTimeUnit val="days"/>
        <c:majorUnit val="3"/>
        <c:majorTimeUnit val="days"/>
      </c:dateAx>
      <c:valAx>
        <c:axId val="194086784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93649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85725</xdr:colOff>
      <xdr:row>9</xdr:row>
      <xdr:rowOff>76200</xdr:rowOff>
    </xdr:from>
    <xdr:to>
      <xdr:col>41</xdr:col>
      <xdr:colOff>276226</xdr:colOff>
      <xdr:row>36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95248</xdr:colOff>
      <xdr:row>40</xdr:row>
      <xdr:rowOff>142875</xdr:rowOff>
    </xdr:from>
    <xdr:to>
      <xdr:col>41</xdr:col>
      <xdr:colOff>342899</xdr:colOff>
      <xdr:row>65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657225</xdr:colOff>
      <xdr:row>9</xdr:row>
      <xdr:rowOff>152400</xdr:rowOff>
    </xdr:from>
    <xdr:to>
      <xdr:col>69</xdr:col>
      <xdr:colOff>263526</xdr:colOff>
      <xdr:row>34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27E766-4F3F-8858-DF76-413AD97CA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377825</xdr:colOff>
      <xdr:row>39</xdr:row>
      <xdr:rowOff>127000</xdr:rowOff>
    </xdr:from>
    <xdr:to>
      <xdr:col>55</xdr:col>
      <xdr:colOff>657226</xdr:colOff>
      <xdr:row>66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056070-4888-F481-17EB-3AD9B4D2B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619125</xdr:colOff>
      <xdr:row>9</xdr:row>
      <xdr:rowOff>88900</xdr:rowOff>
    </xdr:from>
    <xdr:to>
      <xdr:col>55</xdr:col>
      <xdr:colOff>225426</xdr:colOff>
      <xdr:row>36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A0790F-2D33-EF64-69A6-19F349314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0.15704</cdr:x>
      <cdr:y>0.81193</cdr:y>
    </cdr:from>
    <cdr:to>
      <cdr:x>0.30274</cdr:x>
      <cdr:y>0.86978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17992" y="4196801"/>
          <a:ext cx="1315683" cy="298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beats per minute</a:t>
          </a:r>
        </a:p>
      </cdr:txBody>
    </cdr:sp>
  </cdr:relSizeAnchor>
  <cdr:relSizeAnchor xmlns:cdr="http://schemas.openxmlformats.org/drawingml/2006/chartDrawing">
    <cdr:from>
      <cdr:x>0.03973</cdr:x>
      <cdr:y>0.14742</cdr:y>
    </cdr:from>
    <cdr:to>
      <cdr:x>0.45042</cdr:x>
      <cdr:y>0.69533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92BF793-52EE-BEDF-7326-EF8AEDE9DFDC}"/>
            </a:ext>
          </a:extLst>
        </cdr:cNvPr>
        <cdr:cNvSpPr/>
      </cdr:nvSpPr>
      <cdr:spPr>
        <a:xfrm xmlns:a="http://schemas.openxmlformats.org/drawingml/2006/main">
          <a:off x="358775" y="762000"/>
          <a:ext cx="3708400" cy="28321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>
            <a:alpha val="6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0.47679</cdr:x>
      <cdr:y>0.39312</cdr:y>
    </cdr:from>
    <cdr:to>
      <cdr:x>0.98769</cdr:x>
      <cdr:y>0.70516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A750FD57-114F-08EC-74DB-C3000EE71D0B}"/>
            </a:ext>
          </a:extLst>
        </cdr:cNvPr>
        <cdr:cNvSpPr/>
      </cdr:nvSpPr>
      <cdr:spPr>
        <a:xfrm xmlns:a="http://schemas.openxmlformats.org/drawingml/2006/main">
          <a:off x="4305299" y="2032000"/>
          <a:ext cx="4613275" cy="1612900"/>
        </a:xfrm>
        <a:prstGeom xmlns:a="http://schemas.openxmlformats.org/drawingml/2006/main" prst="rect">
          <a:avLst/>
        </a:prstGeom>
        <a:solidFill xmlns:a="http://schemas.openxmlformats.org/drawingml/2006/main">
          <a:srgbClr val="92D050">
            <a:alpha val="6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0.46273</cdr:x>
      <cdr:y>0.69042</cdr:y>
    </cdr:from>
    <cdr:to>
      <cdr:x>0.95335</cdr:x>
      <cdr:y>0.75448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C1062B95-A73E-14EB-2CF6-7283B6CA2E9E}"/>
            </a:ext>
          </a:extLst>
        </cdr:cNvPr>
        <cdr:cNvSpPr txBox="1"/>
      </cdr:nvSpPr>
      <cdr:spPr>
        <a:xfrm xmlns:a="http://schemas.openxmlformats.org/drawingml/2006/main">
          <a:off x="4178282" y="3568725"/>
          <a:ext cx="4430151" cy="3311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baseline="0">
              <a:solidFill>
                <a:srgbClr val="00B050"/>
              </a:solidFill>
            </a:rPr>
            <a:t>   </a:t>
          </a:r>
          <a:r>
            <a:rPr lang="en-US" sz="1600" b="1">
              <a:solidFill>
                <a:srgbClr val="00B050"/>
              </a:solidFill>
            </a:rPr>
            <a:t> 2X Reduction in Heart</a:t>
          </a:r>
          <a:r>
            <a:rPr lang="en-US" sz="1600" b="1" baseline="0">
              <a:solidFill>
                <a:srgbClr val="00B050"/>
              </a:solidFill>
            </a:rPr>
            <a:t> Rate spread after 7/12/24</a:t>
          </a:r>
          <a:endParaRPr lang="en-US" sz="1600" b="1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0.52906</cdr:x>
      <cdr:y>0.32983</cdr:y>
    </cdr:from>
    <cdr:to>
      <cdr:x>0.88466</cdr:x>
      <cdr:y>0.3939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A9F0CB5-D81A-A9AF-7766-3E436D9F07A8}"/>
            </a:ext>
          </a:extLst>
        </cdr:cNvPr>
        <cdr:cNvSpPr txBox="1"/>
      </cdr:nvSpPr>
      <cdr:spPr>
        <a:xfrm xmlns:a="http://schemas.openxmlformats.org/drawingml/2006/main">
          <a:off x="4777233" y="1704857"/>
          <a:ext cx="3211003" cy="3311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baseline="0">
              <a:solidFill>
                <a:srgbClr val="C00000"/>
              </a:solidFill>
            </a:rPr>
            <a:t>Medication Adjustment</a:t>
          </a:r>
          <a:endParaRPr lang="en-US" sz="1600" b="1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0.46155</cdr:x>
      <cdr:y>0.34867</cdr:y>
    </cdr:from>
    <cdr:to>
      <cdr:x>0.5307</cdr:x>
      <cdr:y>0.37734</cdr:y>
    </cdr:to>
    <cdr:sp macro="" textlink="">
      <cdr:nvSpPr>
        <cdr:cNvPr id="7" name="Left Arrow 6">
          <a:extLst xmlns:a="http://schemas.openxmlformats.org/drawingml/2006/main">
            <a:ext uri="{FF2B5EF4-FFF2-40B4-BE49-F238E27FC236}">
              <a16:creationId xmlns:a16="http://schemas.microsoft.com/office/drawing/2014/main" id="{34B2BE2B-4089-71B0-64E0-05608C0D4388}"/>
            </a:ext>
          </a:extLst>
        </cdr:cNvPr>
        <cdr:cNvSpPr/>
      </cdr:nvSpPr>
      <cdr:spPr>
        <a:xfrm xmlns:a="http://schemas.openxmlformats.org/drawingml/2006/main">
          <a:off x="4167618" y="1802249"/>
          <a:ext cx="624452" cy="148179"/>
        </a:xfrm>
        <a:prstGeom xmlns:a="http://schemas.openxmlformats.org/drawingml/2006/main" prst="leftArrow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0.0661</cdr:x>
      <cdr:y>0.09337</cdr:y>
    </cdr:from>
    <cdr:to>
      <cdr:x>0.42651</cdr:x>
      <cdr:y>0.15744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D2B0F1AA-9996-E8F2-A22E-84D65402BC1D}"/>
            </a:ext>
          </a:extLst>
        </cdr:cNvPr>
        <cdr:cNvSpPr txBox="1"/>
      </cdr:nvSpPr>
      <cdr:spPr>
        <a:xfrm xmlns:a="http://schemas.openxmlformats.org/drawingml/2006/main">
          <a:off x="596900" y="482600"/>
          <a:ext cx="3254394" cy="3311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i="1" dirty="0">
              <a:solidFill>
                <a:srgbClr val="FF0000"/>
              </a:solidFill>
            </a:rPr>
            <a:t>Very high heart rates while sleeping</a:t>
          </a:r>
        </a:p>
      </cdr:txBody>
    </cdr:sp>
  </cdr:relSizeAnchor>
  <cdr:relSizeAnchor xmlns:cdr="http://schemas.openxmlformats.org/drawingml/2006/chartDrawing">
    <cdr:from>
      <cdr:x>0.10689</cdr:x>
      <cdr:y>0.68796</cdr:y>
    </cdr:from>
    <cdr:to>
      <cdr:x>0.36744</cdr:x>
      <cdr:y>0.75202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2CC0BFF4-2CD1-2E3C-4E36-C559E2406EAD}"/>
            </a:ext>
          </a:extLst>
        </cdr:cNvPr>
        <cdr:cNvSpPr txBox="1"/>
      </cdr:nvSpPr>
      <cdr:spPr>
        <a:xfrm xmlns:a="http://schemas.openxmlformats.org/drawingml/2006/main">
          <a:off x="965200" y="3556000"/>
          <a:ext cx="2352675" cy="3311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0" baseline="0">
              <a:solidFill>
                <a:schemeClr val="tx1"/>
              </a:solidFill>
            </a:rPr>
            <a:t>Daily Heart Rate Spread</a:t>
          </a:r>
          <a:endParaRPr lang="en-US" sz="1600" b="0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0.40811</cdr:x>
      <cdr:y>0.10926</cdr:y>
    </cdr:from>
    <cdr:to>
      <cdr:x>0.65281</cdr:x>
      <cdr:y>0.21162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46938" y="394426"/>
          <a:ext cx="2006791" cy="3695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breaths per minute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0.76463</cdr:x>
      <cdr:y>0.6424</cdr:y>
    </cdr:from>
    <cdr:to>
      <cdr:x>0.9863</cdr:x>
      <cdr:y>0.72591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848351" y="2857501"/>
          <a:ext cx="1695450" cy="3714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beats per minute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0.12187</cdr:x>
      <cdr:y>0.694</cdr:y>
    </cdr:from>
    <cdr:to>
      <cdr:x>0.34354</cdr:x>
      <cdr:y>0.75184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00492" y="3587201"/>
          <a:ext cx="2001614" cy="298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100">
              <a:solidFill>
                <a:schemeClr val="bg1"/>
              </a:solidFill>
            </a:rPr>
            <a:t>beats per minute</a:t>
          </a:r>
        </a:p>
      </cdr:txBody>
    </cdr:sp>
  </cdr:relSizeAnchor>
  <cdr:relSizeAnchor xmlns:cdr="http://schemas.openxmlformats.org/drawingml/2006/chartDrawing">
    <cdr:from>
      <cdr:x>0.03973</cdr:x>
      <cdr:y>0.14742</cdr:y>
    </cdr:from>
    <cdr:to>
      <cdr:x>0.45042</cdr:x>
      <cdr:y>0.69533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92BF793-52EE-BEDF-7326-EF8AEDE9DFDC}"/>
            </a:ext>
          </a:extLst>
        </cdr:cNvPr>
        <cdr:cNvSpPr/>
      </cdr:nvSpPr>
      <cdr:spPr>
        <a:xfrm xmlns:a="http://schemas.openxmlformats.org/drawingml/2006/main">
          <a:off x="358775" y="762000"/>
          <a:ext cx="3708400" cy="28321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>
            <a:alpha val="38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0.47679</cdr:x>
      <cdr:y>0.39312</cdr:y>
    </cdr:from>
    <cdr:to>
      <cdr:x>0.98769</cdr:x>
      <cdr:y>0.69533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A750FD57-114F-08EC-74DB-C3000EE71D0B}"/>
            </a:ext>
          </a:extLst>
        </cdr:cNvPr>
        <cdr:cNvSpPr/>
      </cdr:nvSpPr>
      <cdr:spPr>
        <a:xfrm xmlns:a="http://schemas.openxmlformats.org/drawingml/2006/main">
          <a:off x="4305271" y="2031998"/>
          <a:ext cx="4613274" cy="1562102"/>
        </a:xfrm>
        <a:prstGeom xmlns:a="http://schemas.openxmlformats.org/drawingml/2006/main" prst="rect">
          <a:avLst/>
        </a:prstGeom>
        <a:solidFill xmlns:a="http://schemas.openxmlformats.org/drawingml/2006/main">
          <a:srgbClr val="92D050">
            <a:alpha val="42638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0.47117</cdr:x>
      <cdr:y>0.70762</cdr:y>
    </cdr:from>
    <cdr:to>
      <cdr:x>0.96179</cdr:x>
      <cdr:y>0.77168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C1062B95-A73E-14EB-2CF6-7283B6CA2E9E}"/>
            </a:ext>
          </a:extLst>
        </cdr:cNvPr>
        <cdr:cNvSpPr txBox="1"/>
      </cdr:nvSpPr>
      <cdr:spPr>
        <a:xfrm xmlns:a="http://schemas.openxmlformats.org/drawingml/2006/main">
          <a:off x="4254482" y="3657625"/>
          <a:ext cx="4430151" cy="3311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baseline="0">
              <a:solidFill>
                <a:srgbClr val="92D050"/>
              </a:solidFill>
            </a:rPr>
            <a:t>   </a:t>
          </a:r>
          <a:r>
            <a:rPr lang="en-US" sz="1600" b="1">
              <a:solidFill>
                <a:srgbClr val="92D050"/>
              </a:solidFill>
            </a:rPr>
            <a:t> 2X Reduction in Heart</a:t>
          </a:r>
          <a:r>
            <a:rPr lang="en-US" sz="1600" b="1" baseline="0">
              <a:solidFill>
                <a:srgbClr val="92D050"/>
              </a:solidFill>
            </a:rPr>
            <a:t> Rate spread after 7/12/24</a:t>
          </a:r>
          <a:endParaRPr lang="en-US" sz="1600" b="1">
            <a:solidFill>
              <a:srgbClr val="92D050"/>
            </a:solidFill>
          </a:endParaRPr>
        </a:p>
      </cdr:txBody>
    </cdr:sp>
  </cdr:relSizeAnchor>
  <cdr:relSizeAnchor xmlns:cdr="http://schemas.openxmlformats.org/drawingml/2006/chartDrawing">
    <cdr:from>
      <cdr:x>0.52906</cdr:x>
      <cdr:y>0.32983</cdr:y>
    </cdr:from>
    <cdr:to>
      <cdr:x>0.88466</cdr:x>
      <cdr:y>0.3939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A9F0CB5-D81A-A9AF-7766-3E436D9F07A8}"/>
            </a:ext>
          </a:extLst>
        </cdr:cNvPr>
        <cdr:cNvSpPr txBox="1"/>
      </cdr:nvSpPr>
      <cdr:spPr>
        <a:xfrm xmlns:a="http://schemas.openxmlformats.org/drawingml/2006/main">
          <a:off x="4777233" y="1704857"/>
          <a:ext cx="3211003" cy="3311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baseline="0">
              <a:solidFill>
                <a:srgbClr val="00B0F0"/>
              </a:solidFill>
            </a:rPr>
            <a:t>Medication Adjustment</a:t>
          </a:r>
          <a:endParaRPr lang="en-US" sz="1600" b="1">
            <a:solidFill>
              <a:srgbClr val="00B0F0"/>
            </a:solidFill>
          </a:endParaRPr>
        </a:p>
      </cdr:txBody>
    </cdr:sp>
  </cdr:relSizeAnchor>
  <cdr:relSizeAnchor xmlns:cdr="http://schemas.openxmlformats.org/drawingml/2006/chartDrawing">
    <cdr:from>
      <cdr:x>0.46155</cdr:x>
      <cdr:y>0.34867</cdr:y>
    </cdr:from>
    <cdr:to>
      <cdr:x>0.5307</cdr:x>
      <cdr:y>0.37734</cdr:y>
    </cdr:to>
    <cdr:sp macro="" textlink="">
      <cdr:nvSpPr>
        <cdr:cNvPr id="7" name="Left Arrow 6">
          <a:extLst xmlns:a="http://schemas.openxmlformats.org/drawingml/2006/main">
            <a:ext uri="{FF2B5EF4-FFF2-40B4-BE49-F238E27FC236}">
              <a16:creationId xmlns:a16="http://schemas.microsoft.com/office/drawing/2014/main" id="{34B2BE2B-4089-71B0-64E0-05608C0D4388}"/>
            </a:ext>
          </a:extLst>
        </cdr:cNvPr>
        <cdr:cNvSpPr/>
      </cdr:nvSpPr>
      <cdr:spPr>
        <a:xfrm xmlns:a="http://schemas.openxmlformats.org/drawingml/2006/main">
          <a:off x="4167618" y="1802249"/>
          <a:ext cx="624452" cy="148179"/>
        </a:xfrm>
        <a:prstGeom xmlns:a="http://schemas.openxmlformats.org/drawingml/2006/main" prst="leftArrow">
          <a:avLst/>
        </a:prstGeom>
        <a:solidFill xmlns:a="http://schemas.openxmlformats.org/drawingml/2006/main">
          <a:srgbClr val="00B0F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0.06329</cdr:x>
      <cdr:y>0.09091</cdr:y>
    </cdr:from>
    <cdr:to>
      <cdr:x>0.4237</cdr:x>
      <cdr:y>0.15498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4CA1A76C-CFB6-50AB-6999-5F460C722EC0}"/>
            </a:ext>
          </a:extLst>
        </cdr:cNvPr>
        <cdr:cNvSpPr txBox="1"/>
      </cdr:nvSpPr>
      <cdr:spPr>
        <a:xfrm xmlns:a="http://schemas.openxmlformats.org/drawingml/2006/main">
          <a:off x="571499" y="469900"/>
          <a:ext cx="3254375" cy="3311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i="1" dirty="0">
              <a:solidFill>
                <a:srgbClr val="FF0000"/>
              </a:solidFill>
            </a:rPr>
            <a:t>Very high heart rates while sleeping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0.15704</cdr:x>
      <cdr:y>0.81193</cdr:y>
    </cdr:from>
    <cdr:to>
      <cdr:x>0.30274</cdr:x>
      <cdr:y>0.86978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17992" y="4196801"/>
          <a:ext cx="1315683" cy="298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beats per minute</a:t>
          </a:r>
        </a:p>
      </cdr:txBody>
    </cdr:sp>
  </cdr:relSizeAnchor>
  <cdr:relSizeAnchor xmlns:cdr="http://schemas.openxmlformats.org/drawingml/2006/chartDrawing">
    <cdr:from>
      <cdr:x>0.03973</cdr:x>
      <cdr:y>0.14742</cdr:y>
    </cdr:from>
    <cdr:to>
      <cdr:x>0.45042</cdr:x>
      <cdr:y>0.69533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92BF793-52EE-BEDF-7326-EF8AEDE9DFDC}"/>
            </a:ext>
          </a:extLst>
        </cdr:cNvPr>
        <cdr:cNvSpPr/>
      </cdr:nvSpPr>
      <cdr:spPr>
        <a:xfrm xmlns:a="http://schemas.openxmlformats.org/drawingml/2006/main">
          <a:off x="358775" y="762000"/>
          <a:ext cx="3708400" cy="283210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>
            <a:alpha val="6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0.47679</cdr:x>
      <cdr:y>0.39312</cdr:y>
    </cdr:from>
    <cdr:to>
      <cdr:x>0.98769</cdr:x>
      <cdr:y>0.70516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A750FD57-114F-08EC-74DB-C3000EE71D0B}"/>
            </a:ext>
          </a:extLst>
        </cdr:cNvPr>
        <cdr:cNvSpPr/>
      </cdr:nvSpPr>
      <cdr:spPr>
        <a:xfrm xmlns:a="http://schemas.openxmlformats.org/drawingml/2006/main">
          <a:off x="4305299" y="2032000"/>
          <a:ext cx="4613275" cy="1612900"/>
        </a:xfrm>
        <a:prstGeom xmlns:a="http://schemas.openxmlformats.org/drawingml/2006/main" prst="rect">
          <a:avLst/>
        </a:prstGeom>
        <a:solidFill xmlns:a="http://schemas.openxmlformats.org/drawingml/2006/main">
          <a:srgbClr val="92D050">
            <a:alpha val="6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0.49487</cdr:x>
      <cdr:y>0.69042</cdr:y>
    </cdr:from>
    <cdr:to>
      <cdr:x>0.98549</cdr:x>
      <cdr:y>0.75448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C1062B95-A73E-14EB-2CF6-7283B6CA2E9E}"/>
            </a:ext>
          </a:extLst>
        </cdr:cNvPr>
        <cdr:cNvSpPr txBox="1"/>
      </cdr:nvSpPr>
      <cdr:spPr>
        <a:xfrm xmlns:a="http://schemas.openxmlformats.org/drawingml/2006/main">
          <a:off x="4444511" y="3676323"/>
          <a:ext cx="4406362" cy="3411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baseline="0">
              <a:solidFill>
                <a:srgbClr val="00B050"/>
              </a:solidFill>
            </a:rPr>
            <a:t>   </a:t>
          </a:r>
          <a:r>
            <a:rPr lang="en-US" sz="1600" b="1">
              <a:solidFill>
                <a:srgbClr val="00B050"/>
              </a:solidFill>
            </a:rPr>
            <a:t> 2X Reduction in Heart</a:t>
          </a:r>
          <a:r>
            <a:rPr lang="en-US" sz="1600" b="1" baseline="0">
              <a:solidFill>
                <a:srgbClr val="00B050"/>
              </a:solidFill>
            </a:rPr>
            <a:t> Rate spread after 7/12/24</a:t>
          </a:r>
          <a:endParaRPr lang="en-US" sz="1600" b="1">
            <a:solidFill>
              <a:srgbClr val="00B050"/>
            </a:solidFill>
          </a:endParaRPr>
        </a:p>
      </cdr:txBody>
    </cdr:sp>
  </cdr:relSizeAnchor>
  <cdr:relSizeAnchor xmlns:cdr="http://schemas.openxmlformats.org/drawingml/2006/chartDrawing">
    <cdr:from>
      <cdr:x>0.54965</cdr:x>
      <cdr:y>0.23244</cdr:y>
    </cdr:from>
    <cdr:to>
      <cdr:x>0.90525</cdr:x>
      <cdr:y>0.29651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A9F0CB5-D81A-A9AF-7766-3E436D9F07A8}"/>
            </a:ext>
          </a:extLst>
        </cdr:cNvPr>
        <cdr:cNvSpPr txBox="1"/>
      </cdr:nvSpPr>
      <cdr:spPr>
        <a:xfrm xmlns:a="http://schemas.openxmlformats.org/drawingml/2006/main">
          <a:off x="4980966" y="1201476"/>
          <a:ext cx="3222457" cy="3311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baseline="0">
              <a:solidFill>
                <a:srgbClr val="C00000"/>
              </a:solidFill>
            </a:rPr>
            <a:t>Medication Adjustment</a:t>
          </a:r>
          <a:endParaRPr lang="en-US" sz="1600" b="1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0.0661</cdr:x>
      <cdr:y>0.09337</cdr:y>
    </cdr:from>
    <cdr:to>
      <cdr:x>0.42651</cdr:x>
      <cdr:y>0.15744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D2B0F1AA-9996-E8F2-A22E-84D65402BC1D}"/>
            </a:ext>
          </a:extLst>
        </cdr:cNvPr>
        <cdr:cNvSpPr txBox="1"/>
      </cdr:nvSpPr>
      <cdr:spPr>
        <a:xfrm xmlns:a="http://schemas.openxmlformats.org/drawingml/2006/main">
          <a:off x="596900" y="482600"/>
          <a:ext cx="3254394" cy="3311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i="1" dirty="0">
              <a:solidFill>
                <a:srgbClr val="FF0000"/>
              </a:solidFill>
            </a:rPr>
            <a:t>Very high heart rates while sleeping</a:t>
          </a:r>
        </a:p>
      </cdr:txBody>
    </cdr:sp>
  </cdr:relSizeAnchor>
  <cdr:relSizeAnchor xmlns:cdr="http://schemas.openxmlformats.org/drawingml/2006/chartDrawing">
    <cdr:from>
      <cdr:x>0.10689</cdr:x>
      <cdr:y>0.68796</cdr:y>
    </cdr:from>
    <cdr:to>
      <cdr:x>0.36744</cdr:x>
      <cdr:y>0.75202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2CC0BFF4-2CD1-2E3C-4E36-C559E2406EAD}"/>
            </a:ext>
          </a:extLst>
        </cdr:cNvPr>
        <cdr:cNvSpPr txBox="1"/>
      </cdr:nvSpPr>
      <cdr:spPr>
        <a:xfrm xmlns:a="http://schemas.openxmlformats.org/drawingml/2006/main">
          <a:off x="965200" y="3556000"/>
          <a:ext cx="2352675" cy="3311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0" baseline="0">
              <a:solidFill>
                <a:schemeClr val="tx1"/>
              </a:solidFill>
            </a:rPr>
            <a:t>Daily Heart Rate Spread</a:t>
          </a:r>
          <a:endParaRPr lang="en-US" sz="1600" b="0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0.46902</cdr:x>
      <cdr:y>0.26413</cdr:y>
    </cdr:from>
    <cdr:to>
      <cdr:x>0.54919</cdr:x>
      <cdr:y>0.26413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7CF8AA68-A188-4A55-6F3A-6034E11EB06A}"/>
            </a:ext>
          </a:extLst>
        </cdr:cNvPr>
        <cdr:cNvCxnSpPr/>
      </cdr:nvCxnSpPr>
      <cdr:spPr>
        <a:xfrm xmlns:a="http://schemas.openxmlformats.org/drawingml/2006/main">
          <a:off x="4224946" y="1375024"/>
          <a:ext cx="722157" cy="0"/>
        </a:xfrm>
        <a:prstGeom xmlns:a="http://schemas.openxmlformats.org/drawingml/2006/main" prst="line">
          <a:avLst/>
        </a:prstGeom>
        <a:ln xmlns:a="http://schemas.openxmlformats.org/drawingml/2006/main" w="76200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0.46449</cdr:x>
      <cdr:y>0.72331</cdr:y>
    </cdr:from>
    <cdr:to>
      <cdr:x>0.51442</cdr:x>
      <cdr:y>0.72331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EA849F6D-8129-8AB3-8B09-6E6E12C0A02B}"/>
            </a:ext>
          </a:extLst>
        </cdr:cNvPr>
        <cdr:cNvCxnSpPr/>
      </cdr:nvCxnSpPr>
      <cdr:spPr>
        <a:xfrm xmlns:a="http://schemas.openxmlformats.org/drawingml/2006/main">
          <a:off x="4194175" y="3738739"/>
          <a:ext cx="450850" cy="0"/>
        </a:xfrm>
        <a:prstGeom xmlns:a="http://schemas.openxmlformats.org/drawingml/2006/main" prst="line">
          <a:avLst/>
        </a:prstGeom>
        <a:ln xmlns:a="http://schemas.openxmlformats.org/drawingml/2006/main" w="76200">
          <a:solidFill>
            <a:srgbClr val="00B050"/>
          </a:solidFill>
          <a:headEnd type="none" w="med" len="med"/>
          <a:tailEnd type="triangle" w="sm" len="sm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0.46856</cdr:x>
      <cdr:y>0.65739</cdr:y>
    </cdr:from>
    <cdr:to>
      <cdr:x>0.46856</cdr:x>
      <cdr:y>0.72912</cdr:y>
    </cdr:to>
    <cdr:cxnSp macro="">
      <cdr:nvCxnSpPr>
        <cdr:cNvPr id="19" name="Straight Connector 18">
          <a:extLst xmlns:a="http://schemas.openxmlformats.org/drawingml/2006/main">
            <a:ext uri="{FF2B5EF4-FFF2-40B4-BE49-F238E27FC236}">
              <a16:creationId xmlns:a16="http://schemas.microsoft.com/office/drawing/2014/main" id="{19C97B2D-ED1F-1170-AF30-886301C0364E}"/>
            </a:ext>
          </a:extLst>
        </cdr:cNvPr>
        <cdr:cNvCxnSpPr/>
      </cdr:nvCxnSpPr>
      <cdr:spPr>
        <a:xfrm xmlns:a="http://schemas.openxmlformats.org/drawingml/2006/main" flipV="1">
          <a:off x="4230994" y="3397966"/>
          <a:ext cx="0" cy="370759"/>
        </a:xfrm>
        <a:prstGeom xmlns:a="http://schemas.openxmlformats.org/drawingml/2006/main" prst="line">
          <a:avLst/>
        </a:prstGeom>
        <a:ln xmlns:a="http://schemas.openxmlformats.org/drawingml/2006/main" w="76200">
          <a:solidFill>
            <a:srgbClr val="00B050"/>
          </a:solidFill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0.46835</cdr:x>
      <cdr:y>0.25676</cdr:y>
    </cdr:from>
    <cdr:to>
      <cdr:x>0.46835</cdr:x>
      <cdr:y>0.36855</cdr:y>
    </cdr:to>
    <cdr:cxnSp macro="">
      <cdr:nvCxnSpPr>
        <cdr:cNvPr id="27" name="Straight Connector 26">
          <a:extLst xmlns:a="http://schemas.openxmlformats.org/drawingml/2006/main">
            <a:ext uri="{FF2B5EF4-FFF2-40B4-BE49-F238E27FC236}">
              <a16:creationId xmlns:a16="http://schemas.microsoft.com/office/drawing/2014/main" id="{63FBCF94-EDFC-E157-A6BD-561BFC78169E}"/>
            </a:ext>
          </a:extLst>
        </cdr:cNvPr>
        <cdr:cNvCxnSpPr/>
      </cdr:nvCxnSpPr>
      <cdr:spPr>
        <a:xfrm xmlns:a="http://schemas.openxmlformats.org/drawingml/2006/main">
          <a:off x="4229100" y="1327150"/>
          <a:ext cx="0" cy="577850"/>
        </a:xfrm>
        <a:prstGeom xmlns:a="http://schemas.openxmlformats.org/drawingml/2006/main" prst="line">
          <a:avLst/>
        </a:prstGeom>
        <a:ln xmlns:a="http://schemas.openxmlformats.org/drawingml/2006/main" w="76200">
          <a:solidFill>
            <a:schemeClr val="accent2"/>
          </a:solidFill>
          <a:headEnd type="none" w="med" len="med"/>
          <a:tailEnd type="triangle" w="sm" len="sm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18"/>
  <sheetViews>
    <sheetView tabSelected="1" topLeftCell="AR11" zoomScale="152" zoomScaleNormal="152" workbookViewId="0">
      <selection activeCell="BF40" sqref="BF40"/>
    </sheetView>
  </sheetViews>
  <sheetFormatPr baseColWidth="10" defaultColWidth="8.83203125" defaultRowHeight="15" x14ac:dyDescent="0.2"/>
  <cols>
    <col min="1" max="1" width="10.6640625" bestFit="1" customWidth="1"/>
    <col min="2" max="2" width="8.1640625" bestFit="1" customWidth="1"/>
    <col min="3" max="3" width="15.83203125" bestFit="1" customWidth="1"/>
    <col min="4" max="4" width="7.5" bestFit="1" customWidth="1"/>
    <col min="5" max="5" width="8.5" bestFit="1" customWidth="1"/>
    <col min="6" max="6" width="7.83203125" bestFit="1" customWidth="1"/>
    <col min="7" max="7" width="1.5" bestFit="1" customWidth="1"/>
    <col min="8" max="8" width="6.83203125" bestFit="1" customWidth="1"/>
    <col min="9" max="9" width="8" bestFit="1" customWidth="1"/>
    <col min="10" max="10" width="7.6640625" bestFit="1" customWidth="1"/>
    <col min="11" max="11" width="1.5" bestFit="1" customWidth="1"/>
    <col min="12" max="12" width="4" bestFit="1" customWidth="1"/>
    <col min="13" max="13" width="4" customWidth="1"/>
    <col min="14" max="14" width="12.1640625" bestFit="1" customWidth="1"/>
    <col min="15" max="15" width="5" bestFit="1" customWidth="1"/>
    <col min="16" max="16" width="6" bestFit="1" customWidth="1"/>
    <col min="17" max="17" width="7.6640625" bestFit="1" customWidth="1"/>
    <col min="18" max="18" width="4.5" bestFit="1" customWidth="1"/>
    <col min="19" max="19" width="6" bestFit="1" customWidth="1"/>
    <col min="20" max="21" width="5" bestFit="1" customWidth="1"/>
    <col min="22" max="22" width="3.5" bestFit="1" customWidth="1"/>
    <col min="23" max="23" width="5" customWidth="1"/>
    <col min="24" max="24" width="7.6640625" bestFit="1" customWidth="1"/>
    <col min="25" max="25" width="4.5" bestFit="1" customWidth="1"/>
    <col min="26" max="28" width="5" bestFit="1" customWidth="1"/>
    <col min="30" max="30" width="13.83203125" bestFit="1" customWidth="1"/>
    <col min="33" max="33" width="13.832031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17</v>
      </c>
      <c r="Q1" t="s">
        <v>16</v>
      </c>
      <c r="R1" t="s">
        <v>12</v>
      </c>
      <c r="S1" t="s">
        <v>10</v>
      </c>
      <c r="T1" t="s">
        <v>11</v>
      </c>
      <c r="U1" t="s">
        <v>13</v>
      </c>
      <c r="Y1" t="s">
        <v>12</v>
      </c>
      <c r="Z1" t="s">
        <v>14</v>
      </c>
      <c r="AA1" t="s">
        <v>15</v>
      </c>
      <c r="AB1" t="s">
        <v>13</v>
      </c>
    </row>
    <row r="2" spans="1:33" x14ac:dyDescent="0.2">
      <c r="A2" s="1"/>
      <c r="B2" s="2"/>
      <c r="C2" s="3"/>
    </row>
    <row r="3" spans="1:33" ht="16" x14ac:dyDescent="0.2">
      <c r="A3" s="1">
        <v>45408</v>
      </c>
      <c r="B3" s="2">
        <v>0.54166666666666663</v>
      </c>
      <c r="C3" s="3">
        <v>45408.541666666664</v>
      </c>
      <c r="D3">
        <v>59.6</v>
      </c>
      <c r="E3">
        <v>59.7</v>
      </c>
      <c r="F3">
        <v>59.6</v>
      </c>
      <c r="G3" t="s">
        <v>6</v>
      </c>
      <c r="H3">
        <v>25.3</v>
      </c>
      <c r="I3">
        <v>28.3</v>
      </c>
      <c r="J3">
        <v>21.9</v>
      </c>
      <c r="K3" t="s">
        <v>6</v>
      </c>
      <c r="L3">
        <v>7</v>
      </c>
      <c r="N3" t="s">
        <v>18</v>
      </c>
      <c r="O3">
        <f ca="1">MIN(ROW(INDIRECT(N3)))</f>
        <v>3</v>
      </c>
      <c r="P3">
        <f ca="1">MIN(ROW(INDIRECT(N3))) + ROWS(INDIRECT(N3)) -1</f>
        <v>21</v>
      </c>
      <c r="Q3" s="5">
        <v>45408</v>
      </c>
      <c r="R3" s="4">
        <f ca="1">IFERROR(AVERAGE(INDIRECT("D" &amp; $O3):INDIRECT("D" &amp; $P3)),"")</f>
        <v>55.363157894736844</v>
      </c>
      <c r="S3">
        <f ca="1">IFERROR(MAX(INDIRECT("E" &amp; $O3):INDIRECT("E" &amp; $P3)),"")</f>
        <v>69.599999999999994</v>
      </c>
      <c r="T3">
        <f ca="1">IFERROR(MIN(INDIRECT("F" &amp; $O3):INDIRECT("F" &amp; $P3)),"")</f>
        <v>40.1</v>
      </c>
      <c r="U3" s="4">
        <f t="shared" ref="U3" ca="1" si="0">R3+1</f>
        <v>56.363157894736844</v>
      </c>
      <c r="V3" s="4"/>
      <c r="W3" s="4"/>
      <c r="X3" s="5">
        <v>45408</v>
      </c>
      <c r="Y3" s="4">
        <f ca="1">IFERROR(AVERAGE(INDIRECT("H" &amp; $O3):INDIRECT("H" &amp; $P3)),"")</f>
        <v>15.678947368421055</v>
      </c>
      <c r="Z3">
        <f ca="1">IFERROR(MAX(INDIRECT("I" &amp; $O3):INDIRECT("I" &amp; $P3)),"")</f>
        <v>37.799999999999997</v>
      </c>
      <c r="AA3">
        <f ca="1">IFERROR(MIN(INDIRECT("J" &amp; $O3):INDIRECT("J" &amp; $P3)),"")</f>
        <v>10.199999999999999</v>
      </c>
      <c r="AB3" s="4">
        <f t="shared" ref="AB3" ca="1" si="1">Y3+0.3</f>
        <v>15.978947368421055</v>
      </c>
      <c r="AD3" s="3"/>
      <c r="AF3" s="6"/>
    </row>
    <row r="4" spans="1:33" ht="16" x14ac:dyDescent="0.2">
      <c r="A4" s="1">
        <v>45408</v>
      </c>
      <c r="B4" s="2">
        <v>0.58333333333333337</v>
      </c>
      <c r="C4" s="3">
        <v>45408.583333333336</v>
      </c>
      <c r="D4">
        <v>59.6</v>
      </c>
      <c r="E4">
        <v>59.6</v>
      </c>
      <c r="F4">
        <v>59.6</v>
      </c>
      <c r="G4" t="s">
        <v>6</v>
      </c>
      <c r="H4">
        <v>20.6</v>
      </c>
      <c r="I4">
        <v>21.6</v>
      </c>
      <c r="J4">
        <v>20.3</v>
      </c>
      <c r="K4" t="s">
        <v>6</v>
      </c>
      <c r="L4">
        <v>6</v>
      </c>
      <c r="N4" t="s">
        <v>19</v>
      </c>
      <c r="O4">
        <f t="shared" ref="O4" ca="1" si="2">MIN(ROW(INDIRECT(N4)))</f>
        <v>22</v>
      </c>
      <c r="P4">
        <f t="shared" ref="P4" ca="1" si="3">MIN(ROW(INDIRECT(N4))) + ROWS(INDIRECT(N4)) -1</f>
        <v>43</v>
      </c>
      <c r="Q4" s="5">
        <f t="shared" ref="Q4:Q67" si="4">Q3+1</f>
        <v>45409</v>
      </c>
      <c r="R4" s="4">
        <f ca="1">IFERROR(AVERAGE(INDIRECT("D" &amp; $O4):INDIRECT("D" &amp; $P4)),"")</f>
        <v>50.02272727272728</v>
      </c>
      <c r="S4">
        <f ca="1">IFERROR(MAX(INDIRECT("E" &amp; $O4):INDIRECT("E" &amp; $P4)),"")</f>
        <v>64.8</v>
      </c>
      <c r="T4">
        <f ca="1">IFERROR(MIN(INDIRECT("F" &amp; $O4):INDIRECT("F" &amp; $P4)),"")</f>
        <v>40.4</v>
      </c>
      <c r="U4" s="4">
        <f t="shared" ref="U4" ca="1" si="5">R4+1</f>
        <v>51.02272727272728</v>
      </c>
      <c r="V4" s="4"/>
      <c r="W4" s="4"/>
      <c r="X4" s="5">
        <f t="shared" ref="X4:X67" si="6">X3+1</f>
        <v>45409</v>
      </c>
      <c r="Y4" s="4">
        <f ca="1">IFERROR(AVERAGE(INDIRECT("H" &amp; $O4):INDIRECT("H" &amp; $P4)),"")</f>
        <v>15.040909090909093</v>
      </c>
      <c r="Z4">
        <f ca="1">IFERROR(MAX(INDIRECT("I" &amp; $O4):INDIRECT("I" &amp; $P4)),"")</f>
        <v>28.8</v>
      </c>
      <c r="AA4">
        <f ca="1">IFERROR(MIN(INDIRECT("J" &amp; $O4):INDIRECT("J" &amp; $P4)),"")</f>
        <v>10</v>
      </c>
      <c r="AB4" s="4">
        <f t="shared" ref="AB4" ca="1" si="7">Y4+0.3</f>
        <v>15.340909090909093</v>
      </c>
      <c r="AD4" s="3"/>
      <c r="AF4" s="6"/>
      <c r="AG4" s="3"/>
    </row>
    <row r="5" spans="1:33" ht="16" x14ac:dyDescent="0.2">
      <c r="A5" s="1">
        <v>45408</v>
      </c>
      <c r="B5" s="2">
        <v>0.625</v>
      </c>
      <c r="C5" s="3">
        <v>45408.625</v>
      </c>
      <c r="D5">
        <v>60.3</v>
      </c>
      <c r="E5">
        <v>67.7</v>
      </c>
      <c r="F5">
        <v>56.8</v>
      </c>
      <c r="G5" t="s">
        <v>6</v>
      </c>
      <c r="H5">
        <v>12.2</v>
      </c>
      <c r="I5">
        <v>15</v>
      </c>
      <c r="J5">
        <v>10.199999999999999</v>
      </c>
      <c r="K5" t="s">
        <v>6</v>
      </c>
      <c r="L5">
        <v>209</v>
      </c>
      <c r="N5" t="s">
        <v>20</v>
      </c>
      <c r="O5">
        <f t="shared" ref="O5" ca="1" si="8">MIN(ROW(INDIRECT(N5)))</f>
        <v>44</v>
      </c>
      <c r="P5">
        <f t="shared" ref="P5" ca="1" si="9">MIN(ROW(INDIRECT(N5))) + ROWS(INDIRECT(N5)) -1</f>
        <v>63</v>
      </c>
      <c r="Q5" s="5">
        <f t="shared" si="4"/>
        <v>45410</v>
      </c>
      <c r="R5" s="4">
        <f ca="1">IFERROR(AVERAGE(INDIRECT("D" &amp; $O5):INDIRECT("D" &amp; $P5)),"")</f>
        <v>51.715000000000011</v>
      </c>
      <c r="S5">
        <f ca="1">IFERROR(MAX(INDIRECT("E" &amp; $O5):INDIRECT("E" &amp; $P5)),"")</f>
        <v>76.3</v>
      </c>
      <c r="T5">
        <f ca="1">IFERROR(MIN(INDIRECT("F" &amp; $O5):INDIRECT("F" &amp; $P5)),"")</f>
        <v>40.1</v>
      </c>
      <c r="U5" s="4">
        <f t="shared" ref="U5" ca="1" si="10">R5+1</f>
        <v>52.715000000000011</v>
      </c>
      <c r="V5" s="4"/>
      <c r="W5" s="4"/>
      <c r="X5" s="5">
        <f t="shared" si="6"/>
        <v>45410</v>
      </c>
      <c r="Y5" s="4">
        <f ca="1">IFERROR(AVERAGE(INDIRECT("H" &amp; $O5):INDIRECT("H" &amp; $P5)),"")</f>
        <v>14.614999999999998</v>
      </c>
      <c r="Z5">
        <f ca="1">IFERROR(MAX(INDIRECT("I" &amp; $O5):INDIRECT("I" &amp; $P5)),"")</f>
        <v>30.3</v>
      </c>
      <c r="AA5">
        <f ca="1">IFERROR(MIN(INDIRECT("J" &amp; $O5):INDIRECT("J" &amp; $P5)),"")</f>
        <v>9.5</v>
      </c>
      <c r="AB5" s="4">
        <f t="shared" ref="AB5" ca="1" si="11">Y5+0.3</f>
        <v>14.914999999999999</v>
      </c>
      <c r="AD5" s="3"/>
      <c r="AF5" s="6"/>
      <c r="AG5" s="3"/>
    </row>
    <row r="6" spans="1:33" ht="16" x14ac:dyDescent="0.2">
      <c r="A6" s="1">
        <v>45408</v>
      </c>
      <c r="B6" s="2">
        <v>0.66666666666666663</v>
      </c>
      <c r="C6" s="3">
        <v>45408.666666666664</v>
      </c>
      <c r="D6">
        <v>63.4</v>
      </c>
      <c r="E6">
        <v>67.8</v>
      </c>
      <c r="F6">
        <v>57.8</v>
      </c>
      <c r="G6" t="s">
        <v>6</v>
      </c>
      <c r="H6">
        <v>14.4</v>
      </c>
      <c r="I6">
        <v>26.1</v>
      </c>
      <c r="J6">
        <v>11</v>
      </c>
      <c r="K6" t="s">
        <v>6</v>
      </c>
      <c r="L6">
        <v>55</v>
      </c>
      <c r="N6" t="s">
        <v>21</v>
      </c>
      <c r="O6">
        <f t="shared" ref="O6:O7" ca="1" si="12">MIN(ROW(INDIRECT(N6)))</f>
        <v>64</v>
      </c>
      <c r="P6">
        <f t="shared" ref="P6:P7" ca="1" si="13">MIN(ROW(INDIRECT(N6))) + ROWS(INDIRECT(N6)) -1</f>
        <v>76</v>
      </c>
      <c r="Q6" s="5">
        <f t="shared" si="4"/>
        <v>45411</v>
      </c>
      <c r="R6" s="4">
        <f ca="1">IFERROR(AVERAGE(INDIRECT("D" &amp; $O6):INDIRECT("D" &amp; $P6)),"")</f>
        <v>47.899999999999991</v>
      </c>
      <c r="S6">
        <f ca="1">IFERROR(MAX(INDIRECT("E" &amp; $O6):INDIRECT("E" &amp; $P6)),"")</f>
        <v>62.6</v>
      </c>
      <c r="T6">
        <f ca="1">IFERROR(MIN(INDIRECT("F" &amp; $O6):INDIRECT("F" &amp; $P6)),"")</f>
        <v>40.299999999999997</v>
      </c>
      <c r="U6" s="4">
        <f t="shared" ref="U6:U7" ca="1" si="14">R6+1</f>
        <v>48.899999999999991</v>
      </c>
      <c r="V6" s="4"/>
      <c r="W6" s="4"/>
      <c r="X6" s="5">
        <f t="shared" si="6"/>
        <v>45411</v>
      </c>
      <c r="Y6" s="4">
        <f ca="1">IFERROR(AVERAGE(INDIRECT("H" &amp; $O6):INDIRECT("H" &amp; $P6)),"")</f>
        <v>15.292307692307693</v>
      </c>
      <c r="Z6">
        <f ca="1">IFERROR(MAX(INDIRECT("I" &amp; $O6):INDIRECT("I" &amp; $P6)),"")</f>
        <v>31.2</v>
      </c>
      <c r="AA6">
        <f ca="1">IFERROR(MIN(INDIRECT("J" &amp; $O6):INDIRECT("J" &amp; $P6)),"")</f>
        <v>11.4</v>
      </c>
      <c r="AB6" s="4">
        <f t="shared" ref="AB6:AB7" ca="1" si="15">Y6+0.3</f>
        <v>15.592307692307694</v>
      </c>
      <c r="AD6" s="3"/>
      <c r="AF6" s="6"/>
      <c r="AG6" s="3"/>
    </row>
    <row r="7" spans="1:33" ht="16" x14ac:dyDescent="0.2">
      <c r="A7" s="1">
        <v>45408</v>
      </c>
      <c r="B7" s="2">
        <v>0.75</v>
      </c>
      <c r="C7" s="3">
        <v>45408.75</v>
      </c>
      <c r="D7">
        <v>58.7</v>
      </c>
      <c r="E7">
        <v>58.9</v>
      </c>
      <c r="F7">
        <v>58.3</v>
      </c>
      <c r="G7" t="s">
        <v>6</v>
      </c>
      <c r="H7">
        <v>23.8</v>
      </c>
      <c r="I7">
        <v>25.8</v>
      </c>
      <c r="J7">
        <v>22.5</v>
      </c>
      <c r="K7" t="s">
        <v>6</v>
      </c>
      <c r="L7">
        <v>3</v>
      </c>
      <c r="N7" t="s">
        <v>22</v>
      </c>
      <c r="O7">
        <f t="shared" ca="1" si="12"/>
        <v>77</v>
      </c>
      <c r="P7">
        <f t="shared" ca="1" si="13"/>
        <v>97</v>
      </c>
      <c r="Q7" s="5">
        <f t="shared" si="4"/>
        <v>45412</v>
      </c>
      <c r="R7" s="4">
        <f ca="1">IFERROR(AVERAGE(INDIRECT("D" &amp; $O7):INDIRECT("D" &amp; $P7)),"")</f>
        <v>54.928571428571416</v>
      </c>
      <c r="S7">
        <f ca="1">IFERROR(MAX(INDIRECT("E" &amp; $O7):INDIRECT("E" &amp; $P7)),"")</f>
        <v>72.3</v>
      </c>
      <c r="T7">
        <f ca="1">IFERROR(MIN(INDIRECT("F" &amp; $O7):INDIRECT("F" &amp; $P7)),"")</f>
        <v>40.1</v>
      </c>
      <c r="U7" s="4">
        <f t="shared" ca="1" si="14"/>
        <v>55.928571428571416</v>
      </c>
      <c r="V7" s="4"/>
      <c r="W7" s="4"/>
      <c r="X7" s="5">
        <f t="shared" si="6"/>
        <v>45412</v>
      </c>
      <c r="Y7" s="4">
        <f ca="1">IFERROR(AVERAGE(INDIRECT("H" &amp; $O7):INDIRECT("H" &amp; $P7)),"")</f>
        <v>14.076190476190478</v>
      </c>
      <c r="Z7">
        <f ca="1">IFERROR(MAX(INDIRECT("I" &amp; $O7):INDIRECT("I" &amp; $P7)),"")</f>
        <v>30.5</v>
      </c>
      <c r="AA7">
        <f ca="1">IFERROR(MIN(INDIRECT("J" &amp; $O7):INDIRECT("J" &amp; $P7)),"")</f>
        <v>9.9</v>
      </c>
      <c r="AB7" s="4">
        <f t="shared" ca="1" si="15"/>
        <v>14.376190476190478</v>
      </c>
      <c r="AD7" s="3"/>
      <c r="AF7" s="6"/>
      <c r="AG7" s="3"/>
    </row>
    <row r="8" spans="1:33" x14ac:dyDescent="0.2">
      <c r="A8" s="1">
        <v>45408</v>
      </c>
      <c r="B8" s="2">
        <v>0.79166666666666663</v>
      </c>
      <c r="C8" s="3">
        <v>45408.791666666664</v>
      </c>
      <c r="D8">
        <v>58.9</v>
      </c>
      <c r="E8">
        <v>61.6</v>
      </c>
      <c r="F8">
        <v>56.1</v>
      </c>
      <c r="G8" t="s">
        <v>6</v>
      </c>
      <c r="H8">
        <v>19.3</v>
      </c>
      <c r="I8">
        <v>22.8</v>
      </c>
      <c r="J8">
        <v>15</v>
      </c>
      <c r="K8" t="s">
        <v>6</v>
      </c>
      <c r="L8">
        <v>102</v>
      </c>
      <c r="N8" t="s">
        <v>23</v>
      </c>
      <c r="O8">
        <f t="shared" ref="O8:O9" ca="1" si="16">MIN(ROW(INDIRECT(N8)))</f>
        <v>98</v>
      </c>
      <c r="P8">
        <f t="shared" ref="P8:P9" ca="1" si="17">MIN(ROW(INDIRECT(N8))) + ROWS(INDIRECT(N8)) -1</f>
        <v>111</v>
      </c>
      <c r="Q8" s="5">
        <f t="shared" si="4"/>
        <v>45413</v>
      </c>
      <c r="R8" s="4">
        <f ca="1">IFERROR(AVERAGE(INDIRECT("D" &amp; $O8):INDIRECT("D" &amp; $P8)),"")</f>
        <v>49.914285714285704</v>
      </c>
      <c r="S8">
        <f ca="1">IFERROR(MAX(INDIRECT("E" &amp; $O8):INDIRECT("E" &amp; $P8)),"")</f>
        <v>69.400000000000006</v>
      </c>
      <c r="T8">
        <f ca="1">IFERROR(MIN(INDIRECT("F" &amp; $O8):INDIRECT("F" &amp; $P8)),"")</f>
        <v>40.1</v>
      </c>
      <c r="U8" s="4">
        <f t="shared" ref="U8:U9" ca="1" si="18">R8+1</f>
        <v>50.914285714285704</v>
      </c>
      <c r="V8" s="4"/>
      <c r="W8" s="4"/>
      <c r="X8" s="5">
        <f t="shared" si="6"/>
        <v>45413</v>
      </c>
      <c r="Y8" s="4">
        <f ca="1">IFERROR(AVERAGE(INDIRECT("H" &amp; $O8):INDIRECT("H" &amp; $P8)),"")</f>
        <v>15.321428571428573</v>
      </c>
      <c r="Z8">
        <f ca="1">IFERROR(MAX(INDIRECT("I" &amp; $O8):INDIRECT("I" &amp; $P8)),"")</f>
        <v>33.5</v>
      </c>
      <c r="AA8">
        <f ca="1">IFERROR(MIN(INDIRECT("J" &amp; $O8):INDIRECT("J" &amp; $P8)),"")</f>
        <v>11</v>
      </c>
      <c r="AB8" s="4">
        <f t="shared" ref="AB8:AB9" ca="1" si="19">Y8+0.3</f>
        <v>15.621428571428574</v>
      </c>
    </row>
    <row r="9" spans="1:33" x14ac:dyDescent="0.2">
      <c r="A9" s="1">
        <v>45408</v>
      </c>
      <c r="B9" s="2">
        <v>0.83333333333333337</v>
      </c>
      <c r="C9" s="3">
        <v>45408.833333333336</v>
      </c>
      <c r="D9">
        <v>58.2</v>
      </c>
      <c r="E9">
        <v>64.400000000000006</v>
      </c>
      <c r="F9">
        <v>55.6</v>
      </c>
      <c r="G9" t="s">
        <v>6</v>
      </c>
      <c r="H9">
        <v>16</v>
      </c>
      <c r="I9">
        <v>20.399999999999999</v>
      </c>
      <c r="J9">
        <v>12.5</v>
      </c>
      <c r="K9" t="s">
        <v>6</v>
      </c>
      <c r="L9">
        <v>75</v>
      </c>
      <c r="N9" t="s">
        <v>24</v>
      </c>
      <c r="O9">
        <f t="shared" ca="1" si="16"/>
        <v>112</v>
      </c>
      <c r="P9">
        <f t="shared" ca="1" si="17"/>
        <v>132</v>
      </c>
      <c r="Q9" s="5">
        <f t="shared" si="4"/>
        <v>45414</v>
      </c>
      <c r="R9" s="4">
        <f ca="1">IFERROR(AVERAGE(INDIRECT("D" &amp; $O9):INDIRECT("D" &amp; $P9)),"")</f>
        <v>53.333333333333343</v>
      </c>
      <c r="S9">
        <f ca="1">IFERROR(MAX(INDIRECT("E" &amp; $O9):INDIRECT("E" &amp; $P9)),"")</f>
        <v>76.5</v>
      </c>
      <c r="T9">
        <f ca="1">IFERROR(MIN(INDIRECT("F" &amp; $O9):INDIRECT("F" &amp; $P9)),"")</f>
        <v>40.1</v>
      </c>
      <c r="U9" s="4">
        <f t="shared" ca="1" si="18"/>
        <v>54.333333333333343</v>
      </c>
      <c r="V9" s="4"/>
      <c r="W9" s="4"/>
      <c r="X9" s="5">
        <f t="shared" si="6"/>
        <v>45414</v>
      </c>
      <c r="Y9" s="4">
        <f ca="1">IFERROR(AVERAGE(INDIRECT("H" &amp; $O9):INDIRECT("H" &amp; $P9)),"")</f>
        <v>15.957142857142861</v>
      </c>
      <c r="Z9">
        <f ca="1">IFERROR(MAX(INDIRECT("I" &amp; $O9):INDIRECT("I" &amp; $P9)),"")</f>
        <v>40.700000000000003</v>
      </c>
      <c r="AA9">
        <f ca="1">IFERROR(MIN(INDIRECT("J" &amp; $O9):INDIRECT("J" &amp; $P9)),"")</f>
        <v>9.9</v>
      </c>
      <c r="AB9" s="4">
        <f t="shared" ca="1" si="19"/>
        <v>16.25714285714286</v>
      </c>
    </row>
    <row r="10" spans="1:33" x14ac:dyDescent="0.2">
      <c r="A10" s="1">
        <v>45408</v>
      </c>
      <c r="B10" s="2">
        <v>0.875</v>
      </c>
      <c r="C10" s="3">
        <v>45408.875</v>
      </c>
      <c r="D10">
        <v>54.6</v>
      </c>
      <c r="E10">
        <v>61.4</v>
      </c>
      <c r="F10">
        <v>45.8</v>
      </c>
      <c r="G10" t="s">
        <v>6</v>
      </c>
      <c r="H10">
        <v>16</v>
      </c>
      <c r="I10">
        <v>27.5</v>
      </c>
      <c r="J10">
        <v>12.1</v>
      </c>
      <c r="K10" t="s">
        <v>6</v>
      </c>
      <c r="L10">
        <v>226</v>
      </c>
      <c r="N10" t="s">
        <v>25</v>
      </c>
      <c r="O10">
        <f t="shared" ref="O10:O12" ca="1" si="20">MIN(ROW(INDIRECT(N10)))</f>
        <v>133</v>
      </c>
      <c r="P10">
        <f t="shared" ref="P10:P12" ca="1" si="21">MIN(ROW(INDIRECT(N10))) + ROWS(INDIRECT(N10)) -1</f>
        <v>150</v>
      </c>
      <c r="Q10" s="5">
        <f t="shared" si="4"/>
        <v>45415</v>
      </c>
      <c r="R10" s="4">
        <f ca="1">IFERROR(AVERAGE(INDIRECT("D" &amp; $O10):INDIRECT("D" &amp; $P10)),"")</f>
        <v>48.666666666666664</v>
      </c>
      <c r="S10">
        <f ca="1">IFERROR(MAX(INDIRECT("E" &amp; $O10):INDIRECT("E" &amp; $P10)),"")</f>
        <v>67.3</v>
      </c>
      <c r="T10">
        <f ca="1">IFERROR(MIN(INDIRECT("F" &amp; $O10):INDIRECT("F" &amp; $P10)),"")</f>
        <v>40.1</v>
      </c>
      <c r="U10" s="4">
        <f t="shared" ref="U10:U12" ca="1" si="22">R10+1</f>
        <v>49.666666666666664</v>
      </c>
      <c r="V10" s="4"/>
      <c r="W10" s="4"/>
      <c r="X10" s="5">
        <f t="shared" si="6"/>
        <v>45415</v>
      </c>
      <c r="Y10" s="4">
        <f ca="1">IFERROR(AVERAGE(INDIRECT("H" &amp; $O10):INDIRECT("H" &amp; $P10)),"")</f>
        <v>16.105555555555551</v>
      </c>
      <c r="Z10">
        <f ca="1">IFERROR(MAX(INDIRECT("I" &amp; $O10):INDIRECT("I" &amp; $P10)),"")</f>
        <v>31.1</v>
      </c>
      <c r="AA10">
        <f ca="1">IFERROR(MIN(INDIRECT("J" &amp; $O10):INDIRECT("J" &amp; $P10)),"")</f>
        <v>10.4</v>
      </c>
      <c r="AB10" s="4">
        <f t="shared" ref="AB10:AB14" ca="1" si="23">Y10+0.3</f>
        <v>16.405555555555551</v>
      </c>
    </row>
    <row r="11" spans="1:33" x14ac:dyDescent="0.2">
      <c r="A11" s="1">
        <v>45408</v>
      </c>
      <c r="B11" s="2">
        <v>0.91666666666666663</v>
      </c>
      <c r="C11" s="3">
        <v>45408.916666666664</v>
      </c>
      <c r="D11">
        <v>46.4</v>
      </c>
      <c r="E11">
        <v>50.6</v>
      </c>
      <c r="F11">
        <v>42</v>
      </c>
      <c r="G11" t="s">
        <v>6</v>
      </c>
      <c r="H11">
        <v>14.7</v>
      </c>
      <c r="I11">
        <v>23.2</v>
      </c>
      <c r="J11">
        <v>12</v>
      </c>
      <c r="K11" t="s">
        <v>6</v>
      </c>
      <c r="L11">
        <v>210</v>
      </c>
      <c r="N11" t="s">
        <v>26</v>
      </c>
      <c r="O11">
        <f t="shared" ca="1" si="20"/>
        <v>151</v>
      </c>
      <c r="P11">
        <f t="shared" ca="1" si="21"/>
        <v>169</v>
      </c>
      <c r="Q11" s="5">
        <f t="shared" si="4"/>
        <v>45416</v>
      </c>
      <c r="R11" s="4">
        <f ca="1">IFERROR(AVERAGE(INDIRECT("D" &amp; $O11):INDIRECT("D" &amp; $P11)),"")</f>
        <v>58.726315789473681</v>
      </c>
      <c r="S11">
        <f ca="1">IFERROR(MAX(INDIRECT("E" &amp; $O11):INDIRECT("E" &amp; $P11)),"")</f>
        <v>71.5</v>
      </c>
      <c r="T11">
        <f ca="1">IFERROR(MIN(INDIRECT("F" &amp; $O11):INDIRECT("F" &amp; $P11)),"")</f>
        <v>40.200000000000003</v>
      </c>
      <c r="U11" s="4">
        <f t="shared" ca="1" si="22"/>
        <v>59.726315789473681</v>
      </c>
      <c r="V11" s="4"/>
      <c r="W11" s="4"/>
      <c r="X11" s="5">
        <f t="shared" si="6"/>
        <v>45416</v>
      </c>
      <c r="Y11" s="4">
        <f ca="1">IFERROR(AVERAGE(INDIRECT("H" &amp; $O11):INDIRECT("H" &amp; $P11)),"")</f>
        <v>14.121052631578948</v>
      </c>
      <c r="Z11">
        <f ca="1">IFERROR(MAX(INDIRECT("I" &amp; $O11):INDIRECT("I" &amp; $P11)),"")</f>
        <v>37.6</v>
      </c>
      <c r="AA11">
        <f ca="1">IFERROR(MIN(INDIRECT("J" &amp; $O11):INDIRECT("J" &amp; $P11)),"")</f>
        <v>9.3000000000000007</v>
      </c>
      <c r="AB11" s="4">
        <f t="shared" ca="1" si="23"/>
        <v>14.421052631578949</v>
      </c>
    </row>
    <row r="12" spans="1:33" x14ac:dyDescent="0.2">
      <c r="A12" s="1">
        <v>45408</v>
      </c>
      <c r="B12" s="2">
        <v>0.95833333333333337</v>
      </c>
      <c r="C12" s="3">
        <v>45408.958333333336</v>
      </c>
      <c r="D12">
        <v>43.6</v>
      </c>
      <c r="E12">
        <v>55.4</v>
      </c>
      <c r="F12">
        <v>40.1</v>
      </c>
      <c r="G12" t="s">
        <v>6</v>
      </c>
      <c r="H12">
        <v>13.1</v>
      </c>
      <c r="I12">
        <v>18.3</v>
      </c>
      <c r="J12">
        <v>11.7</v>
      </c>
      <c r="K12" t="s">
        <v>6</v>
      </c>
      <c r="L12">
        <v>145</v>
      </c>
      <c r="N12" t="s">
        <v>27</v>
      </c>
      <c r="O12">
        <f t="shared" ca="1" si="20"/>
        <v>170</v>
      </c>
      <c r="P12">
        <f t="shared" ca="1" si="21"/>
        <v>192</v>
      </c>
      <c r="Q12" s="5">
        <f t="shared" si="4"/>
        <v>45417</v>
      </c>
      <c r="R12" s="4">
        <f ca="1">IFERROR(AVERAGE(INDIRECT("D" &amp; $O12):INDIRECT("D" &amp; $P12)),"")</f>
        <v>52.269565217391303</v>
      </c>
      <c r="S12">
        <f ca="1">IFERROR(MAX(INDIRECT("E" &amp; $O12):INDIRECT("E" &amp; $P12)),"")</f>
        <v>72</v>
      </c>
      <c r="T12">
        <f ca="1">IFERROR(MIN(INDIRECT("F" &amp; $O12):INDIRECT("F" &amp; $P12)),"")</f>
        <v>40.1</v>
      </c>
      <c r="U12" s="4">
        <f t="shared" ca="1" si="22"/>
        <v>53.269565217391303</v>
      </c>
      <c r="V12" s="4"/>
      <c r="W12" s="4"/>
      <c r="X12" s="5">
        <f t="shared" si="6"/>
        <v>45417</v>
      </c>
      <c r="Y12" s="4">
        <f ca="1">IFERROR(AVERAGE(INDIRECT("H" &amp; $O12):INDIRECT("H" &amp; $P12)),"")</f>
        <v>15.626086956521737</v>
      </c>
      <c r="Z12">
        <f ca="1">IFERROR(MAX(INDIRECT("I" &amp; $O12):INDIRECT("I" &amp; $P12)),"")</f>
        <v>35.6</v>
      </c>
      <c r="AA12">
        <f ca="1">IFERROR(MIN(INDIRECT("J" &amp; $O12):INDIRECT("J" &amp; $P12)),"")</f>
        <v>10.3</v>
      </c>
      <c r="AB12" s="4">
        <f t="shared" ca="1" si="23"/>
        <v>15.926086956521738</v>
      </c>
    </row>
    <row r="13" spans="1:33" x14ac:dyDescent="0.2">
      <c r="A13" s="1">
        <v>45409</v>
      </c>
      <c r="B13" s="2">
        <v>0</v>
      </c>
      <c r="C13" s="3">
        <v>45409</v>
      </c>
      <c r="D13">
        <v>43.6</v>
      </c>
      <c r="E13">
        <v>47.5</v>
      </c>
      <c r="F13">
        <v>41.4</v>
      </c>
      <c r="G13" t="s">
        <v>6</v>
      </c>
      <c r="H13">
        <v>14.4</v>
      </c>
      <c r="I13">
        <v>37.799999999999997</v>
      </c>
      <c r="J13">
        <v>11.6</v>
      </c>
      <c r="K13" t="s">
        <v>6</v>
      </c>
      <c r="L13">
        <v>201</v>
      </c>
      <c r="N13" t="s">
        <v>28</v>
      </c>
      <c r="O13">
        <f t="shared" ref="O13" ca="1" si="24">MIN(ROW(INDIRECT(N13)))</f>
        <v>193</v>
      </c>
      <c r="P13">
        <f t="shared" ref="P13" ca="1" si="25">MIN(ROW(INDIRECT(N13))) + ROWS(INDIRECT(N13)) -1</f>
        <v>210</v>
      </c>
      <c r="Q13" s="5">
        <f t="shared" si="4"/>
        <v>45418</v>
      </c>
      <c r="R13" s="4">
        <f ca="1">IFERROR(AVERAGE(INDIRECT("D" &amp; $O13):INDIRECT("D" &amp; $P13)),"")</f>
        <v>52.055555555555564</v>
      </c>
      <c r="S13">
        <f ca="1">IFERROR(MAX(INDIRECT("E" &amp; $O13):INDIRECT("E" &amp; $P13)),"")</f>
        <v>68.900000000000006</v>
      </c>
      <c r="T13">
        <f ca="1">IFERROR(MIN(INDIRECT("F" &amp; $O13):INDIRECT("F" &amp; $P13)),"")</f>
        <v>40.1</v>
      </c>
      <c r="U13" s="4">
        <f t="shared" ref="U13" ca="1" si="26">R13+1</f>
        <v>53.055555555555564</v>
      </c>
      <c r="V13" s="4"/>
      <c r="W13" s="4"/>
      <c r="X13" s="5">
        <f t="shared" si="6"/>
        <v>45418</v>
      </c>
      <c r="Y13" s="4">
        <f ca="1">IFERROR(AVERAGE(INDIRECT("H" &amp; $O13):INDIRECT("H" &amp; $P13)),"")</f>
        <v>14.822222222222223</v>
      </c>
      <c r="Z13">
        <f ca="1">IFERROR(MAX(INDIRECT("I" &amp; $O13):INDIRECT("I" &amp; $P13)),"")</f>
        <v>31.1</v>
      </c>
      <c r="AA13">
        <f ca="1">IFERROR(MIN(INDIRECT("J" &amp; $O13):INDIRECT("J" &amp; $P13)),"")</f>
        <v>10.6</v>
      </c>
      <c r="AB13" s="4">
        <f t="shared" ca="1" si="23"/>
        <v>15.122222222222224</v>
      </c>
    </row>
    <row r="14" spans="1:33" x14ac:dyDescent="0.2">
      <c r="A14" s="1">
        <v>45409</v>
      </c>
      <c r="B14" s="2">
        <v>4.1666666666666664E-2</v>
      </c>
      <c r="C14" s="3">
        <v>45409.041666666664</v>
      </c>
      <c r="D14">
        <v>43.5</v>
      </c>
      <c r="E14">
        <v>48.9</v>
      </c>
      <c r="F14">
        <v>40.1</v>
      </c>
      <c r="G14" t="s">
        <v>6</v>
      </c>
      <c r="H14">
        <v>14.5</v>
      </c>
      <c r="I14">
        <v>25.5</v>
      </c>
      <c r="J14">
        <v>11.6</v>
      </c>
      <c r="K14" t="s">
        <v>6</v>
      </c>
      <c r="L14">
        <v>190</v>
      </c>
      <c r="N14" t="s">
        <v>29</v>
      </c>
      <c r="O14">
        <f t="shared" ref="O14" ca="1" si="27">MIN(ROW(INDIRECT(N14)))</f>
        <v>211</v>
      </c>
      <c r="P14">
        <f t="shared" ref="P14" ca="1" si="28">MIN(ROW(INDIRECT(N14))) + ROWS(INDIRECT(N14)) -1</f>
        <v>234</v>
      </c>
      <c r="Q14" s="5">
        <f t="shared" si="4"/>
        <v>45419</v>
      </c>
      <c r="R14" s="4">
        <f ca="1">IFERROR(AVERAGE(INDIRECT("D" &amp; $O14):INDIRECT("D" &amp; $P14)),"")</f>
        <v>49.387499999999996</v>
      </c>
      <c r="S14">
        <f ca="1">IFERROR(MAX(INDIRECT("E" &amp; $O14):INDIRECT("E" &amp; $P14)),"")</f>
        <v>69.7</v>
      </c>
      <c r="T14">
        <f ca="1">IFERROR(MIN(INDIRECT("F" &amp; $O14):INDIRECT("F" &amp; $P14)),"")</f>
        <v>40.1</v>
      </c>
      <c r="U14" s="4">
        <f t="shared" ref="U14" ca="1" si="29">R14+1</f>
        <v>50.387499999999996</v>
      </c>
      <c r="V14" s="4"/>
      <c r="W14" s="4"/>
      <c r="X14" s="5">
        <f t="shared" si="6"/>
        <v>45419</v>
      </c>
      <c r="Y14" s="4">
        <f ca="1">IFERROR(AVERAGE(INDIRECT("H" &amp; $O14):INDIRECT("H" &amp; $P14)),"")</f>
        <v>17.304166666666667</v>
      </c>
      <c r="Z14">
        <f ca="1">IFERROR(MAX(INDIRECT("I" &amp; $O14):INDIRECT("I" &amp; $P14)),"")</f>
        <v>34.6</v>
      </c>
      <c r="AA14">
        <f ca="1">IFERROR(MIN(INDIRECT("J" &amp; $O14):INDIRECT("J" &amp; $P14)),"")</f>
        <v>10.4</v>
      </c>
      <c r="AB14" s="4">
        <f t="shared" ca="1" si="23"/>
        <v>17.604166666666668</v>
      </c>
    </row>
    <row r="15" spans="1:33" x14ac:dyDescent="0.2">
      <c r="A15" s="1">
        <v>45409</v>
      </c>
      <c r="B15" s="2">
        <v>8.3333333333333329E-2</v>
      </c>
      <c r="C15" s="3">
        <v>45409.083333333336</v>
      </c>
      <c r="D15">
        <v>51.7</v>
      </c>
      <c r="E15">
        <v>68.8</v>
      </c>
      <c r="F15">
        <v>40.1</v>
      </c>
      <c r="G15" t="s">
        <v>6</v>
      </c>
      <c r="H15">
        <v>12.8</v>
      </c>
      <c r="I15">
        <v>16.399999999999999</v>
      </c>
      <c r="J15">
        <v>11.8</v>
      </c>
      <c r="K15" t="s">
        <v>6</v>
      </c>
      <c r="L15">
        <v>146</v>
      </c>
      <c r="N15" t="s">
        <v>30</v>
      </c>
      <c r="O15">
        <f t="shared" ref="O15" ca="1" si="30">MIN(ROW(INDIRECT(N15)))</f>
        <v>235</v>
      </c>
      <c r="P15">
        <f t="shared" ref="P15" ca="1" si="31">MIN(ROW(INDIRECT(N15))) + ROWS(INDIRECT(N15)) -1</f>
        <v>257</v>
      </c>
      <c r="Q15" s="5">
        <f t="shared" si="4"/>
        <v>45420</v>
      </c>
      <c r="R15" s="4">
        <f ca="1">IFERROR(AVERAGE(INDIRECT("D" &amp; $O15):INDIRECT("D" &amp; $P15)),"")</f>
        <v>53.726086956521748</v>
      </c>
      <c r="S15">
        <f ca="1">IFERROR(MAX(INDIRECT("E" &amp; $O15):INDIRECT("E" &amp; $P15)),"")</f>
        <v>71.3</v>
      </c>
      <c r="T15">
        <f ca="1">IFERROR(MIN(INDIRECT("F" &amp; $O15):INDIRECT("F" &amp; $P15)),"")</f>
        <v>40.1</v>
      </c>
      <c r="U15" s="4">
        <f t="shared" ref="U15" ca="1" si="32">R15+1</f>
        <v>54.726086956521748</v>
      </c>
      <c r="V15" s="4"/>
      <c r="W15" s="4"/>
      <c r="X15" s="5">
        <f t="shared" si="6"/>
        <v>45420</v>
      </c>
      <c r="Y15" s="4">
        <f ca="1">IFERROR(AVERAGE(INDIRECT("H" &amp; $O15):INDIRECT("H" &amp; $P15)),"")</f>
        <v>15.708695652173915</v>
      </c>
      <c r="Z15">
        <f ca="1">IFERROR(MAX(INDIRECT("I" &amp; $O15):INDIRECT("I" &amp; $P15)),"")</f>
        <v>33.9</v>
      </c>
      <c r="AA15">
        <f ca="1">IFERROR(MIN(INDIRECT("J" &amp; $O15):INDIRECT("J" &amp; $P15)),"")</f>
        <v>9.9</v>
      </c>
      <c r="AB15" s="4">
        <f t="shared" ref="AB15" ca="1" si="33">Y15+0.3</f>
        <v>16.008695652173916</v>
      </c>
    </row>
    <row r="16" spans="1:33" x14ac:dyDescent="0.2">
      <c r="A16" s="1">
        <v>45409</v>
      </c>
      <c r="B16" s="2">
        <v>0.125</v>
      </c>
      <c r="C16" s="3">
        <v>45409.125</v>
      </c>
      <c r="D16">
        <v>62.9</v>
      </c>
      <c r="E16">
        <v>68.599999999999994</v>
      </c>
      <c r="F16">
        <v>50.8</v>
      </c>
      <c r="G16" t="s">
        <v>6</v>
      </c>
      <c r="H16">
        <v>13.2</v>
      </c>
      <c r="I16">
        <v>23.3</v>
      </c>
      <c r="J16">
        <v>11.2</v>
      </c>
      <c r="K16" t="s">
        <v>6</v>
      </c>
      <c r="L16">
        <v>215</v>
      </c>
      <c r="N16" t="s">
        <v>31</v>
      </c>
      <c r="O16">
        <f t="shared" ref="O16" ca="1" si="34">MIN(ROW(INDIRECT(N16)))</f>
        <v>258</v>
      </c>
      <c r="P16">
        <f t="shared" ref="P16" ca="1" si="35">MIN(ROW(INDIRECT(N16))) + ROWS(INDIRECT(N16)) -1</f>
        <v>278</v>
      </c>
      <c r="Q16" s="5">
        <f t="shared" si="4"/>
        <v>45421</v>
      </c>
      <c r="R16" s="4">
        <f ca="1">IFERROR(AVERAGE(INDIRECT("D" &amp; $O16):INDIRECT("D" &amp; $P16)),"")</f>
        <v>54.314285714285688</v>
      </c>
      <c r="S16">
        <f ca="1">IFERROR(MAX(INDIRECT("E" &amp; $O16):INDIRECT("E" &amp; $P16)),"")</f>
        <v>70.3</v>
      </c>
      <c r="T16">
        <f ca="1">IFERROR(MIN(INDIRECT("F" &amp; $O16):INDIRECT("F" &amp; $P16)),"")</f>
        <v>40.1</v>
      </c>
      <c r="U16" s="4">
        <f t="shared" ref="U16" ca="1" si="36">R16+1</f>
        <v>55.314285714285688</v>
      </c>
      <c r="V16" s="4"/>
      <c r="W16" s="4"/>
      <c r="X16" s="5">
        <f t="shared" si="6"/>
        <v>45421</v>
      </c>
      <c r="Y16" s="4">
        <f ca="1">IFERROR(AVERAGE(INDIRECT("H" &amp; $O16):INDIRECT("H" &amp; $P16)),"")</f>
        <v>14.833333333333334</v>
      </c>
      <c r="Z16">
        <f ca="1">IFERROR(MAX(INDIRECT("I" &amp; $O16):INDIRECT("I" &amp; $P16)),"")</f>
        <v>27.6</v>
      </c>
      <c r="AA16">
        <f ca="1">IFERROR(MIN(INDIRECT("J" &amp; $O16):INDIRECT("J" &amp; $P16)),"")</f>
        <v>10.4</v>
      </c>
      <c r="AB16" s="4">
        <f t="shared" ref="AB16" ca="1" si="37">Y16+0.3</f>
        <v>15.133333333333335</v>
      </c>
    </row>
    <row r="17" spans="1:28" x14ac:dyDescent="0.2">
      <c r="A17" s="1">
        <v>45409</v>
      </c>
      <c r="B17" s="2">
        <v>0.16666666666666666</v>
      </c>
      <c r="C17" s="3">
        <v>45409.166666666664</v>
      </c>
      <c r="D17">
        <v>55.4</v>
      </c>
      <c r="E17">
        <v>64</v>
      </c>
      <c r="F17">
        <v>49.2</v>
      </c>
      <c r="G17" t="s">
        <v>6</v>
      </c>
      <c r="H17">
        <v>13.2</v>
      </c>
      <c r="I17">
        <v>24</v>
      </c>
      <c r="J17">
        <v>11.5</v>
      </c>
      <c r="K17" t="s">
        <v>6</v>
      </c>
      <c r="L17">
        <v>220</v>
      </c>
      <c r="N17" t="s">
        <v>32</v>
      </c>
      <c r="O17">
        <f t="shared" ref="O17" ca="1" si="38">MIN(ROW(INDIRECT(N17)))</f>
        <v>279</v>
      </c>
      <c r="P17">
        <f t="shared" ref="P17" ca="1" si="39">MIN(ROW(INDIRECT(N17))) + ROWS(INDIRECT(N17)) -1</f>
        <v>302</v>
      </c>
      <c r="Q17" s="5">
        <f t="shared" si="4"/>
        <v>45422</v>
      </c>
      <c r="R17" s="4">
        <f ca="1">IFERROR(AVERAGE(INDIRECT("D" &amp; $O17):INDIRECT("D" &amp; $P17)),"")</f>
        <v>54.67499999999999</v>
      </c>
      <c r="S17">
        <f ca="1">IFERROR(MAX(INDIRECT("E" &amp; $O17):INDIRECT("E" &amp; $P17)),"")</f>
        <v>72.400000000000006</v>
      </c>
      <c r="T17">
        <f ca="1">IFERROR(MIN(INDIRECT("F" &amp; $O17):INDIRECT("F" &amp; $P17)),"")</f>
        <v>40.1</v>
      </c>
      <c r="U17" s="4">
        <f t="shared" ref="U17" ca="1" si="40">R17+1</f>
        <v>55.67499999999999</v>
      </c>
      <c r="V17" s="4"/>
      <c r="W17" s="4"/>
      <c r="X17" s="5">
        <f t="shared" si="6"/>
        <v>45422</v>
      </c>
      <c r="Y17" s="4">
        <f ca="1">IFERROR(AVERAGE(INDIRECT("H" &amp; $O17):INDIRECT("H" &amp; $P17)),"")</f>
        <v>14.370833333333335</v>
      </c>
      <c r="Z17">
        <f ca="1">IFERROR(MAX(INDIRECT("I" &amp; $O17):INDIRECT("I" &amp; $P17)),"")</f>
        <v>29.9</v>
      </c>
      <c r="AA17">
        <f ca="1">IFERROR(MIN(INDIRECT("J" &amp; $O17):INDIRECT("J" &amp; $P17)),"")</f>
        <v>9.6</v>
      </c>
      <c r="AB17" s="4">
        <f t="shared" ref="AB17" ca="1" si="41">Y17+0.3</f>
        <v>14.670833333333336</v>
      </c>
    </row>
    <row r="18" spans="1:28" x14ac:dyDescent="0.2">
      <c r="A18" s="1">
        <v>45409</v>
      </c>
      <c r="B18" s="2">
        <v>0.20833333333333334</v>
      </c>
      <c r="C18" s="3">
        <v>45409.208333333336</v>
      </c>
      <c r="D18">
        <v>56.3</v>
      </c>
      <c r="E18">
        <v>65.5</v>
      </c>
      <c r="F18">
        <v>50.4</v>
      </c>
      <c r="G18" t="s">
        <v>6</v>
      </c>
      <c r="H18">
        <v>12.2</v>
      </c>
      <c r="I18">
        <v>17.7</v>
      </c>
      <c r="J18">
        <v>11.1</v>
      </c>
      <c r="K18" t="s">
        <v>6</v>
      </c>
      <c r="L18">
        <v>216</v>
      </c>
      <c r="N18" t="s">
        <v>33</v>
      </c>
      <c r="O18">
        <f t="shared" ref="O18:O19" ca="1" si="42">MIN(ROW(INDIRECT(N18)))</f>
        <v>303</v>
      </c>
      <c r="P18">
        <f t="shared" ref="P18:P19" ca="1" si="43">MIN(ROW(INDIRECT(N18))) + ROWS(INDIRECT(N18)) -1</f>
        <v>324</v>
      </c>
      <c r="Q18" s="5">
        <f t="shared" si="4"/>
        <v>45423</v>
      </c>
      <c r="R18" s="4">
        <f ca="1">IFERROR(AVERAGE(INDIRECT("D" &amp; $O18):INDIRECT("D" &amp; $P18)),"")</f>
        <v>60.827272727272721</v>
      </c>
      <c r="S18">
        <f ca="1">IFERROR(MAX(INDIRECT("E" &amp; $O18):INDIRECT("E" &amp; $P18)),"")</f>
        <v>88.8</v>
      </c>
      <c r="T18">
        <f ca="1">IFERROR(MIN(INDIRECT("F" &amp; $O18):INDIRECT("F" &amp; $P18)),"")</f>
        <v>49.7</v>
      </c>
      <c r="U18" s="4">
        <f t="shared" ref="U18:U19" ca="1" si="44">R18+1</f>
        <v>61.827272727272721</v>
      </c>
      <c r="V18" s="4"/>
      <c r="W18" s="4"/>
      <c r="X18" s="5">
        <f t="shared" si="6"/>
        <v>45423</v>
      </c>
      <c r="Y18" s="4">
        <f ca="1">IFERROR(AVERAGE(INDIRECT("H" &amp; $O18):INDIRECT("H" &amp; $P18)),"")</f>
        <v>13.563636363636361</v>
      </c>
      <c r="Z18">
        <f ca="1">IFERROR(MAX(INDIRECT("I" &amp; $O18):INDIRECT("I" &amp; $P18)),"")</f>
        <v>33.700000000000003</v>
      </c>
      <c r="AA18">
        <f ca="1">IFERROR(MIN(INDIRECT("J" &amp; $O18):INDIRECT("J" &amp; $P18)),"")</f>
        <v>9.1999999999999993</v>
      </c>
      <c r="AB18" s="4">
        <f t="shared" ref="AB18:AB19" ca="1" si="45">Y18+0.3</f>
        <v>13.863636363636362</v>
      </c>
    </row>
    <row r="19" spans="1:28" x14ac:dyDescent="0.2">
      <c r="A19" s="1">
        <v>45409</v>
      </c>
      <c r="B19" s="2">
        <v>0.25</v>
      </c>
      <c r="C19" s="3">
        <v>45409.25</v>
      </c>
      <c r="D19">
        <v>50.3</v>
      </c>
      <c r="E19">
        <v>58.5</v>
      </c>
      <c r="F19">
        <v>43.7</v>
      </c>
      <c r="G19" t="s">
        <v>6</v>
      </c>
      <c r="H19">
        <v>13.6</v>
      </c>
      <c r="I19">
        <v>22.2</v>
      </c>
      <c r="J19">
        <v>10.9</v>
      </c>
      <c r="K19" t="s">
        <v>6</v>
      </c>
      <c r="L19">
        <v>217</v>
      </c>
      <c r="N19" t="s">
        <v>34</v>
      </c>
      <c r="O19">
        <f t="shared" ca="1" si="42"/>
        <v>325</v>
      </c>
      <c r="P19">
        <f t="shared" ca="1" si="43"/>
        <v>345</v>
      </c>
      <c r="Q19" s="5">
        <f t="shared" si="4"/>
        <v>45424</v>
      </c>
      <c r="R19" s="4">
        <f ca="1">IFERROR(AVERAGE(INDIRECT("D" &amp; $O19):INDIRECT("D" &amp; $P19)),"")</f>
        <v>48.571428571428577</v>
      </c>
      <c r="S19">
        <f ca="1">IFERROR(MAX(INDIRECT("E" &amp; $O19):INDIRECT("E" &amp; $P19)),"")</f>
        <v>69.5</v>
      </c>
      <c r="T19">
        <f ca="1">IFERROR(MIN(INDIRECT("F" &amp; $O19):INDIRECT("F" &amp; $P19)),"")</f>
        <v>40.200000000000003</v>
      </c>
      <c r="U19" s="4">
        <f t="shared" ca="1" si="44"/>
        <v>49.571428571428577</v>
      </c>
      <c r="V19" s="4"/>
      <c r="W19" s="4"/>
      <c r="X19" s="5">
        <f t="shared" si="6"/>
        <v>45424</v>
      </c>
      <c r="Y19" s="4">
        <f ca="1">IFERROR(AVERAGE(INDIRECT("H" &amp; $O19):INDIRECT("H" &amp; $P19)),"")</f>
        <v>15.657142857142858</v>
      </c>
      <c r="Z19">
        <f ca="1">IFERROR(MAX(INDIRECT("I" &amp; $O19):INDIRECT("I" &amp; $P19)),"")</f>
        <v>31</v>
      </c>
      <c r="AA19">
        <f ca="1">IFERROR(MIN(INDIRECT("J" &amp; $O19):INDIRECT("J" &amp; $P19)),"")</f>
        <v>10.5</v>
      </c>
      <c r="AB19" s="4">
        <f t="shared" ca="1" si="45"/>
        <v>15.957142857142859</v>
      </c>
    </row>
    <row r="20" spans="1:28" x14ac:dyDescent="0.2">
      <c r="A20" s="1">
        <v>45409</v>
      </c>
      <c r="B20" s="2">
        <v>0.29166666666666669</v>
      </c>
      <c r="C20" s="3">
        <v>45409.291666666664</v>
      </c>
      <c r="D20">
        <v>57</v>
      </c>
      <c r="E20">
        <v>68.599999999999994</v>
      </c>
      <c r="F20">
        <v>42.6</v>
      </c>
      <c r="G20" t="s">
        <v>6</v>
      </c>
      <c r="H20">
        <v>13.1</v>
      </c>
      <c r="I20">
        <v>20.8</v>
      </c>
      <c r="J20">
        <v>11.1</v>
      </c>
      <c r="K20" t="s">
        <v>6</v>
      </c>
      <c r="L20">
        <v>187</v>
      </c>
      <c r="N20" t="s">
        <v>35</v>
      </c>
      <c r="O20">
        <f t="shared" ref="O20:O21" ca="1" si="46">MIN(ROW(INDIRECT(N20)))</f>
        <v>346</v>
      </c>
      <c r="P20">
        <f t="shared" ref="P20:P21" ca="1" si="47">MIN(ROW(INDIRECT(N20))) + ROWS(INDIRECT(N20)) -1</f>
        <v>359</v>
      </c>
      <c r="Q20" s="5">
        <f t="shared" si="4"/>
        <v>45425</v>
      </c>
      <c r="R20" s="4">
        <f ca="1">IFERROR(AVERAGE(INDIRECT("D" &amp; $O20):INDIRECT("D" &amp; $P20)),"")</f>
        <v>47.035714285714285</v>
      </c>
      <c r="S20">
        <f ca="1">IFERROR(MAX(INDIRECT("E" &amp; $O20):INDIRECT("E" &amp; $P20)),"")</f>
        <v>63.8</v>
      </c>
      <c r="T20">
        <f ca="1">IFERROR(MIN(INDIRECT("F" &amp; $O20):INDIRECT("F" &amp; $P20)),"")</f>
        <v>40.1</v>
      </c>
      <c r="U20" s="4">
        <f t="shared" ref="U20:U21" ca="1" si="48">R20+1</f>
        <v>48.035714285714285</v>
      </c>
      <c r="V20" s="4"/>
      <c r="W20" s="4"/>
      <c r="X20" s="5">
        <f t="shared" si="6"/>
        <v>45425</v>
      </c>
      <c r="Y20" s="4">
        <f ca="1">IFERROR(AVERAGE(INDIRECT("H" &amp; $O20):INDIRECT("H" &amp; $P20)),"")</f>
        <v>14.085714285714285</v>
      </c>
      <c r="Z20">
        <f ca="1">IFERROR(MAX(INDIRECT("I" &amp; $O20):INDIRECT("I" &amp; $P20)),"")</f>
        <v>30.8</v>
      </c>
      <c r="AA20">
        <f ca="1">IFERROR(MIN(INDIRECT("J" &amp; $O20):INDIRECT("J" &amp; $P20)),"")</f>
        <v>9</v>
      </c>
      <c r="AB20" s="4">
        <f t="shared" ref="AB20:AB21" ca="1" si="49">Y20+0.3</f>
        <v>14.385714285714286</v>
      </c>
    </row>
    <row r="21" spans="1:28" x14ac:dyDescent="0.2">
      <c r="A21" s="13">
        <v>45409</v>
      </c>
      <c r="B21" s="9">
        <v>0.33333333333333331</v>
      </c>
      <c r="C21" s="8">
        <v>45409.333333333336</v>
      </c>
      <c r="D21" s="10">
        <v>67.900000000000006</v>
      </c>
      <c r="E21" s="10">
        <v>69.599999999999994</v>
      </c>
      <c r="F21" s="10">
        <v>66.599999999999994</v>
      </c>
      <c r="G21" s="10" t="s">
        <v>6</v>
      </c>
      <c r="H21" s="10">
        <v>15.5</v>
      </c>
      <c r="I21" s="10">
        <v>18.600000000000001</v>
      </c>
      <c r="J21" s="10">
        <v>13.8</v>
      </c>
      <c r="K21" s="10" t="s">
        <v>6</v>
      </c>
      <c r="L21" s="10">
        <v>27</v>
      </c>
      <c r="N21" t="s">
        <v>36</v>
      </c>
      <c r="O21">
        <f t="shared" ca="1" si="46"/>
        <v>360</v>
      </c>
      <c r="P21">
        <f t="shared" ca="1" si="47"/>
        <v>375</v>
      </c>
      <c r="Q21" s="5">
        <f t="shared" si="4"/>
        <v>45426</v>
      </c>
      <c r="R21" s="4">
        <f ca="1">IFERROR(AVERAGE(INDIRECT("D" &amp; $O21):INDIRECT("D" &amp; $P21)),"")</f>
        <v>46.624999999999993</v>
      </c>
      <c r="S21">
        <f ca="1">IFERROR(MAX(INDIRECT("E" &amp; $O21):INDIRECT("E" &amp; $P21)),"")</f>
        <v>57.9</v>
      </c>
      <c r="T21">
        <f ca="1">IFERROR(MIN(INDIRECT("F" &amp; $O21):INDIRECT("F" &amp; $P21)),"")</f>
        <v>40.1</v>
      </c>
      <c r="U21" s="4">
        <f t="shared" ca="1" si="48"/>
        <v>47.624999999999993</v>
      </c>
      <c r="V21" s="4"/>
      <c r="W21" s="4"/>
      <c r="X21" s="5">
        <f t="shared" si="6"/>
        <v>45426</v>
      </c>
      <c r="Y21" s="4">
        <f ca="1">IFERROR(AVERAGE(INDIRECT("H" &amp; $O21):INDIRECT("H" &amp; $P21)),"")</f>
        <v>15.424999999999999</v>
      </c>
      <c r="Z21">
        <f ca="1">IFERROR(MAX(INDIRECT("I" &amp; $O21):INDIRECT("I" &amp; $P21)),"")</f>
        <v>31.4</v>
      </c>
      <c r="AA21">
        <f ca="1">IFERROR(MIN(INDIRECT("J" &amp; $O21):INDIRECT("J" &amp; $P21)),"")</f>
        <v>9</v>
      </c>
      <c r="AB21" s="4">
        <f t="shared" ca="1" si="49"/>
        <v>15.725</v>
      </c>
    </row>
    <row r="22" spans="1:28" x14ac:dyDescent="0.2">
      <c r="A22" s="14">
        <v>45409</v>
      </c>
      <c r="B22" s="12">
        <v>0.41666666666666669</v>
      </c>
      <c r="C22" s="7">
        <v>45409.416666666664</v>
      </c>
      <c r="D22" s="11">
        <v>51.8</v>
      </c>
      <c r="E22" s="11">
        <v>52.5</v>
      </c>
      <c r="F22" s="11">
        <v>50.5</v>
      </c>
      <c r="G22" s="11" t="s">
        <v>6</v>
      </c>
      <c r="H22" s="11">
        <v>14.5</v>
      </c>
      <c r="I22" s="11">
        <v>16.100000000000001</v>
      </c>
      <c r="J22" s="11">
        <v>13.1</v>
      </c>
      <c r="K22" s="11" t="s">
        <v>6</v>
      </c>
      <c r="L22" s="11">
        <v>39</v>
      </c>
      <c r="N22" t="s">
        <v>37</v>
      </c>
      <c r="O22">
        <f t="shared" ref="O22" ca="1" si="50">MIN(ROW(INDIRECT(N22)))</f>
        <v>376</v>
      </c>
      <c r="P22">
        <f t="shared" ref="P22" ca="1" si="51">MIN(ROW(INDIRECT(N22))) + ROWS(INDIRECT(N22)) -1</f>
        <v>397</v>
      </c>
      <c r="Q22" s="5">
        <f t="shared" si="4"/>
        <v>45427</v>
      </c>
      <c r="R22" s="4">
        <f ca="1">IFERROR(AVERAGE(INDIRECT("D" &amp; $O22):INDIRECT("D" &amp; $P22)),"")</f>
        <v>50.559090909090905</v>
      </c>
      <c r="S22">
        <f ca="1">IFERROR(MAX(INDIRECT("E" &amp; $O22):INDIRECT("E" &amp; $P22)),"")</f>
        <v>72.7</v>
      </c>
      <c r="T22">
        <f ca="1">IFERROR(MIN(INDIRECT("F" &amp; $O22):INDIRECT("F" &amp; $P22)),"")</f>
        <v>40.1</v>
      </c>
      <c r="U22" s="4">
        <f t="shared" ref="U22" ca="1" si="52">R22+1</f>
        <v>51.559090909090905</v>
      </c>
      <c r="V22" s="4"/>
      <c r="W22" s="4"/>
      <c r="X22" s="5">
        <f t="shared" si="6"/>
        <v>45427</v>
      </c>
      <c r="Y22" s="4">
        <f ca="1">IFERROR(AVERAGE(INDIRECT("H" &amp; $O22):INDIRECT("H" &amp; $P22)),"")</f>
        <v>14.472727272727274</v>
      </c>
      <c r="Z22">
        <f ca="1">IFERROR(MAX(INDIRECT("I" &amp; $O22):INDIRECT("I" &amp; $P22)),"")</f>
        <v>28.3</v>
      </c>
      <c r="AA22">
        <f ca="1">IFERROR(MIN(INDIRECT("J" &amp; $O22):INDIRECT("J" &amp; $P22)),"")</f>
        <v>9</v>
      </c>
      <c r="AB22" s="4">
        <f t="shared" ref="AB22" ca="1" si="53">Y22+0.3</f>
        <v>14.772727272727275</v>
      </c>
    </row>
    <row r="23" spans="1:28" x14ac:dyDescent="0.2">
      <c r="A23" s="1">
        <v>45409</v>
      </c>
      <c r="B23" s="2">
        <v>0.45833333333333331</v>
      </c>
      <c r="C23" s="3">
        <v>45409.458333333336</v>
      </c>
      <c r="D23">
        <v>46.6</v>
      </c>
      <c r="E23">
        <v>50</v>
      </c>
      <c r="F23">
        <v>44.5</v>
      </c>
      <c r="G23" t="s">
        <v>6</v>
      </c>
      <c r="H23">
        <v>13</v>
      </c>
      <c r="I23">
        <v>17.3</v>
      </c>
      <c r="J23">
        <v>10</v>
      </c>
      <c r="K23" t="s">
        <v>6</v>
      </c>
      <c r="L23">
        <v>158</v>
      </c>
      <c r="N23" t="s">
        <v>38</v>
      </c>
      <c r="O23">
        <f t="shared" ref="O23" ca="1" si="54">MIN(ROW(INDIRECT(N23)))</f>
        <v>398</v>
      </c>
      <c r="P23">
        <f t="shared" ref="P23" ca="1" si="55">MIN(ROW(INDIRECT(N23))) + ROWS(INDIRECT(N23)) -1</f>
        <v>420</v>
      </c>
      <c r="Q23" s="5">
        <f t="shared" si="4"/>
        <v>45428</v>
      </c>
      <c r="R23" s="4">
        <f ca="1">IFERROR(AVERAGE(INDIRECT("D" &amp; $O23):INDIRECT("D" &amp; $P23)),"")</f>
        <v>55.882608695652181</v>
      </c>
      <c r="S23">
        <f ca="1">IFERROR(MAX(INDIRECT("E" &amp; $O23):INDIRECT("E" &amp; $P23)),"")</f>
        <v>73.8</v>
      </c>
      <c r="T23">
        <f ca="1">IFERROR(MIN(INDIRECT("F" &amp; $O23):INDIRECT("F" &amp; $P23)),"")</f>
        <v>41.3</v>
      </c>
      <c r="U23" s="4">
        <f t="shared" ref="U23" ca="1" si="56">R23+1</f>
        <v>56.882608695652181</v>
      </c>
      <c r="V23" s="4"/>
      <c r="W23" s="4"/>
      <c r="X23" s="5">
        <f t="shared" si="6"/>
        <v>45428</v>
      </c>
      <c r="Y23" s="4">
        <f ca="1">IFERROR(AVERAGE(INDIRECT("H" &amp; $O23):INDIRECT("H" &amp; $P23)),"")</f>
        <v>18.534782608695654</v>
      </c>
      <c r="Z23">
        <f ca="1">IFERROR(MAX(INDIRECT("I" &amp; $O23):INDIRECT("I" &amp; $P23)),"")</f>
        <v>34.299999999999997</v>
      </c>
      <c r="AA23">
        <f ca="1">IFERROR(MIN(INDIRECT("J" &amp; $O23):INDIRECT("J" &amp; $P23)),"")</f>
        <v>10.6</v>
      </c>
      <c r="AB23" s="4">
        <f t="shared" ref="AB23" ca="1" si="57">Y23+0.3</f>
        <v>18.834782608695654</v>
      </c>
    </row>
    <row r="24" spans="1:28" x14ac:dyDescent="0.2">
      <c r="A24" s="1">
        <v>45409</v>
      </c>
      <c r="B24" s="2">
        <v>0.5</v>
      </c>
      <c r="C24" s="3">
        <v>45409.5</v>
      </c>
      <c r="D24">
        <v>46.2</v>
      </c>
      <c r="E24">
        <v>49.7</v>
      </c>
      <c r="F24">
        <v>43.9</v>
      </c>
      <c r="G24" t="s">
        <v>6</v>
      </c>
      <c r="H24">
        <v>13.7</v>
      </c>
      <c r="I24">
        <v>26.2</v>
      </c>
      <c r="J24">
        <v>10.6</v>
      </c>
      <c r="K24" t="s">
        <v>6</v>
      </c>
      <c r="L24">
        <v>177</v>
      </c>
      <c r="N24" t="s">
        <v>39</v>
      </c>
      <c r="O24">
        <f t="shared" ref="O24" ca="1" si="58">MIN(ROW(INDIRECT(N24)))</f>
        <v>421</v>
      </c>
      <c r="P24">
        <f t="shared" ref="P24" ca="1" si="59">MIN(ROW(INDIRECT(N24))) + ROWS(INDIRECT(N24)) -1</f>
        <v>441</v>
      </c>
      <c r="Q24" s="5">
        <f t="shared" si="4"/>
        <v>45429</v>
      </c>
      <c r="R24" s="4">
        <f ca="1">IFERROR(AVERAGE(INDIRECT("D" &amp; $O24):INDIRECT("D" &amp; $P24)),"")</f>
        <v>54.442857142857129</v>
      </c>
      <c r="S24">
        <f ca="1">IFERROR(MAX(INDIRECT("E" &amp; $O24):INDIRECT("E" &amp; $P24)),"")</f>
        <v>73.8</v>
      </c>
      <c r="T24">
        <f ca="1">IFERROR(MIN(INDIRECT("F" &amp; $O24):INDIRECT("F" &amp; $P24)),"")</f>
        <v>40.299999999999997</v>
      </c>
      <c r="U24" s="4">
        <f t="shared" ref="U24" ca="1" si="60">R24+1</f>
        <v>55.442857142857129</v>
      </c>
      <c r="V24" s="4"/>
      <c r="W24" s="4"/>
      <c r="X24" s="5">
        <f t="shared" si="6"/>
        <v>45429</v>
      </c>
      <c r="Y24" s="4">
        <f ca="1">IFERROR(AVERAGE(INDIRECT("H" &amp; $O24):INDIRECT("H" &amp; $P24)),"")</f>
        <v>15.023809523809524</v>
      </c>
      <c r="Z24">
        <f ca="1">IFERROR(MAX(INDIRECT("I" &amp; $O24):INDIRECT("I" &amp; $P24)),"")</f>
        <v>31.1</v>
      </c>
      <c r="AA24">
        <f ca="1">IFERROR(MIN(INDIRECT("J" &amp; $O24):INDIRECT("J" &amp; $P24)),"")</f>
        <v>9.5</v>
      </c>
      <c r="AB24" s="4">
        <f t="shared" ref="AB24" ca="1" si="61">Y24+0.3</f>
        <v>15.323809523809524</v>
      </c>
    </row>
    <row r="25" spans="1:28" x14ac:dyDescent="0.2">
      <c r="A25" s="1">
        <v>45409</v>
      </c>
      <c r="B25" s="2">
        <v>0.54166666666666663</v>
      </c>
      <c r="C25" s="3">
        <v>45409.541666666664</v>
      </c>
      <c r="D25">
        <v>50.2</v>
      </c>
      <c r="E25">
        <v>56.8</v>
      </c>
      <c r="F25">
        <v>47.8</v>
      </c>
      <c r="G25" t="s">
        <v>6</v>
      </c>
      <c r="H25">
        <v>13.2</v>
      </c>
      <c r="I25">
        <v>18.8</v>
      </c>
      <c r="J25">
        <v>10.8</v>
      </c>
      <c r="K25" t="s">
        <v>6</v>
      </c>
      <c r="L25">
        <v>50</v>
      </c>
      <c r="N25" t="s">
        <v>40</v>
      </c>
      <c r="O25">
        <f t="shared" ref="O25:O26" ca="1" si="62">MIN(ROW(INDIRECT(N25)))</f>
        <v>442</v>
      </c>
      <c r="P25">
        <f t="shared" ref="P25:P26" ca="1" si="63">MIN(ROW(INDIRECT(N25))) + ROWS(INDIRECT(N25)) -1</f>
        <v>464</v>
      </c>
      <c r="Q25" s="5">
        <f t="shared" si="4"/>
        <v>45430</v>
      </c>
      <c r="R25" s="4">
        <f ca="1">IFERROR(AVERAGE(INDIRECT("D" &amp; $O25):INDIRECT("D" &amp; $P25)),"")</f>
        <v>54.186956521739127</v>
      </c>
      <c r="S25">
        <f ca="1">IFERROR(MAX(INDIRECT("E" &amp; $O25):INDIRECT("E" &amp; $P25)),"")</f>
        <v>88.8</v>
      </c>
      <c r="T25">
        <f ca="1">IFERROR(MIN(INDIRECT("F" &amp; $O25):INDIRECT("F" &amp; $P25)),"")</f>
        <v>40.1</v>
      </c>
      <c r="U25" s="4">
        <f t="shared" ref="U25:U26" ca="1" si="64">R25+1</f>
        <v>55.186956521739127</v>
      </c>
      <c r="V25" s="4"/>
      <c r="W25" s="4"/>
      <c r="X25" s="5">
        <f t="shared" si="6"/>
        <v>45430</v>
      </c>
      <c r="Y25" s="4">
        <f ca="1">IFERROR(AVERAGE(INDIRECT("H" &amp; $O25):INDIRECT("H" &amp; $P25)),"")</f>
        <v>14.056521739130435</v>
      </c>
      <c r="Z25">
        <f ca="1">IFERROR(MAX(INDIRECT("I" &amp; $O25):INDIRECT("I" &amp; $P25)),"")</f>
        <v>26.1</v>
      </c>
      <c r="AA25">
        <f ca="1">IFERROR(MIN(INDIRECT("J" &amp; $O25):INDIRECT("J" &amp; $P25)),"")</f>
        <v>9.5</v>
      </c>
      <c r="AB25" s="4">
        <f t="shared" ref="AB25:AB26" ca="1" si="65">Y25+0.3</f>
        <v>14.356521739130436</v>
      </c>
    </row>
    <row r="26" spans="1:28" x14ac:dyDescent="0.2">
      <c r="A26" s="1">
        <v>45409</v>
      </c>
      <c r="B26" s="2">
        <v>0.58333333333333337</v>
      </c>
      <c r="C26" s="3">
        <v>45409.583333333336</v>
      </c>
      <c r="D26">
        <v>51.1</v>
      </c>
      <c r="E26">
        <v>52.1</v>
      </c>
      <c r="F26">
        <v>49.8</v>
      </c>
      <c r="G26" t="s">
        <v>6</v>
      </c>
      <c r="H26">
        <v>14</v>
      </c>
      <c r="I26">
        <v>16.8</v>
      </c>
      <c r="J26">
        <v>11.7</v>
      </c>
      <c r="K26" t="s">
        <v>6</v>
      </c>
      <c r="L26">
        <v>57</v>
      </c>
      <c r="N26" t="s">
        <v>41</v>
      </c>
      <c r="O26">
        <f t="shared" ca="1" si="62"/>
        <v>465</v>
      </c>
      <c r="P26">
        <f t="shared" ca="1" si="63"/>
        <v>481</v>
      </c>
      <c r="Q26" s="5">
        <f t="shared" si="4"/>
        <v>45431</v>
      </c>
      <c r="R26" s="4">
        <f ca="1">IFERROR(AVERAGE(INDIRECT("D" &amp; $O26):INDIRECT("D" &amp; $P26)),"")</f>
        <v>75.088235294117652</v>
      </c>
      <c r="S26">
        <f ca="1">IFERROR(MAX(INDIRECT("E" &amp; $O26):INDIRECT("E" &amp; $P26)),"")</f>
        <v>130</v>
      </c>
      <c r="T26">
        <f ca="1">IFERROR(MIN(INDIRECT("F" &amp; $O26):INDIRECT("F" &amp; $P26)),"")</f>
        <v>47.6</v>
      </c>
      <c r="U26" s="4">
        <f t="shared" ca="1" si="64"/>
        <v>76.088235294117652</v>
      </c>
      <c r="V26" s="4"/>
      <c r="W26" s="4"/>
      <c r="X26" s="5">
        <f t="shared" si="6"/>
        <v>45431</v>
      </c>
      <c r="Y26" s="4">
        <f ca="1">IFERROR(AVERAGE(INDIRECT("H" &amp; $O26):INDIRECT("H" &amp; $P26)),"")</f>
        <v>14.517647058823531</v>
      </c>
      <c r="Z26">
        <f ca="1">IFERROR(MAX(INDIRECT("I" &amp; $O26):INDIRECT("I" &amp; $P26)),"")</f>
        <v>27</v>
      </c>
      <c r="AA26">
        <f ca="1">IFERROR(MIN(INDIRECT("J" &amp; $O26):INDIRECT("J" &amp; $P26)),"")</f>
        <v>10.7</v>
      </c>
      <c r="AB26" s="4">
        <f t="shared" ca="1" si="65"/>
        <v>14.817647058823532</v>
      </c>
    </row>
    <row r="27" spans="1:28" x14ac:dyDescent="0.2">
      <c r="A27" s="1">
        <v>45409</v>
      </c>
      <c r="B27" s="2">
        <v>0.625</v>
      </c>
      <c r="C27" s="3">
        <v>45409.625</v>
      </c>
      <c r="D27">
        <v>50.6</v>
      </c>
      <c r="E27">
        <v>51.7</v>
      </c>
      <c r="F27">
        <v>48.9</v>
      </c>
      <c r="G27" t="s">
        <v>6</v>
      </c>
      <c r="H27">
        <v>15.4</v>
      </c>
      <c r="I27">
        <v>21.5</v>
      </c>
      <c r="J27">
        <v>11.6</v>
      </c>
      <c r="K27" t="s">
        <v>6</v>
      </c>
      <c r="L27">
        <v>51</v>
      </c>
      <c r="Q27" s="5">
        <f t="shared" si="4"/>
        <v>45432</v>
      </c>
      <c r="R27" s="4"/>
      <c r="U27" s="4"/>
      <c r="V27" s="4"/>
      <c r="W27" s="4"/>
      <c r="X27" s="5">
        <f t="shared" si="6"/>
        <v>45432</v>
      </c>
      <c r="Y27" s="4"/>
      <c r="AB27" s="4"/>
    </row>
    <row r="28" spans="1:28" x14ac:dyDescent="0.2">
      <c r="A28" s="1">
        <v>45409</v>
      </c>
      <c r="B28" s="2">
        <v>0.66666666666666663</v>
      </c>
      <c r="C28" s="3">
        <v>45409.666666666664</v>
      </c>
      <c r="D28">
        <v>58.7</v>
      </c>
      <c r="E28">
        <v>63.3</v>
      </c>
      <c r="F28">
        <v>49.9</v>
      </c>
      <c r="G28" t="s">
        <v>6</v>
      </c>
      <c r="H28">
        <v>15.9</v>
      </c>
      <c r="I28">
        <v>23.6</v>
      </c>
      <c r="J28">
        <v>12.8</v>
      </c>
      <c r="K28" t="s">
        <v>6</v>
      </c>
      <c r="L28">
        <v>50</v>
      </c>
      <c r="N28" t="s">
        <v>42</v>
      </c>
      <c r="O28">
        <f t="shared" ref="O28:O29" ca="1" si="66">MIN(ROW(INDIRECT(N28)))</f>
        <v>482</v>
      </c>
      <c r="P28">
        <f t="shared" ref="P28:P29" ca="1" si="67">MIN(ROW(INDIRECT(N28))) + ROWS(INDIRECT(N28)) -1</f>
        <v>496</v>
      </c>
      <c r="Q28" s="5">
        <f t="shared" si="4"/>
        <v>45433</v>
      </c>
      <c r="R28" s="4">
        <f ca="1">IFERROR(AVERAGE(INDIRECT("D" &amp; $O28):INDIRECT("D" &amp; $P28)),"")</f>
        <v>56.546666666666667</v>
      </c>
      <c r="S28">
        <f ca="1">IFERROR(MAX(INDIRECT("E" &amp; $O28):INDIRECT("E" &amp; $P28)),"")</f>
        <v>129.19999999999999</v>
      </c>
      <c r="T28">
        <f ca="1">IFERROR(MIN(INDIRECT("F" &amp; $O28):INDIRECT("F" &amp; $P28)),"")</f>
        <v>40.200000000000003</v>
      </c>
      <c r="U28" s="4">
        <f t="shared" ref="U28:U29" ca="1" si="68">R28+1</f>
        <v>57.546666666666667</v>
      </c>
      <c r="V28" s="4"/>
      <c r="W28" s="4"/>
      <c r="X28" s="5">
        <f t="shared" si="6"/>
        <v>45433</v>
      </c>
      <c r="Y28" s="4">
        <f ca="1">IFERROR(AVERAGE(INDIRECT("H" &amp; $O28):INDIRECT("H" &amp; $P28)),"")</f>
        <v>16.333333333333332</v>
      </c>
      <c r="Z28">
        <f ca="1">IFERROR(MAX(INDIRECT("I" &amp; $O28):INDIRECT("I" &amp; $P28)),"")</f>
        <v>36</v>
      </c>
      <c r="AA28">
        <f ca="1">IFERROR(MIN(INDIRECT("J" &amp; $O28):INDIRECT("J" &amp; $P28)),"")</f>
        <v>10</v>
      </c>
      <c r="AB28" s="4">
        <f t="shared" ref="AB28:AB29" ca="1" si="69">Y28+0.3</f>
        <v>16.633333333333333</v>
      </c>
    </row>
    <row r="29" spans="1:28" x14ac:dyDescent="0.2">
      <c r="A29" s="1">
        <v>45409</v>
      </c>
      <c r="B29" s="2">
        <v>0.70833333333333337</v>
      </c>
      <c r="C29" s="3">
        <v>45409.708333333336</v>
      </c>
      <c r="D29">
        <v>63.4</v>
      </c>
      <c r="E29">
        <v>64.8</v>
      </c>
      <c r="F29">
        <v>61.7</v>
      </c>
      <c r="G29" t="s">
        <v>6</v>
      </c>
      <c r="H29">
        <v>13.4</v>
      </c>
      <c r="I29">
        <v>20.7</v>
      </c>
      <c r="J29">
        <v>10.4</v>
      </c>
      <c r="K29" t="s">
        <v>6</v>
      </c>
      <c r="L29">
        <v>34</v>
      </c>
      <c r="N29" t="s">
        <v>43</v>
      </c>
      <c r="O29">
        <f t="shared" ca="1" si="66"/>
        <v>497</v>
      </c>
      <c r="P29">
        <f t="shared" ca="1" si="67"/>
        <v>520</v>
      </c>
      <c r="Q29" s="5">
        <f t="shared" si="4"/>
        <v>45434</v>
      </c>
      <c r="R29" s="4">
        <f ca="1">IFERROR(AVERAGE(INDIRECT("D" &amp; $O29):INDIRECT("D" &amp; $P29)),"")</f>
        <v>74.737499999999997</v>
      </c>
      <c r="S29">
        <f ca="1">IFERROR(MAX(INDIRECT("E" &amp; $O29):INDIRECT("E" &amp; $P29)),"")</f>
        <v>124.3</v>
      </c>
      <c r="T29">
        <f ca="1">IFERROR(MIN(INDIRECT("F" &amp; $O29):INDIRECT("F" &amp; $P29)),"")</f>
        <v>46.3</v>
      </c>
      <c r="U29" s="4">
        <f t="shared" ca="1" si="68"/>
        <v>75.737499999999997</v>
      </c>
      <c r="V29" s="4"/>
      <c r="W29" s="4"/>
      <c r="X29" s="5">
        <f t="shared" si="6"/>
        <v>45434</v>
      </c>
      <c r="Y29" s="4">
        <f ca="1">IFERROR(AVERAGE(INDIRECT("H" &amp; $O29):INDIRECT("H" &amp; $P29)),"")</f>
        <v>15.004166666666668</v>
      </c>
      <c r="Z29">
        <f ca="1">IFERROR(MAX(INDIRECT("I" &amp; $O29):INDIRECT("I" &amp; $P29)),"")</f>
        <v>34.4</v>
      </c>
      <c r="AA29">
        <f ca="1">IFERROR(MIN(INDIRECT("J" &amp; $O29):INDIRECT("J" &amp; $P29)),"")</f>
        <v>8.9</v>
      </c>
      <c r="AB29" s="4">
        <f t="shared" ca="1" si="69"/>
        <v>15.304166666666669</v>
      </c>
    </row>
    <row r="30" spans="1:28" x14ac:dyDescent="0.2">
      <c r="A30" s="1">
        <v>45409</v>
      </c>
      <c r="B30" s="2">
        <v>0.79166666666666663</v>
      </c>
      <c r="C30" s="3">
        <v>45409.791666666664</v>
      </c>
      <c r="D30">
        <v>61.2</v>
      </c>
      <c r="E30">
        <v>61.8</v>
      </c>
      <c r="F30">
        <v>60.9</v>
      </c>
      <c r="G30" t="s">
        <v>6</v>
      </c>
      <c r="H30">
        <v>16.7</v>
      </c>
      <c r="I30">
        <v>18.899999999999999</v>
      </c>
      <c r="J30">
        <v>15.5</v>
      </c>
      <c r="K30" t="s">
        <v>6</v>
      </c>
      <c r="L30">
        <v>3</v>
      </c>
      <c r="N30" t="s">
        <v>44</v>
      </c>
      <c r="O30">
        <f t="shared" ref="O30" ca="1" si="70">MIN(ROW(INDIRECT(N30)))</f>
        <v>521</v>
      </c>
      <c r="P30">
        <f t="shared" ref="P30" ca="1" si="71">MIN(ROW(INDIRECT(N30))) + ROWS(INDIRECT(N30)) -1</f>
        <v>542</v>
      </c>
      <c r="Q30" s="5">
        <f t="shared" si="4"/>
        <v>45435</v>
      </c>
      <c r="R30" s="4">
        <f ca="1">IFERROR(AVERAGE(INDIRECT("D" &amp; $O30):INDIRECT("D" &amp; $P30)),"")</f>
        <v>76.536363636363646</v>
      </c>
      <c r="S30">
        <f ca="1">IFERROR(MAX(INDIRECT("E" &amp; $O30):INDIRECT("E" &amp; $P30)),"")</f>
        <v>113.9</v>
      </c>
      <c r="T30">
        <f ca="1">IFERROR(MIN(INDIRECT("F" &amp; $O30):INDIRECT("F" &amp; $P30)),"")</f>
        <v>40.1</v>
      </c>
      <c r="U30" s="4">
        <f t="shared" ref="U30" ca="1" si="72">R30+1</f>
        <v>77.536363636363646</v>
      </c>
      <c r="V30" s="4"/>
      <c r="W30" s="4"/>
      <c r="X30" s="5">
        <f t="shared" si="6"/>
        <v>45435</v>
      </c>
      <c r="Y30" s="4">
        <f ca="1">IFERROR(AVERAGE(INDIRECT("H" &amp; $O30):INDIRECT("H" &amp; $P30)),"")</f>
        <v>14.336363636363636</v>
      </c>
      <c r="Z30">
        <f ca="1">IFERROR(MAX(INDIRECT("I" &amp; $O30):INDIRECT("I" &amp; $P30)),"")</f>
        <v>36.9</v>
      </c>
      <c r="AA30">
        <f ca="1">IFERROR(MIN(INDIRECT("J" &amp; $O30):INDIRECT("J" &amp; $P30)),"")</f>
        <v>9.1999999999999993</v>
      </c>
      <c r="AB30" s="4">
        <f t="shared" ref="AB30" ca="1" si="73">Y30+0.3</f>
        <v>14.636363636363637</v>
      </c>
    </row>
    <row r="31" spans="1:28" x14ac:dyDescent="0.2">
      <c r="A31" s="1">
        <v>45409</v>
      </c>
      <c r="B31" s="2">
        <v>0.83333333333333337</v>
      </c>
      <c r="C31" s="3">
        <v>45409.833333333336</v>
      </c>
      <c r="D31">
        <v>53</v>
      </c>
      <c r="E31">
        <v>62.8</v>
      </c>
      <c r="F31">
        <v>43</v>
      </c>
      <c r="G31" t="s">
        <v>6</v>
      </c>
      <c r="H31">
        <v>15.4</v>
      </c>
      <c r="I31">
        <v>21.7</v>
      </c>
      <c r="J31">
        <v>13.1</v>
      </c>
      <c r="K31" t="s">
        <v>6</v>
      </c>
      <c r="L31">
        <v>219</v>
      </c>
      <c r="N31" t="s">
        <v>45</v>
      </c>
      <c r="O31">
        <f t="shared" ref="O31" ca="1" si="74">MIN(ROW(INDIRECT(N31)))</f>
        <v>543</v>
      </c>
      <c r="P31">
        <f t="shared" ref="P31" ca="1" si="75">MIN(ROW(INDIRECT(N31))) + ROWS(INDIRECT(N31)) -1</f>
        <v>559</v>
      </c>
      <c r="Q31" s="5">
        <f t="shared" si="4"/>
        <v>45436</v>
      </c>
      <c r="R31" s="4">
        <f ca="1">IFERROR(AVERAGE(INDIRECT("D" &amp; $O31):INDIRECT("D" &amp; $P31)),"")</f>
        <v>85.111764705882351</v>
      </c>
      <c r="S31">
        <f ca="1">IFERROR(MAX(INDIRECT("E" &amp; $O31):INDIRECT("E" &amp; $P31)),"")</f>
        <v>123.7</v>
      </c>
      <c r="T31">
        <f ca="1">IFERROR(MIN(INDIRECT("F" &amp; $O31):INDIRECT("F" &amp; $P31)),"")</f>
        <v>54.3</v>
      </c>
      <c r="U31" s="4">
        <f t="shared" ref="U31" ca="1" si="76">R31+1</f>
        <v>86.111764705882351</v>
      </c>
      <c r="V31" s="4"/>
      <c r="W31" s="4"/>
      <c r="X31" s="5">
        <f t="shared" si="6"/>
        <v>45436</v>
      </c>
      <c r="Y31" s="4">
        <f ca="1">IFERROR(AVERAGE(INDIRECT("H" &amp; $O31):INDIRECT("H" &amp; $P31)),"")</f>
        <v>14.999999999999998</v>
      </c>
      <c r="Z31">
        <f ca="1">IFERROR(MAX(INDIRECT("I" &amp; $O31):INDIRECT("I" &amp; $P31)),"")</f>
        <v>32.299999999999997</v>
      </c>
      <c r="AA31">
        <f ca="1">IFERROR(MIN(INDIRECT("J" &amp; $O31):INDIRECT("J" &amp; $P31)),"")</f>
        <v>9.8000000000000007</v>
      </c>
      <c r="AB31" s="4">
        <f t="shared" ref="AB31" ca="1" si="77">Y31+0.3</f>
        <v>15.299999999999999</v>
      </c>
    </row>
    <row r="32" spans="1:28" x14ac:dyDescent="0.2">
      <c r="A32" s="1">
        <v>45409</v>
      </c>
      <c r="B32" s="2">
        <v>0.875</v>
      </c>
      <c r="C32" s="3">
        <v>45409.875</v>
      </c>
      <c r="D32">
        <v>44.2</v>
      </c>
      <c r="E32">
        <v>46.5</v>
      </c>
      <c r="F32">
        <v>40.9</v>
      </c>
      <c r="G32" t="s">
        <v>6</v>
      </c>
      <c r="H32">
        <v>15.8</v>
      </c>
      <c r="I32">
        <v>28.8</v>
      </c>
      <c r="J32">
        <v>13.2</v>
      </c>
      <c r="K32" t="s">
        <v>6</v>
      </c>
      <c r="L32">
        <v>224</v>
      </c>
      <c r="N32" t="s">
        <v>46</v>
      </c>
      <c r="O32">
        <f t="shared" ref="O32:O34" ca="1" si="78">MIN(ROW(INDIRECT(N32)))</f>
        <v>560</v>
      </c>
      <c r="P32">
        <f t="shared" ref="P32:P34" ca="1" si="79">MIN(ROW(INDIRECT(N32))) + ROWS(INDIRECT(N32)) -1</f>
        <v>579</v>
      </c>
      <c r="Q32" s="5">
        <f t="shared" si="4"/>
        <v>45437</v>
      </c>
      <c r="R32" s="4">
        <f ca="1">IFERROR(AVERAGE(INDIRECT("D" &amp; $O32):INDIRECT("D" &amp; $P32)),"")</f>
        <v>56.260000000000005</v>
      </c>
      <c r="S32">
        <f ca="1">IFERROR(MAX(INDIRECT("E" &amp; $O32):INDIRECT("E" &amp; $P32)),"")</f>
        <v>108.2</v>
      </c>
      <c r="T32">
        <f ca="1">IFERROR(MIN(INDIRECT("F" &amp; $O32):INDIRECT("F" &amp; $P32)),"")</f>
        <v>40.4</v>
      </c>
      <c r="U32" s="4">
        <f t="shared" ref="U32:U34" ca="1" si="80">R32+1</f>
        <v>57.260000000000005</v>
      </c>
      <c r="V32" s="4"/>
      <c r="W32" s="4"/>
      <c r="X32" s="5">
        <f t="shared" si="6"/>
        <v>45437</v>
      </c>
      <c r="Y32" s="4">
        <f ca="1">IFERROR(AVERAGE(INDIRECT("H" &amp; $O32):INDIRECT("H" &amp; $P32)),"")</f>
        <v>15.210000000000003</v>
      </c>
      <c r="Z32">
        <f ca="1">IFERROR(MAX(INDIRECT("I" &amp; $O32):INDIRECT("I" &amp; $P32)),"")</f>
        <v>29.8</v>
      </c>
      <c r="AA32">
        <f ca="1">IFERROR(MIN(INDIRECT("J" &amp; $O32):INDIRECT("J" &amp; $P32)),"")</f>
        <v>11.1</v>
      </c>
      <c r="AB32" s="4">
        <f t="shared" ref="AB32:AB34" ca="1" si="81">Y32+0.3</f>
        <v>15.510000000000003</v>
      </c>
    </row>
    <row r="33" spans="1:28" x14ac:dyDescent="0.2">
      <c r="A33" s="1">
        <v>45409</v>
      </c>
      <c r="B33" s="2">
        <v>0.91666666666666663</v>
      </c>
      <c r="C33" s="3">
        <v>45409.916666666664</v>
      </c>
      <c r="D33">
        <v>45.4</v>
      </c>
      <c r="E33">
        <v>53.2</v>
      </c>
      <c r="F33">
        <v>40.4</v>
      </c>
      <c r="G33" t="s">
        <v>6</v>
      </c>
      <c r="H33">
        <v>17</v>
      </c>
      <c r="I33">
        <v>27.5</v>
      </c>
      <c r="J33">
        <v>12.3</v>
      </c>
      <c r="K33" t="s">
        <v>6</v>
      </c>
      <c r="L33">
        <v>222</v>
      </c>
      <c r="N33" t="s">
        <v>47</v>
      </c>
      <c r="O33">
        <f t="shared" ca="1" si="78"/>
        <v>580</v>
      </c>
      <c r="P33">
        <f t="shared" ca="1" si="79"/>
        <v>599</v>
      </c>
      <c r="Q33" s="5">
        <f t="shared" si="4"/>
        <v>45438</v>
      </c>
      <c r="R33" s="4">
        <f ca="1">IFERROR(AVERAGE(INDIRECT("D" &amp; $O33):INDIRECT("D" &amp; $P33)),"")</f>
        <v>67.28</v>
      </c>
      <c r="S33">
        <f ca="1">IFERROR(MAX(INDIRECT("E" &amp; $O33):INDIRECT("E" &amp; $P33)),"")</f>
        <v>109.4</v>
      </c>
      <c r="T33">
        <f ca="1">IFERROR(MIN(INDIRECT("F" &amp; $O33):INDIRECT("F" &amp; $P33)),"")</f>
        <v>40.1</v>
      </c>
      <c r="U33" s="4">
        <f t="shared" ca="1" si="80"/>
        <v>68.28</v>
      </c>
      <c r="V33" s="4"/>
      <c r="W33" s="4"/>
      <c r="X33" s="5">
        <f t="shared" si="6"/>
        <v>45438</v>
      </c>
      <c r="Y33" s="4">
        <f ca="1">IFERROR(AVERAGE(INDIRECT("H" &amp; $O33):INDIRECT("H" &amp; $P33)),"")</f>
        <v>15.079999999999998</v>
      </c>
      <c r="Z33">
        <f ca="1">IFERROR(MAX(INDIRECT("I" &amp; $O33):INDIRECT("I" &amp; $P33)),"")</f>
        <v>38.1</v>
      </c>
      <c r="AA33">
        <f ca="1">IFERROR(MIN(INDIRECT("J" &amp; $O33):INDIRECT("J" &amp; $P33)),"")</f>
        <v>11</v>
      </c>
      <c r="AB33" s="4">
        <f t="shared" ca="1" si="81"/>
        <v>15.379999999999999</v>
      </c>
    </row>
    <row r="34" spans="1:28" x14ac:dyDescent="0.2">
      <c r="A34" s="1">
        <v>45409</v>
      </c>
      <c r="B34" s="2">
        <v>0.95833333333333337</v>
      </c>
      <c r="C34" s="3">
        <v>45409.958333333336</v>
      </c>
      <c r="D34">
        <v>47.2</v>
      </c>
      <c r="E34">
        <v>51.1</v>
      </c>
      <c r="F34">
        <v>41.4</v>
      </c>
      <c r="G34" t="s">
        <v>6</v>
      </c>
      <c r="H34">
        <v>14.2</v>
      </c>
      <c r="I34">
        <v>26.7</v>
      </c>
      <c r="J34">
        <v>12.3</v>
      </c>
      <c r="K34" t="s">
        <v>6</v>
      </c>
      <c r="L34">
        <v>217</v>
      </c>
      <c r="N34" t="s">
        <v>48</v>
      </c>
      <c r="O34">
        <f t="shared" ca="1" si="78"/>
        <v>600</v>
      </c>
      <c r="P34">
        <f t="shared" ca="1" si="79"/>
        <v>620</v>
      </c>
      <c r="Q34" s="5">
        <f t="shared" si="4"/>
        <v>45439</v>
      </c>
      <c r="R34" s="4">
        <f ca="1">IFERROR(AVERAGE(INDIRECT("D" &amp; $O34):INDIRECT("D" &amp; $P34)),"")</f>
        <v>74.657142857142873</v>
      </c>
      <c r="S34">
        <f ca="1">IFERROR(MAX(INDIRECT("E" &amp; $O34):INDIRECT("E" &amp; $P34)),"")</f>
        <v>116</v>
      </c>
      <c r="T34">
        <f ca="1">IFERROR(MIN(INDIRECT("F" &amp; $O34):INDIRECT("F" &amp; $P34)),"")</f>
        <v>42.8</v>
      </c>
      <c r="U34" s="4">
        <f t="shared" ca="1" si="80"/>
        <v>75.657142857142873</v>
      </c>
      <c r="V34" s="4"/>
      <c r="W34" s="4"/>
      <c r="X34" s="5">
        <f t="shared" si="6"/>
        <v>45439</v>
      </c>
      <c r="Y34" s="4">
        <f ca="1">IFERROR(AVERAGE(INDIRECT("H" &amp; $O34):INDIRECT("H" &amp; $P34)),"")</f>
        <v>15.428571428571423</v>
      </c>
      <c r="Z34">
        <f ca="1">IFERROR(MAX(INDIRECT("I" &amp; $O34):INDIRECT("I" &amp; $P34)),"")</f>
        <v>34.4</v>
      </c>
      <c r="AA34">
        <f ca="1">IFERROR(MIN(INDIRECT("J" &amp; $O34):INDIRECT("J" &amp; $P34)),"")</f>
        <v>11</v>
      </c>
      <c r="AB34" s="4">
        <f t="shared" ca="1" si="81"/>
        <v>15.728571428571424</v>
      </c>
    </row>
    <row r="35" spans="1:28" x14ac:dyDescent="0.2">
      <c r="A35" s="1">
        <v>45410</v>
      </c>
      <c r="B35" s="2">
        <v>0</v>
      </c>
      <c r="C35" s="3">
        <v>45410</v>
      </c>
      <c r="D35">
        <v>46.7</v>
      </c>
      <c r="E35">
        <v>53.8</v>
      </c>
      <c r="F35">
        <v>41.7</v>
      </c>
      <c r="G35" t="s">
        <v>6</v>
      </c>
      <c r="H35">
        <v>14.2</v>
      </c>
      <c r="I35">
        <v>17.100000000000001</v>
      </c>
      <c r="J35">
        <v>12.5</v>
      </c>
      <c r="K35" t="s">
        <v>6</v>
      </c>
      <c r="L35">
        <v>212</v>
      </c>
      <c r="N35" t="s">
        <v>49</v>
      </c>
      <c r="O35">
        <f t="shared" ref="O35" ca="1" si="82">MIN(ROW(INDIRECT(N35)))</f>
        <v>621</v>
      </c>
      <c r="P35">
        <f t="shared" ref="P35" ca="1" si="83">MIN(ROW(INDIRECT(N35))) + ROWS(INDIRECT(N35)) -1</f>
        <v>644</v>
      </c>
      <c r="Q35" s="5">
        <f t="shared" si="4"/>
        <v>45440</v>
      </c>
      <c r="R35" s="4">
        <f ca="1">IFERROR(AVERAGE(INDIRECT("D" &amp; $O35):INDIRECT("D" &amp; $P35)),"")</f>
        <v>61.033333333333331</v>
      </c>
      <c r="S35">
        <f ca="1">IFERROR(MAX(INDIRECT("E" &amp; $O35):INDIRECT("E" &amp; $P35)),"")</f>
        <v>104.2</v>
      </c>
      <c r="T35">
        <f ca="1">IFERROR(MIN(INDIRECT("F" &amp; $O35):INDIRECT("F" &amp; $P35)),"")</f>
        <v>42.8</v>
      </c>
      <c r="U35" s="4">
        <f t="shared" ref="U35" ca="1" si="84">R35+1</f>
        <v>62.033333333333331</v>
      </c>
      <c r="V35" s="4"/>
      <c r="W35" s="4"/>
      <c r="X35" s="5">
        <f t="shared" si="6"/>
        <v>45440</v>
      </c>
      <c r="Y35" s="4">
        <f ca="1">IFERROR(AVERAGE(INDIRECT("H" &amp; $O35):INDIRECT("H" &amp; $P35)),"")</f>
        <v>13.808333333333335</v>
      </c>
      <c r="Z35">
        <f ca="1">IFERROR(MAX(INDIRECT("I" &amp; $O35):INDIRECT("I" &amp; $P35)),"")</f>
        <v>22.1</v>
      </c>
      <c r="AA35">
        <f ca="1">IFERROR(MIN(INDIRECT("J" &amp; $O35):INDIRECT("J" &amp; $P35)),"")</f>
        <v>8.9</v>
      </c>
      <c r="AB35" s="4">
        <f t="shared" ref="AB35" ca="1" si="85">Y35+0.3</f>
        <v>14.108333333333336</v>
      </c>
    </row>
    <row r="36" spans="1:28" x14ac:dyDescent="0.2">
      <c r="A36" s="1">
        <v>45410</v>
      </c>
      <c r="B36" s="2">
        <v>4.1666666666666664E-2</v>
      </c>
      <c r="C36" s="3">
        <v>45410.041666666664</v>
      </c>
      <c r="D36">
        <v>45</v>
      </c>
      <c r="E36">
        <v>52.6</v>
      </c>
      <c r="F36">
        <v>40.4</v>
      </c>
      <c r="G36" t="s">
        <v>6</v>
      </c>
      <c r="H36">
        <v>15</v>
      </c>
      <c r="I36">
        <v>25.6</v>
      </c>
      <c r="J36">
        <v>12.6</v>
      </c>
      <c r="K36" t="s">
        <v>6</v>
      </c>
      <c r="L36">
        <v>216</v>
      </c>
      <c r="N36" t="s">
        <v>50</v>
      </c>
      <c r="O36">
        <f t="shared" ref="O36" ca="1" si="86">MIN(ROW(INDIRECT(N36)))</f>
        <v>645</v>
      </c>
      <c r="P36">
        <f t="shared" ref="P36" ca="1" si="87">MIN(ROW(INDIRECT(N36))) + ROWS(INDIRECT(N36)) -1</f>
        <v>666</v>
      </c>
      <c r="Q36" s="5">
        <f t="shared" si="4"/>
        <v>45441</v>
      </c>
      <c r="R36" s="4">
        <f ca="1">IFERROR(AVERAGE(INDIRECT("D" &amp; $O36):INDIRECT("D" &amp; $P36)),"")</f>
        <v>52.140909090909084</v>
      </c>
      <c r="S36">
        <f ca="1">IFERROR(MAX(INDIRECT("E" &amp; $O36):INDIRECT("E" &amp; $P36)),"")</f>
        <v>86.5</v>
      </c>
      <c r="T36">
        <f ca="1">IFERROR(MIN(INDIRECT("F" &amp; $O36):INDIRECT("F" &amp; $P36)),"")</f>
        <v>43.8</v>
      </c>
      <c r="U36" s="4">
        <f t="shared" ref="U36" ca="1" si="88">R36+1</f>
        <v>53.140909090909084</v>
      </c>
      <c r="V36" s="4"/>
      <c r="W36" s="4"/>
      <c r="X36" s="5">
        <f t="shared" si="6"/>
        <v>45441</v>
      </c>
      <c r="Y36" s="4">
        <f ca="1">IFERROR(AVERAGE(INDIRECT("H" &amp; $O36):INDIRECT("H" &amp; $P36)),"")</f>
        <v>16.236363636363638</v>
      </c>
      <c r="Z36">
        <f ca="1">IFERROR(MAX(INDIRECT("I" &amp; $O36):INDIRECT("I" &amp; $P36)),"")</f>
        <v>29.7</v>
      </c>
      <c r="AA36">
        <f ca="1">IFERROR(MIN(INDIRECT("J" &amp; $O36):INDIRECT("J" &amp; $P36)),"")</f>
        <v>9.5</v>
      </c>
      <c r="AB36" s="4">
        <f t="shared" ref="AB36" ca="1" si="89">Y36+0.3</f>
        <v>16.536363636363639</v>
      </c>
    </row>
    <row r="37" spans="1:28" x14ac:dyDescent="0.2">
      <c r="A37" s="1">
        <v>45410</v>
      </c>
      <c r="B37" s="2">
        <v>8.3333333333333329E-2</v>
      </c>
      <c r="C37" s="3">
        <v>45410.083333333336</v>
      </c>
      <c r="D37">
        <v>45.9</v>
      </c>
      <c r="E37">
        <v>51.8</v>
      </c>
      <c r="F37">
        <v>40.6</v>
      </c>
      <c r="G37" t="s">
        <v>6</v>
      </c>
      <c r="H37">
        <v>14.8</v>
      </c>
      <c r="I37">
        <v>24.1</v>
      </c>
      <c r="J37">
        <v>12</v>
      </c>
      <c r="K37" t="s">
        <v>6</v>
      </c>
      <c r="L37">
        <v>217</v>
      </c>
      <c r="N37" t="s">
        <v>51</v>
      </c>
      <c r="O37">
        <f t="shared" ref="O37" ca="1" si="90">MIN(ROW(INDIRECT(N37)))</f>
        <v>667</v>
      </c>
      <c r="P37">
        <f t="shared" ref="P37" ca="1" si="91">MIN(ROW(INDIRECT(N37))) + ROWS(INDIRECT(N37)) -1</f>
        <v>688</v>
      </c>
      <c r="Q37" s="5">
        <f t="shared" si="4"/>
        <v>45442</v>
      </c>
      <c r="R37" s="4">
        <f ca="1">IFERROR(AVERAGE(INDIRECT("D" &amp; $O37):INDIRECT("D" &amp; $P37)),"")</f>
        <v>73.163636363636357</v>
      </c>
      <c r="S37">
        <f ca="1">IFERROR(MAX(INDIRECT("E" &amp; $O37):INDIRECT("E" &amp; $P37)),"")</f>
        <v>120.2</v>
      </c>
      <c r="T37">
        <f ca="1">IFERROR(MIN(INDIRECT("F" &amp; $O37):INDIRECT("F" &amp; $P37)),"")</f>
        <v>40.1</v>
      </c>
      <c r="U37" s="4">
        <f t="shared" ref="U37" ca="1" si="92">R37+1</f>
        <v>74.163636363636357</v>
      </c>
      <c r="V37" s="4"/>
      <c r="W37" s="4"/>
      <c r="X37" s="5">
        <f t="shared" si="6"/>
        <v>45442</v>
      </c>
      <c r="Y37" s="4">
        <f ca="1">IFERROR(AVERAGE(INDIRECT("H" &amp; $O37):INDIRECT("H" &amp; $P37)),"")</f>
        <v>14.759090909090903</v>
      </c>
      <c r="Z37">
        <f ca="1">IFERROR(MAX(INDIRECT("I" &amp; $O37):INDIRECT("I" &amp; $P37)),"")</f>
        <v>26.8</v>
      </c>
      <c r="AA37">
        <f ca="1">IFERROR(MIN(INDIRECT("J" &amp; $O37):INDIRECT("J" &amp; $P37)),"")</f>
        <v>10.8</v>
      </c>
      <c r="AB37" s="4">
        <f t="shared" ref="AB37" ca="1" si="93">Y37+0.3</f>
        <v>15.059090909090903</v>
      </c>
    </row>
    <row r="38" spans="1:28" x14ac:dyDescent="0.2">
      <c r="A38" s="1">
        <v>45410</v>
      </c>
      <c r="B38" s="2">
        <v>0.125</v>
      </c>
      <c r="C38" s="3">
        <v>45410.125</v>
      </c>
      <c r="D38">
        <v>47.6</v>
      </c>
      <c r="E38">
        <v>54.2</v>
      </c>
      <c r="F38">
        <v>41.2</v>
      </c>
      <c r="G38" t="s">
        <v>6</v>
      </c>
      <c r="H38">
        <v>16.2</v>
      </c>
      <c r="I38">
        <v>28.4</v>
      </c>
      <c r="J38">
        <v>12.5</v>
      </c>
      <c r="K38" t="s">
        <v>6</v>
      </c>
      <c r="L38">
        <v>196</v>
      </c>
      <c r="N38" t="s">
        <v>52</v>
      </c>
      <c r="O38">
        <f t="shared" ref="O38" ca="1" si="94">MIN(ROW(INDIRECT(N38)))</f>
        <v>689</v>
      </c>
      <c r="P38">
        <f t="shared" ref="P38" ca="1" si="95">MIN(ROW(INDIRECT(N38))) + ROWS(INDIRECT(N38)) -1</f>
        <v>704</v>
      </c>
      <c r="Q38" s="5">
        <f t="shared" si="4"/>
        <v>45443</v>
      </c>
      <c r="R38" s="4">
        <f ca="1">IFERROR(AVERAGE(INDIRECT("D" &amp; $O38):INDIRECT("D" &amp; $P38)),"")</f>
        <v>61.931250000000006</v>
      </c>
      <c r="S38">
        <f ca="1">IFERROR(MAX(INDIRECT("E" &amp; $O38):INDIRECT("E" &amp; $P38)),"")</f>
        <v>125.2</v>
      </c>
      <c r="T38">
        <f ca="1">IFERROR(MIN(INDIRECT("F" &amp; $O38):INDIRECT("F" &amp; $P38)),"")</f>
        <v>41.2</v>
      </c>
      <c r="U38" s="4">
        <f t="shared" ref="U38" ca="1" si="96">R38+1</f>
        <v>62.931250000000006</v>
      </c>
      <c r="V38" s="4"/>
      <c r="W38" s="4"/>
      <c r="X38" s="5">
        <f t="shared" si="6"/>
        <v>45443</v>
      </c>
      <c r="Y38" s="4">
        <f ca="1">IFERROR(AVERAGE(INDIRECT("H" &amp; $O38):INDIRECT("H" &amp; $P38)),"")</f>
        <v>14.537499999999998</v>
      </c>
      <c r="Z38">
        <f ca="1">IFERROR(MAX(INDIRECT("I" &amp; $O38):INDIRECT("I" &amp; $P38)),"")</f>
        <v>35.299999999999997</v>
      </c>
      <c r="AA38">
        <f ca="1">IFERROR(MIN(INDIRECT("J" &amp; $O38):INDIRECT("J" &amp; $P38)),"")</f>
        <v>10.7</v>
      </c>
      <c r="AB38" s="4">
        <f t="shared" ref="AB38" ca="1" si="97">Y38+0.3</f>
        <v>14.837499999999999</v>
      </c>
    </row>
    <row r="39" spans="1:28" x14ac:dyDescent="0.2">
      <c r="A39" s="1">
        <v>45410</v>
      </c>
      <c r="B39" s="2">
        <v>0.16666666666666666</v>
      </c>
      <c r="C39" s="3">
        <v>45410.166666666664</v>
      </c>
      <c r="D39">
        <v>47.2</v>
      </c>
      <c r="E39">
        <v>60.3</v>
      </c>
      <c r="F39">
        <v>41.3</v>
      </c>
      <c r="G39" t="s">
        <v>6</v>
      </c>
      <c r="H39">
        <v>14.1</v>
      </c>
      <c r="I39">
        <v>21.1</v>
      </c>
      <c r="J39">
        <v>12.3</v>
      </c>
      <c r="K39" t="s">
        <v>6</v>
      </c>
      <c r="L39">
        <v>217</v>
      </c>
      <c r="N39" t="s">
        <v>53</v>
      </c>
      <c r="O39">
        <f t="shared" ref="O39:O40" ca="1" si="98">MIN(ROW(INDIRECT(N39)))</f>
        <v>705</v>
      </c>
      <c r="P39">
        <f t="shared" ref="P39:P40" ca="1" si="99">MIN(ROW(INDIRECT(N39))) + ROWS(INDIRECT(N39)) -1</f>
        <v>720</v>
      </c>
      <c r="Q39" s="5">
        <f t="shared" si="4"/>
        <v>45444</v>
      </c>
      <c r="R39" s="4">
        <f ca="1">IFERROR(AVERAGE(INDIRECT("D" &amp; $O39):INDIRECT("D" &amp; $P39)),"")</f>
        <v>54.812499999999993</v>
      </c>
      <c r="S39">
        <f ca="1">IFERROR(MAX(INDIRECT("E" &amp; $O39):INDIRECT("E" &amp; $P39)),"")</f>
        <v>88.5</v>
      </c>
      <c r="T39">
        <f ca="1">IFERROR(MIN(INDIRECT("F" &amp; $O39):INDIRECT("F" &amp; $P39)),"")</f>
        <v>40.799999999999997</v>
      </c>
      <c r="U39" s="4">
        <f t="shared" ref="U39:U40" ca="1" si="100">R39+1</f>
        <v>55.812499999999993</v>
      </c>
      <c r="V39" s="4">
        <v>1</v>
      </c>
      <c r="W39" s="4"/>
      <c r="X39" s="5">
        <f t="shared" si="6"/>
        <v>45444</v>
      </c>
      <c r="Y39" s="4">
        <f ca="1">IFERROR(AVERAGE(INDIRECT("H" &amp; $O39):INDIRECT("H" &amp; $P39)),"")</f>
        <v>14.38125</v>
      </c>
      <c r="Z39">
        <f ca="1">IFERROR(MAX(INDIRECT("I" &amp; $O39):INDIRECT("I" &amp; $P39)),"")</f>
        <v>29.4</v>
      </c>
      <c r="AA39">
        <f ca="1">IFERROR(MIN(INDIRECT("J" &amp; $O39):INDIRECT("J" &amp; $P39)),"")</f>
        <v>10.4</v>
      </c>
      <c r="AB39" s="4">
        <f t="shared" ref="AB39:AB40" ca="1" si="101">Y39+0.3</f>
        <v>14.68125</v>
      </c>
    </row>
    <row r="40" spans="1:28" x14ac:dyDescent="0.2">
      <c r="A40" s="1">
        <v>45410</v>
      </c>
      <c r="B40" s="2">
        <v>0.20833333333333334</v>
      </c>
      <c r="C40" s="3">
        <v>45410.208333333336</v>
      </c>
      <c r="D40">
        <v>46.7</v>
      </c>
      <c r="E40">
        <v>49.6</v>
      </c>
      <c r="F40">
        <v>42.3</v>
      </c>
      <c r="G40" t="s">
        <v>6</v>
      </c>
      <c r="H40">
        <v>13.8</v>
      </c>
      <c r="I40">
        <v>21.6</v>
      </c>
      <c r="J40">
        <v>12.4</v>
      </c>
      <c r="K40" t="s">
        <v>6</v>
      </c>
      <c r="L40">
        <v>223</v>
      </c>
      <c r="M40" t="s">
        <v>6</v>
      </c>
      <c r="N40" t="s">
        <v>54</v>
      </c>
      <c r="O40">
        <f t="shared" ca="1" si="98"/>
        <v>721</v>
      </c>
      <c r="P40">
        <f t="shared" ca="1" si="99"/>
        <v>738</v>
      </c>
      <c r="Q40" s="5">
        <f t="shared" si="4"/>
        <v>45445</v>
      </c>
      <c r="R40" s="4">
        <f ca="1">IFERROR(AVERAGE(INDIRECT("D" &amp; $O40):INDIRECT("D" &amp; $P40)),"")</f>
        <v>65.988888888888894</v>
      </c>
      <c r="S40">
        <f ca="1">IFERROR(MAX(INDIRECT("E" &amp; $O40):INDIRECT("E" &amp; $P40)),"")</f>
        <v>99</v>
      </c>
      <c r="T40">
        <f ca="1">IFERROR(MIN(INDIRECT("F" &amp; $O40):INDIRECT("F" &amp; $P40)),"")</f>
        <v>43.7</v>
      </c>
      <c r="U40" s="4">
        <f t="shared" ca="1" si="100"/>
        <v>66.988888888888894</v>
      </c>
      <c r="V40" s="4"/>
      <c r="W40" s="4"/>
      <c r="X40" s="5">
        <f t="shared" si="6"/>
        <v>45445</v>
      </c>
      <c r="Y40" s="4">
        <f ca="1">IFERROR(AVERAGE(INDIRECT("H" &amp; $O40):INDIRECT("H" &amp; $P40)),"")</f>
        <v>15.81111111111111</v>
      </c>
      <c r="Z40">
        <f ca="1">IFERROR(MAX(INDIRECT("I" &amp; $O40):INDIRECT("I" &amp; $P40)),"")</f>
        <v>30.3</v>
      </c>
      <c r="AA40">
        <f ca="1">IFERROR(MIN(INDIRECT("J" &amp; $O40):INDIRECT("J" &amp; $P40)),"")</f>
        <v>10.5</v>
      </c>
      <c r="AB40" s="4">
        <f t="shared" ca="1" si="101"/>
        <v>16.111111111111111</v>
      </c>
    </row>
    <row r="41" spans="1:28" x14ac:dyDescent="0.2">
      <c r="A41" s="1">
        <v>45410</v>
      </c>
      <c r="B41" s="2">
        <v>0.25</v>
      </c>
      <c r="C41" s="3">
        <v>45410.25</v>
      </c>
      <c r="D41">
        <v>45.5</v>
      </c>
      <c r="E41">
        <v>51.8</v>
      </c>
      <c r="F41">
        <v>41.5</v>
      </c>
      <c r="G41" t="s">
        <v>6</v>
      </c>
      <c r="H41">
        <v>14.8</v>
      </c>
      <c r="I41">
        <v>26.4</v>
      </c>
      <c r="J41">
        <v>12.3</v>
      </c>
      <c r="K41" t="s">
        <v>6</v>
      </c>
      <c r="L41">
        <v>198</v>
      </c>
      <c r="M41" t="s">
        <v>6</v>
      </c>
      <c r="N41" t="s">
        <v>55</v>
      </c>
      <c r="O41">
        <f t="shared" ref="O41" ca="1" si="102">MIN(ROW(INDIRECT(N41)))</f>
        <v>739</v>
      </c>
      <c r="P41">
        <f t="shared" ref="P41" ca="1" si="103">MIN(ROW(INDIRECT(N41))) + ROWS(INDIRECT(N41)) -1</f>
        <v>761</v>
      </c>
      <c r="Q41" s="5">
        <f t="shared" si="4"/>
        <v>45446</v>
      </c>
      <c r="R41" s="4">
        <f ca="1">IFERROR(AVERAGE(INDIRECT("D" &amp; $O41):INDIRECT("D" &amp; $P41)),"")</f>
        <v>64.160869565217382</v>
      </c>
      <c r="S41">
        <f ca="1">IFERROR(MAX(INDIRECT("E" &amp; $O41):INDIRECT("E" &amp; $P41)),"")</f>
        <v>109.8</v>
      </c>
      <c r="T41">
        <f ca="1">IFERROR(MIN(INDIRECT("F" &amp; $O41):INDIRECT("F" &amp; $P41)),"")</f>
        <v>44</v>
      </c>
      <c r="U41" s="4">
        <f t="shared" ref="U41" ca="1" si="104">R41+1</f>
        <v>65.160869565217382</v>
      </c>
      <c r="V41" s="4"/>
      <c r="W41" s="4"/>
      <c r="X41" s="5">
        <f t="shared" si="6"/>
        <v>45446</v>
      </c>
      <c r="Y41" s="4">
        <f ca="1">IFERROR(AVERAGE(INDIRECT("H" &amp; $O41):INDIRECT("H" &amp; $P41)),"")</f>
        <v>16.152173913043477</v>
      </c>
      <c r="Z41">
        <f ca="1">IFERROR(MAX(INDIRECT("I" &amp; $O41):INDIRECT("I" &amp; $P41)),"")</f>
        <v>35.1</v>
      </c>
      <c r="AA41">
        <f ca="1">IFERROR(MIN(INDIRECT("J" &amp; $O41):INDIRECT("J" &amp; $P41)),"")</f>
        <v>10.199999999999999</v>
      </c>
      <c r="AB41" s="4">
        <f t="shared" ref="AB41" ca="1" si="105">Y41+0.3</f>
        <v>16.452173913043477</v>
      </c>
    </row>
    <row r="42" spans="1:28" x14ac:dyDescent="0.2">
      <c r="A42" s="1">
        <v>45410</v>
      </c>
      <c r="B42" s="2">
        <v>0.29166666666666669</v>
      </c>
      <c r="C42" s="3">
        <v>45410.291666666664</v>
      </c>
      <c r="D42">
        <v>50.9</v>
      </c>
      <c r="E42">
        <v>57.1</v>
      </c>
      <c r="F42">
        <v>45.6</v>
      </c>
      <c r="G42" t="s">
        <v>6</v>
      </c>
      <c r="H42">
        <v>15.8</v>
      </c>
      <c r="I42">
        <v>25.3</v>
      </c>
      <c r="J42">
        <v>12.5</v>
      </c>
      <c r="K42" t="s">
        <v>6</v>
      </c>
      <c r="L42">
        <v>110</v>
      </c>
      <c r="M42" t="s">
        <v>6</v>
      </c>
      <c r="N42" t="s">
        <v>56</v>
      </c>
      <c r="O42">
        <f t="shared" ref="O42" ca="1" si="106">MIN(ROW(INDIRECT(N42)))</f>
        <v>762</v>
      </c>
      <c r="P42">
        <f t="shared" ref="P42" ca="1" si="107">MIN(ROW(INDIRECT(N42))) + ROWS(INDIRECT(N42)) -1</f>
        <v>785</v>
      </c>
      <c r="Q42" s="5">
        <f t="shared" si="4"/>
        <v>45447</v>
      </c>
      <c r="R42" s="4">
        <f ca="1">IFERROR(AVERAGE(INDIRECT("D" &amp; $O42):INDIRECT("D" &amp; $P42)),"")</f>
        <v>64.55</v>
      </c>
      <c r="S42">
        <f ca="1">IFERROR(MAX(INDIRECT("E" &amp; $O42):INDIRECT("E" &amp; $P42)),"")</f>
        <v>116.1</v>
      </c>
      <c r="T42">
        <f ca="1">IFERROR(MIN(INDIRECT("F" &amp; $O42):INDIRECT("F" &amp; $P42)),"")</f>
        <v>40.200000000000003</v>
      </c>
      <c r="U42" s="4">
        <f t="shared" ref="U42" ca="1" si="108">R42+1</f>
        <v>65.55</v>
      </c>
      <c r="V42" s="4"/>
      <c r="W42" s="4"/>
      <c r="X42" s="5">
        <f t="shared" si="6"/>
        <v>45447</v>
      </c>
      <c r="Y42" s="4">
        <f ca="1">IFERROR(AVERAGE(INDIRECT("H" &amp; $O42):INDIRECT("H" &amp; $P42)),"")</f>
        <v>16.99583333333333</v>
      </c>
      <c r="Z42">
        <f ca="1">IFERROR(MAX(INDIRECT("I" &amp; $O42):INDIRECT("I" &amp; $P42)),"")</f>
        <v>35.9</v>
      </c>
      <c r="AA42">
        <f ca="1">IFERROR(MIN(INDIRECT("J" &amp; $O42):INDIRECT("J" &amp; $P42)),"")</f>
        <v>10.199999999999999</v>
      </c>
      <c r="AB42" s="4">
        <f t="shared" ref="AB42" ca="1" si="109">Y42+0.3</f>
        <v>17.295833333333331</v>
      </c>
    </row>
    <row r="43" spans="1:28" x14ac:dyDescent="0.2">
      <c r="A43" s="13">
        <v>45410</v>
      </c>
      <c r="B43" s="9">
        <v>0.33333333333333331</v>
      </c>
      <c r="C43" s="8">
        <v>45410.333333333336</v>
      </c>
      <c r="D43" s="10">
        <v>55.4</v>
      </c>
      <c r="E43" s="10">
        <v>55.4</v>
      </c>
      <c r="F43" s="10">
        <v>55.4</v>
      </c>
      <c r="G43" s="10" t="s">
        <v>6</v>
      </c>
      <c r="H43" s="10">
        <v>20</v>
      </c>
      <c r="I43" s="10">
        <v>20</v>
      </c>
      <c r="J43" s="10">
        <v>20</v>
      </c>
      <c r="K43" s="10" t="s">
        <v>6</v>
      </c>
      <c r="L43" s="10">
        <v>1</v>
      </c>
      <c r="M43" t="s">
        <v>6</v>
      </c>
      <c r="N43" t="s">
        <v>57</v>
      </c>
      <c r="O43">
        <f t="shared" ref="O43" ca="1" si="110">MIN(ROW(INDIRECT(N43)))</f>
        <v>786</v>
      </c>
      <c r="P43">
        <f t="shared" ref="P43" ca="1" si="111">MIN(ROW(INDIRECT(N43))) + ROWS(INDIRECT(N43)) -1</f>
        <v>807</v>
      </c>
      <c r="Q43" s="5">
        <f t="shared" si="4"/>
        <v>45448</v>
      </c>
      <c r="R43" s="4">
        <f ca="1">IFERROR(AVERAGE(INDIRECT("D" &amp; $O43):INDIRECT("D" &amp; $P43)),"")</f>
        <v>71.600000000000009</v>
      </c>
      <c r="S43">
        <f ca="1">IFERROR(MAX(INDIRECT("E" &amp; $O43):INDIRECT("E" &amp; $P43)),"")</f>
        <v>120.5</v>
      </c>
      <c r="T43">
        <f ca="1">IFERROR(MIN(INDIRECT("F" &amp; $O43):INDIRECT("F" &amp; $P43)),"")</f>
        <v>45</v>
      </c>
      <c r="U43" s="4">
        <f t="shared" ref="U43" ca="1" si="112">R43+1</f>
        <v>72.600000000000009</v>
      </c>
      <c r="V43" s="4"/>
      <c r="W43" s="4"/>
      <c r="X43" s="5">
        <f t="shared" si="6"/>
        <v>45448</v>
      </c>
      <c r="Y43" s="4">
        <f ca="1">IFERROR(AVERAGE(INDIRECT("H" &amp; $O43):INDIRECT("H" &amp; $P43)),"")</f>
        <v>14.80909090909091</v>
      </c>
      <c r="Z43">
        <f ca="1">IFERROR(MAX(INDIRECT("I" &amp; $O43):INDIRECT("I" &amp; $P43)),"")</f>
        <v>34</v>
      </c>
      <c r="AA43">
        <f ca="1">IFERROR(MIN(INDIRECT("J" &amp; $O43):INDIRECT("J" &amp; $P43)),"")</f>
        <v>9.8000000000000007</v>
      </c>
      <c r="AB43" s="4">
        <f t="shared" ref="AB43" ca="1" si="113">Y43+0.3</f>
        <v>15.109090909090911</v>
      </c>
    </row>
    <row r="44" spans="1:28" x14ac:dyDescent="0.2">
      <c r="A44" s="14">
        <v>45410</v>
      </c>
      <c r="B44" s="12">
        <v>0.375</v>
      </c>
      <c r="C44" s="7">
        <v>45410.375</v>
      </c>
      <c r="D44" s="11">
        <v>59.2</v>
      </c>
      <c r="E44" s="11">
        <v>65</v>
      </c>
      <c r="F44" s="11">
        <v>54.2</v>
      </c>
      <c r="G44" s="11" t="s">
        <v>6</v>
      </c>
      <c r="H44" s="11">
        <v>16.2</v>
      </c>
      <c r="I44" s="11">
        <v>22.4</v>
      </c>
      <c r="J44" s="11">
        <v>12.2</v>
      </c>
      <c r="K44" s="11" t="s">
        <v>6</v>
      </c>
      <c r="L44" s="11">
        <v>58</v>
      </c>
      <c r="M44" t="s">
        <v>6</v>
      </c>
      <c r="N44" t="s">
        <v>58</v>
      </c>
      <c r="O44">
        <f t="shared" ref="O44" ca="1" si="114">MIN(ROW(INDIRECT(N44)))</f>
        <v>808</v>
      </c>
      <c r="P44">
        <f t="shared" ref="P44" ca="1" si="115">MIN(ROW(INDIRECT(N44))) + ROWS(INDIRECT(N44)) -1</f>
        <v>830</v>
      </c>
      <c r="Q44" s="5">
        <f t="shared" si="4"/>
        <v>45449</v>
      </c>
      <c r="R44" s="4">
        <f ca="1">IFERROR(AVERAGE(INDIRECT("D" &amp; $O44):INDIRECT("D" &amp; $P44)),"")</f>
        <v>69.313043478260866</v>
      </c>
      <c r="S44">
        <f ca="1">IFERROR(MAX(INDIRECT("E" &amp; $O44):INDIRECT("E" &amp; $P44)),"")</f>
        <v>125</v>
      </c>
      <c r="T44">
        <f ca="1">IFERROR(MIN(INDIRECT("F" &amp; $O44):INDIRECT("F" &amp; $P44)),"")</f>
        <v>40.4</v>
      </c>
      <c r="U44" s="4">
        <f t="shared" ref="U44" ca="1" si="116">R44+1</f>
        <v>70.313043478260866</v>
      </c>
      <c r="V44" s="4"/>
      <c r="W44" s="4"/>
      <c r="X44" s="5">
        <f t="shared" si="6"/>
        <v>45449</v>
      </c>
      <c r="Y44" s="4">
        <f ca="1">IFERROR(AVERAGE(INDIRECT("H" &amp; $O44):INDIRECT("H" &amp; $P44)),"")</f>
        <v>15.921739130434785</v>
      </c>
      <c r="Z44">
        <f ca="1">IFERROR(MAX(INDIRECT("I" &amp; $O44):INDIRECT("I" &amp; $P44)),"")</f>
        <v>36</v>
      </c>
      <c r="AA44">
        <f ca="1">IFERROR(MIN(INDIRECT("J" &amp; $O44):INDIRECT("J" &amp; $P44)),"")</f>
        <v>10.7</v>
      </c>
      <c r="AB44" s="4">
        <f t="shared" ref="AB44" ca="1" si="117">Y44+0.3</f>
        <v>16.221739130434784</v>
      </c>
    </row>
    <row r="45" spans="1:28" x14ac:dyDescent="0.2">
      <c r="A45" s="1">
        <v>45410</v>
      </c>
      <c r="B45" s="2">
        <v>0.41666666666666669</v>
      </c>
      <c r="C45" s="3">
        <v>45410.416666666664</v>
      </c>
      <c r="D45">
        <v>66.599999999999994</v>
      </c>
      <c r="E45">
        <v>76.3</v>
      </c>
      <c r="F45">
        <v>59.2</v>
      </c>
      <c r="G45" t="s">
        <v>6</v>
      </c>
      <c r="H45">
        <v>11.5</v>
      </c>
      <c r="I45">
        <v>15.2</v>
      </c>
      <c r="J45">
        <v>9.5</v>
      </c>
      <c r="K45" t="s">
        <v>6</v>
      </c>
      <c r="L45">
        <v>118</v>
      </c>
      <c r="M45" t="s">
        <v>6</v>
      </c>
      <c r="N45" t="s">
        <v>59</v>
      </c>
      <c r="O45">
        <f t="shared" ref="O45" ca="1" si="118">MIN(ROW(INDIRECT(N45)))</f>
        <v>831</v>
      </c>
      <c r="P45">
        <f t="shared" ref="P45" ca="1" si="119">MIN(ROW(INDIRECT(N45))) + ROWS(INDIRECT(N45)) -1</f>
        <v>849</v>
      </c>
      <c r="Q45" s="5">
        <f t="shared" si="4"/>
        <v>45450</v>
      </c>
      <c r="R45" s="4">
        <f ca="1">IFERROR(AVERAGE(INDIRECT("D" &amp; $O45):INDIRECT("D" &amp; $P45)),"")</f>
        <v>60.031578947368416</v>
      </c>
      <c r="S45">
        <f ca="1">IFERROR(MAX(INDIRECT("E" &amp; $O45):INDIRECT("E" &amp; $P45)),"")</f>
        <v>108.8</v>
      </c>
      <c r="T45">
        <f ca="1">IFERROR(MIN(INDIRECT("F" &amp; $O45):INDIRECT("F" &amp; $P45)),"")</f>
        <v>40.700000000000003</v>
      </c>
      <c r="U45" s="4">
        <f t="shared" ref="U45" ca="1" si="120">R45+1</f>
        <v>61.031578947368416</v>
      </c>
      <c r="V45" s="4"/>
      <c r="W45" s="4"/>
      <c r="X45" s="5">
        <f t="shared" si="6"/>
        <v>45450</v>
      </c>
      <c r="Y45" s="4">
        <f ca="1">IFERROR(AVERAGE(INDIRECT("H" &amp; $O45):INDIRECT("H" &amp; $P45)),"")</f>
        <v>14.984210526315788</v>
      </c>
      <c r="Z45">
        <f ca="1">IFERROR(MAX(INDIRECT("I" &amp; $O45):INDIRECT("I" &amp; $P45)),"")</f>
        <v>33</v>
      </c>
      <c r="AA45">
        <f ca="1">IFERROR(MIN(INDIRECT("J" &amp; $O45):INDIRECT("J" &amp; $P45)),"")</f>
        <v>9.9</v>
      </c>
      <c r="AB45" s="4">
        <f t="shared" ref="AB45" ca="1" si="121">Y45+0.3</f>
        <v>15.284210526315789</v>
      </c>
    </row>
    <row r="46" spans="1:28" x14ac:dyDescent="0.2">
      <c r="A46" s="1">
        <v>45410</v>
      </c>
      <c r="B46" s="2">
        <v>0.5</v>
      </c>
      <c r="C46" s="3">
        <v>45410.5</v>
      </c>
      <c r="D46">
        <v>65.099999999999994</v>
      </c>
      <c r="E46">
        <v>65.400000000000006</v>
      </c>
      <c r="F46">
        <v>64.5</v>
      </c>
      <c r="G46" t="s">
        <v>6</v>
      </c>
      <c r="H46">
        <v>12.8</v>
      </c>
      <c r="I46">
        <v>13.6</v>
      </c>
      <c r="J46">
        <v>12.3</v>
      </c>
      <c r="K46" t="s">
        <v>6</v>
      </c>
      <c r="L46">
        <v>9</v>
      </c>
      <c r="M46" t="s">
        <v>6</v>
      </c>
      <c r="N46" t="s">
        <v>60</v>
      </c>
      <c r="O46">
        <f t="shared" ref="O46:O48" ca="1" si="122">MIN(ROW(INDIRECT(N46)))</f>
        <v>850</v>
      </c>
      <c r="P46">
        <f t="shared" ref="P46:P48" ca="1" si="123">MIN(ROW(INDIRECT(N46))) + ROWS(INDIRECT(N46)) -1</f>
        <v>867</v>
      </c>
      <c r="Q46" s="5">
        <f t="shared" si="4"/>
        <v>45451</v>
      </c>
      <c r="R46" s="4">
        <f ca="1">IFERROR(AVERAGE(INDIRECT("D" &amp; $O46):INDIRECT("D" &amp; $P46)),"")</f>
        <v>56.972222222222221</v>
      </c>
      <c r="S46">
        <f ca="1">IFERROR(MAX(INDIRECT("E" &amp; $O46):INDIRECT("E" &amp; $P46)),"")</f>
        <v>91.3</v>
      </c>
      <c r="T46">
        <f ca="1">IFERROR(MIN(INDIRECT("F" &amp; $O46):INDIRECT("F" &amp; $P46)),"")</f>
        <v>40.200000000000003</v>
      </c>
      <c r="U46" s="4">
        <f t="shared" ref="U46:U48" ca="1" si="124">R46+1</f>
        <v>57.972222222222221</v>
      </c>
      <c r="V46" s="4"/>
      <c r="W46" s="4"/>
      <c r="X46" s="5">
        <f t="shared" si="6"/>
        <v>45451</v>
      </c>
      <c r="Y46" s="4">
        <f ca="1">IFERROR(AVERAGE(INDIRECT("H" &amp; $O46):INDIRECT("H" &amp; $P46)),"")</f>
        <v>15.105555555555558</v>
      </c>
      <c r="Z46">
        <f ca="1">IFERROR(MAX(INDIRECT("I" &amp; $O46):INDIRECT("I" &amp; $P46)),"")</f>
        <v>29.4</v>
      </c>
      <c r="AA46">
        <f ca="1">IFERROR(MIN(INDIRECT("J" &amp; $O46):INDIRECT("J" &amp; $P46)),"")</f>
        <v>11.3</v>
      </c>
      <c r="AB46" s="4">
        <f t="shared" ref="AB46:AB48" ca="1" si="125">Y46+0.3</f>
        <v>15.405555555555559</v>
      </c>
    </row>
    <row r="47" spans="1:28" x14ac:dyDescent="0.2">
      <c r="A47" s="1">
        <v>45410</v>
      </c>
      <c r="B47" s="2">
        <v>0.625</v>
      </c>
      <c r="C47" s="3">
        <v>45410.625</v>
      </c>
      <c r="D47">
        <v>57.2</v>
      </c>
      <c r="E47">
        <v>58.1</v>
      </c>
      <c r="F47">
        <v>56.3</v>
      </c>
      <c r="G47" t="s">
        <v>6</v>
      </c>
      <c r="H47">
        <v>15.9</v>
      </c>
      <c r="I47">
        <v>18.5</v>
      </c>
      <c r="J47">
        <v>13</v>
      </c>
      <c r="K47" t="s">
        <v>6</v>
      </c>
      <c r="L47">
        <v>19</v>
      </c>
      <c r="M47" t="s">
        <v>6</v>
      </c>
      <c r="N47" t="s">
        <v>61</v>
      </c>
      <c r="O47">
        <f t="shared" ca="1" si="122"/>
        <v>868</v>
      </c>
      <c r="P47">
        <f t="shared" ca="1" si="123"/>
        <v>882</v>
      </c>
      <c r="Q47" s="5">
        <f t="shared" si="4"/>
        <v>45452</v>
      </c>
      <c r="R47" s="4">
        <f ca="1">IFERROR(AVERAGE(INDIRECT("D" &amp; $O47):INDIRECT("D" &amp; $P47)),"")</f>
        <v>65.14</v>
      </c>
      <c r="S47">
        <f ca="1">IFERROR(MAX(INDIRECT("E" &amp; $O47):INDIRECT("E" &amp; $P47)),"")</f>
        <v>107</v>
      </c>
      <c r="T47">
        <f ca="1">IFERROR(MIN(INDIRECT("F" &amp; $O47):INDIRECT("F" &amp; $P47)),"")</f>
        <v>43.6</v>
      </c>
      <c r="U47" s="4">
        <f t="shared" ca="1" si="124"/>
        <v>66.14</v>
      </c>
      <c r="V47" s="4"/>
      <c r="W47" s="4"/>
      <c r="X47" s="5">
        <f t="shared" si="6"/>
        <v>45452</v>
      </c>
      <c r="Y47" s="4">
        <f ca="1">IFERROR(AVERAGE(INDIRECT("H" &amp; $O47):INDIRECT("H" &amp; $P47)),"")</f>
        <v>15.96</v>
      </c>
      <c r="Z47">
        <f ca="1">IFERROR(MAX(INDIRECT("I" &amp; $O47):INDIRECT("I" &amp; $P47)),"")</f>
        <v>53</v>
      </c>
      <c r="AA47">
        <f ca="1">IFERROR(MIN(INDIRECT("J" &amp; $O47):INDIRECT("J" &amp; $P47)),"")</f>
        <v>10.9</v>
      </c>
      <c r="AB47" s="4">
        <f t="shared" ca="1" si="125"/>
        <v>16.260000000000002</v>
      </c>
    </row>
    <row r="48" spans="1:28" x14ac:dyDescent="0.2">
      <c r="A48" s="1">
        <v>45410</v>
      </c>
      <c r="B48" s="2">
        <v>0.66666666666666663</v>
      </c>
      <c r="C48" s="3">
        <v>45410.666666666664</v>
      </c>
      <c r="D48">
        <v>57.9</v>
      </c>
      <c r="E48">
        <v>59</v>
      </c>
      <c r="F48">
        <v>55.9</v>
      </c>
      <c r="G48" t="s">
        <v>6</v>
      </c>
      <c r="H48">
        <v>14.3</v>
      </c>
      <c r="I48">
        <v>17.8</v>
      </c>
      <c r="J48">
        <v>12.1</v>
      </c>
      <c r="K48" t="s">
        <v>6</v>
      </c>
      <c r="L48">
        <v>71</v>
      </c>
      <c r="M48" t="s">
        <v>6</v>
      </c>
      <c r="N48" t="s">
        <v>62</v>
      </c>
      <c r="O48">
        <f t="shared" ca="1" si="122"/>
        <v>883</v>
      </c>
      <c r="P48">
        <f t="shared" ca="1" si="123"/>
        <v>901</v>
      </c>
      <c r="Q48" s="5">
        <f t="shared" si="4"/>
        <v>45453</v>
      </c>
      <c r="R48" s="4">
        <f ca="1">IFERROR(AVERAGE(INDIRECT("D" &amp; $O48):INDIRECT("D" &amp; $P48)),"")</f>
        <v>62.763157894736842</v>
      </c>
      <c r="S48">
        <f ca="1">IFERROR(MAX(INDIRECT("E" &amp; $O48):INDIRECT("E" &amp; $P48)),"")</f>
        <v>116.1</v>
      </c>
      <c r="T48">
        <f ca="1">IFERROR(MIN(INDIRECT("F" &amp; $O48):INDIRECT("F" &amp; $P48)),"")</f>
        <v>40.4</v>
      </c>
      <c r="U48" s="4">
        <f t="shared" ca="1" si="124"/>
        <v>63.763157894736842</v>
      </c>
      <c r="V48" s="4"/>
      <c r="W48" s="4"/>
      <c r="X48" s="5">
        <f t="shared" si="6"/>
        <v>45453</v>
      </c>
      <c r="Y48" s="4">
        <f ca="1">IFERROR(AVERAGE(INDIRECT("H" &amp; $O48):INDIRECT("H" &amp; $P48)),"")</f>
        <v>15.421052631578947</v>
      </c>
      <c r="Z48">
        <f ca="1">IFERROR(MAX(INDIRECT("I" &amp; $O48):INDIRECT("I" &amp; $P48)),"")</f>
        <v>32.9</v>
      </c>
      <c r="AA48">
        <f ca="1">IFERROR(MIN(INDIRECT("J" &amp; $O48):INDIRECT("J" &amp; $P48)),"")</f>
        <v>11</v>
      </c>
      <c r="AB48" s="4">
        <f t="shared" ca="1" si="125"/>
        <v>15.721052631578948</v>
      </c>
    </row>
    <row r="49" spans="1:28" x14ac:dyDescent="0.2">
      <c r="A49" s="1">
        <v>45410</v>
      </c>
      <c r="B49" s="2">
        <v>0.70833333333333337</v>
      </c>
      <c r="C49" s="3">
        <v>45410.708333333336</v>
      </c>
      <c r="D49">
        <v>55.3</v>
      </c>
      <c r="E49">
        <v>58.4</v>
      </c>
      <c r="F49">
        <v>53.3</v>
      </c>
      <c r="G49" t="s">
        <v>6</v>
      </c>
      <c r="H49">
        <v>14.3</v>
      </c>
      <c r="I49">
        <v>19.100000000000001</v>
      </c>
      <c r="J49">
        <v>10.4</v>
      </c>
      <c r="K49" t="s">
        <v>6</v>
      </c>
      <c r="L49">
        <v>72</v>
      </c>
      <c r="M49" t="s">
        <v>6</v>
      </c>
      <c r="N49" t="s">
        <v>63</v>
      </c>
      <c r="O49">
        <f t="shared" ref="O49" ca="1" si="126">MIN(ROW(INDIRECT(N49)))</f>
        <v>902</v>
      </c>
      <c r="P49">
        <f t="shared" ref="P49" ca="1" si="127">MIN(ROW(INDIRECT(N49))) + ROWS(INDIRECT(N49)) -1</f>
        <v>920</v>
      </c>
      <c r="Q49" s="5">
        <f t="shared" si="4"/>
        <v>45454</v>
      </c>
      <c r="R49" s="4">
        <f ca="1">IFERROR(AVERAGE(INDIRECT("D" &amp; $O49):INDIRECT("D" &amp; $P49)),"")</f>
        <v>68.110526315789485</v>
      </c>
      <c r="S49">
        <f ca="1">IFERROR(MAX(INDIRECT("E" &amp; $O49):INDIRECT("E" &amp; $P49)),"")</f>
        <v>118</v>
      </c>
      <c r="T49">
        <f ca="1">IFERROR(MIN(INDIRECT("F" &amp; $O49):INDIRECT("F" &amp; $P49)),"")</f>
        <v>44.8</v>
      </c>
      <c r="U49" s="4">
        <f t="shared" ref="U49" ca="1" si="128">R49+1</f>
        <v>69.110526315789485</v>
      </c>
      <c r="V49" s="4"/>
      <c r="W49" s="4"/>
      <c r="X49" s="5">
        <f t="shared" si="6"/>
        <v>45454</v>
      </c>
      <c r="Y49" s="4">
        <f ca="1">IFERROR(AVERAGE(INDIRECT("H" &amp; $O49):INDIRECT("H" &amp; $P49)),"")</f>
        <v>15.494736842105262</v>
      </c>
      <c r="Z49">
        <f ca="1">IFERROR(MAX(INDIRECT("I" &amp; $O49):INDIRECT("I" &amp; $P49)),"")</f>
        <v>28.1</v>
      </c>
      <c r="AA49">
        <f ca="1">IFERROR(MIN(INDIRECT("J" &amp; $O49):INDIRECT("J" &amp; $P49)),"")</f>
        <v>10</v>
      </c>
      <c r="AB49" s="4">
        <f t="shared" ref="AB49" ca="1" si="129">Y49+0.3</f>
        <v>15.794736842105262</v>
      </c>
    </row>
    <row r="50" spans="1:28" x14ac:dyDescent="0.2">
      <c r="A50" s="1">
        <v>45410</v>
      </c>
      <c r="B50" s="2">
        <v>0.75</v>
      </c>
      <c r="C50" s="3">
        <v>45410.75</v>
      </c>
      <c r="D50">
        <v>54</v>
      </c>
      <c r="E50">
        <v>55.6</v>
      </c>
      <c r="F50">
        <v>52.3</v>
      </c>
      <c r="G50" t="s">
        <v>6</v>
      </c>
      <c r="H50">
        <v>14.5</v>
      </c>
      <c r="I50">
        <v>18.399999999999999</v>
      </c>
      <c r="J50">
        <v>11.5</v>
      </c>
      <c r="K50" t="s">
        <v>6</v>
      </c>
      <c r="L50">
        <v>42</v>
      </c>
      <c r="M50" t="s">
        <v>6</v>
      </c>
      <c r="N50" t="s">
        <v>64</v>
      </c>
      <c r="O50">
        <f t="shared" ref="O50" ca="1" si="130">MIN(ROW(INDIRECT(N50)))</f>
        <v>921</v>
      </c>
      <c r="P50">
        <f t="shared" ref="P50" ca="1" si="131">MIN(ROW(INDIRECT(N50))) + ROWS(INDIRECT(N50)) -1</f>
        <v>943</v>
      </c>
      <c r="Q50" s="5">
        <f t="shared" si="4"/>
        <v>45455</v>
      </c>
      <c r="R50" s="4">
        <f ca="1">IFERROR(AVERAGE(INDIRECT("D" &amp; $O50):INDIRECT("D" &amp; $P50)),"")</f>
        <v>61.847826086956523</v>
      </c>
      <c r="S50">
        <f ca="1">IFERROR(MAX(INDIRECT("E" &amp; $O50):INDIRECT("E" &amp; $P50)),"")</f>
        <v>104.6</v>
      </c>
      <c r="T50">
        <f ca="1">IFERROR(MIN(INDIRECT("F" &amp; $O50):INDIRECT("F" &amp; $P50)),"")</f>
        <v>43</v>
      </c>
      <c r="U50" s="4">
        <f t="shared" ref="U50" ca="1" si="132">R50+1</f>
        <v>62.847826086956523</v>
      </c>
      <c r="V50" s="4"/>
      <c r="W50" s="4"/>
      <c r="X50" s="5">
        <f t="shared" si="6"/>
        <v>45455</v>
      </c>
      <c r="Y50" s="4">
        <f ca="1">IFERROR(AVERAGE(INDIRECT("H" &amp; $O50):INDIRECT("H" &amp; $P50)),"")</f>
        <v>15.313043478260871</v>
      </c>
      <c r="Z50">
        <f ca="1">IFERROR(MAX(INDIRECT("I" &amp; $O50):INDIRECT("I" &amp; $P50)),"")</f>
        <v>35.799999999999997</v>
      </c>
      <c r="AA50">
        <f ca="1">IFERROR(MIN(INDIRECT("J" &amp; $O50):INDIRECT("J" &amp; $P50)),"")</f>
        <v>9.5</v>
      </c>
      <c r="AB50" s="4">
        <f t="shared" ref="AB50" ca="1" si="133">Y50+0.3</f>
        <v>15.613043478260872</v>
      </c>
    </row>
    <row r="51" spans="1:28" x14ac:dyDescent="0.2">
      <c r="A51" s="1">
        <v>45410</v>
      </c>
      <c r="B51" s="2">
        <v>0.79166666666666663</v>
      </c>
      <c r="C51" s="3">
        <v>45410.791666666664</v>
      </c>
      <c r="D51">
        <v>53.6</v>
      </c>
      <c r="E51">
        <v>54.7</v>
      </c>
      <c r="F51">
        <v>52.2</v>
      </c>
      <c r="G51" t="s">
        <v>6</v>
      </c>
      <c r="H51">
        <v>14.4</v>
      </c>
      <c r="I51">
        <v>19.7</v>
      </c>
      <c r="J51">
        <v>11.3</v>
      </c>
      <c r="K51" t="s">
        <v>6</v>
      </c>
      <c r="L51">
        <v>44</v>
      </c>
      <c r="M51" t="s">
        <v>6</v>
      </c>
      <c r="N51" t="s">
        <v>65</v>
      </c>
      <c r="O51">
        <f t="shared" ref="O51" ca="1" si="134">MIN(ROW(INDIRECT(N51)))</f>
        <v>944</v>
      </c>
      <c r="P51">
        <f t="shared" ref="P51" ca="1" si="135">MIN(ROW(INDIRECT(N51))) + ROWS(INDIRECT(N51)) -1</f>
        <v>967</v>
      </c>
      <c r="Q51" s="5">
        <f t="shared" si="4"/>
        <v>45456</v>
      </c>
      <c r="R51" s="4">
        <f ca="1">IFERROR(AVERAGE(INDIRECT("D" &amp; $O51):INDIRECT("D" &amp; $P51)),"")</f>
        <v>71.108333333333363</v>
      </c>
      <c r="S51">
        <f ca="1">IFERROR(MAX(INDIRECT("E" &amp; $O51):INDIRECT("E" &amp; $P51)),"")</f>
        <v>100.5</v>
      </c>
      <c r="T51">
        <f ca="1">IFERROR(MIN(INDIRECT("F" &amp; $O51):INDIRECT("F" &amp; $P51)),"")</f>
        <v>49.1</v>
      </c>
      <c r="U51" s="4">
        <f t="shared" ref="U51" ca="1" si="136">R51+1</f>
        <v>72.108333333333363</v>
      </c>
      <c r="V51" s="4"/>
      <c r="W51" s="4"/>
      <c r="X51" s="5">
        <f t="shared" si="6"/>
        <v>45456</v>
      </c>
      <c r="Y51" s="4">
        <f ca="1">IFERROR(AVERAGE(INDIRECT("H" &amp; $O51):INDIRECT("H" &amp; $P51)),"")</f>
        <v>14.158333333333333</v>
      </c>
      <c r="Z51">
        <f ca="1">IFERROR(MAX(INDIRECT("I" &amp; $O51):INDIRECT("I" &amp; $P51)),"")</f>
        <v>28</v>
      </c>
      <c r="AA51">
        <f ca="1">IFERROR(MIN(INDIRECT("J" &amp; $O51):INDIRECT("J" &amp; $P51)),"")</f>
        <v>9.4</v>
      </c>
      <c r="AB51" s="4">
        <f t="shared" ref="AB51" ca="1" si="137">Y51+0.3</f>
        <v>14.458333333333334</v>
      </c>
    </row>
    <row r="52" spans="1:28" x14ac:dyDescent="0.2">
      <c r="A52" s="1">
        <v>45410</v>
      </c>
      <c r="B52" s="2">
        <v>0.83333333333333337</v>
      </c>
      <c r="C52" s="3">
        <v>45410.833333333336</v>
      </c>
      <c r="D52">
        <v>49.9</v>
      </c>
      <c r="E52">
        <v>56.5</v>
      </c>
      <c r="F52">
        <v>45.7</v>
      </c>
      <c r="G52" t="s">
        <v>6</v>
      </c>
      <c r="H52">
        <v>15.7</v>
      </c>
      <c r="I52">
        <v>30.3</v>
      </c>
      <c r="J52">
        <v>11</v>
      </c>
      <c r="K52" t="s">
        <v>6</v>
      </c>
      <c r="L52">
        <v>197</v>
      </c>
      <c r="M52" t="s">
        <v>6</v>
      </c>
      <c r="N52" t="s">
        <v>66</v>
      </c>
      <c r="O52">
        <f t="shared" ref="O52" ca="1" si="138">MIN(ROW(INDIRECT(N52)))</f>
        <v>968</v>
      </c>
      <c r="P52">
        <f t="shared" ref="P52" ca="1" si="139">MIN(ROW(INDIRECT(N52))) + ROWS(INDIRECT(N52)) -1</f>
        <v>990</v>
      </c>
      <c r="Q52" s="5">
        <f t="shared" si="4"/>
        <v>45457</v>
      </c>
      <c r="R52" s="4">
        <f ca="1">IFERROR(AVERAGE(INDIRECT("D" &amp; $O52):INDIRECT("D" &amp; $P52)),"")</f>
        <v>70.617391304347805</v>
      </c>
      <c r="S52">
        <f ca="1">IFERROR(MAX(INDIRECT("E" &amp; $O52):INDIRECT("E" &amp; $P52)),"")</f>
        <v>119.5</v>
      </c>
      <c r="T52">
        <f ca="1">IFERROR(MIN(INDIRECT("F" &amp; $O52):INDIRECT("F" &amp; $P52)),"")</f>
        <v>42.2</v>
      </c>
      <c r="U52" s="4">
        <f t="shared" ref="U52" ca="1" si="140">R52+1</f>
        <v>71.617391304347805</v>
      </c>
      <c r="V52" s="4"/>
      <c r="W52" s="4"/>
      <c r="X52" s="5">
        <f t="shared" si="6"/>
        <v>45457</v>
      </c>
      <c r="Y52" s="4">
        <f ca="1">IFERROR(AVERAGE(INDIRECT("H" &amp; $O52):INDIRECT("H" &amp; $P52)),"")</f>
        <v>14.713043478260872</v>
      </c>
      <c r="Z52">
        <f ca="1">IFERROR(MAX(INDIRECT("I" &amp; $O52):INDIRECT("I" &amp; $P52)),"")</f>
        <v>30.2</v>
      </c>
      <c r="AA52">
        <f ca="1">IFERROR(MIN(INDIRECT("J" &amp; $O52):INDIRECT("J" &amp; $P52)),"")</f>
        <v>10.6</v>
      </c>
      <c r="AB52" s="4">
        <f t="shared" ref="AB52" ca="1" si="141">Y52+0.3</f>
        <v>15.013043478260872</v>
      </c>
    </row>
    <row r="53" spans="1:28" x14ac:dyDescent="0.2">
      <c r="A53" s="1">
        <v>45410</v>
      </c>
      <c r="B53" s="2">
        <v>0.875</v>
      </c>
      <c r="C53" s="3">
        <v>45410.875</v>
      </c>
      <c r="D53">
        <v>50.5</v>
      </c>
      <c r="E53">
        <v>55.2</v>
      </c>
      <c r="F53">
        <v>45.3</v>
      </c>
      <c r="G53" t="s">
        <v>6</v>
      </c>
      <c r="H53">
        <v>13.9</v>
      </c>
      <c r="I53">
        <v>18.2</v>
      </c>
      <c r="J53">
        <v>12.5</v>
      </c>
      <c r="K53" t="s">
        <v>6</v>
      </c>
      <c r="L53">
        <v>217</v>
      </c>
      <c r="M53" t="s">
        <v>6</v>
      </c>
      <c r="N53" t="s">
        <v>67</v>
      </c>
      <c r="O53">
        <f t="shared" ref="O53:O55" ca="1" si="142">MIN(ROW(INDIRECT(N53)))</f>
        <v>991</v>
      </c>
      <c r="P53">
        <f t="shared" ref="P53:P55" ca="1" si="143">MIN(ROW(INDIRECT(N53))) + ROWS(INDIRECT(N53)) -1</f>
        <v>1003</v>
      </c>
      <c r="Q53" s="5">
        <f t="shared" si="4"/>
        <v>45458</v>
      </c>
      <c r="R53" s="4">
        <f ca="1">IFERROR(AVERAGE(INDIRECT("D" &amp; $O53):INDIRECT("D" &amp; $P53)),"")</f>
        <v>60.584615384615375</v>
      </c>
      <c r="S53">
        <f ca="1">IFERROR(MAX(INDIRECT("E" &amp; $O53):INDIRECT("E" &amp; $P53)),"")</f>
        <v>72.5</v>
      </c>
      <c r="T53">
        <f ca="1">IFERROR(MIN(INDIRECT("F" &amp; $O53):INDIRECT("F" &amp; $P53)),"")</f>
        <v>52.5</v>
      </c>
      <c r="U53" s="4">
        <f t="shared" ref="U53:U55" ca="1" si="144">R53+1</f>
        <v>61.584615384615375</v>
      </c>
      <c r="V53" s="4">
        <v>1</v>
      </c>
      <c r="W53" s="4"/>
      <c r="X53" s="5">
        <f t="shared" si="6"/>
        <v>45458</v>
      </c>
      <c r="Y53" s="4">
        <f ca="1">IFERROR(AVERAGE(INDIRECT("H" &amp; $O53):INDIRECT("H" &amp; $P53)),"")</f>
        <v>14.569230769230769</v>
      </c>
      <c r="Z53">
        <f ca="1">IFERROR(MAX(INDIRECT("I" &amp; $O53):INDIRECT("I" &amp; $P53)),"")</f>
        <v>33.299999999999997</v>
      </c>
      <c r="AA53">
        <f ca="1">IFERROR(MIN(INDIRECT("J" &amp; $O53):INDIRECT("J" &amp; $P53)),"")</f>
        <v>11</v>
      </c>
      <c r="AB53" s="4">
        <f t="shared" ref="AB53:AB55" ca="1" si="145">Y53+0.3</f>
        <v>14.86923076923077</v>
      </c>
    </row>
    <row r="54" spans="1:28" x14ac:dyDescent="0.2">
      <c r="A54" s="1">
        <v>45410</v>
      </c>
      <c r="B54" s="2">
        <v>0.91666666666666663</v>
      </c>
      <c r="C54" s="3">
        <v>45410.916666666664</v>
      </c>
      <c r="D54">
        <v>46.7</v>
      </c>
      <c r="E54">
        <v>57.7</v>
      </c>
      <c r="F54">
        <v>41.1</v>
      </c>
      <c r="G54" t="s">
        <v>6</v>
      </c>
      <c r="H54">
        <v>15.2</v>
      </c>
      <c r="I54">
        <v>22.8</v>
      </c>
      <c r="J54">
        <v>12.6</v>
      </c>
      <c r="K54" t="s">
        <v>6</v>
      </c>
      <c r="L54">
        <v>228</v>
      </c>
      <c r="M54" t="s">
        <v>6</v>
      </c>
      <c r="N54" t="s">
        <v>68</v>
      </c>
      <c r="O54">
        <f t="shared" ca="1" si="142"/>
        <v>1004</v>
      </c>
      <c r="P54">
        <f t="shared" ca="1" si="143"/>
        <v>1025</v>
      </c>
      <c r="Q54" s="5">
        <f t="shared" si="4"/>
        <v>45459</v>
      </c>
      <c r="R54" s="4">
        <f ca="1">IFERROR(AVERAGE(INDIRECT("D" &amp; $O54):INDIRECT("D" &amp; $P54)),"")</f>
        <v>74.427272727272737</v>
      </c>
      <c r="S54">
        <f ca="1">IFERROR(MAX(INDIRECT("E" &amp; $O54):INDIRECT("E" &amp; $P54)),"")</f>
        <v>120.2</v>
      </c>
      <c r="T54">
        <f ca="1">IFERROR(MIN(INDIRECT("F" &amp; $O54):INDIRECT("F" &amp; $P54)),"")</f>
        <v>50.3</v>
      </c>
      <c r="U54" s="4">
        <f t="shared" ca="1" si="144"/>
        <v>75.427272727272737</v>
      </c>
      <c r="V54" s="4"/>
      <c r="W54" s="4"/>
      <c r="X54" s="5">
        <f t="shared" si="6"/>
        <v>45459</v>
      </c>
      <c r="Y54" s="4">
        <f ca="1">IFERROR(AVERAGE(INDIRECT("H" &amp; $O54):INDIRECT("H" &amp; $P54)),"")</f>
        <v>15.790909090909089</v>
      </c>
      <c r="Z54">
        <f ca="1">IFERROR(MAX(INDIRECT("I" &amp; $O54):INDIRECT("I" &amp; $P54)),"")</f>
        <v>32.200000000000003</v>
      </c>
      <c r="AA54">
        <f ca="1">IFERROR(MIN(INDIRECT("J" &amp; $O54):INDIRECT("J" &amp; $P54)),"")</f>
        <v>11</v>
      </c>
      <c r="AB54" s="4">
        <f t="shared" ca="1" si="145"/>
        <v>16.09090909090909</v>
      </c>
    </row>
    <row r="55" spans="1:28" x14ac:dyDescent="0.2">
      <c r="A55" s="1">
        <v>45410</v>
      </c>
      <c r="B55" s="2">
        <v>0.95833333333333337</v>
      </c>
      <c r="C55" s="3">
        <v>45410.958333333336</v>
      </c>
      <c r="D55">
        <v>44.7</v>
      </c>
      <c r="E55">
        <v>50.1</v>
      </c>
      <c r="F55">
        <v>40.6</v>
      </c>
      <c r="G55" t="s">
        <v>6</v>
      </c>
      <c r="H55">
        <v>16.7</v>
      </c>
      <c r="I55">
        <v>29.8</v>
      </c>
      <c r="J55">
        <v>12.6</v>
      </c>
      <c r="K55" t="s">
        <v>6</v>
      </c>
      <c r="L55">
        <v>217</v>
      </c>
      <c r="M55" t="s">
        <v>6</v>
      </c>
      <c r="N55" t="s">
        <v>69</v>
      </c>
      <c r="O55">
        <f t="shared" ca="1" si="142"/>
        <v>1026</v>
      </c>
      <c r="P55">
        <f t="shared" ca="1" si="143"/>
        <v>1040</v>
      </c>
      <c r="Q55" s="5">
        <f t="shared" si="4"/>
        <v>45460</v>
      </c>
      <c r="R55" s="4">
        <f ca="1">IFERROR(AVERAGE(INDIRECT("D" &amp; $O55):INDIRECT("D" &amp; $P55)),"")</f>
        <v>78.946666666666673</v>
      </c>
      <c r="S55">
        <f ca="1">IFERROR(MAX(INDIRECT("E" &amp; $O55):INDIRECT("E" &amp; $P55)),"")</f>
        <v>121</v>
      </c>
      <c r="T55">
        <f ca="1">IFERROR(MIN(INDIRECT("F" &amp; $O55):INDIRECT("F" &amp; $P55)),"")</f>
        <v>47.9</v>
      </c>
      <c r="U55" s="4">
        <f t="shared" ca="1" si="144"/>
        <v>79.946666666666673</v>
      </c>
      <c r="V55" s="4"/>
      <c r="W55" s="4"/>
      <c r="X55" s="5">
        <f t="shared" si="6"/>
        <v>45460</v>
      </c>
      <c r="Y55" s="4">
        <f ca="1">IFERROR(AVERAGE(INDIRECT("H" &amp; $O55):INDIRECT("H" &amp; $P55)),"")</f>
        <v>15.933333333333332</v>
      </c>
      <c r="Z55">
        <f ca="1">IFERROR(MAX(INDIRECT("I" &amp; $O55):INDIRECT("I" &amp; $P55)),"")</f>
        <v>30.4</v>
      </c>
      <c r="AA55">
        <f ca="1">IFERROR(MIN(INDIRECT("J" &amp; $O55):INDIRECT("J" &amp; $P55)),"")</f>
        <v>10</v>
      </c>
      <c r="AB55" s="4">
        <f t="shared" ca="1" si="145"/>
        <v>16.233333333333331</v>
      </c>
    </row>
    <row r="56" spans="1:28" x14ac:dyDescent="0.2">
      <c r="A56" s="1">
        <v>45411</v>
      </c>
      <c r="B56" s="2">
        <v>0</v>
      </c>
      <c r="C56" s="3">
        <v>45411</v>
      </c>
      <c r="D56">
        <v>44.6</v>
      </c>
      <c r="E56">
        <v>47.9</v>
      </c>
      <c r="F56">
        <v>40.200000000000003</v>
      </c>
      <c r="G56" t="s">
        <v>6</v>
      </c>
      <c r="H56">
        <v>16.2</v>
      </c>
      <c r="I56">
        <v>28.5</v>
      </c>
      <c r="J56">
        <v>13.1</v>
      </c>
      <c r="K56" t="s">
        <v>6</v>
      </c>
      <c r="L56">
        <v>198</v>
      </c>
      <c r="M56" t="s">
        <v>6</v>
      </c>
      <c r="N56" t="s">
        <v>70</v>
      </c>
      <c r="O56">
        <f t="shared" ref="O56" ca="1" si="146">MIN(ROW(INDIRECT(N56)))</f>
        <v>1041</v>
      </c>
      <c r="P56">
        <f t="shared" ref="P56" ca="1" si="147">MIN(ROW(INDIRECT(N56))) + ROWS(INDIRECT(N56)) -1</f>
        <v>1058</v>
      </c>
      <c r="Q56" s="5">
        <f t="shared" si="4"/>
        <v>45461</v>
      </c>
      <c r="R56" s="4">
        <f ca="1">IFERROR(AVERAGE(INDIRECT("D" &amp; $O56):INDIRECT("D" &amp; $P56)),"")</f>
        <v>72.733333333333334</v>
      </c>
      <c r="S56">
        <f ca="1">IFERROR(MAX(INDIRECT("E" &amp; $O56):INDIRECT("E" &amp; $P56)),"")</f>
        <v>120.3</v>
      </c>
      <c r="T56">
        <f ca="1">IFERROR(MIN(INDIRECT("F" &amp; $O56):INDIRECT("F" &amp; $P56)),"")</f>
        <v>40.1</v>
      </c>
      <c r="U56" s="4">
        <f t="shared" ref="U56" ca="1" si="148">R56+1</f>
        <v>73.733333333333334</v>
      </c>
      <c r="V56" s="4"/>
      <c r="W56" s="4"/>
      <c r="X56" s="5">
        <f t="shared" si="6"/>
        <v>45461</v>
      </c>
      <c r="Y56" s="4">
        <f ca="1">IFERROR(AVERAGE(INDIRECT("H" &amp; $O56):INDIRECT("H" &amp; $P56)),"")</f>
        <v>15.144444444444442</v>
      </c>
      <c r="Z56">
        <f ca="1">IFERROR(MAX(INDIRECT("I" &amp; $O56):INDIRECT("I" &amp; $P56)),"")</f>
        <v>33.4</v>
      </c>
      <c r="AA56">
        <f ca="1">IFERROR(MIN(INDIRECT("J" &amp; $O56):INDIRECT("J" &amp; $P56)),"")</f>
        <v>10.7</v>
      </c>
      <c r="AB56" s="4">
        <f t="shared" ref="AB56" ca="1" si="149">Y56+0.3</f>
        <v>15.444444444444443</v>
      </c>
    </row>
    <row r="57" spans="1:28" x14ac:dyDescent="0.2">
      <c r="A57" s="1">
        <v>45411</v>
      </c>
      <c r="B57" s="2">
        <v>4.1666666666666664E-2</v>
      </c>
      <c r="C57" s="3">
        <v>45411.041666666664</v>
      </c>
      <c r="D57">
        <v>42.2</v>
      </c>
      <c r="E57">
        <v>44.3</v>
      </c>
      <c r="F57">
        <v>40.299999999999997</v>
      </c>
      <c r="G57" t="s">
        <v>6</v>
      </c>
      <c r="H57">
        <v>15.2</v>
      </c>
      <c r="I57">
        <v>25.6</v>
      </c>
      <c r="J57">
        <v>13</v>
      </c>
      <c r="K57" t="s">
        <v>6</v>
      </c>
      <c r="L57">
        <v>75</v>
      </c>
      <c r="M57" t="s">
        <v>6</v>
      </c>
      <c r="N57" t="s">
        <v>71</v>
      </c>
      <c r="O57">
        <f t="shared" ref="O57:O58" ca="1" si="150">MIN(ROW(INDIRECT(N57)))</f>
        <v>1059</v>
      </c>
      <c r="P57">
        <f t="shared" ref="P57:P58" ca="1" si="151">MIN(ROW(INDIRECT(N57))) + ROWS(INDIRECT(N57)) -1</f>
        <v>1076</v>
      </c>
      <c r="Q57" s="5">
        <f t="shared" si="4"/>
        <v>45462</v>
      </c>
      <c r="R57" s="4">
        <f ca="1">IFERROR(AVERAGE(INDIRECT("D" &amp; $O57):INDIRECT("D" &amp; $P57)),"")</f>
        <v>64.061111111111103</v>
      </c>
      <c r="S57">
        <f ca="1">IFERROR(MAX(INDIRECT("E" &amp; $O57):INDIRECT("E" &amp; $P57)),"")</f>
        <v>99.5</v>
      </c>
      <c r="T57">
        <f ca="1">IFERROR(MIN(INDIRECT("F" &amp; $O57):INDIRECT("F" &amp; $P57)),"")</f>
        <v>43</v>
      </c>
      <c r="U57" s="4">
        <f t="shared" ref="U57:U58" ca="1" si="152">R57+1</f>
        <v>65.061111111111103</v>
      </c>
      <c r="V57" s="4"/>
      <c r="W57" s="4"/>
      <c r="X57" s="5">
        <f t="shared" si="6"/>
        <v>45462</v>
      </c>
      <c r="Y57" s="4">
        <f ca="1">IFERROR(AVERAGE(INDIRECT("H" &amp; $O57):INDIRECT("H" &amp; $P57)),"")</f>
        <v>15.761111111111111</v>
      </c>
      <c r="Z57">
        <f ca="1">IFERROR(MAX(INDIRECT("I" &amp; $O57):INDIRECT("I" &amp; $P57)),"")</f>
        <v>33.200000000000003</v>
      </c>
      <c r="AA57">
        <f ca="1">IFERROR(MIN(INDIRECT("J" &amp; $O57):INDIRECT("J" &amp; $P57)),"")</f>
        <v>10.9</v>
      </c>
      <c r="AB57" s="4">
        <f t="shared" ref="AB57:AB58" ca="1" si="153">Y57+0.3</f>
        <v>16.06111111111111</v>
      </c>
    </row>
    <row r="58" spans="1:28" x14ac:dyDescent="0.2">
      <c r="A58" s="1">
        <v>45411</v>
      </c>
      <c r="B58" s="2">
        <v>8.3333333333333329E-2</v>
      </c>
      <c r="C58" s="3">
        <v>45411.083333333336</v>
      </c>
      <c r="D58">
        <v>42.7</v>
      </c>
      <c r="E58">
        <v>46.4</v>
      </c>
      <c r="F58">
        <v>40.6</v>
      </c>
      <c r="G58" t="s">
        <v>6</v>
      </c>
      <c r="H58">
        <v>13.5</v>
      </c>
      <c r="I58">
        <v>20.9</v>
      </c>
      <c r="J58">
        <v>11.4</v>
      </c>
      <c r="K58" t="s">
        <v>6</v>
      </c>
      <c r="L58">
        <v>197</v>
      </c>
      <c r="M58" t="s">
        <v>6</v>
      </c>
      <c r="N58" t="s">
        <v>72</v>
      </c>
      <c r="O58">
        <f t="shared" ca="1" si="150"/>
        <v>1077</v>
      </c>
      <c r="P58">
        <f t="shared" ca="1" si="151"/>
        <v>10995</v>
      </c>
      <c r="Q58" s="5">
        <f t="shared" si="4"/>
        <v>45463</v>
      </c>
      <c r="R58" s="4">
        <f ca="1">IFERROR(AVERAGE(INDIRECT("D" &amp; $O58):INDIRECT("D" &amp; $P58)),"")</f>
        <v>58.867688266199757</v>
      </c>
      <c r="S58">
        <f ca="1">IFERROR(MAX(INDIRECT("E" &amp; $O58):INDIRECT("E" &amp; $P58)),"")</f>
        <v>131.69999999999999</v>
      </c>
      <c r="T58">
        <f ca="1">IFERROR(MIN(INDIRECT("F" &amp; $O58):INDIRECT("F" &amp; $P58)),"")</f>
        <v>40.1</v>
      </c>
      <c r="U58" s="4">
        <f t="shared" ca="1" si="152"/>
        <v>59.867688266199757</v>
      </c>
      <c r="V58" s="4"/>
      <c r="W58" s="4"/>
      <c r="X58" s="5">
        <f t="shared" si="6"/>
        <v>45463</v>
      </c>
      <c r="Y58" s="4">
        <f ca="1">IFERROR(AVERAGE(INDIRECT("H" &amp; $O58):INDIRECT("H" &amp; $P58)),"")</f>
        <v>15.33257443082312</v>
      </c>
      <c r="Z58">
        <f ca="1">IFERROR(MAX(INDIRECT("I" &amp; $O58):INDIRECT("I" &amp; $P58)),"")</f>
        <v>48.4</v>
      </c>
      <c r="AA58">
        <f ca="1">IFERROR(MIN(INDIRECT("J" &amp; $O58):INDIRECT("J" &amp; $P58)),"")</f>
        <v>8.5</v>
      </c>
      <c r="AB58" s="4">
        <f t="shared" ca="1" si="153"/>
        <v>15.632574430823121</v>
      </c>
    </row>
    <row r="59" spans="1:28" x14ac:dyDescent="0.2">
      <c r="A59" s="1">
        <v>45411</v>
      </c>
      <c r="B59" s="2">
        <v>0.125</v>
      </c>
      <c r="C59" s="3">
        <v>45411.125</v>
      </c>
      <c r="D59">
        <v>51.5</v>
      </c>
      <c r="E59">
        <v>61.1</v>
      </c>
      <c r="F59">
        <v>40.200000000000003</v>
      </c>
      <c r="G59" t="s">
        <v>6</v>
      </c>
      <c r="H59">
        <v>13.2</v>
      </c>
      <c r="I59">
        <v>26.6</v>
      </c>
      <c r="J59">
        <v>11.4</v>
      </c>
      <c r="K59" t="s">
        <v>6</v>
      </c>
      <c r="L59">
        <v>206</v>
      </c>
      <c r="M59" t="s">
        <v>6</v>
      </c>
      <c r="N59" t="s">
        <v>73</v>
      </c>
      <c r="O59">
        <f t="shared" ref="O59" ca="1" si="154">MIN(ROW(INDIRECT(N59)))</f>
        <v>1096</v>
      </c>
      <c r="P59">
        <f t="shared" ref="P59" ca="1" si="155">MIN(ROW(INDIRECT(N59))) + ROWS(INDIRECT(N59)) -1</f>
        <v>1115</v>
      </c>
      <c r="Q59" s="5">
        <f t="shared" si="4"/>
        <v>45464</v>
      </c>
      <c r="R59" s="4">
        <f ca="1">IFERROR(AVERAGE(INDIRECT("D" &amp; $O59):INDIRECT("D" &amp; $P59)),"")</f>
        <v>70.734999999999999</v>
      </c>
      <c r="S59">
        <f ca="1">IFERROR(MAX(INDIRECT("E" &amp; $O59):INDIRECT("E" &amp; $P59)),"")</f>
        <v>111</v>
      </c>
      <c r="T59">
        <f ca="1">IFERROR(MIN(INDIRECT("F" &amp; $O59):INDIRECT("F" &amp; $P59)),"")</f>
        <v>47.8</v>
      </c>
      <c r="U59" s="4">
        <f t="shared" ref="U59" ca="1" si="156">R59+1</f>
        <v>71.734999999999999</v>
      </c>
      <c r="V59" s="4"/>
      <c r="W59" s="4"/>
      <c r="X59" s="5">
        <f t="shared" si="6"/>
        <v>45464</v>
      </c>
      <c r="Y59" s="4">
        <f ca="1">IFERROR(AVERAGE(INDIRECT("H" &amp; $O59):INDIRECT("H" &amp; $P59)),"")</f>
        <v>14.574999999999998</v>
      </c>
      <c r="Z59">
        <f ca="1">IFERROR(MAX(INDIRECT("I" &amp; $O59):INDIRECT("I" &amp; $P59)),"")</f>
        <v>33.799999999999997</v>
      </c>
      <c r="AA59">
        <f ca="1">IFERROR(MIN(INDIRECT("J" &amp; $O59):INDIRECT("J" &amp; $P59)),"")</f>
        <v>8.6999999999999993</v>
      </c>
      <c r="AB59" s="4">
        <f t="shared" ref="AB59" ca="1" si="157">Y59+0.3</f>
        <v>14.874999999999998</v>
      </c>
    </row>
    <row r="60" spans="1:28" x14ac:dyDescent="0.2">
      <c r="A60" s="1">
        <v>45411</v>
      </c>
      <c r="B60" s="2">
        <v>0.16666666666666666</v>
      </c>
      <c r="C60" s="3">
        <v>45411.166666666664</v>
      </c>
      <c r="D60">
        <v>55.1</v>
      </c>
      <c r="E60">
        <v>58.9</v>
      </c>
      <c r="F60">
        <v>49.4</v>
      </c>
      <c r="G60" t="s">
        <v>6</v>
      </c>
      <c r="H60">
        <v>14.3</v>
      </c>
      <c r="I60">
        <v>27.4</v>
      </c>
      <c r="J60">
        <v>11.7</v>
      </c>
      <c r="K60" t="s">
        <v>6</v>
      </c>
      <c r="L60">
        <v>211</v>
      </c>
      <c r="M60" t="s">
        <v>6</v>
      </c>
      <c r="N60" t="s">
        <v>74</v>
      </c>
      <c r="O60">
        <f t="shared" ref="O60:O62" ca="1" si="158">MIN(ROW(INDIRECT(N60)))</f>
        <v>1116</v>
      </c>
      <c r="P60">
        <f t="shared" ref="P60:P62" ca="1" si="159">MIN(ROW(INDIRECT(N60))) + ROWS(INDIRECT(N60)) -1</f>
        <v>1136</v>
      </c>
      <c r="Q60" s="5">
        <f t="shared" si="4"/>
        <v>45465</v>
      </c>
      <c r="R60" s="4">
        <f ca="1">IFERROR(AVERAGE(INDIRECT("D" &amp; $O60):INDIRECT("D" &amp; $P60)),"")</f>
        <v>72.671428571428564</v>
      </c>
      <c r="S60">
        <f ca="1">IFERROR(MAX(INDIRECT("E" &amp; $O60):INDIRECT("E" &amp; $P60)),"")</f>
        <v>122</v>
      </c>
      <c r="T60">
        <f ca="1">IFERROR(MIN(INDIRECT("F" &amp; $O60):INDIRECT("F" &amp; $P60)),"")</f>
        <v>45.3</v>
      </c>
      <c r="U60" s="4">
        <f t="shared" ref="U60:U62" ca="1" si="160">R60+1</f>
        <v>73.671428571428564</v>
      </c>
      <c r="V60" s="4"/>
      <c r="W60" s="4"/>
      <c r="X60" s="5">
        <f t="shared" si="6"/>
        <v>45465</v>
      </c>
      <c r="Y60" s="4">
        <f ca="1">IFERROR(AVERAGE(INDIRECT("H" &amp; $O60):INDIRECT("H" &amp; $P60)),"")</f>
        <v>18.871428571428563</v>
      </c>
      <c r="Z60">
        <f ca="1">IFERROR(MAX(INDIRECT("I" &amp; $O60):INDIRECT("I" &amp; $P60)),"")</f>
        <v>35.299999999999997</v>
      </c>
      <c r="AA60">
        <f ca="1">IFERROR(MIN(INDIRECT("J" &amp; $O60):INDIRECT("J" &amp; $P60)),"")</f>
        <v>10.6</v>
      </c>
      <c r="AB60" s="4">
        <f t="shared" ref="AB60:AB62" ca="1" si="161">Y60+0.3</f>
        <v>19.171428571428564</v>
      </c>
    </row>
    <row r="61" spans="1:28" x14ac:dyDescent="0.2">
      <c r="A61" s="1">
        <v>45411</v>
      </c>
      <c r="B61" s="2">
        <v>0.20833333333333334</v>
      </c>
      <c r="C61" s="3">
        <v>45411.208333333336</v>
      </c>
      <c r="D61">
        <v>51.6</v>
      </c>
      <c r="E61">
        <v>61.6</v>
      </c>
      <c r="F61">
        <v>43.8</v>
      </c>
      <c r="G61" t="s">
        <v>6</v>
      </c>
      <c r="H61">
        <v>14.9</v>
      </c>
      <c r="I61">
        <v>22.3</v>
      </c>
      <c r="J61">
        <v>11.3</v>
      </c>
      <c r="K61" t="s">
        <v>6</v>
      </c>
      <c r="L61">
        <v>225</v>
      </c>
      <c r="M61" t="s">
        <v>6</v>
      </c>
      <c r="N61" t="s">
        <v>75</v>
      </c>
      <c r="O61">
        <f t="shared" ca="1" si="158"/>
        <v>1137</v>
      </c>
      <c r="P61">
        <f t="shared" ca="1" si="159"/>
        <v>1156</v>
      </c>
      <c r="Q61" s="5">
        <f t="shared" si="4"/>
        <v>45466</v>
      </c>
      <c r="R61" s="4">
        <f ca="1">IFERROR(AVERAGE(INDIRECT("D" &amp; $O61):INDIRECT("D" &amp; $P61)),"")</f>
        <v>79.385000000000005</v>
      </c>
      <c r="S61">
        <f ca="1">IFERROR(MAX(INDIRECT("E" &amp; $O61):INDIRECT("E" &amp; $P61)),"")</f>
        <v>115.4</v>
      </c>
      <c r="T61">
        <f ca="1">IFERROR(MIN(INDIRECT("F" &amp; $O61):INDIRECT("F" &amp; $P61)),"")</f>
        <v>43</v>
      </c>
      <c r="U61" s="4">
        <f t="shared" ca="1" si="160"/>
        <v>80.385000000000005</v>
      </c>
      <c r="V61" s="4"/>
      <c r="W61" s="4"/>
      <c r="X61" s="5">
        <f t="shared" si="6"/>
        <v>45466</v>
      </c>
      <c r="Y61" s="4">
        <f ca="1">IFERROR(AVERAGE(INDIRECT("H" &amp; $O61):INDIRECT("H" &amp; $P61)),"")</f>
        <v>16.725000000000001</v>
      </c>
      <c r="Z61">
        <f ca="1">IFERROR(MAX(INDIRECT("I" &amp; $O61):INDIRECT("I" &amp; $P61)),"")</f>
        <v>34.799999999999997</v>
      </c>
      <c r="AA61">
        <f ca="1">IFERROR(MIN(INDIRECT("J" &amp; $O61):INDIRECT("J" &amp; $P61)),"")</f>
        <v>10</v>
      </c>
      <c r="AB61" s="4">
        <f t="shared" ca="1" si="161"/>
        <v>17.025000000000002</v>
      </c>
    </row>
    <row r="62" spans="1:28" x14ac:dyDescent="0.2">
      <c r="A62" s="1">
        <v>45411</v>
      </c>
      <c r="B62" s="2">
        <v>0.25</v>
      </c>
      <c r="C62" s="3">
        <v>45411.25</v>
      </c>
      <c r="D62">
        <v>43.8</v>
      </c>
      <c r="E62">
        <v>46.7</v>
      </c>
      <c r="F62">
        <v>40.1</v>
      </c>
      <c r="G62" t="s">
        <v>6</v>
      </c>
      <c r="H62">
        <v>15.5</v>
      </c>
      <c r="I62">
        <v>26.3</v>
      </c>
      <c r="J62">
        <v>11.7</v>
      </c>
      <c r="K62" t="s">
        <v>6</v>
      </c>
      <c r="L62">
        <v>208</v>
      </c>
      <c r="M62" t="s">
        <v>6</v>
      </c>
      <c r="N62" t="s">
        <v>76</v>
      </c>
      <c r="O62">
        <f t="shared" ca="1" si="158"/>
        <v>1157</v>
      </c>
      <c r="P62">
        <f t="shared" ca="1" si="159"/>
        <v>1175</v>
      </c>
      <c r="Q62" s="5">
        <f t="shared" si="4"/>
        <v>45467</v>
      </c>
      <c r="R62" s="4">
        <f ca="1">IFERROR(AVERAGE(INDIRECT("D" &amp; $O62):INDIRECT("D" &amp; $P62)),"")</f>
        <v>73.852631578947381</v>
      </c>
      <c r="S62">
        <f ca="1">IFERROR(MAX(INDIRECT("E" &amp; $O62):INDIRECT("E" &amp; $P62)),"")</f>
        <v>127.2</v>
      </c>
      <c r="T62">
        <f ca="1">IFERROR(MIN(INDIRECT("F" &amp; $O62):INDIRECT("F" &amp; $P62)),"")</f>
        <v>44.2</v>
      </c>
      <c r="U62" s="4">
        <f t="shared" ca="1" si="160"/>
        <v>74.852631578947381</v>
      </c>
      <c r="V62" s="4"/>
      <c r="W62" s="4"/>
      <c r="X62" s="5">
        <f t="shared" si="6"/>
        <v>45467</v>
      </c>
      <c r="Y62" s="4">
        <f ca="1">IFERROR(AVERAGE(INDIRECT("H" &amp; $O62):INDIRECT("H" &amp; $P62)),"")</f>
        <v>17.442105263157895</v>
      </c>
      <c r="Z62">
        <f ca="1">IFERROR(MAX(INDIRECT("I" &amp; $O62):INDIRECT("I" &amp; $P62)),"")</f>
        <v>35.1</v>
      </c>
      <c r="AA62">
        <f ca="1">IFERROR(MIN(INDIRECT("J" &amp; $O62):INDIRECT("J" &amp; $P62)),"")</f>
        <v>9.4</v>
      </c>
      <c r="AB62" s="4">
        <f t="shared" ca="1" si="161"/>
        <v>17.742105263157896</v>
      </c>
    </row>
    <row r="63" spans="1:28" x14ac:dyDescent="0.2">
      <c r="A63" s="13">
        <v>45411</v>
      </c>
      <c r="B63" s="9">
        <v>0.29166666666666669</v>
      </c>
      <c r="C63" s="8">
        <v>45411.291666666664</v>
      </c>
      <c r="D63" s="10">
        <v>42.1</v>
      </c>
      <c r="E63" s="10">
        <v>43</v>
      </c>
      <c r="F63" s="10">
        <v>40.4</v>
      </c>
      <c r="G63" s="10" t="s">
        <v>6</v>
      </c>
      <c r="H63" s="10">
        <v>14.1</v>
      </c>
      <c r="I63" s="10">
        <v>20.399999999999999</v>
      </c>
      <c r="J63" s="10">
        <v>12.4</v>
      </c>
      <c r="K63" s="10" t="s">
        <v>6</v>
      </c>
      <c r="L63" s="10">
        <v>82</v>
      </c>
      <c r="M63" t="s">
        <v>6</v>
      </c>
      <c r="N63" t="s">
        <v>77</v>
      </c>
      <c r="O63">
        <f t="shared" ref="O63" ca="1" si="162">MIN(ROW(INDIRECT(N63)))</f>
        <v>1176</v>
      </c>
      <c r="P63">
        <f t="shared" ref="P63" ca="1" si="163">MIN(ROW(INDIRECT(N63))) + ROWS(INDIRECT(N63)) -1</f>
        <v>1195</v>
      </c>
      <c r="Q63" s="5">
        <f t="shared" si="4"/>
        <v>45468</v>
      </c>
      <c r="R63" s="4">
        <f ca="1">IFERROR(AVERAGE(INDIRECT("D" &amp; $O63):INDIRECT("D" &amp; $P63)),"")</f>
        <v>56.080000000000005</v>
      </c>
      <c r="S63">
        <f ca="1">IFERROR(MAX(INDIRECT("E" &amp; $O63):INDIRECT("E" &amp; $P63)),"")</f>
        <v>107.2</v>
      </c>
      <c r="T63">
        <f ca="1">IFERROR(MIN(INDIRECT("F" &amp; $O63):INDIRECT("F" &amp; $P63)),"")</f>
        <v>40.1</v>
      </c>
      <c r="U63" s="4">
        <f t="shared" ref="U63" ca="1" si="164">R63+1</f>
        <v>57.080000000000005</v>
      </c>
      <c r="V63" s="4"/>
      <c r="W63" s="4"/>
      <c r="X63" s="5">
        <f t="shared" si="6"/>
        <v>45468</v>
      </c>
      <c r="Y63" s="4">
        <f ca="1">IFERROR(AVERAGE(INDIRECT("H" &amp; $O63):INDIRECT("H" &amp; $P63)),"")</f>
        <v>16.675000000000001</v>
      </c>
      <c r="Z63">
        <f ca="1">IFERROR(MAX(INDIRECT("I" &amp; $O63):INDIRECT("I" &amp; $P63)),"")</f>
        <v>34.5</v>
      </c>
      <c r="AA63">
        <f ca="1">IFERROR(MIN(INDIRECT("J" &amp; $O63):INDIRECT("J" &amp; $P63)),"")</f>
        <v>10.5</v>
      </c>
      <c r="AB63" s="4">
        <f t="shared" ref="AB63" ca="1" si="165">Y63+0.3</f>
        <v>16.975000000000001</v>
      </c>
    </row>
    <row r="64" spans="1:28" x14ac:dyDescent="0.2">
      <c r="A64" s="14">
        <v>45411</v>
      </c>
      <c r="B64" s="12">
        <v>0.83333333333333337</v>
      </c>
      <c r="C64" s="7">
        <v>45411.833333333336</v>
      </c>
      <c r="D64" s="11">
        <v>50.1</v>
      </c>
      <c r="E64" s="11">
        <v>61.5</v>
      </c>
      <c r="F64" s="11">
        <v>47.3</v>
      </c>
      <c r="G64" s="11" t="s">
        <v>6</v>
      </c>
      <c r="H64" s="11">
        <v>15.8</v>
      </c>
      <c r="I64" s="11">
        <v>30.1</v>
      </c>
      <c r="J64" s="11">
        <v>13.2</v>
      </c>
      <c r="K64" s="11" t="s">
        <v>6</v>
      </c>
      <c r="L64" s="11">
        <v>165</v>
      </c>
      <c r="M64" t="s">
        <v>6</v>
      </c>
      <c r="N64" t="s">
        <v>78</v>
      </c>
      <c r="O64">
        <f t="shared" ref="O64" ca="1" si="166">MIN(ROW(INDIRECT(N64)))</f>
        <v>1196</v>
      </c>
      <c r="P64">
        <f t="shared" ref="P64" ca="1" si="167">MIN(ROW(INDIRECT(N64))) + ROWS(INDIRECT(N64)) -1</f>
        <v>1218</v>
      </c>
      <c r="Q64" s="5">
        <f t="shared" si="4"/>
        <v>45469</v>
      </c>
      <c r="R64" s="4">
        <f ca="1">IFERROR(AVERAGE(INDIRECT("D" &amp; $O64):INDIRECT("D" &amp; $P64)),"")</f>
        <v>64.965217391304364</v>
      </c>
      <c r="S64">
        <f ca="1">IFERROR(MAX(INDIRECT("E" &amp; $O64):INDIRECT("E" &amp; $P64)),"")</f>
        <v>114.2</v>
      </c>
      <c r="T64">
        <f ca="1">IFERROR(MIN(INDIRECT("F" &amp; $O64):INDIRECT("F" &amp; $P64)),"")</f>
        <v>40.1</v>
      </c>
      <c r="U64" s="4">
        <f t="shared" ref="U64" ca="1" si="168">R64+1</f>
        <v>65.965217391304364</v>
      </c>
      <c r="V64" s="4"/>
      <c r="W64" s="4"/>
      <c r="X64" s="5">
        <f t="shared" si="6"/>
        <v>45469</v>
      </c>
      <c r="Y64" s="4">
        <f ca="1">IFERROR(AVERAGE(INDIRECT("H" &amp; $O64):INDIRECT("H" &amp; $P64)),"")</f>
        <v>15.491304347826087</v>
      </c>
      <c r="Z64">
        <f ca="1">IFERROR(MAX(INDIRECT("I" &amp; $O64):INDIRECT("I" &amp; $P64)),"")</f>
        <v>34.5</v>
      </c>
      <c r="AA64">
        <f ca="1">IFERROR(MIN(INDIRECT("J" &amp; $O64):INDIRECT("J" &amp; $P64)),"")</f>
        <v>10.4</v>
      </c>
      <c r="AB64" s="4">
        <f t="shared" ref="AB64" ca="1" si="169">Y64+0.3</f>
        <v>15.791304347826088</v>
      </c>
    </row>
    <row r="65" spans="1:28" x14ac:dyDescent="0.2">
      <c r="A65" s="1">
        <v>45411</v>
      </c>
      <c r="B65" s="2">
        <v>0.875</v>
      </c>
      <c r="C65" s="3">
        <v>45411.875</v>
      </c>
      <c r="D65">
        <v>45.3</v>
      </c>
      <c r="E65">
        <v>51.4</v>
      </c>
      <c r="F65">
        <v>42.3</v>
      </c>
      <c r="G65" t="s">
        <v>6</v>
      </c>
      <c r="H65">
        <v>14.4</v>
      </c>
      <c r="I65">
        <v>19.3</v>
      </c>
      <c r="J65">
        <v>12.3</v>
      </c>
      <c r="K65" t="s">
        <v>6</v>
      </c>
      <c r="L65">
        <v>222</v>
      </c>
      <c r="M65" t="s">
        <v>6</v>
      </c>
      <c r="N65" t="s">
        <v>79</v>
      </c>
      <c r="O65">
        <f t="shared" ref="O65" ca="1" si="170">MIN(ROW(INDIRECT(N65)))</f>
        <v>1219</v>
      </c>
      <c r="P65">
        <f t="shared" ref="P65" ca="1" si="171">MIN(ROW(INDIRECT(N65))) + ROWS(INDIRECT(N65)) -1</f>
        <v>1238</v>
      </c>
      <c r="Q65" s="5">
        <f t="shared" si="4"/>
        <v>45470</v>
      </c>
      <c r="R65" s="4">
        <f ca="1">IFERROR(AVERAGE(INDIRECT("D" &amp; $O65):INDIRECT("D" &amp; $P65)),"")</f>
        <v>76.215000000000003</v>
      </c>
      <c r="S65">
        <f ca="1">IFERROR(MAX(INDIRECT("E" &amp; $O65):INDIRECT("E" &amp; $P65)),"")</f>
        <v>114.1</v>
      </c>
      <c r="T65">
        <f ca="1">IFERROR(MIN(INDIRECT("F" &amp; $O65):INDIRECT("F" &amp; $P65)),"")</f>
        <v>40.1</v>
      </c>
      <c r="U65" s="4">
        <f t="shared" ref="U65" ca="1" si="172">R65+1</f>
        <v>77.215000000000003</v>
      </c>
      <c r="V65" s="4"/>
      <c r="W65" s="4"/>
      <c r="X65" s="5">
        <f t="shared" si="6"/>
        <v>45470</v>
      </c>
      <c r="Y65" s="4">
        <f ca="1">IFERROR(AVERAGE(INDIRECT("H" &amp; $O65):INDIRECT("H" &amp; $P65)),"")</f>
        <v>16.414999999999999</v>
      </c>
      <c r="Z65">
        <f ca="1">IFERROR(MAX(INDIRECT("I" &amp; $O65):INDIRECT("I" &amp; $P65)),"")</f>
        <v>35</v>
      </c>
      <c r="AA65">
        <f ca="1">IFERROR(MIN(INDIRECT("J" &amp; $O65):INDIRECT("J" &amp; $P65)),"")</f>
        <v>9.6999999999999993</v>
      </c>
      <c r="AB65" s="4">
        <f t="shared" ref="AB65" ca="1" si="173">Y65+0.3</f>
        <v>16.715</v>
      </c>
    </row>
    <row r="66" spans="1:28" x14ac:dyDescent="0.2">
      <c r="A66" s="1">
        <v>45411</v>
      </c>
      <c r="B66" s="2">
        <v>0.91666666666666663</v>
      </c>
      <c r="C66" s="3">
        <v>45411.916666666664</v>
      </c>
      <c r="D66">
        <v>49.7</v>
      </c>
      <c r="E66">
        <v>62.2</v>
      </c>
      <c r="F66">
        <v>41.7</v>
      </c>
      <c r="G66" t="s">
        <v>6</v>
      </c>
      <c r="H66">
        <v>18.5</v>
      </c>
      <c r="I66">
        <v>31.2</v>
      </c>
      <c r="J66">
        <v>12.4</v>
      </c>
      <c r="K66" t="s">
        <v>6</v>
      </c>
      <c r="L66">
        <v>217</v>
      </c>
      <c r="M66" t="s">
        <v>6</v>
      </c>
      <c r="N66" t="s">
        <v>80</v>
      </c>
      <c r="O66">
        <f t="shared" ref="O66" ca="1" si="174">MIN(ROW(INDIRECT(N66)))</f>
        <v>1239</v>
      </c>
      <c r="P66">
        <f t="shared" ref="P66" ca="1" si="175">MIN(ROW(INDIRECT(N66))) + ROWS(INDIRECT(N66)) -1</f>
        <v>1261</v>
      </c>
      <c r="Q66" s="5">
        <f t="shared" si="4"/>
        <v>45471</v>
      </c>
      <c r="R66" s="4">
        <f ca="1">IFERROR(AVERAGE(INDIRECT("D" &amp; $O66):INDIRECT("D" &amp; $P66)),"")</f>
        <v>78.586956521739125</v>
      </c>
      <c r="S66">
        <f ca="1">IFERROR(MAX(INDIRECT("E" &amp; $O66):INDIRECT("E" &amp; $P66)),"")</f>
        <v>124</v>
      </c>
      <c r="T66">
        <f ca="1">IFERROR(MIN(INDIRECT("F" &amp; $O66):INDIRECT("F" &amp; $P66)),"")</f>
        <v>52</v>
      </c>
      <c r="U66" s="4">
        <f t="shared" ref="U66" ca="1" si="176">R66+1</f>
        <v>79.586956521739125</v>
      </c>
      <c r="V66" s="4"/>
      <c r="W66" s="4"/>
      <c r="X66" s="5">
        <f t="shared" si="6"/>
        <v>45471</v>
      </c>
      <c r="Y66" s="4">
        <f ca="1">IFERROR(AVERAGE(INDIRECT("H" &amp; $O66):INDIRECT("H" &amp; $P66)),"")</f>
        <v>14.134782608695653</v>
      </c>
      <c r="Z66">
        <f ca="1">IFERROR(MAX(INDIRECT("I" &amp; $O66):INDIRECT("I" &amp; $P66)),"")</f>
        <v>32.6</v>
      </c>
      <c r="AA66">
        <f ca="1">IFERROR(MIN(INDIRECT("J" &amp; $O66):INDIRECT("J" &amp; $P66)),"")</f>
        <v>9.8000000000000007</v>
      </c>
      <c r="AB66" s="4">
        <f t="shared" ref="AB66" ca="1" si="177">Y66+0.3</f>
        <v>14.434782608695654</v>
      </c>
    </row>
    <row r="67" spans="1:28" x14ac:dyDescent="0.2">
      <c r="A67" s="1">
        <v>45411</v>
      </c>
      <c r="B67" s="2">
        <v>0.95833333333333337</v>
      </c>
      <c r="C67" s="3">
        <v>45411.958333333336</v>
      </c>
      <c r="D67">
        <v>50.5</v>
      </c>
      <c r="E67">
        <v>62.6</v>
      </c>
      <c r="F67">
        <v>43.7</v>
      </c>
      <c r="G67" t="s">
        <v>6</v>
      </c>
      <c r="H67">
        <v>16</v>
      </c>
      <c r="I67">
        <v>26.2</v>
      </c>
      <c r="J67">
        <v>12.5</v>
      </c>
      <c r="K67" t="s">
        <v>6</v>
      </c>
      <c r="L67">
        <v>213</v>
      </c>
      <c r="M67" t="s">
        <v>6</v>
      </c>
      <c r="N67" t="s">
        <v>81</v>
      </c>
      <c r="O67">
        <f t="shared" ref="O67:O69" ca="1" si="178">MIN(ROW(INDIRECT(N67)))</f>
        <v>1262</v>
      </c>
      <c r="P67">
        <f t="shared" ref="P67:P69" ca="1" si="179">MIN(ROW(INDIRECT(N67))) + ROWS(INDIRECT(N67)) -1</f>
        <v>1280</v>
      </c>
      <c r="Q67" s="5">
        <f t="shared" si="4"/>
        <v>45472</v>
      </c>
      <c r="R67" s="4">
        <f ca="1">IFERROR(AVERAGE(INDIRECT("D" &amp; $O67):INDIRECT("D" &amp; $P67)),"")</f>
        <v>73.505263157894731</v>
      </c>
      <c r="S67">
        <f ca="1">IFERROR(MAX(INDIRECT("E" &amp; $O67):INDIRECT("E" &amp; $P67)),"")</f>
        <v>113.7</v>
      </c>
      <c r="T67">
        <f ca="1">IFERROR(MIN(INDIRECT("F" &amp; $O67):INDIRECT("F" &amp; $P67)),"")</f>
        <v>43.1</v>
      </c>
      <c r="U67" s="4">
        <f t="shared" ref="U67:U69" ca="1" si="180">R67+1</f>
        <v>74.505263157894731</v>
      </c>
      <c r="V67" s="4"/>
      <c r="W67" s="4"/>
      <c r="X67" s="5">
        <f t="shared" si="6"/>
        <v>45472</v>
      </c>
      <c r="Y67" s="4">
        <f ca="1">IFERROR(AVERAGE(INDIRECT("H" &amp; $O67):INDIRECT("H" &amp; $P67)),"")</f>
        <v>16.110526315789475</v>
      </c>
      <c r="Z67">
        <f ca="1">IFERROR(MAX(INDIRECT("I" &amp; $O67):INDIRECT("I" &amp; $P67)),"")</f>
        <v>48.4</v>
      </c>
      <c r="AA67">
        <f ca="1">IFERROR(MIN(INDIRECT("J" &amp; $O67):INDIRECT("J" &amp; $P67)),"")</f>
        <v>10.4</v>
      </c>
      <c r="AB67" s="4">
        <f t="shared" ref="AB67:AB69" ca="1" si="181">Y67+0.3</f>
        <v>16.410526315789475</v>
      </c>
    </row>
    <row r="68" spans="1:28" x14ac:dyDescent="0.2">
      <c r="A68" s="1">
        <v>45412</v>
      </c>
      <c r="B68" s="2">
        <v>0</v>
      </c>
      <c r="C68" s="3">
        <v>45412</v>
      </c>
      <c r="D68">
        <v>47.8</v>
      </c>
      <c r="E68">
        <v>53.3</v>
      </c>
      <c r="F68">
        <v>44.5</v>
      </c>
      <c r="G68" t="s">
        <v>6</v>
      </c>
      <c r="H68">
        <v>14.4</v>
      </c>
      <c r="I68">
        <v>22.8</v>
      </c>
      <c r="J68">
        <v>11.7</v>
      </c>
      <c r="K68" t="s">
        <v>6</v>
      </c>
      <c r="L68">
        <v>223</v>
      </c>
      <c r="M68" t="s">
        <v>6</v>
      </c>
      <c r="N68" t="s">
        <v>82</v>
      </c>
      <c r="O68">
        <f t="shared" ca="1" si="178"/>
        <v>1281</v>
      </c>
      <c r="P68">
        <f t="shared" ca="1" si="179"/>
        <v>1299</v>
      </c>
      <c r="Q68" s="5">
        <f t="shared" ref="Q68:Q115" si="182">Q67+1</f>
        <v>45473</v>
      </c>
      <c r="R68" s="4">
        <f ca="1">IFERROR(AVERAGE(INDIRECT("D" &amp; $O68):INDIRECT("D" &amp; $P68)),"")</f>
        <v>78.521052631578939</v>
      </c>
      <c r="S68">
        <f ca="1">IFERROR(MAX(INDIRECT("E" &amp; $O68):INDIRECT("E" &amp; $P68)),"")</f>
        <v>116.7</v>
      </c>
      <c r="T68">
        <f ca="1">IFERROR(MIN(INDIRECT("F" &amp; $O68):INDIRECT("F" &amp; $P68)),"")</f>
        <v>52.2</v>
      </c>
      <c r="U68" s="4">
        <f t="shared" ca="1" si="180"/>
        <v>79.521052631578939</v>
      </c>
      <c r="V68" s="4"/>
      <c r="W68" s="4"/>
      <c r="X68" s="5">
        <f t="shared" ref="X68:X115" si="183">X67+1</f>
        <v>45473</v>
      </c>
      <c r="Y68" s="4">
        <f ca="1">IFERROR(AVERAGE(INDIRECT("H" &amp; $O68):INDIRECT("H" &amp; $P68)),"")</f>
        <v>14.173684210526313</v>
      </c>
      <c r="Z68">
        <f ca="1">IFERROR(MAX(INDIRECT("I" &amp; $O68):INDIRECT("I" &amp; $P68)),"")</f>
        <v>38</v>
      </c>
      <c r="AA68">
        <f ca="1">IFERROR(MIN(INDIRECT("J" &amp; $O68):INDIRECT("J" &amp; $P68)),"")</f>
        <v>8.6999999999999993</v>
      </c>
      <c r="AB68" s="4">
        <f t="shared" ca="1" si="181"/>
        <v>14.473684210526313</v>
      </c>
    </row>
    <row r="69" spans="1:28" x14ac:dyDescent="0.2">
      <c r="A69" s="1">
        <v>45412</v>
      </c>
      <c r="B69" s="2">
        <v>4.1666666666666664E-2</v>
      </c>
      <c r="C69" s="3">
        <v>45412.041666666664</v>
      </c>
      <c r="D69">
        <v>51.1</v>
      </c>
      <c r="E69">
        <v>60.7</v>
      </c>
      <c r="F69">
        <v>44.8</v>
      </c>
      <c r="G69" t="s">
        <v>6</v>
      </c>
      <c r="H69">
        <v>15.3</v>
      </c>
      <c r="I69">
        <v>25.9</v>
      </c>
      <c r="J69">
        <v>12.3</v>
      </c>
      <c r="K69" t="s">
        <v>6</v>
      </c>
      <c r="L69">
        <v>218</v>
      </c>
      <c r="M69" t="s">
        <v>6</v>
      </c>
      <c r="N69" t="s">
        <v>83</v>
      </c>
      <c r="O69">
        <f t="shared" ca="1" si="178"/>
        <v>1300</v>
      </c>
      <c r="P69">
        <f t="shared" ca="1" si="179"/>
        <v>1323</v>
      </c>
      <c r="Q69" s="5">
        <f t="shared" si="182"/>
        <v>45474</v>
      </c>
      <c r="R69" s="4">
        <f ca="1">IFERROR(AVERAGE(INDIRECT("D" &amp; $O69):INDIRECT("D" &amp; $P69)),"")</f>
        <v>69.350000000000009</v>
      </c>
      <c r="S69">
        <f ca="1">IFERROR(MAX(INDIRECT("E" &amp; $O69):INDIRECT("E" &amp; $P69)),"")</f>
        <v>122.5</v>
      </c>
      <c r="T69">
        <f ca="1">IFERROR(MIN(INDIRECT("F" &amp; $O69):INDIRECT("F" &amp; $P69)),"")</f>
        <v>43.9</v>
      </c>
      <c r="U69" s="4">
        <f t="shared" ca="1" si="180"/>
        <v>70.350000000000009</v>
      </c>
      <c r="V69" s="4"/>
      <c r="W69" s="4"/>
      <c r="X69" s="5">
        <f t="shared" si="183"/>
        <v>45474</v>
      </c>
      <c r="Y69" s="4">
        <f ca="1">IFERROR(AVERAGE(INDIRECT("H" &amp; $O69):INDIRECT("H" &amp; $P69)),"")</f>
        <v>13.820833333333335</v>
      </c>
      <c r="Z69">
        <f ca="1">IFERROR(MAX(INDIRECT("I" &amp; $O69):INDIRECT("I" &amp; $P69)),"")</f>
        <v>31.3</v>
      </c>
      <c r="AA69">
        <f ca="1">IFERROR(MIN(INDIRECT("J" &amp; $O69):INDIRECT("J" &amp; $P69)),"")</f>
        <v>8.6999999999999993</v>
      </c>
      <c r="AB69" s="4">
        <f t="shared" ca="1" si="181"/>
        <v>14.120833333333335</v>
      </c>
    </row>
    <row r="70" spans="1:28" x14ac:dyDescent="0.2">
      <c r="A70" s="1">
        <v>45412</v>
      </c>
      <c r="B70" s="2">
        <v>8.3333333333333329E-2</v>
      </c>
      <c r="C70" s="3">
        <v>45412.083333333336</v>
      </c>
      <c r="D70">
        <v>43.7</v>
      </c>
      <c r="E70">
        <v>51.7</v>
      </c>
      <c r="F70">
        <v>40.299999999999997</v>
      </c>
      <c r="G70" t="s">
        <v>6</v>
      </c>
      <c r="H70">
        <v>13.3</v>
      </c>
      <c r="I70">
        <v>22.3</v>
      </c>
      <c r="J70">
        <v>11.7</v>
      </c>
      <c r="K70" t="s">
        <v>6</v>
      </c>
      <c r="L70">
        <v>220</v>
      </c>
      <c r="M70" t="s">
        <v>6</v>
      </c>
      <c r="N70" t="s">
        <v>84</v>
      </c>
      <c r="O70">
        <f t="shared" ref="O70" ca="1" si="184">MIN(ROW(INDIRECT(N70)))</f>
        <v>1324</v>
      </c>
      <c r="P70">
        <f t="shared" ref="P70" ca="1" si="185">MIN(ROW(INDIRECT(N70))) + ROWS(INDIRECT(N70)) -1</f>
        <v>1345</v>
      </c>
      <c r="Q70" s="5">
        <f t="shared" si="182"/>
        <v>45475</v>
      </c>
      <c r="R70" s="4">
        <f ca="1">IFERROR(AVERAGE(INDIRECT("D" &amp; $O70):INDIRECT("D" &amp; $P70)),"")</f>
        <v>63.081818181818178</v>
      </c>
      <c r="S70">
        <f ca="1">IFERROR(MAX(INDIRECT("E" &amp; $O70):INDIRECT("E" &amp; $P70)),"")</f>
        <v>119.2</v>
      </c>
      <c r="T70">
        <f ca="1">IFERROR(MIN(INDIRECT("F" &amp; $O70):INDIRECT("F" &amp; $P70)),"")</f>
        <v>40.1</v>
      </c>
      <c r="U70" s="4">
        <f t="shared" ref="U70" ca="1" si="186">R70+1</f>
        <v>64.081818181818178</v>
      </c>
      <c r="V70" s="4"/>
      <c r="W70" s="4"/>
      <c r="X70" s="5">
        <f t="shared" si="183"/>
        <v>45475</v>
      </c>
      <c r="Y70" s="4">
        <f ca="1">IFERROR(AVERAGE(INDIRECT("H" &amp; $O70):INDIRECT("H" &amp; $P70)),"")</f>
        <v>14.540909090909095</v>
      </c>
      <c r="Z70">
        <f ca="1">IFERROR(MAX(INDIRECT("I" &amp; $O70):INDIRECT("I" &amp; $P70)),"")</f>
        <v>32.4</v>
      </c>
      <c r="AA70">
        <f ca="1">IFERROR(MIN(INDIRECT("J" &amp; $O70):INDIRECT("J" &amp; $P70)),"")</f>
        <v>9.1</v>
      </c>
      <c r="AB70" s="4">
        <f t="shared" ref="AB70" ca="1" si="187">Y70+0.3</f>
        <v>14.840909090909095</v>
      </c>
    </row>
    <row r="71" spans="1:28" x14ac:dyDescent="0.2">
      <c r="A71" s="1">
        <v>45412</v>
      </c>
      <c r="B71" s="2">
        <v>0.125</v>
      </c>
      <c r="C71" s="3">
        <v>45412.125</v>
      </c>
      <c r="D71">
        <v>43.7</v>
      </c>
      <c r="E71">
        <v>49.7</v>
      </c>
      <c r="F71">
        <v>40.4</v>
      </c>
      <c r="G71" t="s">
        <v>6</v>
      </c>
      <c r="H71">
        <v>13.2</v>
      </c>
      <c r="I71">
        <v>18</v>
      </c>
      <c r="J71">
        <v>12.1</v>
      </c>
      <c r="K71" t="s">
        <v>6</v>
      </c>
      <c r="L71">
        <v>217</v>
      </c>
      <c r="M71" t="s">
        <v>6</v>
      </c>
      <c r="N71" t="s">
        <v>85</v>
      </c>
      <c r="O71">
        <f t="shared" ref="O71" ca="1" si="188">MIN(ROW(INDIRECT(N71)))</f>
        <v>1346</v>
      </c>
      <c r="P71">
        <f t="shared" ref="P71" ca="1" si="189">MIN(ROW(INDIRECT(N71))) + ROWS(INDIRECT(N71)) -1</f>
        <v>1366</v>
      </c>
      <c r="Q71" s="5">
        <f t="shared" si="182"/>
        <v>45476</v>
      </c>
      <c r="R71" s="4">
        <f ca="1">IFERROR(AVERAGE(INDIRECT("D" &amp; $O71):INDIRECT("D" &amp; $P71)),"")</f>
        <v>60.680952380952377</v>
      </c>
      <c r="S71">
        <f ca="1">IFERROR(MAX(INDIRECT("E" &amp; $O71):INDIRECT("E" &amp; $P71)),"")</f>
        <v>114.2</v>
      </c>
      <c r="T71">
        <f ca="1">IFERROR(MIN(INDIRECT("F" &amp; $O71):INDIRECT("F" &amp; $P71)),"")</f>
        <v>40.200000000000003</v>
      </c>
      <c r="U71" s="4">
        <f t="shared" ref="U71" ca="1" si="190">R71+1</f>
        <v>61.680952380952377</v>
      </c>
      <c r="V71" s="4"/>
      <c r="W71" s="4"/>
      <c r="X71" s="5">
        <f t="shared" si="183"/>
        <v>45476</v>
      </c>
      <c r="Y71" s="4">
        <f ca="1">IFERROR(AVERAGE(INDIRECT("H" &amp; $O71):INDIRECT("H" &amp; $P71)),"")</f>
        <v>14.261904761904763</v>
      </c>
      <c r="Z71">
        <f ca="1">IFERROR(MAX(INDIRECT("I" &amp; $O71):INDIRECT("I" &amp; $P71)),"")</f>
        <v>32.799999999999997</v>
      </c>
      <c r="AA71">
        <f ca="1">IFERROR(MIN(INDIRECT("J" &amp; $O71):INDIRECT("J" &amp; $P71)),"")</f>
        <v>9.4</v>
      </c>
      <c r="AB71" s="4">
        <f t="shared" ref="AB71" ca="1" si="191">Y71+0.3</f>
        <v>14.561904761904763</v>
      </c>
    </row>
    <row r="72" spans="1:28" x14ac:dyDescent="0.2">
      <c r="A72" s="1">
        <v>45412</v>
      </c>
      <c r="B72" s="2">
        <v>0.16666666666666666</v>
      </c>
      <c r="C72" s="3">
        <v>45412.166666666664</v>
      </c>
      <c r="D72">
        <v>44.4</v>
      </c>
      <c r="E72">
        <v>49</v>
      </c>
      <c r="F72">
        <v>41.3</v>
      </c>
      <c r="G72" t="s">
        <v>6</v>
      </c>
      <c r="H72">
        <v>13.6</v>
      </c>
      <c r="I72">
        <v>17</v>
      </c>
      <c r="J72">
        <v>12.1</v>
      </c>
      <c r="K72" t="s">
        <v>6</v>
      </c>
      <c r="L72">
        <v>209</v>
      </c>
      <c r="M72" t="s">
        <v>6</v>
      </c>
      <c r="N72" t="s">
        <v>86</v>
      </c>
      <c r="O72">
        <f t="shared" ref="O72" ca="1" si="192">MIN(ROW(INDIRECT(N72)))</f>
        <v>1367</v>
      </c>
      <c r="P72">
        <f t="shared" ref="P72" ca="1" si="193">MIN(ROW(INDIRECT(N72))) + ROWS(INDIRECT(N72)) -1</f>
        <v>1389</v>
      </c>
      <c r="Q72" s="5">
        <f t="shared" si="182"/>
        <v>45477</v>
      </c>
      <c r="R72" s="4">
        <f ca="1">IFERROR(AVERAGE(INDIRECT("D" &amp; $O72):INDIRECT("D" &amp; $P72)),"")</f>
        <v>79.839130434782604</v>
      </c>
      <c r="S72">
        <f ca="1">IFERROR(MAX(INDIRECT("E" &amp; $O72):INDIRECT("E" &amp; $P72)),"")</f>
        <v>117.4</v>
      </c>
      <c r="T72">
        <f ca="1">IFERROR(MIN(INDIRECT("F" &amp; $O72):INDIRECT("F" &amp; $P72)),"")</f>
        <v>44.9</v>
      </c>
      <c r="U72" s="4">
        <f t="shared" ref="U72" ca="1" si="194">R72+1</f>
        <v>80.839130434782604</v>
      </c>
      <c r="V72" s="4"/>
      <c r="W72" s="4"/>
      <c r="X72" s="5">
        <f t="shared" si="183"/>
        <v>45477</v>
      </c>
      <c r="Y72" s="4">
        <f ca="1">IFERROR(AVERAGE(INDIRECT("H" &amp; $O72):INDIRECT("H" &amp; $P72)),"")</f>
        <v>15.11304347826087</v>
      </c>
      <c r="Z72">
        <f ca="1">IFERROR(MAX(INDIRECT("I" &amp; $O72):INDIRECT("I" &amp; $P72)),"")</f>
        <v>28.4</v>
      </c>
      <c r="AA72">
        <f ca="1">IFERROR(MIN(INDIRECT("J" &amp; $O72):INDIRECT("J" &amp; $P72)),"")</f>
        <v>10.6</v>
      </c>
      <c r="AB72" s="4">
        <f t="shared" ref="AB72" ca="1" si="195">Y72+0.3</f>
        <v>15.413043478260871</v>
      </c>
    </row>
    <row r="73" spans="1:28" x14ac:dyDescent="0.2">
      <c r="A73" s="1">
        <v>45412</v>
      </c>
      <c r="B73" s="2">
        <v>0.20833333333333334</v>
      </c>
      <c r="C73" s="3">
        <v>45412.208333333336</v>
      </c>
      <c r="D73">
        <v>52.2</v>
      </c>
      <c r="E73">
        <v>57.8</v>
      </c>
      <c r="F73">
        <v>48.7</v>
      </c>
      <c r="G73" t="s">
        <v>6</v>
      </c>
      <c r="H73">
        <v>12.9</v>
      </c>
      <c r="I73">
        <v>18.2</v>
      </c>
      <c r="J73">
        <v>11.4</v>
      </c>
      <c r="K73" t="s">
        <v>6</v>
      </c>
      <c r="L73">
        <v>223</v>
      </c>
      <c r="M73" t="s">
        <v>6</v>
      </c>
      <c r="N73" t="s">
        <v>87</v>
      </c>
      <c r="O73">
        <f t="shared" ref="O73" ca="1" si="196">MIN(ROW(INDIRECT(N73)))</f>
        <v>1390</v>
      </c>
      <c r="P73">
        <f t="shared" ref="P73" ca="1" si="197">MIN(ROW(INDIRECT(N73))) + ROWS(INDIRECT(N73)) -1</f>
        <v>1406</v>
      </c>
      <c r="Q73" s="5">
        <f t="shared" si="182"/>
        <v>45478</v>
      </c>
      <c r="R73" s="4">
        <f ca="1">IFERROR(AVERAGE(INDIRECT("D" &amp; $O73):INDIRECT("D" &amp; $P73)),"")</f>
        <v>77.699999999999974</v>
      </c>
      <c r="S73">
        <f ca="1">IFERROR(MAX(INDIRECT("E" &amp; $O73):INDIRECT("E" &amp; $P73)),"")</f>
        <v>115.5</v>
      </c>
      <c r="T73">
        <f ca="1">IFERROR(MIN(INDIRECT("F" &amp; $O73):INDIRECT("F" &amp; $P73)),"")</f>
        <v>42.9</v>
      </c>
      <c r="U73" s="4">
        <f t="shared" ref="U73" ca="1" si="198">R73+1</f>
        <v>78.699999999999974</v>
      </c>
      <c r="V73" s="4"/>
      <c r="W73" s="4"/>
      <c r="X73" s="5">
        <f t="shared" si="183"/>
        <v>45478</v>
      </c>
      <c r="Y73" s="4">
        <f ca="1">IFERROR(AVERAGE(INDIRECT("H" &amp; $O73):INDIRECT("H" &amp; $P73)),"")</f>
        <v>15.670588235294117</v>
      </c>
      <c r="Z73">
        <f ca="1">IFERROR(MAX(INDIRECT("I" &amp; $O73):INDIRECT("I" &amp; $P73)),"")</f>
        <v>34</v>
      </c>
      <c r="AA73">
        <f ca="1">IFERROR(MIN(INDIRECT("J" &amp; $O73):INDIRECT("J" &amp; $P73)),"")</f>
        <v>10.8</v>
      </c>
      <c r="AB73" s="4">
        <f t="shared" ref="AB73" ca="1" si="199">Y73+0.3</f>
        <v>15.970588235294118</v>
      </c>
    </row>
    <row r="74" spans="1:28" x14ac:dyDescent="0.2">
      <c r="A74" s="1">
        <v>45412</v>
      </c>
      <c r="B74" s="2">
        <v>0.25</v>
      </c>
      <c r="C74" s="3">
        <v>45412.25</v>
      </c>
      <c r="D74">
        <v>51.3</v>
      </c>
      <c r="E74">
        <v>53.4</v>
      </c>
      <c r="F74">
        <v>46.3</v>
      </c>
      <c r="G74" t="s">
        <v>6</v>
      </c>
      <c r="H74">
        <v>13.8</v>
      </c>
      <c r="I74">
        <v>18.600000000000001</v>
      </c>
      <c r="J74">
        <v>11.6</v>
      </c>
      <c r="K74" t="s">
        <v>6</v>
      </c>
      <c r="L74">
        <v>70</v>
      </c>
      <c r="M74" t="s">
        <v>6</v>
      </c>
      <c r="N74" t="s">
        <v>88</v>
      </c>
      <c r="O74">
        <f t="shared" ref="O74:O75" ca="1" si="200">MIN(ROW(INDIRECT(N74)))</f>
        <v>1407</v>
      </c>
      <c r="P74">
        <f t="shared" ref="P74:P75" ca="1" si="201">MIN(ROW(INDIRECT(N74))) + ROWS(INDIRECT(N74)) -1</f>
        <v>1428</v>
      </c>
      <c r="Q74" s="5">
        <f t="shared" si="182"/>
        <v>45479</v>
      </c>
      <c r="R74" s="4">
        <f ca="1">IFERROR(AVERAGE(INDIRECT("D" &amp; $O74):INDIRECT("D" &amp; $P74)),"")</f>
        <v>64.204545454545453</v>
      </c>
      <c r="S74">
        <f ca="1">IFERROR(MAX(INDIRECT("E" &amp; $O74):INDIRECT("E" &amp; $P74)),"")</f>
        <v>116</v>
      </c>
      <c r="T74">
        <f ca="1">IFERROR(MIN(INDIRECT("F" &amp; $O74):INDIRECT("F" &amp; $P74)),"")</f>
        <v>45</v>
      </c>
      <c r="U74" s="4">
        <f t="shared" ref="U74:U75" ca="1" si="202">R74+1</f>
        <v>65.204545454545453</v>
      </c>
      <c r="V74" s="4"/>
      <c r="W74" s="4"/>
      <c r="X74" s="5">
        <f t="shared" si="183"/>
        <v>45479</v>
      </c>
      <c r="Y74" s="4">
        <f ca="1">IFERROR(AVERAGE(INDIRECT("H" &amp; $O74):INDIRECT("H" &amp; $P74)),"")</f>
        <v>14.745454545454544</v>
      </c>
      <c r="Z74">
        <f ca="1">IFERROR(MAX(INDIRECT("I" &amp; $O74):INDIRECT("I" &amp; $P74)),"")</f>
        <v>35.299999999999997</v>
      </c>
      <c r="AA74">
        <f ca="1">IFERROR(MIN(INDIRECT("J" &amp; $O74):INDIRECT("J" &amp; $P74)),"")</f>
        <v>9.1</v>
      </c>
      <c r="AB74" s="4">
        <f t="shared" ref="AB74:AB75" ca="1" si="203">Y74+0.3</f>
        <v>15.045454545454545</v>
      </c>
    </row>
    <row r="75" spans="1:28" x14ac:dyDescent="0.2">
      <c r="A75" s="1">
        <v>45412</v>
      </c>
      <c r="B75" s="2">
        <v>0.29166666666666669</v>
      </c>
      <c r="C75" s="3">
        <v>45412.291666666664</v>
      </c>
      <c r="D75">
        <v>47.3</v>
      </c>
      <c r="E75">
        <v>47.8</v>
      </c>
      <c r="F75">
        <v>46.8</v>
      </c>
      <c r="G75" t="s">
        <v>6</v>
      </c>
      <c r="H75">
        <v>17.2</v>
      </c>
      <c r="I75">
        <v>19.399999999999999</v>
      </c>
      <c r="J75">
        <v>13.5</v>
      </c>
      <c r="K75" t="s">
        <v>6</v>
      </c>
      <c r="L75">
        <v>18</v>
      </c>
      <c r="M75" t="s">
        <v>6</v>
      </c>
      <c r="N75" t="s">
        <v>89</v>
      </c>
      <c r="O75">
        <f t="shared" ca="1" si="200"/>
        <v>1429</v>
      </c>
      <c r="P75">
        <f t="shared" ca="1" si="201"/>
        <v>1448</v>
      </c>
      <c r="Q75" s="5">
        <f t="shared" si="182"/>
        <v>45480</v>
      </c>
      <c r="R75" s="4">
        <f ca="1">IFERROR(AVERAGE(INDIRECT("D" &amp; $O75):INDIRECT("D" &amp; $P75)),"")</f>
        <v>60.614999999999995</v>
      </c>
      <c r="S75">
        <f ca="1">IFERROR(MAX(INDIRECT("E" &amp; $O75):INDIRECT("E" &amp; $P75)),"")</f>
        <v>125.5</v>
      </c>
      <c r="T75">
        <f ca="1">IFERROR(MIN(INDIRECT("F" &amp; $O75):INDIRECT("F" &amp; $P75)),"")</f>
        <v>40.1</v>
      </c>
      <c r="U75" s="4">
        <f t="shared" ca="1" si="202"/>
        <v>61.614999999999995</v>
      </c>
      <c r="V75" s="4"/>
      <c r="W75" s="4"/>
      <c r="X75" s="5">
        <f t="shared" si="183"/>
        <v>45480</v>
      </c>
      <c r="Y75" s="4">
        <f ca="1">IFERROR(AVERAGE(INDIRECT("H" &amp; $O75):INDIRECT("H" &amp; $P75)),"")</f>
        <v>18.11</v>
      </c>
      <c r="Z75">
        <f ca="1">IFERROR(MAX(INDIRECT("I" &amp; $O75):INDIRECT("I" &amp; $P75)),"")</f>
        <v>37.200000000000003</v>
      </c>
      <c r="AA75">
        <f ca="1">IFERROR(MIN(INDIRECT("J" &amp; $O75):INDIRECT("J" &amp; $P75)),"")</f>
        <v>10.8</v>
      </c>
      <c r="AB75" s="4">
        <f t="shared" ca="1" si="203"/>
        <v>18.41</v>
      </c>
    </row>
    <row r="76" spans="1:28" x14ac:dyDescent="0.2">
      <c r="A76" s="13">
        <v>45412</v>
      </c>
      <c r="B76" s="9">
        <v>0.33333333333333331</v>
      </c>
      <c r="C76" s="8">
        <v>45412.333333333336</v>
      </c>
      <c r="D76" s="10">
        <v>45.6</v>
      </c>
      <c r="E76" s="10">
        <v>46.9</v>
      </c>
      <c r="F76" s="10">
        <v>44.7</v>
      </c>
      <c r="G76" s="10" t="s">
        <v>6</v>
      </c>
      <c r="H76" s="10">
        <v>20.399999999999999</v>
      </c>
      <c r="I76" s="10">
        <v>24.5</v>
      </c>
      <c r="J76" s="10">
        <v>16.3</v>
      </c>
      <c r="K76" s="10" t="s">
        <v>6</v>
      </c>
      <c r="L76" s="10">
        <v>16</v>
      </c>
      <c r="M76" t="s">
        <v>6</v>
      </c>
      <c r="N76" t="s">
        <v>90</v>
      </c>
      <c r="O76">
        <f t="shared" ref="O76" ca="1" si="204">MIN(ROW(INDIRECT(N76)))</f>
        <v>1449</v>
      </c>
      <c r="P76">
        <f t="shared" ref="P76" ca="1" si="205">MIN(ROW(INDIRECT(N76))) + ROWS(INDIRECT(N76)) -1</f>
        <v>1466</v>
      </c>
      <c r="Q76" s="5">
        <f t="shared" si="182"/>
        <v>45481</v>
      </c>
      <c r="R76" s="4">
        <f ca="1">IFERROR(AVERAGE(INDIRECT("D" &amp; $O76):INDIRECT("D" &amp; $P76)),"")</f>
        <v>71.01666666666668</v>
      </c>
      <c r="S76">
        <f ca="1">IFERROR(MAX(INDIRECT("E" &amp; $O76):INDIRECT("E" &amp; $P76)),"")</f>
        <v>126.9</v>
      </c>
      <c r="T76">
        <f ca="1">IFERROR(MIN(INDIRECT("F" &amp; $O76):INDIRECT("F" &amp; $P76)),"")</f>
        <v>40.1</v>
      </c>
      <c r="U76" s="4">
        <f t="shared" ref="U76" ca="1" si="206">R76+1</f>
        <v>72.01666666666668</v>
      </c>
      <c r="V76" s="4"/>
      <c r="W76" s="4"/>
      <c r="X76" s="5">
        <f t="shared" si="183"/>
        <v>45481</v>
      </c>
      <c r="Y76" s="4">
        <f ca="1">IFERROR(AVERAGE(INDIRECT("H" &amp; $O76):INDIRECT("H" &amp; $P76)),"")</f>
        <v>14.75</v>
      </c>
      <c r="Z76">
        <f ca="1">IFERROR(MAX(INDIRECT("I" &amp; $O76):INDIRECT("I" &amp; $P76)),"")</f>
        <v>33.4</v>
      </c>
      <c r="AA76">
        <f ca="1">IFERROR(MIN(INDIRECT("J" &amp; $O76):INDIRECT("J" &amp; $P76)),"")</f>
        <v>9.1999999999999993</v>
      </c>
      <c r="AB76" s="4">
        <f t="shared" ref="AB76" ca="1" si="207">Y76+0.3</f>
        <v>15.05</v>
      </c>
    </row>
    <row r="77" spans="1:28" x14ac:dyDescent="0.2">
      <c r="A77" s="14">
        <v>45412</v>
      </c>
      <c r="B77" s="12">
        <v>0.375</v>
      </c>
      <c r="C77" s="7">
        <v>45412.375</v>
      </c>
      <c r="D77" s="11">
        <v>62.3</v>
      </c>
      <c r="E77" s="11">
        <v>69.8</v>
      </c>
      <c r="F77" s="11">
        <v>55.7</v>
      </c>
      <c r="G77" s="11" t="s">
        <v>6</v>
      </c>
      <c r="H77" s="11">
        <v>17.2</v>
      </c>
      <c r="I77" s="11">
        <v>30.5</v>
      </c>
      <c r="J77" s="11">
        <v>12.5</v>
      </c>
      <c r="K77" s="11" t="s">
        <v>6</v>
      </c>
      <c r="L77" s="11">
        <v>184</v>
      </c>
      <c r="M77" t="s">
        <v>6</v>
      </c>
      <c r="N77" t="s">
        <v>91</v>
      </c>
      <c r="O77">
        <f t="shared" ref="O77:O78" ca="1" si="208">MIN(ROW(INDIRECT(N77)))</f>
        <v>1467</v>
      </c>
      <c r="P77">
        <f t="shared" ref="P77:P78" ca="1" si="209">MIN(ROW(INDIRECT(N77))) + ROWS(INDIRECT(N77)) -1</f>
        <v>1483</v>
      </c>
      <c r="Q77" s="5">
        <f t="shared" si="182"/>
        <v>45482</v>
      </c>
      <c r="R77" s="4">
        <f ca="1">IFERROR(AVERAGE(INDIRECT("D" &amp; $O77):INDIRECT("D" &amp; $P77)),"")</f>
        <v>62.088235294117631</v>
      </c>
      <c r="S77">
        <f ca="1">IFERROR(MAX(INDIRECT("E" &amp; $O77):INDIRECT("E" &amp; $P77)),"")</f>
        <v>116.9</v>
      </c>
      <c r="T77">
        <f ca="1">IFERROR(MIN(INDIRECT("F" &amp; $O77):INDIRECT("F" &amp; $P77)),"")</f>
        <v>40.1</v>
      </c>
      <c r="U77" s="4">
        <f t="shared" ref="U77:U78" ca="1" si="210">R77+1</f>
        <v>63.088235294117631</v>
      </c>
      <c r="V77" s="4"/>
      <c r="W77" s="4"/>
      <c r="X77" s="5">
        <f t="shared" si="183"/>
        <v>45482</v>
      </c>
      <c r="Y77" s="4">
        <f ca="1">IFERROR(AVERAGE(INDIRECT("H" &amp; $O77):INDIRECT("H" &amp; $P77)),"")</f>
        <v>16.664705882352944</v>
      </c>
      <c r="Z77">
        <f ca="1">IFERROR(MAX(INDIRECT("I" &amp; $O77):INDIRECT("I" &amp; $P77)),"")</f>
        <v>34.799999999999997</v>
      </c>
      <c r="AA77">
        <f ca="1">IFERROR(MIN(INDIRECT("J" &amp; $O77):INDIRECT("J" &amp; $P77)),"")</f>
        <v>10.5</v>
      </c>
      <c r="AB77" s="4">
        <f t="shared" ref="AB77:AB78" ca="1" si="211">Y77+0.3</f>
        <v>16.964705882352945</v>
      </c>
    </row>
    <row r="78" spans="1:28" x14ac:dyDescent="0.2">
      <c r="A78" s="1">
        <v>45412</v>
      </c>
      <c r="B78" s="2">
        <v>0.41666666666666669</v>
      </c>
      <c r="C78" s="3">
        <v>45412.416666666664</v>
      </c>
      <c r="D78">
        <v>60.2</v>
      </c>
      <c r="E78">
        <v>72.099999999999994</v>
      </c>
      <c r="F78">
        <v>56</v>
      </c>
      <c r="G78" t="s">
        <v>6</v>
      </c>
      <c r="H78">
        <v>14.9</v>
      </c>
      <c r="I78">
        <v>20.7</v>
      </c>
      <c r="J78">
        <v>12.5</v>
      </c>
      <c r="K78" t="s">
        <v>6</v>
      </c>
      <c r="L78">
        <v>142</v>
      </c>
      <c r="M78" t="s">
        <v>6</v>
      </c>
      <c r="N78" t="s">
        <v>92</v>
      </c>
      <c r="O78">
        <f t="shared" ca="1" si="208"/>
        <v>1484</v>
      </c>
      <c r="P78">
        <f t="shared" ca="1" si="209"/>
        <v>1501</v>
      </c>
      <c r="Q78" s="5">
        <f t="shared" si="182"/>
        <v>45483</v>
      </c>
      <c r="R78" s="4">
        <f ca="1">IFERROR(AVERAGE(INDIRECT("D" &amp; $O78):INDIRECT("D" &amp; $P78)),"")</f>
        <v>63.461111111111109</v>
      </c>
      <c r="S78">
        <f ca="1">IFERROR(MAX(INDIRECT("E" &amp; $O78):INDIRECT("E" &amp; $P78)),"")</f>
        <v>126</v>
      </c>
      <c r="T78">
        <f ca="1">IFERROR(MIN(INDIRECT("F" &amp; $O78):INDIRECT("F" &amp; $P78)),"")</f>
        <v>40.1</v>
      </c>
      <c r="U78" s="4">
        <f t="shared" ca="1" si="210"/>
        <v>64.461111111111109</v>
      </c>
      <c r="V78" s="4"/>
      <c r="W78" s="4"/>
      <c r="X78" s="5">
        <f t="shared" si="183"/>
        <v>45483</v>
      </c>
      <c r="Y78" s="4">
        <f ca="1">IFERROR(AVERAGE(INDIRECT("H" &amp; $O78):INDIRECT("H" &amp; $P78)),"")</f>
        <v>14.650000000000002</v>
      </c>
      <c r="Z78">
        <f ca="1">IFERROR(MAX(INDIRECT("I" &amp; $O78):INDIRECT("I" &amp; $P78)),"")</f>
        <v>40.6</v>
      </c>
      <c r="AA78">
        <f ca="1">IFERROR(MIN(INDIRECT("J" &amp; $O78):INDIRECT("J" &amp; $P78)),"")</f>
        <v>8.8000000000000007</v>
      </c>
      <c r="AB78" s="4">
        <f t="shared" ca="1" si="211"/>
        <v>14.950000000000003</v>
      </c>
    </row>
    <row r="79" spans="1:28" x14ac:dyDescent="0.2">
      <c r="A79" s="1">
        <v>45412</v>
      </c>
      <c r="B79" s="2">
        <v>0.45833333333333331</v>
      </c>
      <c r="C79" s="3">
        <v>45412.458333333336</v>
      </c>
      <c r="D79">
        <v>64.3</v>
      </c>
      <c r="E79">
        <v>67.2</v>
      </c>
      <c r="F79">
        <v>61</v>
      </c>
      <c r="G79" t="s">
        <v>6</v>
      </c>
      <c r="H79">
        <v>14.4</v>
      </c>
      <c r="I79">
        <v>21.4</v>
      </c>
      <c r="J79">
        <v>11.4</v>
      </c>
      <c r="K79" t="s">
        <v>6</v>
      </c>
      <c r="L79">
        <v>115</v>
      </c>
      <c r="M79" t="s">
        <v>6</v>
      </c>
      <c r="N79" t="s">
        <v>93</v>
      </c>
      <c r="O79">
        <f t="shared" ref="O79" ca="1" si="212">MIN(ROW(INDIRECT(N79)))</f>
        <v>1502</v>
      </c>
      <c r="P79">
        <f t="shared" ref="P79" ca="1" si="213">MIN(ROW(INDIRECT(N79))) + ROWS(INDIRECT(N79)) -1</f>
        <v>1523</v>
      </c>
      <c r="Q79" s="5">
        <f t="shared" si="182"/>
        <v>45484</v>
      </c>
      <c r="R79" s="4">
        <f ca="1">IFERROR(AVERAGE(INDIRECT("D" &amp; $O79):INDIRECT("D" &amp; $P79)),"")</f>
        <v>85.804545454545448</v>
      </c>
      <c r="S79">
        <f ca="1">IFERROR(MAX(INDIRECT("E" &amp; $O79):INDIRECT("E" &amp; $P79)),"")</f>
        <v>130.80000000000001</v>
      </c>
      <c r="T79">
        <f ca="1">IFERROR(MIN(INDIRECT("F" &amp; $O79):INDIRECT("F" &amp; $P79)),"")</f>
        <v>45.5</v>
      </c>
      <c r="U79" s="4">
        <f t="shared" ref="U79" ca="1" si="214">R79+1</f>
        <v>86.804545454545448</v>
      </c>
      <c r="V79" s="4"/>
      <c r="W79" s="4"/>
      <c r="X79" s="5">
        <f t="shared" si="183"/>
        <v>45484</v>
      </c>
      <c r="Y79" s="4">
        <f ca="1">IFERROR(AVERAGE(INDIRECT("H" &amp; $O79):INDIRECT("H" &amp; $P79)),"")</f>
        <v>13.759090909090908</v>
      </c>
      <c r="Z79">
        <f ca="1">IFERROR(MAX(INDIRECT("I" &amp; $O79):INDIRECT("I" &amp; $P79)),"")</f>
        <v>37.1</v>
      </c>
      <c r="AA79">
        <f ca="1">IFERROR(MIN(INDIRECT("J" &amp; $O79):INDIRECT("J" &amp; $P79)),"")</f>
        <v>9.5</v>
      </c>
      <c r="AB79" s="4">
        <f t="shared" ref="AB79" ca="1" si="215">Y79+0.3</f>
        <v>14.059090909090909</v>
      </c>
    </row>
    <row r="80" spans="1:28" x14ac:dyDescent="0.2">
      <c r="A80" s="1">
        <v>45412</v>
      </c>
      <c r="B80" s="2">
        <v>0.5</v>
      </c>
      <c r="C80" s="3">
        <v>45412.5</v>
      </c>
      <c r="D80">
        <v>63</v>
      </c>
      <c r="E80">
        <v>67.2</v>
      </c>
      <c r="F80">
        <v>60.5</v>
      </c>
      <c r="G80" t="s">
        <v>6</v>
      </c>
      <c r="H80">
        <v>13.5</v>
      </c>
      <c r="I80">
        <v>17.2</v>
      </c>
      <c r="J80">
        <v>11.4</v>
      </c>
      <c r="K80" t="s">
        <v>6</v>
      </c>
      <c r="L80">
        <v>55</v>
      </c>
      <c r="M80" t="s">
        <v>6</v>
      </c>
      <c r="N80" t="s">
        <v>94</v>
      </c>
      <c r="O80">
        <f t="shared" ref="O80:O83" ca="1" si="216">MIN(ROW(INDIRECT(N80)))</f>
        <v>1524</v>
      </c>
      <c r="P80">
        <f t="shared" ref="P80:P83" ca="1" si="217">MIN(ROW(INDIRECT(N80))) + ROWS(INDIRECT(N80)) -1</f>
        <v>1540</v>
      </c>
      <c r="Q80" s="5">
        <f t="shared" si="182"/>
        <v>45485</v>
      </c>
      <c r="R80" s="4">
        <f ca="1">IFERROR(AVERAGE(INDIRECT("D" &amp; $O80):INDIRECT("D" &amp; $P80)),"")</f>
        <v>59.711764705882352</v>
      </c>
      <c r="S80">
        <f ca="1">IFERROR(MAX(INDIRECT("E" &amp; $O80):INDIRECT("E" &amp; $P80)),"")</f>
        <v>105.8</v>
      </c>
      <c r="T80">
        <f ca="1">IFERROR(MIN(INDIRECT("F" &amp; $O80):INDIRECT("F" &amp; $P80)),"")</f>
        <v>42.6</v>
      </c>
      <c r="U80" s="4">
        <f t="shared" ref="U80:U83" ca="1" si="218">R80+1</f>
        <v>60.711764705882352</v>
      </c>
      <c r="V80" s="4"/>
      <c r="W80" s="4"/>
      <c r="X80" s="5">
        <f t="shared" si="183"/>
        <v>45485</v>
      </c>
      <c r="Y80" s="4">
        <f ca="1">IFERROR(AVERAGE(INDIRECT("H" &amp; $O80):INDIRECT("H" &amp; $P80)),"")</f>
        <v>14.570588235294116</v>
      </c>
      <c r="Z80">
        <f ca="1">IFERROR(MAX(INDIRECT("I" &amp; $O80):INDIRECT("I" &amp; $P80)),"")</f>
        <v>33.1</v>
      </c>
      <c r="AA80">
        <f ca="1">IFERROR(MIN(INDIRECT("J" &amp; $O80):INDIRECT("J" &amp; $P80)),"")</f>
        <v>9.9</v>
      </c>
      <c r="AB80" s="4">
        <f t="shared" ref="AB80:AB83" ca="1" si="219">Y80+0.3</f>
        <v>14.870588235294116</v>
      </c>
    </row>
    <row r="81" spans="1:28" x14ac:dyDescent="0.2">
      <c r="A81" s="1">
        <v>45412</v>
      </c>
      <c r="B81" s="2">
        <v>0.54166666666666663</v>
      </c>
      <c r="C81" s="3">
        <v>45412.541666666664</v>
      </c>
      <c r="D81">
        <v>62.9</v>
      </c>
      <c r="E81">
        <v>72.3</v>
      </c>
      <c r="F81">
        <v>57.9</v>
      </c>
      <c r="G81" t="s">
        <v>6</v>
      </c>
      <c r="H81">
        <v>11.9</v>
      </c>
      <c r="I81">
        <v>16.7</v>
      </c>
      <c r="J81">
        <v>10</v>
      </c>
      <c r="K81" t="s">
        <v>6</v>
      </c>
      <c r="L81">
        <v>113</v>
      </c>
      <c r="M81" t="s">
        <v>6</v>
      </c>
      <c r="N81" t="s">
        <v>95</v>
      </c>
      <c r="O81">
        <f t="shared" ca="1" si="216"/>
        <v>1541</v>
      </c>
      <c r="P81">
        <f t="shared" ca="1" si="217"/>
        <v>1562</v>
      </c>
      <c r="Q81" s="5">
        <f t="shared" si="182"/>
        <v>45486</v>
      </c>
      <c r="R81" s="4">
        <f ca="1">IFERROR(AVERAGE(INDIRECT("D" &amp; $O81):INDIRECT("D" &amp; $P81)),"")</f>
        <v>54.145454545454548</v>
      </c>
      <c r="S81">
        <f ca="1">IFERROR(MAX(INDIRECT("E" &amp; $O81):INDIRECT("E" &amp; $P81)),"")</f>
        <v>93.3</v>
      </c>
      <c r="T81">
        <f ca="1">IFERROR(MIN(INDIRECT("F" &amp; $O81):INDIRECT("F" &amp; $P81)),"")</f>
        <v>40.1</v>
      </c>
      <c r="U81" s="4">
        <f t="shared" ca="1" si="218"/>
        <v>55.145454545454548</v>
      </c>
      <c r="V81" s="4"/>
      <c r="W81" s="4"/>
      <c r="X81" s="5">
        <f t="shared" si="183"/>
        <v>45486</v>
      </c>
      <c r="Y81" s="4">
        <f ca="1">IFERROR(AVERAGE(INDIRECT("H" &amp; $O81):INDIRECT("H" &amp; $P81)),"")</f>
        <v>14.231818181818181</v>
      </c>
      <c r="Z81">
        <f ca="1">IFERROR(MAX(INDIRECT("I" &amp; $O81):INDIRECT("I" &amp; $P81)),"")</f>
        <v>33.5</v>
      </c>
      <c r="AA81">
        <f ca="1">IFERROR(MIN(INDIRECT("J" &amp; $O81):INDIRECT("J" &amp; $P81)),"")</f>
        <v>8.8000000000000007</v>
      </c>
      <c r="AB81" s="4">
        <f t="shared" ca="1" si="219"/>
        <v>14.531818181818181</v>
      </c>
    </row>
    <row r="82" spans="1:28" x14ac:dyDescent="0.2">
      <c r="A82" s="1">
        <v>45412</v>
      </c>
      <c r="B82" s="2">
        <v>0.58333333333333337</v>
      </c>
      <c r="C82" s="3">
        <v>45412.583333333336</v>
      </c>
      <c r="D82">
        <v>60.7</v>
      </c>
      <c r="E82">
        <v>71.900000000000006</v>
      </c>
      <c r="F82">
        <v>51.7</v>
      </c>
      <c r="G82" t="s">
        <v>6</v>
      </c>
      <c r="H82">
        <v>13.8</v>
      </c>
      <c r="I82">
        <v>19</v>
      </c>
      <c r="J82">
        <v>10.3</v>
      </c>
      <c r="K82" t="s">
        <v>6</v>
      </c>
      <c r="L82">
        <v>142</v>
      </c>
      <c r="M82" t="s">
        <v>6</v>
      </c>
      <c r="N82" t="s">
        <v>96</v>
      </c>
      <c r="O82">
        <f t="shared" ca="1" si="216"/>
        <v>1563</v>
      </c>
      <c r="P82">
        <f t="shared" ca="1" si="217"/>
        <v>1580</v>
      </c>
      <c r="Q82" s="5">
        <f t="shared" si="182"/>
        <v>45487</v>
      </c>
      <c r="R82" s="4">
        <f ca="1">IFERROR(AVERAGE(INDIRECT("D" &amp; $O82):INDIRECT("D" &amp; $P82)),"")</f>
        <v>51.777777777777786</v>
      </c>
      <c r="S82">
        <f ca="1">IFERROR(MAX(INDIRECT("E" &amp; $O82):INDIRECT("E" &amp; $P82)),"")</f>
        <v>83.8</v>
      </c>
      <c r="T82">
        <f ca="1">IFERROR(MIN(INDIRECT("F" &amp; $O82):INDIRECT("F" &amp; $P82)),"")</f>
        <v>40.1</v>
      </c>
      <c r="U82" s="4">
        <f t="shared" ca="1" si="218"/>
        <v>52.777777777777786</v>
      </c>
      <c r="V82" s="4"/>
      <c r="W82" s="4"/>
      <c r="X82" s="5">
        <f t="shared" si="183"/>
        <v>45487</v>
      </c>
      <c r="Y82" s="4">
        <f ca="1">IFERROR(AVERAGE(INDIRECT("H" &amp; $O82):INDIRECT("H" &amp; $P82)),"")</f>
        <v>15.211111111111112</v>
      </c>
      <c r="Z82">
        <f ca="1">IFERROR(MAX(INDIRECT("I" &amp; $O82):INDIRECT("I" &amp; $P82)),"")</f>
        <v>37.4</v>
      </c>
      <c r="AA82">
        <f ca="1">IFERROR(MIN(INDIRECT("J" &amp; $O82):INDIRECT("J" &amp; $P82)),"")</f>
        <v>10.6</v>
      </c>
      <c r="AB82" s="4">
        <f t="shared" ca="1" si="219"/>
        <v>15.511111111111113</v>
      </c>
    </row>
    <row r="83" spans="1:28" x14ac:dyDescent="0.2">
      <c r="A83" s="1">
        <v>45412</v>
      </c>
      <c r="B83" s="2">
        <v>0.625</v>
      </c>
      <c r="C83" s="3">
        <v>45412.625</v>
      </c>
      <c r="D83">
        <v>58.6</v>
      </c>
      <c r="E83">
        <v>65.099999999999994</v>
      </c>
      <c r="F83">
        <v>56.6</v>
      </c>
      <c r="G83" t="s">
        <v>6</v>
      </c>
      <c r="H83">
        <v>12.2</v>
      </c>
      <c r="I83">
        <v>15.7</v>
      </c>
      <c r="J83">
        <v>9.9</v>
      </c>
      <c r="K83" t="s">
        <v>6</v>
      </c>
      <c r="L83">
        <v>20</v>
      </c>
      <c r="M83" t="s">
        <v>6</v>
      </c>
      <c r="N83" t="s">
        <v>97</v>
      </c>
      <c r="O83">
        <f t="shared" ca="1" si="216"/>
        <v>1581</v>
      </c>
      <c r="P83">
        <f t="shared" ca="1" si="217"/>
        <v>1603</v>
      </c>
      <c r="Q83" s="5">
        <f t="shared" si="182"/>
        <v>45488</v>
      </c>
      <c r="R83" s="4">
        <f ca="1">IFERROR(AVERAGE(INDIRECT("D" &amp; $O83):INDIRECT("D" &amp; $P83)),"")</f>
        <v>50.530434782608701</v>
      </c>
      <c r="S83">
        <f ca="1">IFERROR(MAX(INDIRECT("E" &amp; $O83):INDIRECT("E" &amp; $P83)),"")</f>
        <v>78.7</v>
      </c>
      <c r="T83">
        <f ca="1">IFERROR(MIN(INDIRECT("F" &amp; $O83):INDIRECT("F" &amp; $P83)),"")</f>
        <v>40.1</v>
      </c>
      <c r="U83" s="4">
        <f t="shared" ca="1" si="218"/>
        <v>51.530434782608701</v>
      </c>
      <c r="V83" s="4"/>
      <c r="W83" s="4"/>
      <c r="X83" s="5">
        <f t="shared" si="183"/>
        <v>45488</v>
      </c>
      <c r="Y83" s="4">
        <f ca="1">IFERROR(AVERAGE(INDIRECT("H" &amp; $O83):INDIRECT("H" &amp; $P83)),"")</f>
        <v>14.247826086956524</v>
      </c>
      <c r="Z83">
        <f ca="1">IFERROR(MAX(INDIRECT("I" &amp; $O83):INDIRECT("I" &amp; $P83)),"")</f>
        <v>34.700000000000003</v>
      </c>
      <c r="AA83">
        <f ca="1">IFERROR(MIN(INDIRECT("J" &amp; $O83):INDIRECT("J" &amp; $P83)),"")</f>
        <v>9.5</v>
      </c>
      <c r="AB83" s="4">
        <f t="shared" ca="1" si="219"/>
        <v>14.547826086956524</v>
      </c>
    </row>
    <row r="84" spans="1:28" x14ac:dyDescent="0.2">
      <c r="A84" s="1">
        <v>45412</v>
      </c>
      <c r="B84" s="2">
        <v>0.66666666666666663</v>
      </c>
      <c r="C84" s="3">
        <v>45412.666666666664</v>
      </c>
      <c r="D84">
        <v>59.7</v>
      </c>
      <c r="E84">
        <v>69.3</v>
      </c>
      <c r="F84">
        <v>54.2</v>
      </c>
      <c r="G84" t="s">
        <v>6</v>
      </c>
      <c r="H84">
        <v>12.6</v>
      </c>
      <c r="I84">
        <v>19.3</v>
      </c>
      <c r="J84">
        <v>10.199999999999999</v>
      </c>
      <c r="K84" t="s">
        <v>6</v>
      </c>
      <c r="L84">
        <v>101</v>
      </c>
      <c r="M84" t="s">
        <v>6</v>
      </c>
      <c r="N84" t="s">
        <v>98</v>
      </c>
      <c r="O84">
        <f t="shared" ref="O84" ca="1" si="220">MIN(ROW(INDIRECT(N84)))</f>
        <v>1604</v>
      </c>
      <c r="P84">
        <f t="shared" ref="P84" ca="1" si="221">MIN(ROW(INDIRECT(N84))) + ROWS(INDIRECT(N84)) -1</f>
        <v>1620</v>
      </c>
      <c r="Q84" s="5">
        <f t="shared" si="182"/>
        <v>45489</v>
      </c>
      <c r="R84" s="4">
        <f ca="1">IFERROR(AVERAGE(INDIRECT("D" &amp; $O84):INDIRECT("D" &amp; $P84)),"")</f>
        <v>49.447058823529403</v>
      </c>
      <c r="S84">
        <f ca="1">IFERROR(MAX(INDIRECT("E" &amp; $O84):INDIRECT("E" &amp; $P84)),"")</f>
        <v>67</v>
      </c>
      <c r="T84">
        <f ca="1">IFERROR(MIN(INDIRECT("F" &amp; $O84):INDIRECT("F" &amp; $P84)),"")</f>
        <v>40.1</v>
      </c>
      <c r="U84" s="4">
        <f t="shared" ref="U84" ca="1" si="222">R84+1</f>
        <v>50.447058823529403</v>
      </c>
      <c r="V84" s="4"/>
      <c r="W84" s="4"/>
      <c r="X84" s="5">
        <f t="shared" si="183"/>
        <v>45489</v>
      </c>
      <c r="Y84" s="4">
        <f ca="1">IFERROR(AVERAGE(INDIRECT("H" &amp; $O84):INDIRECT("H" &amp; $P84)),"")</f>
        <v>17.152941176470591</v>
      </c>
      <c r="Z84">
        <f ca="1">IFERROR(MAX(INDIRECT("I" &amp; $O84):INDIRECT("I" &amp; $P84)),"")</f>
        <v>36.4</v>
      </c>
      <c r="AA84">
        <f ca="1">IFERROR(MIN(INDIRECT("J" &amp; $O84):INDIRECT("J" &amp; $P84)),"")</f>
        <v>9.6</v>
      </c>
      <c r="AB84" s="4">
        <f t="shared" ref="AB84" ca="1" si="223">Y84+0.3</f>
        <v>17.452941176470592</v>
      </c>
    </row>
    <row r="85" spans="1:28" x14ac:dyDescent="0.2">
      <c r="A85" s="1">
        <v>45412</v>
      </c>
      <c r="B85" s="2">
        <v>0.70833333333333337</v>
      </c>
      <c r="C85" s="3">
        <v>45412.708333333336</v>
      </c>
      <c r="D85">
        <v>62.8</v>
      </c>
      <c r="E85">
        <v>65.5</v>
      </c>
      <c r="F85">
        <v>60.9</v>
      </c>
      <c r="G85" t="s">
        <v>6</v>
      </c>
      <c r="H85">
        <v>12.7</v>
      </c>
      <c r="I85">
        <v>14.7</v>
      </c>
      <c r="J85">
        <v>10</v>
      </c>
      <c r="K85" t="s">
        <v>6</v>
      </c>
      <c r="L85">
        <v>37</v>
      </c>
      <c r="M85" t="s">
        <v>6</v>
      </c>
      <c r="N85" t="s">
        <v>99</v>
      </c>
      <c r="O85">
        <f t="shared" ref="O85:O86" ca="1" si="224">MIN(ROW(INDIRECT(N85)))</f>
        <v>1621</v>
      </c>
      <c r="P85">
        <f t="shared" ref="P85:P86" ca="1" si="225">MIN(ROW(INDIRECT(N85))) + ROWS(INDIRECT(N85)) -1</f>
        <v>1634</v>
      </c>
      <c r="Q85" s="5">
        <f t="shared" si="182"/>
        <v>45490</v>
      </c>
      <c r="R85" s="4">
        <f ca="1">IFERROR(AVERAGE(INDIRECT("D" &amp; $O85):INDIRECT("D" &amp; $P85)),"")</f>
        <v>47.907142857142844</v>
      </c>
      <c r="S85">
        <f ca="1">IFERROR(MAX(INDIRECT("E" &amp; $O85):INDIRECT("E" &amp; $P85)),"")</f>
        <v>68.5</v>
      </c>
      <c r="T85">
        <f ca="1">IFERROR(MIN(INDIRECT("F" &amp; $O85):INDIRECT("F" &amp; $P85)),"")</f>
        <v>40.1</v>
      </c>
      <c r="U85" s="4">
        <f t="shared" ref="U85:U86" ca="1" si="226">R85+1</f>
        <v>48.907142857142844</v>
      </c>
      <c r="V85" s="4"/>
      <c r="W85" s="4"/>
      <c r="X85" s="5">
        <f t="shared" si="183"/>
        <v>45490</v>
      </c>
      <c r="Y85" s="4">
        <f ca="1">IFERROR(AVERAGE(INDIRECT("H" &amp; $O85):INDIRECT("H" &amp; $P85)),"")</f>
        <v>13.514285714285714</v>
      </c>
      <c r="Z85">
        <f ca="1">IFERROR(MAX(INDIRECT("I" &amp; $O85):INDIRECT("I" &amp; $P85)),"")</f>
        <v>26.3</v>
      </c>
      <c r="AA85">
        <f ca="1">IFERROR(MIN(INDIRECT("J" &amp; $O85):INDIRECT("J" &amp; $P85)),"")</f>
        <v>10.7</v>
      </c>
      <c r="AB85" s="4">
        <f t="shared" ref="AB85:AB86" ca="1" si="227">Y85+0.3</f>
        <v>13.814285714285715</v>
      </c>
    </row>
    <row r="86" spans="1:28" x14ac:dyDescent="0.2">
      <c r="A86" s="1">
        <v>45412</v>
      </c>
      <c r="B86" s="2">
        <v>0.75</v>
      </c>
      <c r="C86" s="3">
        <v>45412.75</v>
      </c>
      <c r="D86">
        <v>59.9</v>
      </c>
      <c r="E86">
        <v>59.9</v>
      </c>
      <c r="F86">
        <v>59.9</v>
      </c>
      <c r="G86" t="s">
        <v>6</v>
      </c>
      <c r="H86">
        <v>12.9</v>
      </c>
      <c r="I86">
        <v>12.9</v>
      </c>
      <c r="J86">
        <v>12.9</v>
      </c>
      <c r="K86" t="s">
        <v>6</v>
      </c>
      <c r="L86">
        <v>1</v>
      </c>
      <c r="M86" t="s">
        <v>6</v>
      </c>
      <c r="N86" t="s">
        <v>100</v>
      </c>
      <c r="O86">
        <f t="shared" ca="1" si="224"/>
        <v>1635</v>
      </c>
      <c r="P86">
        <f t="shared" ca="1" si="225"/>
        <v>1655</v>
      </c>
      <c r="Q86" s="5">
        <f t="shared" si="182"/>
        <v>45491</v>
      </c>
      <c r="R86" s="4">
        <f ca="1">IFERROR(AVERAGE(INDIRECT("D" &amp; $O86):INDIRECT("D" &amp; $P86)),"")</f>
        <v>49.023809523809526</v>
      </c>
      <c r="S86">
        <f ca="1">IFERROR(MAX(INDIRECT("E" &amp; $O86):INDIRECT("E" &amp; $P86)),"")</f>
        <v>83.5</v>
      </c>
      <c r="T86">
        <f ca="1">IFERROR(MIN(INDIRECT("F" &amp; $O86):INDIRECT("F" &amp; $P86)),"")</f>
        <v>40.299999999999997</v>
      </c>
      <c r="U86" s="4">
        <f t="shared" ca="1" si="226"/>
        <v>50.023809523809526</v>
      </c>
      <c r="V86" s="4"/>
      <c r="W86" s="4"/>
      <c r="X86" s="5">
        <f t="shared" si="183"/>
        <v>45491</v>
      </c>
      <c r="Y86" s="4">
        <f ca="1">IFERROR(AVERAGE(INDIRECT("H" &amp; $O86):INDIRECT("H" &amp; $P86)),"")</f>
        <v>19.328571428571429</v>
      </c>
      <c r="Z86">
        <f ca="1">IFERROR(MAX(INDIRECT("I" &amp; $O86):INDIRECT("I" &amp; $P86)),"")</f>
        <v>35.5</v>
      </c>
      <c r="AA86">
        <f ca="1">IFERROR(MIN(INDIRECT("J" &amp; $O86):INDIRECT("J" &amp; $P86)),"")</f>
        <v>10.1</v>
      </c>
      <c r="AB86" s="4">
        <f t="shared" ca="1" si="227"/>
        <v>19.62857142857143</v>
      </c>
    </row>
    <row r="87" spans="1:28" x14ac:dyDescent="0.2">
      <c r="A87" s="1">
        <v>45412</v>
      </c>
      <c r="B87" s="2">
        <v>0.79166666666666663</v>
      </c>
      <c r="C87" s="3">
        <v>45412.791666666664</v>
      </c>
      <c r="D87">
        <v>61</v>
      </c>
      <c r="E87">
        <v>61.7</v>
      </c>
      <c r="F87">
        <v>60.4</v>
      </c>
      <c r="G87" t="s">
        <v>6</v>
      </c>
      <c r="H87">
        <v>15.7</v>
      </c>
      <c r="I87">
        <v>17.399999999999999</v>
      </c>
      <c r="J87">
        <v>13.8</v>
      </c>
      <c r="K87" t="s">
        <v>6</v>
      </c>
      <c r="L87">
        <v>11</v>
      </c>
      <c r="M87" t="s">
        <v>6</v>
      </c>
      <c r="N87" t="s">
        <v>101</v>
      </c>
      <c r="O87">
        <f t="shared" ref="O87" ca="1" si="228">MIN(ROW(INDIRECT(N87)))</f>
        <v>1656</v>
      </c>
      <c r="P87">
        <f t="shared" ref="P87" ca="1" si="229">MIN(ROW(INDIRECT(N87))) + ROWS(INDIRECT(N87)) -1</f>
        <v>1678</v>
      </c>
      <c r="Q87" s="5">
        <f t="shared" si="182"/>
        <v>45492</v>
      </c>
      <c r="R87" s="4">
        <f ca="1">IFERROR(AVERAGE(INDIRECT("D" &amp; $O87):INDIRECT("D" &amp; $P87)),"")</f>
        <v>55.639130434782608</v>
      </c>
      <c r="S87">
        <f ca="1">IFERROR(MAX(INDIRECT("E" &amp; $O87):INDIRECT("E" &amp; $P87)),"")</f>
        <v>79.5</v>
      </c>
      <c r="T87">
        <f ca="1">IFERROR(MIN(INDIRECT("F" &amp; $O87):INDIRECT("F" &amp; $P87)),"")</f>
        <v>40.1</v>
      </c>
      <c r="U87" s="4">
        <f t="shared" ref="U87" ca="1" si="230">R87+1</f>
        <v>56.639130434782608</v>
      </c>
      <c r="V87" s="4"/>
      <c r="W87" s="4"/>
      <c r="X87" s="5">
        <f t="shared" si="183"/>
        <v>45492</v>
      </c>
      <c r="Y87" s="4">
        <f ca="1">IFERROR(AVERAGE(INDIRECT("H" &amp; $O87):INDIRECT("H" &amp; $P87)),"")</f>
        <v>20.9</v>
      </c>
      <c r="Z87">
        <f ca="1">IFERROR(MAX(INDIRECT("I" &amp; $O87):INDIRECT("I" &amp; $P87)),"")</f>
        <v>36.700000000000003</v>
      </c>
      <c r="AA87">
        <f ca="1">IFERROR(MIN(INDIRECT("J" &amp; $O87):INDIRECT("J" &amp; $P87)),"")</f>
        <v>8.6999999999999993</v>
      </c>
      <c r="AB87" s="4">
        <f t="shared" ref="AB87" ca="1" si="231">Y87+0.3</f>
        <v>21.2</v>
      </c>
    </row>
    <row r="88" spans="1:28" x14ac:dyDescent="0.2">
      <c r="A88" s="1">
        <v>45412</v>
      </c>
      <c r="B88" s="2">
        <v>0.83333333333333337</v>
      </c>
      <c r="C88" s="3">
        <v>45412.833333333336</v>
      </c>
      <c r="D88">
        <v>52.5</v>
      </c>
      <c r="E88">
        <v>61</v>
      </c>
      <c r="F88">
        <v>43.9</v>
      </c>
      <c r="G88" t="s">
        <v>6</v>
      </c>
      <c r="H88">
        <v>16.399999999999999</v>
      </c>
      <c r="I88">
        <v>28.3</v>
      </c>
      <c r="J88">
        <v>12.7</v>
      </c>
      <c r="K88" t="s">
        <v>6</v>
      </c>
      <c r="L88">
        <v>202</v>
      </c>
      <c r="M88" t="s">
        <v>6</v>
      </c>
      <c r="N88" t="s">
        <v>102</v>
      </c>
      <c r="O88">
        <f t="shared" ref="O88:O89" ca="1" si="232">MIN(ROW(INDIRECT(N88)))</f>
        <v>1679</v>
      </c>
      <c r="P88">
        <f t="shared" ref="P88:P89" ca="1" si="233">MIN(ROW(INDIRECT(N88))) + ROWS(INDIRECT(N88)) -1</f>
        <v>1698</v>
      </c>
      <c r="Q88" s="5">
        <f t="shared" si="182"/>
        <v>45493</v>
      </c>
      <c r="R88" s="4">
        <f ca="1">IFERROR(AVERAGE(INDIRECT("D" &amp; $O88):INDIRECT("D" &amp; $P88)),"")</f>
        <v>50.284999999999989</v>
      </c>
      <c r="S88">
        <f ca="1">IFERROR(MAX(INDIRECT("E" &amp; $O88):INDIRECT("E" &amp; $P88)),"")</f>
        <v>69.2</v>
      </c>
      <c r="T88">
        <f ca="1">IFERROR(MIN(INDIRECT("F" &amp; $O88):INDIRECT("F" &amp; $P88)),"")</f>
        <v>40.1</v>
      </c>
      <c r="U88" s="4">
        <f t="shared" ref="U88:U89" ca="1" si="234">R88+1</f>
        <v>51.284999999999989</v>
      </c>
      <c r="V88" s="4"/>
      <c r="W88" s="4"/>
      <c r="X88" s="5">
        <f t="shared" si="183"/>
        <v>45493</v>
      </c>
      <c r="Y88" s="4">
        <f ca="1">IFERROR(AVERAGE(INDIRECT("H" &amp; $O88):INDIRECT("H" &amp; $P88)),"")</f>
        <v>13.8</v>
      </c>
      <c r="Z88">
        <f ca="1">IFERROR(MAX(INDIRECT("I" &amp; $O88):INDIRECT("I" &amp; $P88)),"")</f>
        <v>29.6</v>
      </c>
      <c r="AA88">
        <f ca="1">IFERROR(MIN(INDIRECT("J" &amp; $O88):INDIRECT("J" &amp; $P88)),"")</f>
        <v>8.6999999999999993</v>
      </c>
      <c r="AB88" s="4">
        <f t="shared" ref="AB88:AB89" ca="1" si="235">Y88+0.3</f>
        <v>14.100000000000001</v>
      </c>
    </row>
    <row r="89" spans="1:28" x14ac:dyDescent="0.2">
      <c r="A89" s="1">
        <v>45412</v>
      </c>
      <c r="B89" s="2">
        <v>0.875</v>
      </c>
      <c r="C89" s="3">
        <v>45412.875</v>
      </c>
      <c r="D89">
        <v>47.3</v>
      </c>
      <c r="E89">
        <v>55.9</v>
      </c>
      <c r="F89">
        <v>42.5</v>
      </c>
      <c r="G89" t="s">
        <v>6</v>
      </c>
      <c r="H89">
        <v>15.3</v>
      </c>
      <c r="I89">
        <v>27.1</v>
      </c>
      <c r="J89">
        <v>12.9</v>
      </c>
      <c r="K89" t="s">
        <v>6</v>
      </c>
      <c r="L89">
        <v>218</v>
      </c>
      <c r="M89" t="s">
        <v>6</v>
      </c>
      <c r="N89" t="s">
        <v>103</v>
      </c>
      <c r="O89">
        <f t="shared" ca="1" si="232"/>
        <v>1699</v>
      </c>
      <c r="P89">
        <f t="shared" ca="1" si="233"/>
        <v>1715</v>
      </c>
      <c r="Q89" s="5">
        <f t="shared" si="182"/>
        <v>45494</v>
      </c>
      <c r="R89" s="4">
        <f ca="1">IFERROR(AVERAGE(INDIRECT("D" &amp; $O89):INDIRECT("D" &amp; $P89)),"")</f>
        <v>48.388235294117642</v>
      </c>
      <c r="S89">
        <f ca="1">IFERROR(MAX(INDIRECT("E" &amp; $O89):INDIRECT("E" &amp; $P89)),"")</f>
        <v>73.8</v>
      </c>
      <c r="T89">
        <f ca="1">IFERROR(MIN(INDIRECT("F" &amp; $O89):INDIRECT("F" &amp; $P89)),"")</f>
        <v>40.1</v>
      </c>
      <c r="U89" s="4">
        <f t="shared" ca="1" si="234"/>
        <v>49.388235294117642</v>
      </c>
      <c r="V89" s="4"/>
      <c r="W89" s="4"/>
      <c r="X89" s="5">
        <f t="shared" si="183"/>
        <v>45494</v>
      </c>
      <c r="Y89" s="4">
        <f ca="1">IFERROR(AVERAGE(INDIRECT("H" &amp; $O89):INDIRECT("H" &amp; $P89)),"")</f>
        <v>16.829411764705881</v>
      </c>
      <c r="Z89">
        <f ca="1">IFERROR(MAX(INDIRECT("I" &amp; $O89):INDIRECT("I" &amp; $P89)),"")</f>
        <v>34.200000000000003</v>
      </c>
      <c r="AA89">
        <f ca="1">IFERROR(MIN(INDIRECT("J" &amp; $O89):INDIRECT("J" &amp; $P89)),"")</f>
        <v>10.3</v>
      </c>
      <c r="AB89" s="4">
        <f t="shared" ca="1" si="235"/>
        <v>17.129411764705882</v>
      </c>
    </row>
    <row r="90" spans="1:28" x14ac:dyDescent="0.2">
      <c r="A90" s="1">
        <v>45412</v>
      </c>
      <c r="B90" s="2">
        <v>0.91666666666666663</v>
      </c>
      <c r="C90" s="3">
        <v>45412.916666666664</v>
      </c>
      <c r="D90">
        <v>51</v>
      </c>
      <c r="E90">
        <v>63.2</v>
      </c>
      <c r="F90">
        <v>46.2</v>
      </c>
      <c r="G90" t="s">
        <v>6</v>
      </c>
      <c r="H90">
        <v>14.8</v>
      </c>
      <c r="I90">
        <v>22.2</v>
      </c>
      <c r="J90">
        <v>12.6</v>
      </c>
      <c r="K90" t="s">
        <v>6</v>
      </c>
      <c r="L90">
        <v>197</v>
      </c>
      <c r="M90" t="s">
        <v>6</v>
      </c>
      <c r="N90" t="s">
        <v>104</v>
      </c>
      <c r="O90">
        <f t="shared" ref="O90" ca="1" si="236">MIN(ROW(INDIRECT(N90)))</f>
        <v>1716</v>
      </c>
      <c r="P90">
        <f t="shared" ref="P90" ca="1" si="237">MIN(ROW(INDIRECT(N90))) + ROWS(INDIRECT(N90)) -1</f>
        <v>1728</v>
      </c>
      <c r="Q90" s="5">
        <f t="shared" si="182"/>
        <v>45495</v>
      </c>
      <c r="R90" s="4">
        <f ca="1">IFERROR(AVERAGE(INDIRECT("D" &amp; $O90):INDIRECT("D" &amp; $P90)),"")</f>
        <v>50.284615384615371</v>
      </c>
      <c r="S90">
        <f ca="1">IFERROR(MAX(INDIRECT("E" &amp; $O90):INDIRECT("E" &amp; $P90)),"")</f>
        <v>76.099999999999994</v>
      </c>
      <c r="T90">
        <f ca="1">IFERROR(MIN(INDIRECT("F" &amp; $O90):INDIRECT("F" &amp; $P90)),"")</f>
        <v>40.1</v>
      </c>
      <c r="U90" s="4">
        <f t="shared" ref="U90" ca="1" si="238">R90+1</f>
        <v>51.284615384615371</v>
      </c>
      <c r="V90" s="4"/>
      <c r="W90" s="4"/>
      <c r="X90" s="5">
        <f t="shared" si="183"/>
        <v>45495</v>
      </c>
      <c r="Y90" s="4">
        <f ca="1">IFERROR(AVERAGE(INDIRECT("H" &amp; $O90):INDIRECT("H" &amp; $P90)),"")</f>
        <v>15.346153846153843</v>
      </c>
      <c r="Z90">
        <f ca="1">IFERROR(MAX(INDIRECT("I" &amp; $O90):INDIRECT("I" &amp; $P90)),"")</f>
        <v>31.9</v>
      </c>
      <c r="AA90">
        <f ca="1">IFERROR(MIN(INDIRECT("J" &amp; $O90):INDIRECT("J" &amp; $P90)),"")</f>
        <v>10.4</v>
      </c>
      <c r="AB90" s="4">
        <f t="shared" ref="AB90" ca="1" si="239">Y90+0.3</f>
        <v>15.646153846153844</v>
      </c>
    </row>
    <row r="91" spans="1:28" x14ac:dyDescent="0.2">
      <c r="A91" s="1">
        <v>45412</v>
      </c>
      <c r="B91" s="2">
        <v>0.95833333333333337</v>
      </c>
      <c r="C91" s="3">
        <v>45412.958333333336</v>
      </c>
      <c r="D91">
        <v>46.4</v>
      </c>
      <c r="E91">
        <v>63.9</v>
      </c>
      <c r="F91">
        <v>41</v>
      </c>
      <c r="G91" t="s">
        <v>6</v>
      </c>
      <c r="H91">
        <v>13.9</v>
      </c>
      <c r="I91">
        <v>21.7</v>
      </c>
      <c r="J91">
        <v>12.4</v>
      </c>
      <c r="K91" t="s">
        <v>6</v>
      </c>
      <c r="L91">
        <v>229</v>
      </c>
      <c r="M91" t="s">
        <v>6</v>
      </c>
      <c r="N91" t="s">
        <v>105</v>
      </c>
      <c r="O91">
        <f t="shared" ref="O91" ca="1" si="240">MIN(ROW(INDIRECT(N91)))</f>
        <v>1729</v>
      </c>
      <c r="P91">
        <f t="shared" ref="P91" ca="1" si="241">MIN(ROW(INDIRECT(N91))) + ROWS(INDIRECT(N91)) -1</f>
        <v>1743</v>
      </c>
      <c r="Q91" s="5">
        <f t="shared" si="182"/>
        <v>45496</v>
      </c>
      <c r="R91" s="4">
        <f ca="1">IFERROR(AVERAGE(INDIRECT("D" &amp; $O91):INDIRECT("D" &amp; $P91)),"")</f>
        <v>45.373333333333335</v>
      </c>
      <c r="S91">
        <f ca="1">IFERROR(MAX(INDIRECT("E" &amp; $O91):INDIRECT("E" &amp; $P91)),"")</f>
        <v>57.8</v>
      </c>
      <c r="T91">
        <f ca="1">IFERROR(MIN(INDIRECT("F" &amp; $O91):INDIRECT("F" &amp; $P91)),"")</f>
        <v>40.1</v>
      </c>
      <c r="U91" s="4">
        <f t="shared" ref="U91" ca="1" si="242">R91+1</f>
        <v>46.373333333333335</v>
      </c>
      <c r="V91" s="4"/>
      <c r="W91" s="4"/>
      <c r="X91" s="5">
        <f t="shared" si="183"/>
        <v>45496</v>
      </c>
      <c r="Y91" s="4">
        <f ca="1">IFERROR(AVERAGE(INDIRECT("H" &amp; $O91):INDIRECT("H" &amp; $P91)),"")</f>
        <v>13.32</v>
      </c>
      <c r="Z91">
        <f ca="1">IFERROR(MAX(INDIRECT("I" &amp; $O91):INDIRECT("I" &amp; $P91)),"")</f>
        <v>26.2</v>
      </c>
      <c r="AA91">
        <f ca="1">IFERROR(MIN(INDIRECT("J" &amp; $O91):INDIRECT("J" &amp; $P91)),"")</f>
        <v>9.1999999999999993</v>
      </c>
      <c r="AB91" s="4">
        <f t="shared" ref="AB91" ca="1" si="243">Y91+0.3</f>
        <v>13.620000000000001</v>
      </c>
    </row>
    <row r="92" spans="1:28" x14ac:dyDescent="0.2">
      <c r="A92" s="1">
        <v>45413</v>
      </c>
      <c r="B92" s="2">
        <v>0</v>
      </c>
      <c r="C92" s="3">
        <v>45413</v>
      </c>
      <c r="D92">
        <v>45.3</v>
      </c>
      <c r="E92">
        <v>53.1</v>
      </c>
      <c r="F92">
        <v>40.1</v>
      </c>
      <c r="G92" t="s">
        <v>6</v>
      </c>
      <c r="H92">
        <v>13.6</v>
      </c>
      <c r="I92">
        <v>21.8</v>
      </c>
      <c r="J92">
        <v>12.1</v>
      </c>
      <c r="K92" t="s">
        <v>6</v>
      </c>
      <c r="L92">
        <v>220</v>
      </c>
      <c r="M92" t="s">
        <v>6</v>
      </c>
      <c r="N92" t="s">
        <v>106</v>
      </c>
      <c r="O92">
        <f t="shared" ref="O92" ca="1" si="244">MIN(ROW(INDIRECT(N92)))</f>
        <v>1744</v>
      </c>
      <c r="P92">
        <f t="shared" ref="P92" ca="1" si="245">MIN(ROW(INDIRECT(N92))) + ROWS(INDIRECT(N92)) -1</f>
        <v>1756</v>
      </c>
      <c r="Q92" s="5">
        <f t="shared" si="182"/>
        <v>45497</v>
      </c>
      <c r="R92" s="4">
        <f ca="1">IFERROR(AVERAGE(INDIRECT("D" &amp; $O92):INDIRECT("D" &amp; $P92)),"")</f>
        <v>49.838461538461544</v>
      </c>
      <c r="S92">
        <f ca="1">IFERROR(MAX(INDIRECT("E" &amp; $O92):INDIRECT("E" &amp; $P92)),"")</f>
        <v>81</v>
      </c>
      <c r="T92">
        <f ca="1">IFERROR(MIN(INDIRECT("F" &amp; $O92):INDIRECT("F" &amp; $P92)),"")</f>
        <v>40.1</v>
      </c>
      <c r="U92" s="4">
        <f t="shared" ref="U92" ca="1" si="246">R92+1</f>
        <v>50.838461538461544</v>
      </c>
      <c r="V92" s="4"/>
      <c r="W92" s="4"/>
      <c r="X92" s="5">
        <f t="shared" si="183"/>
        <v>45497</v>
      </c>
      <c r="Y92" s="4">
        <f ca="1">IFERROR(AVERAGE(INDIRECT("H" &amp; $O92):INDIRECT("H" &amp; $P92)),"")</f>
        <v>14.746153846153845</v>
      </c>
      <c r="Z92">
        <f ca="1">IFERROR(MAX(INDIRECT("I" &amp; $O92):INDIRECT("I" &amp; $P92)),"")</f>
        <v>31.4</v>
      </c>
      <c r="AA92">
        <f ca="1">IFERROR(MIN(INDIRECT("J" &amp; $O92):INDIRECT("J" &amp; $P92)),"")</f>
        <v>10.3</v>
      </c>
      <c r="AB92" s="4">
        <f t="shared" ref="AB92" ca="1" si="247">Y92+0.3</f>
        <v>15.046153846153846</v>
      </c>
    </row>
    <row r="93" spans="1:28" x14ac:dyDescent="0.2">
      <c r="A93" s="1">
        <v>45413</v>
      </c>
      <c r="B93" s="2">
        <v>4.1666666666666664E-2</v>
      </c>
      <c r="C93" s="3">
        <v>45413.041666666664</v>
      </c>
      <c r="D93">
        <v>44.4</v>
      </c>
      <c r="E93">
        <v>48</v>
      </c>
      <c r="F93">
        <v>40.4</v>
      </c>
      <c r="G93" t="s">
        <v>6</v>
      </c>
      <c r="H93">
        <v>14.1</v>
      </c>
      <c r="I93">
        <v>26.6</v>
      </c>
      <c r="J93">
        <v>12.1</v>
      </c>
      <c r="K93" t="s">
        <v>6</v>
      </c>
      <c r="L93">
        <v>223</v>
      </c>
      <c r="M93" t="s">
        <v>6</v>
      </c>
      <c r="N93" t="s">
        <v>107</v>
      </c>
      <c r="O93">
        <f t="shared" ref="O93:O94" ca="1" si="248">MIN(ROW(INDIRECT(N93)))</f>
        <v>1757</v>
      </c>
      <c r="P93">
        <f t="shared" ref="P93:P94" ca="1" si="249">MIN(ROW(INDIRECT(N93))) + ROWS(INDIRECT(N93)) -1</f>
        <v>1769</v>
      </c>
      <c r="Q93" s="5">
        <f t="shared" si="182"/>
        <v>45498</v>
      </c>
      <c r="R93" s="4">
        <f ca="1">IFERROR(AVERAGE(INDIRECT("D" &amp; $O93):INDIRECT("D" &amp; $P93)),"")</f>
        <v>49.030769230769231</v>
      </c>
      <c r="S93">
        <f ca="1">IFERROR(MAX(INDIRECT("E" &amp; $O93):INDIRECT("E" &amp; $P93)),"")</f>
        <v>75.3</v>
      </c>
      <c r="T93">
        <f ca="1">IFERROR(MIN(INDIRECT("F" &amp; $O93):INDIRECT("F" &amp; $P93)),"")</f>
        <v>40.1</v>
      </c>
      <c r="U93" s="4">
        <f t="shared" ref="U93:U94" ca="1" si="250">R93+1</f>
        <v>50.030769230769231</v>
      </c>
      <c r="V93" s="4"/>
      <c r="W93" s="4"/>
      <c r="X93" s="5">
        <f t="shared" si="183"/>
        <v>45498</v>
      </c>
      <c r="Y93" s="4">
        <f ca="1">IFERROR(AVERAGE(INDIRECT("H" &amp; $O93):INDIRECT("H" &amp; $P93)),"")</f>
        <v>13.423076923076925</v>
      </c>
      <c r="Z93">
        <f ca="1">IFERROR(MAX(INDIRECT("I" &amp; $O93):INDIRECT("I" &amp; $P93)),"")</f>
        <v>24.9</v>
      </c>
      <c r="AA93">
        <f ca="1">IFERROR(MIN(INDIRECT("J" &amp; $O93):INDIRECT("J" &amp; $P93)),"")</f>
        <v>10.5</v>
      </c>
      <c r="AB93" s="4">
        <f t="shared" ref="AB93:AB94" ca="1" si="251">Y93+0.3</f>
        <v>13.723076923076926</v>
      </c>
    </row>
    <row r="94" spans="1:28" x14ac:dyDescent="0.2">
      <c r="A94" s="1">
        <v>45413</v>
      </c>
      <c r="B94" s="2">
        <v>8.3333333333333329E-2</v>
      </c>
      <c r="C94" s="3">
        <v>45413.083333333336</v>
      </c>
      <c r="D94">
        <v>45.5</v>
      </c>
      <c r="E94">
        <v>50.6</v>
      </c>
      <c r="F94">
        <v>40.4</v>
      </c>
      <c r="G94" t="s">
        <v>6</v>
      </c>
      <c r="H94">
        <v>14.2</v>
      </c>
      <c r="I94">
        <v>25.4</v>
      </c>
      <c r="J94">
        <v>11.9</v>
      </c>
      <c r="K94" t="s">
        <v>6</v>
      </c>
      <c r="L94">
        <v>217</v>
      </c>
      <c r="M94" t="s">
        <v>6</v>
      </c>
      <c r="N94" t="s">
        <v>108</v>
      </c>
      <c r="O94">
        <f t="shared" ca="1" si="248"/>
        <v>1770</v>
      </c>
      <c r="P94">
        <f t="shared" ca="1" si="249"/>
        <v>1792</v>
      </c>
      <c r="Q94" s="5">
        <f t="shared" si="182"/>
        <v>45499</v>
      </c>
      <c r="R94" s="4">
        <f ca="1">IFERROR(AVERAGE(INDIRECT("D" &amp; $O94):INDIRECT("D" &amp; $P94)),"")</f>
        <v>54.526086956521738</v>
      </c>
      <c r="S94">
        <f ca="1">IFERROR(MAX(INDIRECT("E" &amp; $O94):INDIRECT("E" &amp; $P94)),"")</f>
        <v>75.8</v>
      </c>
      <c r="T94">
        <f ca="1">IFERROR(MIN(INDIRECT("F" &amp; $O94):INDIRECT("F" &amp; $P94)),"")</f>
        <v>40.4</v>
      </c>
      <c r="U94" s="4">
        <f t="shared" ca="1" si="250"/>
        <v>55.526086956521738</v>
      </c>
      <c r="V94" s="4"/>
      <c r="W94" s="4"/>
      <c r="X94" s="5">
        <f t="shared" si="183"/>
        <v>45499</v>
      </c>
      <c r="Y94" s="4">
        <f ca="1">IFERROR(AVERAGE(INDIRECT("H" &amp; $O94):INDIRECT("H" &amp; $P94)),"")</f>
        <v>14.508695652173913</v>
      </c>
      <c r="Z94">
        <f ca="1">IFERROR(MAX(INDIRECT("I" &amp; $O94):INDIRECT("I" &amp; $P94)),"")</f>
        <v>31.5</v>
      </c>
      <c r="AA94">
        <f ca="1">IFERROR(MIN(INDIRECT("J" &amp; $O94):INDIRECT("J" &amp; $P94)),"")</f>
        <v>10</v>
      </c>
      <c r="AB94" s="4">
        <f t="shared" ca="1" si="251"/>
        <v>14.808695652173913</v>
      </c>
    </row>
    <row r="95" spans="1:28" x14ac:dyDescent="0.2">
      <c r="A95" s="1">
        <v>45413</v>
      </c>
      <c r="B95" s="2">
        <v>0.125</v>
      </c>
      <c r="C95" s="3">
        <v>45413.125</v>
      </c>
      <c r="D95">
        <v>47.1</v>
      </c>
      <c r="E95">
        <v>55.8</v>
      </c>
      <c r="F95">
        <v>42.2</v>
      </c>
      <c r="G95" t="s">
        <v>6</v>
      </c>
      <c r="H95">
        <v>13.1</v>
      </c>
      <c r="I95">
        <v>17.399999999999999</v>
      </c>
      <c r="J95">
        <v>11.6</v>
      </c>
      <c r="K95" t="s">
        <v>6</v>
      </c>
      <c r="L95">
        <v>216</v>
      </c>
      <c r="M95" t="s">
        <v>6</v>
      </c>
      <c r="N95" t="s">
        <v>109</v>
      </c>
      <c r="O95">
        <f t="shared" ref="O95:O97" ca="1" si="252">MIN(ROW(INDIRECT(N95)))</f>
        <v>1793</v>
      </c>
      <c r="P95">
        <f t="shared" ref="P95:P97" ca="1" si="253">MIN(ROW(INDIRECT(N95))) + ROWS(INDIRECT(N95)) -1</f>
        <v>1812</v>
      </c>
      <c r="Q95" s="5">
        <f t="shared" si="182"/>
        <v>45500</v>
      </c>
      <c r="R95" s="4">
        <f ca="1">IFERROR(AVERAGE(INDIRECT("D" &amp; $O95):INDIRECT("D" &amp; $P95)),"")</f>
        <v>54.625000000000014</v>
      </c>
      <c r="S95">
        <f ca="1">IFERROR(MAX(INDIRECT("E" &amp; $O95):INDIRECT("E" &amp; $P95)),"")</f>
        <v>73.5</v>
      </c>
      <c r="T95">
        <f ca="1">IFERROR(MIN(INDIRECT("F" &amp; $O95):INDIRECT("F" &amp; $P95)),"")</f>
        <v>40.1</v>
      </c>
      <c r="U95" s="4">
        <f t="shared" ref="U95:U97" ca="1" si="254">R95+1</f>
        <v>55.625000000000014</v>
      </c>
      <c r="V95" s="4"/>
      <c r="W95" s="4"/>
      <c r="X95" s="5">
        <f t="shared" si="183"/>
        <v>45500</v>
      </c>
      <c r="Y95" s="4">
        <f ca="1">IFERROR(AVERAGE(INDIRECT("H" &amp; $O95):INDIRECT("H" &amp; $P95)),"")</f>
        <v>18.179999999999996</v>
      </c>
      <c r="Z95">
        <f ca="1">IFERROR(MAX(INDIRECT("I" &amp; $O95):INDIRECT("I" &amp; $P95)),"")</f>
        <v>35.6</v>
      </c>
      <c r="AA95">
        <f ca="1">IFERROR(MIN(INDIRECT("J" &amp; $O95):INDIRECT("J" &amp; $P95)),"")</f>
        <v>9.8000000000000007</v>
      </c>
      <c r="AB95" s="4">
        <f t="shared" ref="AB95:AB97" ca="1" si="255">Y95+0.3</f>
        <v>18.479999999999997</v>
      </c>
    </row>
    <row r="96" spans="1:28" x14ac:dyDescent="0.2">
      <c r="A96" s="1">
        <v>45413</v>
      </c>
      <c r="B96" s="2">
        <v>0.16666666666666666</v>
      </c>
      <c r="C96" s="3">
        <v>45413.166666666664</v>
      </c>
      <c r="D96">
        <v>50.6</v>
      </c>
      <c r="E96">
        <v>56.4</v>
      </c>
      <c r="F96">
        <v>45.8</v>
      </c>
      <c r="G96" t="s">
        <v>6</v>
      </c>
      <c r="H96">
        <v>13.3</v>
      </c>
      <c r="I96">
        <v>24.2</v>
      </c>
      <c r="J96">
        <v>11.6</v>
      </c>
      <c r="K96" t="s">
        <v>6</v>
      </c>
      <c r="L96">
        <v>216</v>
      </c>
      <c r="M96" t="s">
        <v>6</v>
      </c>
      <c r="N96" t="s">
        <v>110</v>
      </c>
      <c r="O96">
        <f t="shared" ca="1" si="252"/>
        <v>1813</v>
      </c>
      <c r="P96">
        <f t="shared" ca="1" si="253"/>
        <v>1827</v>
      </c>
      <c r="Q96" s="5">
        <f t="shared" si="182"/>
        <v>45501</v>
      </c>
      <c r="R96" s="4">
        <f ca="1">IFERROR(AVERAGE(INDIRECT("D" &amp; $O96):INDIRECT("D" &amp; $P96)),"")</f>
        <v>49.493333333333332</v>
      </c>
      <c r="S96">
        <f ca="1">IFERROR(MAX(INDIRECT("E" &amp; $O96):INDIRECT("E" &amp; $P96)),"")</f>
        <v>71.400000000000006</v>
      </c>
      <c r="T96">
        <f ca="1">IFERROR(MIN(INDIRECT("F" &amp; $O96):INDIRECT("F" &amp; $P96)),"")</f>
        <v>40.1</v>
      </c>
      <c r="U96" s="4">
        <f t="shared" ca="1" si="254"/>
        <v>50.493333333333332</v>
      </c>
      <c r="V96" s="4"/>
      <c r="W96" s="4"/>
      <c r="X96" s="5">
        <f t="shared" si="183"/>
        <v>45501</v>
      </c>
      <c r="Y96" s="4">
        <f ca="1">IFERROR(AVERAGE(INDIRECT("H" &amp; $O96):INDIRECT("H" &amp; $P96)),"")</f>
        <v>14.6</v>
      </c>
      <c r="Z96">
        <f ca="1">IFERROR(MAX(INDIRECT("I" &amp; $O96):INDIRECT("I" &amp; $P96)),"")</f>
        <v>28.1</v>
      </c>
      <c r="AA96">
        <f ca="1">IFERROR(MIN(INDIRECT("J" &amp; $O96):INDIRECT("J" &amp; $P96)),"")</f>
        <v>10.199999999999999</v>
      </c>
      <c r="AB96" s="4">
        <f t="shared" ca="1" si="255"/>
        <v>14.9</v>
      </c>
    </row>
    <row r="97" spans="1:28" x14ac:dyDescent="0.2">
      <c r="A97" s="13">
        <v>45413</v>
      </c>
      <c r="B97" s="9">
        <v>0.20833333333333334</v>
      </c>
      <c r="C97" s="8">
        <v>45413.208333333336</v>
      </c>
      <c r="D97" s="10">
        <v>48</v>
      </c>
      <c r="E97" s="10">
        <v>51.3</v>
      </c>
      <c r="F97" s="10">
        <v>45.2</v>
      </c>
      <c r="G97" s="10" t="s">
        <v>6</v>
      </c>
      <c r="H97" s="10">
        <v>15.1</v>
      </c>
      <c r="I97" s="10">
        <v>25.8</v>
      </c>
      <c r="J97" s="10">
        <v>11.6</v>
      </c>
      <c r="K97" s="10" t="s">
        <v>6</v>
      </c>
      <c r="L97" s="10">
        <v>112</v>
      </c>
      <c r="M97" t="s">
        <v>6</v>
      </c>
      <c r="N97" t="s">
        <v>111</v>
      </c>
      <c r="O97">
        <f t="shared" ca="1" si="252"/>
        <v>1828</v>
      </c>
      <c r="P97">
        <f t="shared" ca="1" si="253"/>
        <v>1847</v>
      </c>
      <c r="Q97" s="5">
        <f t="shared" si="182"/>
        <v>45502</v>
      </c>
      <c r="R97" s="4">
        <f ca="1">IFERROR(AVERAGE(INDIRECT("D" &amp; $O97):INDIRECT("D" &amp; $P97)),"")</f>
        <v>51.06</v>
      </c>
      <c r="S97">
        <f ca="1">IFERROR(MAX(INDIRECT("E" &amp; $O97):INDIRECT("E" &amp; $P97)),"")</f>
        <v>72.8</v>
      </c>
      <c r="T97">
        <f ca="1">IFERROR(MIN(INDIRECT("F" &amp; $O97):INDIRECT("F" &amp; $P97)),"")</f>
        <v>40.1</v>
      </c>
      <c r="U97" s="4">
        <f t="shared" ca="1" si="254"/>
        <v>52.06</v>
      </c>
      <c r="V97" s="4"/>
      <c r="W97" s="4"/>
      <c r="X97" s="5">
        <f t="shared" si="183"/>
        <v>45502</v>
      </c>
      <c r="Y97" s="4">
        <f ca="1">IFERROR(AVERAGE(INDIRECT("H" &amp; $O97):INDIRECT("H" &amp; $P97)),"")</f>
        <v>14.124999999999996</v>
      </c>
      <c r="Z97">
        <f ca="1">IFERROR(MAX(INDIRECT("I" &amp; $O97):INDIRECT("I" &amp; $P97)),"")</f>
        <v>34.5</v>
      </c>
      <c r="AA97">
        <f ca="1">IFERROR(MIN(INDIRECT("J" &amp; $O97):INDIRECT("J" &amp; $P97)),"")</f>
        <v>9.9</v>
      </c>
      <c r="AB97" s="4">
        <f t="shared" ca="1" si="255"/>
        <v>14.424999999999997</v>
      </c>
    </row>
    <row r="98" spans="1:28" x14ac:dyDescent="0.2">
      <c r="A98" s="14">
        <v>45413</v>
      </c>
      <c r="B98" s="12">
        <v>0.625</v>
      </c>
      <c r="C98" s="7">
        <v>45413.625</v>
      </c>
      <c r="D98" s="11">
        <v>56.7</v>
      </c>
      <c r="E98" s="11">
        <v>57.1</v>
      </c>
      <c r="F98" s="11">
        <v>55.9</v>
      </c>
      <c r="G98" s="11" t="s">
        <v>6</v>
      </c>
      <c r="H98" s="11">
        <v>16.7</v>
      </c>
      <c r="I98" s="11">
        <v>18.5</v>
      </c>
      <c r="J98" s="11">
        <v>15.6</v>
      </c>
      <c r="K98" s="11" t="s">
        <v>6</v>
      </c>
      <c r="L98" s="11">
        <v>9</v>
      </c>
      <c r="M98" t="s">
        <v>6</v>
      </c>
      <c r="N98" t="s">
        <v>112</v>
      </c>
      <c r="O98">
        <f t="shared" ref="O98" ca="1" si="256">MIN(ROW(INDIRECT(N98)))</f>
        <v>1848</v>
      </c>
      <c r="P98">
        <f t="shared" ref="P98" ca="1" si="257">MIN(ROW(INDIRECT(N98))) + ROWS(INDIRECT(N98)) -1</f>
        <v>1869</v>
      </c>
      <c r="Q98" s="5">
        <f t="shared" si="182"/>
        <v>45503</v>
      </c>
      <c r="R98" s="4">
        <f ca="1">IFERROR(AVERAGE(INDIRECT("D" &amp; $O98):INDIRECT("D" &amp; $P98)),"")</f>
        <v>52.872727272727268</v>
      </c>
      <c r="S98">
        <f ca="1">IFERROR(MAX(INDIRECT("E" &amp; $O98):INDIRECT("E" &amp; $P98)),"")</f>
        <v>69.599999999999994</v>
      </c>
      <c r="T98">
        <f ca="1">IFERROR(MIN(INDIRECT("F" &amp; $O98):INDIRECT("F" &amp; $P98)),"")</f>
        <v>40.1</v>
      </c>
      <c r="U98" s="4">
        <f t="shared" ref="U98" ca="1" si="258">R98+1</f>
        <v>53.872727272727268</v>
      </c>
      <c r="V98" s="4"/>
      <c r="W98" s="4"/>
      <c r="X98" s="5">
        <f t="shared" si="183"/>
        <v>45503</v>
      </c>
      <c r="Y98" s="4">
        <f ca="1">IFERROR(AVERAGE(INDIRECT("H" &amp; $O98):INDIRECT("H" &amp; $P98)),"")</f>
        <v>15.390909090909089</v>
      </c>
      <c r="Z98">
        <f ca="1">IFERROR(MAX(INDIRECT("I" &amp; $O98):INDIRECT("I" &amp; $P98)),"")</f>
        <v>34.1</v>
      </c>
      <c r="AA98">
        <f ca="1">IFERROR(MIN(INDIRECT("J" &amp; $O98):INDIRECT("J" &amp; $P98)),"")</f>
        <v>8.6999999999999993</v>
      </c>
      <c r="AB98" s="4">
        <f t="shared" ref="AB98" ca="1" si="259">Y98+0.3</f>
        <v>15.69090909090909</v>
      </c>
    </row>
    <row r="99" spans="1:28" x14ac:dyDescent="0.2">
      <c r="A99" s="1">
        <v>45413</v>
      </c>
      <c r="B99" s="2">
        <v>0.66666666666666663</v>
      </c>
      <c r="C99" s="3">
        <v>45413.666666666664</v>
      </c>
      <c r="D99">
        <v>54.4</v>
      </c>
      <c r="E99">
        <v>56.9</v>
      </c>
      <c r="F99">
        <v>53.2</v>
      </c>
      <c r="G99" t="s">
        <v>6</v>
      </c>
      <c r="H99">
        <v>14.8</v>
      </c>
      <c r="I99">
        <v>18.100000000000001</v>
      </c>
      <c r="J99">
        <v>11.5</v>
      </c>
      <c r="K99" t="s">
        <v>6</v>
      </c>
      <c r="L99">
        <v>69</v>
      </c>
      <c r="M99" t="s">
        <v>6</v>
      </c>
      <c r="N99" t="s">
        <v>113</v>
      </c>
      <c r="O99">
        <f t="shared" ref="O99" ca="1" si="260">MIN(ROW(INDIRECT(N99)))</f>
        <v>1870</v>
      </c>
      <c r="P99">
        <f t="shared" ref="P99" ca="1" si="261">MIN(ROW(INDIRECT(N99))) + ROWS(INDIRECT(N99)) -1</f>
        <v>1889</v>
      </c>
      <c r="Q99" s="5">
        <f t="shared" si="182"/>
        <v>45504</v>
      </c>
      <c r="R99" s="4">
        <f ca="1">IFERROR(AVERAGE(INDIRECT("D" &amp; $O99):INDIRECT("D" &amp; $P99)),"")</f>
        <v>45.08</v>
      </c>
      <c r="S99">
        <f ca="1">IFERROR(MAX(INDIRECT("E" &amp; $O99):INDIRECT("E" &amp; $P99)),"")</f>
        <v>56.2</v>
      </c>
      <c r="T99">
        <f ca="1">IFERROR(MIN(INDIRECT("F" &amp; $O99):INDIRECT("F" &amp; $P99)),"")</f>
        <v>40.1</v>
      </c>
      <c r="U99" s="4">
        <f t="shared" ref="U99" ca="1" si="262">R99+1</f>
        <v>46.08</v>
      </c>
      <c r="V99" s="4"/>
      <c r="W99" s="4"/>
      <c r="X99" s="5">
        <f t="shared" si="183"/>
        <v>45504</v>
      </c>
      <c r="Y99" s="4">
        <f ca="1">IFERROR(AVERAGE(INDIRECT("H" &amp; $O99):INDIRECT("H" &amp; $P99)),"")</f>
        <v>14.104999999999999</v>
      </c>
      <c r="Z99">
        <f ca="1">IFERROR(MAX(INDIRECT("I" &amp; $O99):INDIRECT("I" &amp; $P99)),"")</f>
        <v>35</v>
      </c>
      <c r="AA99">
        <f ca="1">IFERROR(MIN(INDIRECT("J" &amp; $O99):INDIRECT("J" &amp; $P99)),"")</f>
        <v>8.9</v>
      </c>
      <c r="AB99" s="4">
        <f t="shared" ref="AB99" ca="1" si="263">Y99+0.3</f>
        <v>14.404999999999999</v>
      </c>
    </row>
    <row r="100" spans="1:28" x14ac:dyDescent="0.2">
      <c r="A100" s="1">
        <v>45413</v>
      </c>
      <c r="B100" s="2">
        <v>0.79166666666666663</v>
      </c>
      <c r="C100" s="3">
        <v>45413.791666666664</v>
      </c>
      <c r="D100">
        <v>46.7</v>
      </c>
      <c r="E100">
        <v>56.7</v>
      </c>
      <c r="F100">
        <v>41.5</v>
      </c>
      <c r="G100" t="s">
        <v>6</v>
      </c>
      <c r="H100">
        <v>19.2</v>
      </c>
      <c r="I100">
        <v>33.5</v>
      </c>
      <c r="J100">
        <v>12.1</v>
      </c>
      <c r="K100" t="s">
        <v>6</v>
      </c>
      <c r="L100">
        <v>163</v>
      </c>
      <c r="M100" t="s">
        <v>6</v>
      </c>
      <c r="N100" t="s">
        <v>114</v>
      </c>
      <c r="O100">
        <f t="shared" ref="O100" ca="1" si="264">MIN(ROW(INDIRECT(N100)))</f>
        <v>1890</v>
      </c>
      <c r="P100">
        <f t="shared" ref="P100" ca="1" si="265">MIN(ROW(INDIRECT(N100))) + ROWS(INDIRECT(N100)) -1</f>
        <v>1907</v>
      </c>
      <c r="Q100" s="5">
        <f t="shared" si="182"/>
        <v>45505</v>
      </c>
      <c r="R100" s="4">
        <f ca="1">IFERROR(AVERAGE(INDIRECT("D" &amp; $O100):INDIRECT("D" &amp; $P100)),"")</f>
        <v>47.305555555555564</v>
      </c>
      <c r="S100">
        <f ca="1">IFERROR(MAX(INDIRECT("E" &amp; $O100):INDIRECT("E" &amp; $P100)),"")</f>
        <v>70.400000000000006</v>
      </c>
      <c r="T100">
        <f ca="1">IFERROR(MIN(INDIRECT("F" &amp; $O100):INDIRECT("F" &amp; $P100)),"")</f>
        <v>40.1</v>
      </c>
      <c r="U100" s="4">
        <f t="shared" ref="U100" ca="1" si="266">R100+1</f>
        <v>48.305555555555564</v>
      </c>
      <c r="V100" s="4"/>
      <c r="W100" s="4"/>
      <c r="X100" s="5">
        <f t="shared" si="183"/>
        <v>45505</v>
      </c>
      <c r="Y100" s="4">
        <f ca="1">IFERROR(AVERAGE(INDIRECT("H" &amp; $O100):INDIRECT("H" &amp; $P100)),"")</f>
        <v>15.172222222222224</v>
      </c>
      <c r="Z100">
        <f ca="1">IFERROR(MAX(INDIRECT("I" &amp; $O100):INDIRECT("I" &amp; $P100)),"")</f>
        <v>32.4</v>
      </c>
      <c r="AA100">
        <f ca="1">IFERROR(MIN(INDIRECT("J" &amp; $O100):INDIRECT("J" &amp; $P100)),"")</f>
        <v>8.9</v>
      </c>
      <c r="AB100" s="4">
        <f t="shared" ref="AB100" ca="1" si="267">Y100+0.3</f>
        <v>15.472222222222225</v>
      </c>
    </row>
    <row r="101" spans="1:28" x14ac:dyDescent="0.2">
      <c r="A101" s="1">
        <v>45413</v>
      </c>
      <c r="B101" s="2">
        <v>0.83333333333333337</v>
      </c>
      <c r="C101" s="3">
        <v>45413.833333333336</v>
      </c>
      <c r="D101">
        <v>51.1</v>
      </c>
      <c r="E101">
        <v>57.5</v>
      </c>
      <c r="F101">
        <v>41.8</v>
      </c>
      <c r="G101" t="s">
        <v>6</v>
      </c>
      <c r="H101">
        <v>16</v>
      </c>
      <c r="I101">
        <v>26.3</v>
      </c>
      <c r="J101">
        <v>12.5</v>
      </c>
      <c r="K101" t="s">
        <v>6</v>
      </c>
      <c r="L101">
        <v>216</v>
      </c>
      <c r="M101" t="s">
        <v>6</v>
      </c>
      <c r="N101" t="s">
        <v>115</v>
      </c>
      <c r="O101">
        <f t="shared" ref="O101" ca="1" si="268">MIN(ROW(INDIRECT(N101)))</f>
        <v>1908</v>
      </c>
      <c r="P101">
        <f t="shared" ref="P101" ca="1" si="269">MIN(ROW(INDIRECT(N101))) + ROWS(INDIRECT(N101)) -1</f>
        <v>1931</v>
      </c>
      <c r="Q101" s="5">
        <f t="shared" si="182"/>
        <v>45506</v>
      </c>
      <c r="R101" s="4">
        <f ca="1">IFERROR(AVERAGE(INDIRECT("D" &amp; $O101):INDIRECT("D" &amp; $P101)),"")</f>
        <v>49.837500000000006</v>
      </c>
      <c r="S101">
        <f ca="1">IFERROR(MAX(INDIRECT("E" &amp; $O101):INDIRECT("E" &amp; $P101)),"")</f>
        <v>73.2</v>
      </c>
      <c r="T101">
        <f ca="1">IFERROR(MIN(INDIRECT("F" &amp; $O101):INDIRECT("F" &amp; $P101)),"")</f>
        <v>40.1</v>
      </c>
      <c r="U101" s="4">
        <f t="shared" ref="U101" ca="1" si="270">R101+1</f>
        <v>50.837500000000006</v>
      </c>
      <c r="V101" s="4"/>
      <c r="W101" s="4"/>
      <c r="X101" s="5">
        <f t="shared" si="183"/>
        <v>45506</v>
      </c>
      <c r="Y101" s="4">
        <f ca="1">IFERROR(AVERAGE(INDIRECT("H" &amp; $O101):INDIRECT("H" &amp; $P101)),"")</f>
        <v>16.733333333333331</v>
      </c>
      <c r="Z101">
        <f ca="1">IFERROR(MAX(INDIRECT("I" &amp; $O101):INDIRECT("I" &amp; $P101)),"")</f>
        <v>34.6</v>
      </c>
      <c r="AA101">
        <f ca="1">IFERROR(MIN(INDIRECT("J" &amp; $O101):INDIRECT("J" &amp; $P101)),"")</f>
        <v>10.3</v>
      </c>
      <c r="AB101" s="4">
        <f t="shared" ref="AB101" ca="1" si="271">Y101+0.3</f>
        <v>17.033333333333331</v>
      </c>
    </row>
    <row r="102" spans="1:28" x14ac:dyDescent="0.2">
      <c r="A102" s="1">
        <v>45413</v>
      </c>
      <c r="B102" s="2">
        <v>0.875</v>
      </c>
      <c r="C102" s="3">
        <v>45413.875</v>
      </c>
      <c r="D102">
        <v>46.6</v>
      </c>
      <c r="E102">
        <v>54.4</v>
      </c>
      <c r="F102">
        <v>40.6</v>
      </c>
      <c r="G102" t="s">
        <v>6</v>
      </c>
      <c r="H102">
        <v>15</v>
      </c>
      <c r="I102">
        <v>29</v>
      </c>
      <c r="J102">
        <v>11.9</v>
      </c>
      <c r="K102" t="s">
        <v>6</v>
      </c>
      <c r="L102">
        <v>222</v>
      </c>
      <c r="M102" t="s">
        <v>6</v>
      </c>
      <c r="N102" t="s">
        <v>116</v>
      </c>
      <c r="O102">
        <f t="shared" ref="O102:O104" ca="1" si="272">MIN(ROW(INDIRECT(N102)))</f>
        <v>1932</v>
      </c>
      <c r="P102">
        <f t="shared" ref="P102:P104" ca="1" si="273">MIN(ROW(INDIRECT(N102))) + ROWS(INDIRECT(N102)) -1</f>
        <v>1951</v>
      </c>
      <c r="Q102" s="5">
        <f t="shared" si="182"/>
        <v>45507</v>
      </c>
      <c r="R102" s="4">
        <f ca="1">IFERROR(AVERAGE(INDIRECT("D" &amp; $O102):INDIRECT("D" &amp; $P102)),"")</f>
        <v>52.86999999999999</v>
      </c>
      <c r="S102">
        <f ca="1">IFERROR(MAX(INDIRECT("E" &amp; $O102):INDIRECT("E" &amp; $P102)),"")</f>
        <v>69.2</v>
      </c>
      <c r="T102">
        <f ca="1">IFERROR(MIN(INDIRECT("F" &amp; $O102):INDIRECT("F" &amp; $P102)),"")</f>
        <v>40.1</v>
      </c>
      <c r="U102" s="4">
        <f t="shared" ref="U102:U104" ca="1" si="274">R102+1</f>
        <v>53.86999999999999</v>
      </c>
      <c r="V102" s="4"/>
      <c r="W102" s="4"/>
      <c r="X102" s="5">
        <f t="shared" si="183"/>
        <v>45507</v>
      </c>
      <c r="Y102" s="4">
        <f ca="1">IFERROR(AVERAGE(INDIRECT("H" &amp; $O102):INDIRECT("H" &amp; $P102)),"")</f>
        <v>14.525000000000002</v>
      </c>
      <c r="Z102">
        <f ca="1">IFERROR(MAX(INDIRECT("I" &amp; $O102):INDIRECT("I" &amp; $P102)),"")</f>
        <v>27.6</v>
      </c>
      <c r="AA102">
        <f ca="1">IFERROR(MIN(INDIRECT("J" &amp; $O102):INDIRECT("J" &amp; $P102)),"")</f>
        <v>9.3000000000000007</v>
      </c>
      <c r="AB102" s="4">
        <f t="shared" ref="AB102:AB104" ca="1" si="275">Y102+0.3</f>
        <v>14.825000000000003</v>
      </c>
    </row>
    <row r="103" spans="1:28" x14ac:dyDescent="0.2">
      <c r="A103" s="1">
        <v>45413</v>
      </c>
      <c r="B103" s="2">
        <v>0.91666666666666663</v>
      </c>
      <c r="C103" s="3">
        <v>45413.916666666664</v>
      </c>
      <c r="D103">
        <v>44.7</v>
      </c>
      <c r="E103">
        <v>47.6</v>
      </c>
      <c r="F103">
        <v>41.1</v>
      </c>
      <c r="G103" t="s">
        <v>6</v>
      </c>
      <c r="H103">
        <v>15.2</v>
      </c>
      <c r="I103">
        <v>26.7</v>
      </c>
      <c r="J103">
        <v>12.1</v>
      </c>
      <c r="K103" t="s">
        <v>6</v>
      </c>
      <c r="L103">
        <v>210</v>
      </c>
      <c r="M103" t="s">
        <v>6</v>
      </c>
      <c r="N103" t="s">
        <v>117</v>
      </c>
      <c r="O103">
        <f t="shared" ca="1" si="272"/>
        <v>1952</v>
      </c>
      <c r="P103">
        <f t="shared" ca="1" si="273"/>
        <v>1973</v>
      </c>
      <c r="Q103" s="5">
        <f t="shared" si="182"/>
        <v>45508</v>
      </c>
      <c r="R103" s="4">
        <f ca="1">IFERROR(AVERAGE(INDIRECT("D" &amp; $O103):INDIRECT("D" &amp; $P103)),"")</f>
        <v>53.772727272727273</v>
      </c>
      <c r="S103">
        <f ca="1">IFERROR(MAX(INDIRECT("E" &amp; $O103):INDIRECT("E" &amp; $P103)),"")</f>
        <v>74.099999999999994</v>
      </c>
      <c r="T103">
        <f ca="1">IFERROR(MIN(INDIRECT("F" &amp; $O103):INDIRECT("F" &amp; $P103)),"")</f>
        <v>40.1</v>
      </c>
      <c r="U103" s="4">
        <f t="shared" ca="1" si="274"/>
        <v>54.772727272727273</v>
      </c>
      <c r="V103" s="4"/>
      <c r="W103" s="4"/>
      <c r="X103" s="5">
        <f t="shared" si="183"/>
        <v>45508</v>
      </c>
      <c r="Y103" s="4">
        <f ca="1">IFERROR(AVERAGE(INDIRECT("H" &amp; $O103):INDIRECT("H" &amp; $P103)),"")</f>
        <v>13.454545454545455</v>
      </c>
      <c r="Z103">
        <f ca="1">IFERROR(MAX(INDIRECT("I" &amp; $O103):INDIRECT("I" &amp; $P103)),"")</f>
        <v>31.8</v>
      </c>
      <c r="AA103">
        <f ca="1">IFERROR(MIN(INDIRECT("J" &amp; $O103):INDIRECT("J" &amp; $P103)),"")</f>
        <v>8.6999999999999993</v>
      </c>
      <c r="AB103" s="4">
        <f t="shared" ca="1" si="275"/>
        <v>13.754545454545456</v>
      </c>
    </row>
    <row r="104" spans="1:28" x14ac:dyDescent="0.2">
      <c r="A104" s="1">
        <v>45413</v>
      </c>
      <c r="B104" s="2">
        <v>0.95833333333333337</v>
      </c>
      <c r="C104" s="3">
        <v>45413.958333333336</v>
      </c>
      <c r="D104">
        <v>42.9</v>
      </c>
      <c r="E104">
        <v>47.2</v>
      </c>
      <c r="F104">
        <v>40.6</v>
      </c>
      <c r="G104" t="s">
        <v>6</v>
      </c>
      <c r="H104">
        <v>17.600000000000001</v>
      </c>
      <c r="I104">
        <v>29</v>
      </c>
      <c r="J104">
        <v>13.1</v>
      </c>
      <c r="K104" t="s">
        <v>6</v>
      </c>
      <c r="L104">
        <v>208</v>
      </c>
      <c r="M104" t="s">
        <v>6</v>
      </c>
      <c r="N104" t="s">
        <v>118</v>
      </c>
      <c r="O104">
        <f t="shared" ca="1" si="272"/>
        <v>1974</v>
      </c>
      <c r="P104">
        <f t="shared" ca="1" si="273"/>
        <v>1992</v>
      </c>
      <c r="Q104" s="5">
        <f t="shared" si="182"/>
        <v>45509</v>
      </c>
      <c r="R104" s="4">
        <f ca="1">IFERROR(AVERAGE(INDIRECT("D" &amp; $O104):INDIRECT("D" &amp; $P104)),"")</f>
        <v>53.284210526315803</v>
      </c>
      <c r="S104">
        <f ca="1">IFERROR(MAX(INDIRECT("E" &amp; $O104):INDIRECT("E" &amp; $P104)),"")</f>
        <v>82.3</v>
      </c>
      <c r="T104">
        <f ca="1">IFERROR(MIN(INDIRECT("F" &amp; $O104):INDIRECT("F" &amp; $P104)),"")</f>
        <v>40.1</v>
      </c>
      <c r="U104" s="4">
        <f t="shared" ca="1" si="274"/>
        <v>54.284210526315803</v>
      </c>
      <c r="V104" s="4"/>
      <c r="W104" s="4"/>
      <c r="X104" s="5">
        <f t="shared" si="183"/>
        <v>45509</v>
      </c>
      <c r="Y104" s="4">
        <f ca="1">IFERROR(AVERAGE(INDIRECT("H" &amp; $O104):INDIRECT("H" &amp; $P104)),"")</f>
        <v>14.047368421052633</v>
      </c>
      <c r="Z104">
        <f ca="1">IFERROR(MAX(INDIRECT("I" &amp; $O104):INDIRECT("I" &amp; $P104)),"")</f>
        <v>32.9</v>
      </c>
      <c r="AA104">
        <f ca="1">IFERROR(MIN(INDIRECT("J" &amp; $O104):INDIRECT("J" &amp; $P104)),"")</f>
        <v>8.5</v>
      </c>
      <c r="AB104" s="4">
        <f t="shared" ca="1" si="275"/>
        <v>14.347368421052634</v>
      </c>
    </row>
    <row r="105" spans="1:28" x14ac:dyDescent="0.2">
      <c r="A105" s="1">
        <v>45414</v>
      </c>
      <c r="B105" s="2">
        <v>0</v>
      </c>
      <c r="C105" s="3">
        <v>45414</v>
      </c>
      <c r="D105">
        <v>46.2</v>
      </c>
      <c r="E105">
        <v>52.3</v>
      </c>
      <c r="F105">
        <v>41.9</v>
      </c>
      <c r="G105" t="s">
        <v>6</v>
      </c>
      <c r="H105">
        <v>13.5</v>
      </c>
      <c r="I105">
        <v>16</v>
      </c>
      <c r="J105">
        <v>11</v>
      </c>
      <c r="K105" t="s">
        <v>6</v>
      </c>
      <c r="L105">
        <v>220</v>
      </c>
      <c r="M105" t="s">
        <v>6</v>
      </c>
      <c r="N105" t="s">
        <v>119</v>
      </c>
      <c r="O105">
        <f t="shared" ref="O105" ca="1" si="276">MIN(ROW(INDIRECT(N105)))</f>
        <v>1993</v>
      </c>
      <c r="P105">
        <f t="shared" ref="P105" ca="1" si="277">MIN(ROW(INDIRECT(N105))) + ROWS(INDIRECT(N105)) -1</f>
        <v>2014</v>
      </c>
      <c r="Q105" s="5">
        <f t="shared" si="182"/>
        <v>45510</v>
      </c>
      <c r="R105" s="4">
        <f ca="1">IFERROR(AVERAGE(INDIRECT("D" &amp; $O105):INDIRECT("D" &amp; $P105)),"")</f>
        <v>54.127272727272732</v>
      </c>
      <c r="S105">
        <f ca="1">IFERROR(MAX(INDIRECT("E" &amp; $O105):INDIRECT("E" &amp; $P105)),"")</f>
        <v>78.8</v>
      </c>
      <c r="T105">
        <f ca="1">IFERROR(MIN(INDIRECT("F" &amp; $O105):INDIRECT("F" &amp; $P105)),"")</f>
        <v>40.1</v>
      </c>
      <c r="U105" s="4">
        <f t="shared" ref="U105" ca="1" si="278">R105+1</f>
        <v>55.127272727272732</v>
      </c>
      <c r="V105" s="4"/>
      <c r="W105" s="4"/>
      <c r="X105" s="5">
        <f t="shared" si="183"/>
        <v>45510</v>
      </c>
      <c r="Y105" s="4">
        <f ca="1">IFERROR(AVERAGE(INDIRECT("H" &amp; $O105):INDIRECT("H" &amp; $P105)),"")</f>
        <v>14.527272727272729</v>
      </c>
      <c r="Z105">
        <f ca="1">IFERROR(MAX(INDIRECT("I" &amp; $O105):INDIRECT("I" &amp; $P105)),"")</f>
        <v>34.799999999999997</v>
      </c>
      <c r="AA105">
        <f ca="1">IFERROR(MIN(INDIRECT("J" &amp; $O105):INDIRECT("J" &amp; $P105)),"")</f>
        <v>9.1999999999999993</v>
      </c>
      <c r="AB105" s="4">
        <f t="shared" ref="AB105" ca="1" si="279">Y105+0.3</f>
        <v>14.82727272727273</v>
      </c>
    </row>
    <row r="106" spans="1:28" x14ac:dyDescent="0.2">
      <c r="A106" s="1">
        <v>45414</v>
      </c>
      <c r="B106" s="2">
        <v>4.1666666666666664E-2</v>
      </c>
      <c r="C106" s="3">
        <v>45414.041666666664</v>
      </c>
      <c r="D106">
        <v>51.7</v>
      </c>
      <c r="E106">
        <v>58.1</v>
      </c>
      <c r="F106">
        <v>45.7</v>
      </c>
      <c r="G106" t="s">
        <v>6</v>
      </c>
      <c r="H106">
        <v>13.8</v>
      </c>
      <c r="I106">
        <v>16.5</v>
      </c>
      <c r="J106">
        <v>11.6</v>
      </c>
      <c r="K106" t="s">
        <v>6</v>
      </c>
      <c r="L106">
        <v>226</v>
      </c>
      <c r="M106" t="s">
        <v>6</v>
      </c>
      <c r="N106" t="s">
        <v>120</v>
      </c>
      <c r="O106">
        <f t="shared" ref="O106" ca="1" si="280">MIN(ROW(INDIRECT(N106)))</f>
        <v>2015</v>
      </c>
      <c r="P106">
        <f t="shared" ref="P106" ca="1" si="281">MIN(ROW(INDIRECT(N106))) + ROWS(INDIRECT(N106)) -1</f>
        <v>2038</v>
      </c>
      <c r="Q106" s="5">
        <f t="shared" si="182"/>
        <v>45511</v>
      </c>
      <c r="R106" s="4">
        <f ca="1">IFERROR(AVERAGE(INDIRECT("D" &amp; $O106):INDIRECT("D" &amp; $P106)),"")</f>
        <v>56.729166666666679</v>
      </c>
      <c r="S106">
        <f ca="1">IFERROR(MAX(INDIRECT("E" &amp; $O106):INDIRECT("E" &amp; $P106)),"")</f>
        <v>91.8</v>
      </c>
      <c r="T106">
        <f ca="1">IFERROR(MIN(INDIRECT("F" &amp; $O106):INDIRECT("F" &amp; $P106)),"")</f>
        <v>40.1</v>
      </c>
      <c r="U106" s="4">
        <f t="shared" ref="U106" ca="1" si="282">R106+1</f>
        <v>57.729166666666679</v>
      </c>
      <c r="V106" s="4"/>
      <c r="W106" s="4"/>
      <c r="X106" s="5">
        <f t="shared" si="183"/>
        <v>45511</v>
      </c>
      <c r="Y106" s="4">
        <f ca="1">IFERROR(AVERAGE(INDIRECT("H" &amp; $O106):INDIRECT("H" &amp; $P106)),"")</f>
        <v>15.870833333333337</v>
      </c>
      <c r="Z106">
        <f ca="1">IFERROR(MAX(INDIRECT("I" &amp; $O106):INDIRECT("I" &amp; $P106)),"")</f>
        <v>34.700000000000003</v>
      </c>
      <c r="AA106">
        <f ca="1">IFERROR(MIN(INDIRECT("J" &amp; $O106):INDIRECT("J" &amp; $P106)),"")</f>
        <v>9.4</v>
      </c>
      <c r="AB106" s="4">
        <f t="shared" ref="AB106" ca="1" si="283">Y106+0.3</f>
        <v>16.170833333333338</v>
      </c>
    </row>
    <row r="107" spans="1:28" x14ac:dyDescent="0.2">
      <c r="A107" s="1">
        <v>45414</v>
      </c>
      <c r="B107" s="2">
        <v>8.3333333333333329E-2</v>
      </c>
      <c r="C107" s="3">
        <v>45414.083333333336</v>
      </c>
      <c r="D107">
        <v>45</v>
      </c>
      <c r="E107">
        <v>54.7</v>
      </c>
      <c r="F107">
        <v>40.1</v>
      </c>
      <c r="G107" t="s">
        <v>6</v>
      </c>
      <c r="H107">
        <v>14.9</v>
      </c>
      <c r="I107">
        <v>25.2</v>
      </c>
      <c r="J107">
        <v>11.9</v>
      </c>
      <c r="K107" t="s">
        <v>6</v>
      </c>
      <c r="L107">
        <v>174</v>
      </c>
      <c r="M107" t="s">
        <v>6</v>
      </c>
      <c r="N107" t="s">
        <v>121</v>
      </c>
      <c r="O107">
        <f t="shared" ref="O107" ca="1" si="284">MIN(ROW(INDIRECT(N107)))</f>
        <v>2039</v>
      </c>
      <c r="P107">
        <f t="shared" ref="P107" ca="1" si="285">MIN(ROW(INDIRECT(N107))) + ROWS(INDIRECT(N107)) -1</f>
        <v>2059</v>
      </c>
      <c r="Q107" s="5">
        <f t="shared" si="182"/>
        <v>45512</v>
      </c>
      <c r="R107" s="4">
        <f ca="1">IFERROR(AVERAGE(INDIRECT("D" &amp; $O107):INDIRECT("D" &amp; $P107)),"")</f>
        <v>48.380952380952372</v>
      </c>
      <c r="S107">
        <f ca="1">IFERROR(MAX(INDIRECT("E" &amp; $O107):INDIRECT("E" &amp; $P107)),"")</f>
        <v>73.5</v>
      </c>
      <c r="T107">
        <f ca="1">IFERROR(MIN(INDIRECT("F" &amp; $O107):INDIRECT("F" &amp; $P107)),"")</f>
        <v>40.1</v>
      </c>
      <c r="U107" s="4">
        <f t="shared" ref="U107" ca="1" si="286">R107+1</f>
        <v>49.380952380952372</v>
      </c>
      <c r="V107" s="4"/>
      <c r="W107" s="4"/>
      <c r="X107" s="5">
        <f t="shared" si="183"/>
        <v>45512</v>
      </c>
      <c r="Y107" s="4">
        <f ca="1">IFERROR(AVERAGE(INDIRECT("H" &amp; $O107):INDIRECT("H" &amp; $P107)),"")</f>
        <v>14.919047619047619</v>
      </c>
      <c r="Z107">
        <f ca="1">IFERROR(MAX(INDIRECT("I" &amp; $O107):INDIRECT("I" &amp; $P107)),"")</f>
        <v>33.299999999999997</v>
      </c>
      <c r="AA107">
        <f ca="1">IFERROR(MIN(INDIRECT("J" &amp; $O107):INDIRECT("J" &amp; $P107)),"")</f>
        <v>9.9</v>
      </c>
      <c r="AB107" s="4">
        <f t="shared" ref="AB107" ca="1" si="287">Y107+0.3</f>
        <v>15.21904761904762</v>
      </c>
    </row>
    <row r="108" spans="1:28" x14ac:dyDescent="0.2">
      <c r="A108" s="1">
        <v>45414</v>
      </c>
      <c r="B108" s="2">
        <v>0.125</v>
      </c>
      <c r="C108" s="3">
        <v>45414.125</v>
      </c>
      <c r="D108">
        <v>48.1</v>
      </c>
      <c r="E108">
        <v>52.3</v>
      </c>
      <c r="F108">
        <v>42.9</v>
      </c>
      <c r="G108" t="s">
        <v>6</v>
      </c>
      <c r="H108">
        <v>14.1</v>
      </c>
      <c r="I108">
        <v>22.6</v>
      </c>
      <c r="J108">
        <v>11.6</v>
      </c>
      <c r="K108" t="s">
        <v>6</v>
      </c>
      <c r="L108">
        <v>122</v>
      </c>
      <c r="M108" t="s">
        <v>6</v>
      </c>
      <c r="N108" t="s">
        <v>122</v>
      </c>
      <c r="O108">
        <f t="shared" ref="O108:O110" ca="1" si="288">MIN(ROW(INDIRECT(N108)))</f>
        <v>2060</v>
      </c>
      <c r="P108">
        <f t="shared" ref="P108:P110" ca="1" si="289">MIN(ROW(INDIRECT(N108))) + ROWS(INDIRECT(N108)) -1</f>
        <v>2081</v>
      </c>
      <c r="Q108" s="5">
        <f t="shared" si="182"/>
        <v>45513</v>
      </c>
      <c r="R108" s="4">
        <f ca="1">IFERROR(AVERAGE(INDIRECT("D" &amp; $O108):INDIRECT("D" &amp; $P108)),"")</f>
        <v>53.354545454545452</v>
      </c>
      <c r="S108">
        <f ca="1">IFERROR(MAX(INDIRECT("E" &amp; $O108):INDIRECT("E" &amp; $P108)),"")</f>
        <v>81.8</v>
      </c>
      <c r="T108">
        <f ca="1">IFERROR(MIN(INDIRECT("F" &amp; $O108):INDIRECT("F" &amp; $P108)),"")</f>
        <v>40.200000000000003</v>
      </c>
      <c r="U108" s="4">
        <f t="shared" ref="U108:U110" ca="1" si="290">R108+1</f>
        <v>54.354545454545452</v>
      </c>
      <c r="V108" s="4"/>
      <c r="W108" s="4"/>
      <c r="X108" s="5">
        <f t="shared" si="183"/>
        <v>45513</v>
      </c>
      <c r="Y108" s="4">
        <f ca="1">IFERROR(AVERAGE(INDIRECT("H" &amp; $O108):INDIRECT("H" &amp; $P108)),"")</f>
        <v>16.177272727272729</v>
      </c>
      <c r="Z108">
        <f ca="1">IFERROR(MAX(INDIRECT("I" &amp; $O108):INDIRECT("I" &amp; $P108)),"")</f>
        <v>38.9</v>
      </c>
      <c r="AA108">
        <f ca="1">IFERROR(MIN(INDIRECT("J" &amp; $O108):INDIRECT("J" &amp; $P108)),"")</f>
        <v>10.6</v>
      </c>
      <c r="AB108" s="4">
        <f t="shared" ref="AB108:AB110" ca="1" si="291">Y108+0.3</f>
        <v>16.47727272727273</v>
      </c>
    </row>
    <row r="109" spans="1:28" x14ac:dyDescent="0.2">
      <c r="A109" s="1">
        <v>45414</v>
      </c>
      <c r="B109" s="2">
        <v>0.16666666666666666</v>
      </c>
      <c r="C109" s="3">
        <v>45414.166666666664</v>
      </c>
      <c r="D109">
        <v>51</v>
      </c>
      <c r="E109">
        <v>56</v>
      </c>
      <c r="F109">
        <v>46.7</v>
      </c>
      <c r="G109" t="s">
        <v>6</v>
      </c>
      <c r="H109">
        <v>12.9</v>
      </c>
      <c r="I109">
        <v>16.3</v>
      </c>
      <c r="J109">
        <v>11.4</v>
      </c>
      <c r="K109" t="s">
        <v>6</v>
      </c>
      <c r="L109">
        <v>226</v>
      </c>
      <c r="M109" t="s">
        <v>6</v>
      </c>
      <c r="N109" t="s">
        <v>123</v>
      </c>
      <c r="O109">
        <f t="shared" ca="1" si="288"/>
        <v>2082</v>
      </c>
      <c r="P109">
        <f t="shared" ca="1" si="289"/>
        <v>2101</v>
      </c>
      <c r="Q109" s="5">
        <f t="shared" si="182"/>
        <v>45514</v>
      </c>
      <c r="R109" s="4">
        <f ca="1">IFERROR(AVERAGE(INDIRECT("D" &amp; $O109):INDIRECT("D" &amp; $P109)),"")</f>
        <v>46.769999999999996</v>
      </c>
      <c r="S109">
        <f ca="1">IFERROR(MAX(INDIRECT("E" &amp; $O109):INDIRECT("E" &amp; $P109)),"")</f>
        <v>69.2</v>
      </c>
      <c r="T109">
        <f ca="1">IFERROR(MIN(INDIRECT("F" &amp; $O109):INDIRECT("F" &amp; $P109)),"")</f>
        <v>40.1</v>
      </c>
      <c r="U109" s="4">
        <f t="shared" ca="1" si="290"/>
        <v>47.769999999999996</v>
      </c>
      <c r="V109" s="4"/>
      <c r="W109" s="4"/>
      <c r="X109" s="5">
        <f t="shared" si="183"/>
        <v>45514</v>
      </c>
      <c r="Y109" s="4">
        <f ca="1">IFERROR(AVERAGE(INDIRECT("H" &amp; $O109):INDIRECT("H" &amp; $P109)),"")</f>
        <v>14.48</v>
      </c>
      <c r="Z109">
        <f ca="1">IFERROR(MAX(INDIRECT("I" &amp; $O109):INDIRECT("I" &amp; $P109)),"")</f>
        <v>31.7</v>
      </c>
      <c r="AA109">
        <f ca="1">IFERROR(MIN(INDIRECT("J" &amp; $O109):INDIRECT("J" &amp; $P109)),"")</f>
        <v>9</v>
      </c>
      <c r="AB109" s="4">
        <f t="shared" ca="1" si="291"/>
        <v>14.780000000000001</v>
      </c>
    </row>
    <row r="110" spans="1:28" x14ac:dyDescent="0.2">
      <c r="A110" s="1">
        <v>45414</v>
      </c>
      <c r="B110" s="2">
        <v>0.20833333333333334</v>
      </c>
      <c r="C110" s="3">
        <v>45414.208333333336</v>
      </c>
      <c r="D110">
        <v>46.9</v>
      </c>
      <c r="E110">
        <v>48.5</v>
      </c>
      <c r="F110">
        <v>45.3</v>
      </c>
      <c r="G110" t="s">
        <v>6</v>
      </c>
      <c r="H110">
        <v>13</v>
      </c>
      <c r="I110">
        <v>14.8</v>
      </c>
      <c r="J110">
        <v>11.8</v>
      </c>
      <c r="K110" t="s">
        <v>6</v>
      </c>
      <c r="L110">
        <v>43</v>
      </c>
      <c r="M110" t="s">
        <v>6</v>
      </c>
      <c r="N110" t="s">
        <v>124</v>
      </c>
      <c r="O110">
        <f t="shared" ca="1" si="288"/>
        <v>2102</v>
      </c>
      <c r="P110">
        <f t="shared" ca="1" si="289"/>
        <v>2124</v>
      </c>
      <c r="Q110" s="5">
        <f t="shared" si="182"/>
        <v>45515</v>
      </c>
      <c r="R110" s="4">
        <f ca="1">IFERROR(AVERAGE(INDIRECT("D" &amp; $O110):INDIRECT("D" &amp; $P110)),"")</f>
        <v>52.017391304347832</v>
      </c>
      <c r="S110">
        <f ca="1">IFERROR(MAX(INDIRECT("E" &amp; $O110):INDIRECT("E" &amp; $P110)),"")</f>
        <v>68.400000000000006</v>
      </c>
      <c r="T110">
        <f ca="1">IFERROR(MIN(INDIRECT("F" &amp; $O110):INDIRECT("F" &amp; $P110)),"")</f>
        <v>40.1</v>
      </c>
      <c r="U110" s="4">
        <f t="shared" ca="1" si="290"/>
        <v>53.017391304347832</v>
      </c>
      <c r="V110" s="4"/>
      <c r="W110" s="4"/>
      <c r="X110" s="5">
        <f t="shared" si="183"/>
        <v>45515</v>
      </c>
      <c r="Y110" s="4">
        <f ca="1">IFERROR(AVERAGE(INDIRECT("H" &amp; $O110):INDIRECT("H" &amp; $P110)),"")</f>
        <v>13.786956521739132</v>
      </c>
      <c r="Z110">
        <f ca="1">IFERROR(MAX(INDIRECT("I" &amp; $O110):INDIRECT("I" &amp; $P110)),"")</f>
        <v>29.2</v>
      </c>
      <c r="AA110">
        <f ca="1">IFERROR(MIN(INDIRECT("J" &amp; $O110):INDIRECT("J" &amp; $P110)),"")</f>
        <v>8.6</v>
      </c>
      <c r="AB110" s="4">
        <f t="shared" ca="1" si="291"/>
        <v>14.086956521739133</v>
      </c>
    </row>
    <row r="111" spans="1:28" x14ac:dyDescent="0.2">
      <c r="A111" s="13">
        <v>45414</v>
      </c>
      <c r="B111" s="9">
        <v>0.29166666666666669</v>
      </c>
      <c r="C111" s="8">
        <v>45414.291666666664</v>
      </c>
      <c r="D111" s="10">
        <v>66.8</v>
      </c>
      <c r="E111" s="10">
        <v>69.400000000000006</v>
      </c>
      <c r="F111" s="10">
        <v>65</v>
      </c>
      <c r="G111" s="10" t="s">
        <v>6</v>
      </c>
      <c r="H111" s="10">
        <v>17.8</v>
      </c>
      <c r="I111" s="10">
        <v>22.3</v>
      </c>
      <c r="J111" s="10">
        <v>13.8</v>
      </c>
      <c r="K111" s="10" t="s">
        <v>6</v>
      </c>
      <c r="L111" s="10">
        <v>53</v>
      </c>
      <c r="M111" t="s">
        <v>6</v>
      </c>
      <c r="N111" t="s">
        <v>125</v>
      </c>
      <c r="O111">
        <f t="shared" ref="O111" ca="1" si="292">MIN(ROW(INDIRECT(N111)))</f>
        <v>2125</v>
      </c>
      <c r="P111">
        <f t="shared" ref="P111" ca="1" si="293">MIN(ROW(INDIRECT(N111))) + ROWS(INDIRECT(N111)) -1</f>
        <v>2146</v>
      </c>
      <c r="Q111" s="5">
        <f t="shared" si="182"/>
        <v>45516</v>
      </c>
      <c r="R111" s="4">
        <f ca="1">IFERROR(AVERAGE(INDIRECT("D" &amp; $O111):INDIRECT("D" &amp; $P111)),"")</f>
        <v>50.572727272727278</v>
      </c>
      <c r="S111">
        <f ca="1">IFERROR(MAX(INDIRECT("E" &amp; $O111):INDIRECT("E" &amp; $P111)),"")</f>
        <v>79.099999999999994</v>
      </c>
      <c r="T111">
        <f ca="1">IFERROR(MIN(INDIRECT("F" &amp; $O111):INDIRECT("F" &amp; $P111)),"")</f>
        <v>40.1</v>
      </c>
      <c r="U111" s="4">
        <f t="shared" ref="U111" ca="1" si="294">R111+1</f>
        <v>51.572727272727278</v>
      </c>
      <c r="V111" s="4"/>
      <c r="W111" s="4"/>
      <c r="X111" s="5">
        <f t="shared" si="183"/>
        <v>45516</v>
      </c>
      <c r="Y111" s="4">
        <f ca="1">IFERROR(AVERAGE(INDIRECT("H" &amp; $O111):INDIRECT("H" &amp; $P111)),"")</f>
        <v>14.354545454545455</v>
      </c>
      <c r="Z111">
        <f ca="1">IFERROR(MAX(INDIRECT("I" &amp; $O111):INDIRECT("I" &amp; $P111)),"")</f>
        <v>33.700000000000003</v>
      </c>
      <c r="AA111">
        <f ca="1">IFERROR(MIN(INDIRECT("J" &amp; $O111):INDIRECT("J" &amp; $P111)),"")</f>
        <v>10.6</v>
      </c>
      <c r="AB111" s="4">
        <f t="shared" ref="AB111" ca="1" si="295">Y111+0.3</f>
        <v>14.654545454545456</v>
      </c>
    </row>
    <row r="112" spans="1:28" x14ac:dyDescent="0.2">
      <c r="A112" s="14">
        <v>45414</v>
      </c>
      <c r="B112" s="12">
        <v>0.375</v>
      </c>
      <c r="C112" s="7">
        <v>45414.375</v>
      </c>
      <c r="D112" s="11">
        <v>63.7</v>
      </c>
      <c r="E112" s="11">
        <v>66.3</v>
      </c>
      <c r="F112" s="11">
        <v>60.7</v>
      </c>
      <c r="G112" s="11" t="s">
        <v>6</v>
      </c>
      <c r="H112" s="11">
        <v>18.7</v>
      </c>
      <c r="I112" s="11">
        <v>22.6</v>
      </c>
      <c r="J112" s="11">
        <v>15.9</v>
      </c>
      <c r="K112" s="11" t="s">
        <v>6</v>
      </c>
      <c r="L112" s="11">
        <v>17</v>
      </c>
      <c r="M112" t="s">
        <v>6</v>
      </c>
      <c r="N112" t="s">
        <v>126</v>
      </c>
      <c r="O112">
        <f t="shared" ref="O112" ca="1" si="296">MIN(ROW(INDIRECT(N112)))</f>
        <v>2147</v>
      </c>
      <c r="P112">
        <f t="shared" ref="P112" ca="1" si="297">MIN(ROW(INDIRECT(N112))) + ROWS(INDIRECT(N112)) -1</f>
        <v>2168</v>
      </c>
      <c r="Q112" s="5">
        <f t="shared" si="182"/>
        <v>45517</v>
      </c>
      <c r="R112" s="4">
        <f ca="1">IFERROR(AVERAGE(INDIRECT("D" &amp; $O112):INDIRECT("D" &amp; $P112)),"")</f>
        <v>50.595454545454551</v>
      </c>
      <c r="S112">
        <f ca="1">IFERROR(MAX(INDIRECT("E" &amp; $O112):INDIRECT("E" &amp; $P112)),"")</f>
        <v>70.2</v>
      </c>
      <c r="T112">
        <f ca="1">IFERROR(MIN(INDIRECT("F" &amp; $O112):INDIRECT("F" &amp; $P112)),"")</f>
        <v>40.1</v>
      </c>
      <c r="U112" s="4">
        <f t="shared" ref="U112" ca="1" si="298">R112+1</f>
        <v>51.595454545454551</v>
      </c>
      <c r="V112" s="4"/>
      <c r="W112" s="4"/>
      <c r="X112" s="5">
        <f t="shared" si="183"/>
        <v>45517</v>
      </c>
      <c r="Y112" s="4">
        <f ca="1">IFERROR(AVERAGE(INDIRECT("H" &amp; $O112):INDIRECT("H" &amp; $P112)),"")</f>
        <v>14.395454545454548</v>
      </c>
      <c r="Z112">
        <f ca="1">IFERROR(MAX(INDIRECT("I" &amp; $O112):INDIRECT("I" &amp; $P112)),"")</f>
        <v>34.799999999999997</v>
      </c>
      <c r="AA112">
        <f ca="1">IFERROR(MIN(INDIRECT("J" &amp; $O112):INDIRECT("J" &amp; $P112)),"")</f>
        <v>9.6</v>
      </c>
      <c r="AB112" s="4">
        <f t="shared" ref="AB112" ca="1" si="299">Y112+0.3</f>
        <v>14.695454545454549</v>
      </c>
    </row>
    <row r="113" spans="1:28" x14ac:dyDescent="0.2">
      <c r="A113" s="1">
        <v>45414</v>
      </c>
      <c r="B113" s="2">
        <v>0.41666666666666669</v>
      </c>
      <c r="C113" s="3">
        <v>45414.416666666664</v>
      </c>
      <c r="D113">
        <v>61.6</v>
      </c>
      <c r="E113">
        <v>64</v>
      </c>
      <c r="F113">
        <v>59.8</v>
      </c>
      <c r="G113" t="s">
        <v>6</v>
      </c>
      <c r="H113">
        <v>19.3</v>
      </c>
      <c r="I113">
        <v>23</v>
      </c>
      <c r="J113">
        <v>15.6</v>
      </c>
      <c r="K113" t="s">
        <v>6</v>
      </c>
      <c r="L113">
        <v>29</v>
      </c>
      <c r="M113" t="s">
        <v>6</v>
      </c>
      <c r="N113" t="s">
        <v>127</v>
      </c>
      <c r="O113">
        <f t="shared" ref="O113" ca="1" si="300">MIN(ROW(INDIRECT(N113)))</f>
        <v>2169</v>
      </c>
      <c r="P113">
        <f t="shared" ref="P113" ca="1" si="301">MIN(ROW(INDIRECT(N113))) + ROWS(INDIRECT(N113)) -1</f>
        <v>2192</v>
      </c>
      <c r="Q113" s="5">
        <f t="shared" si="182"/>
        <v>45518</v>
      </c>
      <c r="R113" s="4">
        <f ca="1">IFERROR(AVERAGE(INDIRECT("D" &amp; $O113):INDIRECT("D" &amp; $P113)),"")</f>
        <v>48.595833333333339</v>
      </c>
      <c r="S113">
        <f ca="1">IFERROR(MAX(INDIRECT("E" &amp; $O113):INDIRECT("E" &amp; $P113)),"")</f>
        <v>68.8</v>
      </c>
      <c r="T113">
        <f ca="1">IFERROR(MIN(INDIRECT("F" &amp; $O113):INDIRECT("F" &amp; $P113)),"")</f>
        <v>40.1</v>
      </c>
      <c r="U113" s="4">
        <f t="shared" ref="U113" ca="1" si="302">R113+1</f>
        <v>49.595833333333339</v>
      </c>
      <c r="V113" s="4"/>
      <c r="W113" s="4"/>
      <c r="X113" s="5">
        <f t="shared" si="183"/>
        <v>45518</v>
      </c>
      <c r="Y113" s="4">
        <f ca="1">IFERROR(AVERAGE(INDIRECT("H" &amp; $O113):INDIRECT("H" &amp; $P113)),"")</f>
        <v>15.549999999999999</v>
      </c>
      <c r="Z113">
        <f ca="1">IFERROR(MAX(INDIRECT("I" &amp; $O113):INDIRECT("I" &amp; $P113)),"")</f>
        <v>34.6</v>
      </c>
      <c r="AA113">
        <f ca="1">IFERROR(MIN(INDIRECT("J" &amp; $O113):INDIRECT("J" &amp; $P113)),"")</f>
        <v>9.8000000000000007</v>
      </c>
      <c r="AB113" s="4">
        <f t="shared" ref="AB113" ca="1" si="303">Y113+0.3</f>
        <v>15.85</v>
      </c>
    </row>
    <row r="114" spans="1:28" x14ac:dyDescent="0.2">
      <c r="A114" s="1">
        <v>45414</v>
      </c>
      <c r="B114" s="2">
        <v>0.45833333333333331</v>
      </c>
      <c r="C114" s="3">
        <v>45414.458333333336</v>
      </c>
      <c r="D114">
        <v>57.7</v>
      </c>
      <c r="E114">
        <v>64.7</v>
      </c>
      <c r="F114">
        <v>49.9</v>
      </c>
      <c r="G114" t="s">
        <v>6</v>
      </c>
      <c r="H114">
        <v>18.3</v>
      </c>
      <c r="I114">
        <v>25.9</v>
      </c>
      <c r="J114">
        <v>14.6</v>
      </c>
      <c r="K114" t="s">
        <v>6</v>
      </c>
      <c r="L114">
        <v>199</v>
      </c>
      <c r="M114" t="s">
        <v>6</v>
      </c>
      <c r="N114" t="s">
        <v>128</v>
      </c>
      <c r="O114">
        <f t="shared" ref="O114" ca="1" si="304">MIN(ROW(INDIRECT(N114)))</f>
        <v>2193</v>
      </c>
      <c r="P114">
        <f t="shared" ref="P114" ca="1" si="305">MIN(ROW(INDIRECT(N114))) + ROWS(INDIRECT(N114)) -1</f>
        <v>2213</v>
      </c>
      <c r="Q114" s="5">
        <f t="shared" si="182"/>
        <v>45519</v>
      </c>
      <c r="R114" s="4">
        <f ca="1">IFERROR(AVERAGE(INDIRECT("D" &amp; $O114):INDIRECT("D" &amp; $P114)),"")</f>
        <v>51.038095238095238</v>
      </c>
      <c r="S114">
        <f ca="1">IFERROR(MAX(INDIRECT("E" &amp; $O114):INDIRECT("E" &amp; $P114)),"")</f>
        <v>73.3</v>
      </c>
      <c r="T114">
        <f ca="1">IFERROR(MIN(INDIRECT("F" &amp; $O114):INDIRECT("F" &amp; $P114)),"")</f>
        <v>40.1</v>
      </c>
      <c r="U114" s="4">
        <f t="shared" ref="U114" ca="1" si="306">R114+1</f>
        <v>52.038095238095238</v>
      </c>
      <c r="V114" s="4"/>
      <c r="W114" s="4"/>
      <c r="X114" s="5">
        <f t="shared" si="183"/>
        <v>45519</v>
      </c>
      <c r="Y114" s="4">
        <f ca="1">IFERROR(AVERAGE(INDIRECT("H" &amp; $O114):INDIRECT("H" &amp; $P114)),"")</f>
        <v>15.866666666666665</v>
      </c>
      <c r="Z114">
        <f ca="1">IFERROR(MAX(INDIRECT("I" &amp; $O114):INDIRECT("I" &amp; $P114)),"")</f>
        <v>34.5</v>
      </c>
      <c r="AA114">
        <f ca="1">IFERROR(MIN(INDIRECT("J" &amp; $O114):INDIRECT("J" &amp; $P114)),"")</f>
        <v>9</v>
      </c>
      <c r="AB114" s="4">
        <f t="shared" ref="AB114" ca="1" si="307">Y114+0.3</f>
        <v>16.166666666666664</v>
      </c>
    </row>
    <row r="115" spans="1:28" x14ac:dyDescent="0.2">
      <c r="A115" s="1">
        <v>45414</v>
      </c>
      <c r="B115" s="2">
        <v>0.5</v>
      </c>
      <c r="C115" s="3">
        <v>45414.5</v>
      </c>
      <c r="D115">
        <v>65.8</v>
      </c>
      <c r="E115">
        <v>70.8</v>
      </c>
      <c r="F115">
        <v>59</v>
      </c>
      <c r="G115" t="s">
        <v>6</v>
      </c>
      <c r="H115">
        <v>16.8</v>
      </c>
      <c r="I115">
        <v>24.9</v>
      </c>
      <c r="J115">
        <v>12.7</v>
      </c>
      <c r="K115" t="s">
        <v>6</v>
      </c>
      <c r="L115">
        <v>47</v>
      </c>
      <c r="M115" t="s">
        <v>6</v>
      </c>
      <c r="N115" t="s">
        <v>129</v>
      </c>
      <c r="O115">
        <f t="shared" ref="O115" ca="1" si="308">MIN(ROW(INDIRECT(N115)))</f>
        <v>2214</v>
      </c>
      <c r="P115">
        <f t="shared" ref="P115" ca="1" si="309">MIN(ROW(INDIRECT(N115))) + ROWS(INDIRECT(N115)) -1</f>
        <v>2218</v>
      </c>
      <c r="Q115" s="5">
        <f t="shared" si="182"/>
        <v>45520</v>
      </c>
      <c r="R115" s="4">
        <f ca="1">IFERROR(AVERAGE(INDIRECT("D" &amp; $O115):INDIRECT("D" &amp; $P115)),"")</f>
        <v>57.64</v>
      </c>
      <c r="S115">
        <f ca="1">IFERROR(MAX(INDIRECT("E" &amp; $O115):INDIRECT("E" &amp; $P115)),"")</f>
        <v>65.099999999999994</v>
      </c>
      <c r="T115">
        <f ca="1">IFERROR(MIN(INDIRECT("F" &amp; $O115):INDIRECT("F" &amp; $P115)),"")</f>
        <v>52.9</v>
      </c>
      <c r="U115" s="4">
        <f t="shared" ref="U115" ca="1" si="310">R115+1</f>
        <v>58.64</v>
      </c>
      <c r="V115" s="4"/>
      <c r="W115" s="4"/>
      <c r="X115" s="5">
        <f t="shared" si="183"/>
        <v>45520</v>
      </c>
      <c r="Y115" s="4">
        <f ca="1">IFERROR(AVERAGE(INDIRECT("H" &amp; $O115):INDIRECT("H" &amp; $P115)),"")</f>
        <v>15.5</v>
      </c>
      <c r="Z115">
        <f ca="1">IFERROR(MAX(INDIRECT("I" &amp; $O115):INDIRECT("I" &amp; $P115)),"")</f>
        <v>34</v>
      </c>
      <c r="AA115">
        <f ca="1">IFERROR(MIN(INDIRECT("J" &amp; $O115):INDIRECT("J" &amp; $P115)),"")</f>
        <v>10.5</v>
      </c>
      <c r="AB115" s="4">
        <f t="shared" ref="AB115" ca="1" si="311">Y115+0.3</f>
        <v>15.8</v>
      </c>
    </row>
    <row r="116" spans="1:28" x14ac:dyDescent="0.2">
      <c r="A116" s="1">
        <v>45414</v>
      </c>
      <c r="B116" s="2">
        <v>0.58333333333333337</v>
      </c>
      <c r="C116" s="3">
        <v>45414.583333333336</v>
      </c>
      <c r="D116">
        <v>61.7</v>
      </c>
      <c r="E116">
        <v>68.8</v>
      </c>
      <c r="F116">
        <v>57</v>
      </c>
      <c r="G116" t="s">
        <v>6</v>
      </c>
      <c r="H116">
        <v>16.100000000000001</v>
      </c>
      <c r="I116">
        <v>20.5</v>
      </c>
      <c r="J116">
        <v>13.2</v>
      </c>
      <c r="K116" t="s">
        <v>6</v>
      </c>
      <c r="L116">
        <v>132</v>
      </c>
      <c r="M116" t="s">
        <v>6</v>
      </c>
    </row>
    <row r="117" spans="1:28" x14ac:dyDescent="0.2">
      <c r="A117" s="1">
        <v>45414</v>
      </c>
      <c r="B117" s="2">
        <v>0.625</v>
      </c>
      <c r="C117" s="3">
        <v>45414.625</v>
      </c>
      <c r="D117">
        <v>63.2</v>
      </c>
      <c r="E117">
        <v>76.5</v>
      </c>
      <c r="F117">
        <v>56.7</v>
      </c>
      <c r="G117" t="s">
        <v>6</v>
      </c>
      <c r="H117">
        <v>13.2</v>
      </c>
      <c r="I117">
        <v>18.100000000000001</v>
      </c>
      <c r="J117">
        <v>11.3</v>
      </c>
      <c r="K117" t="s">
        <v>6</v>
      </c>
      <c r="L117">
        <v>175</v>
      </c>
      <c r="M117" t="s">
        <v>6</v>
      </c>
    </row>
    <row r="118" spans="1:28" x14ac:dyDescent="0.2">
      <c r="A118" s="1">
        <v>45414</v>
      </c>
      <c r="B118" s="2">
        <v>0.66666666666666663</v>
      </c>
      <c r="C118" s="3">
        <v>45414.666666666664</v>
      </c>
      <c r="D118">
        <v>60.6</v>
      </c>
      <c r="E118">
        <v>64.3</v>
      </c>
      <c r="F118">
        <v>54.6</v>
      </c>
      <c r="G118" t="s">
        <v>6</v>
      </c>
      <c r="H118">
        <v>12.9</v>
      </c>
      <c r="I118">
        <v>15.7</v>
      </c>
      <c r="J118">
        <v>10.5</v>
      </c>
      <c r="K118" t="s">
        <v>6</v>
      </c>
      <c r="L118">
        <v>172</v>
      </c>
      <c r="M118" t="s">
        <v>6</v>
      </c>
    </row>
    <row r="119" spans="1:28" x14ac:dyDescent="0.2">
      <c r="A119" s="1">
        <v>45414</v>
      </c>
      <c r="B119" s="2">
        <v>0.70833333333333337</v>
      </c>
      <c r="C119" s="3">
        <v>45414.708333333336</v>
      </c>
      <c r="D119">
        <v>61.8</v>
      </c>
      <c r="E119">
        <v>70.2</v>
      </c>
      <c r="F119">
        <v>57.4</v>
      </c>
      <c r="G119" t="s">
        <v>6</v>
      </c>
      <c r="H119">
        <v>13.4</v>
      </c>
      <c r="I119">
        <v>18.8</v>
      </c>
      <c r="J119">
        <v>9.9</v>
      </c>
      <c r="K119" t="s">
        <v>6</v>
      </c>
      <c r="L119">
        <v>81</v>
      </c>
      <c r="M119" t="s">
        <v>6</v>
      </c>
    </row>
    <row r="120" spans="1:28" x14ac:dyDescent="0.2">
      <c r="A120" s="1">
        <v>45414</v>
      </c>
      <c r="B120" s="2">
        <v>0.79166666666666663</v>
      </c>
      <c r="C120" s="3">
        <v>45414.791666666664</v>
      </c>
      <c r="D120">
        <v>58.2</v>
      </c>
      <c r="E120">
        <v>60.4</v>
      </c>
      <c r="F120">
        <v>55.7</v>
      </c>
      <c r="G120" t="s">
        <v>6</v>
      </c>
      <c r="H120">
        <v>13.8</v>
      </c>
      <c r="I120">
        <v>21</v>
      </c>
      <c r="J120">
        <v>11.8</v>
      </c>
      <c r="K120" t="s">
        <v>6</v>
      </c>
      <c r="L120">
        <v>60</v>
      </c>
      <c r="M120" t="s">
        <v>6</v>
      </c>
    </row>
    <row r="121" spans="1:28" x14ac:dyDescent="0.2">
      <c r="A121" s="1">
        <v>45414</v>
      </c>
      <c r="B121" s="2">
        <v>0.83333333333333337</v>
      </c>
      <c r="C121" s="3">
        <v>45414.833333333336</v>
      </c>
      <c r="D121">
        <v>52.9</v>
      </c>
      <c r="E121">
        <v>62</v>
      </c>
      <c r="F121">
        <v>45</v>
      </c>
      <c r="G121" t="s">
        <v>6</v>
      </c>
      <c r="H121">
        <v>20.8</v>
      </c>
      <c r="I121">
        <v>32.5</v>
      </c>
      <c r="J121">
        <v>12.9</v>
      </c>
      <c r="K121" t="s">
        <v>6</v>
      </c>
      <c r="L121">
        <v>117</v>
      </c>
      <c r="M121" t="s">
        <v>6</v>
      </c>
    </row>
    <row r="122" spans="1:28" x14ac:dyDescent="0.2">
      <c r="A122" s="1">
        <v>45414</v>
      </c>
      <c r="B122" s="2">
        <v>0.875</v>
      </c>
      <c r="C122" s="3">
        <v>45414.875</v>
      </c>
      <c r="D122">
        <v>46.2</v>
      </c>
      <c r="E122">
        <v>53.1</v>
      </c>
      <c r="F122">
        <v>40.200000000000003</v>
      </c>
      <c r="G122" t="s">
        <v>6</v>
      </c>
      <c r="H122">
        <v>15.2</v>
      </c>
      <c r="I122">
        <v>32.200000000000003</v>
      </c>
      <c r="J122">
        <v>12.3</v>
      </c>
      <c r="K122" t="s">
        <v>6</v>
      </c>
      <c r="L122">
        <v>197</v>
      </c>
      <c r="M122" t="s">
        <v>6</v>
      </c>
    </row>
    <row r="123" spans="1:28" x14ac:dyDescent="0.2">
      <c r="A123" s="1">
        <v>45414</v>
      </c>
      <c r="B123" s="2">
        <v>0.91666666666666663</v>
      </c>
      <c r="C123" s="3">
        <v>45414.916666666664</v>
      </c>
      <c r="D123">
        <v>44.9</v>
      </c>
      <c r="E123">
        <v>48.2</v>
      </c>
      <c r="F123">
        <v>40.4</v>
      </c>
      <c r="G123" t="s">
        <v>6</v>
      </c>
      <c r="H123">
        <v>16</v>
      </c>
      <c r="I123">
        <v>40.700000000000003</v>
      </c>
      <c r="J123">
        <v>11.9</v>
      </c>
      <c r="K123" t="s">
        <v>6</v>
      </c>
      <c r="L123">
        <v>189</v>
      </c>
      <c r="M123" t="s">
        <v>6</v>
      </c>
    </row>
    <row r="124" spans="1:28" x14ac:dyDescent="0.2">
      <c r="A124" s="1">
        <v>45414</v>
      </c>
      <c r="B124" s="2">
        <v>0.95833333333333337</v>
      </c>
      <c r="C124" s="3">
        <v>45414.958333333336</v>
      </c>
      <c r="D124">
        <v>47.4</v>
      </c>
      <c r="E124">
        <v>60.6</v>
      </c>
      <c r="F124">
        <v>42.3</v>
      </c>
      <c r="G124" t="s">
        <v>6</v>
      </c>
      <c r="H124">
        <v>15.8</v>
      </c>
      <c r="I124">
        <v>34</v>
      </c>
      <c r="J124">
        <v>11.6</v>
      </c>
      <c r="K124" t="s">
        <v>6</v>
      </c>
      <c r="L124">
        <v>223</v>
      </c>
      <c r="M124" t="s">
        <v>6</v>
      </c>
    </row>
    <row r="125" spans="1:28" x14ac:dyDescent="0.2">
      <c r="A125" s="1">
        <v>45415</v>
      </c>
      <c r="B125" s="2">
        <v>0</v>
      </c>
      <c r="C125" s="3">
        <v>45415</v>
      </c>
      <c r="D125">
        <v>46.7</v>
      </c>
      <c r="E125">
        <v>56</v>
      </c>
      <c r="F125">
        <v>40.700000000000003</v>
      </c>
      <c r="G125" t="s">
        <v>6</v>
      </c>
      <c r="H125">
        <v>15</v>
      </c>
      <c r="I125">
        <v>24.7</v>
      </c>
      <c r="J125">
        <v>11.6</v>
      </c>
      <c r="K125" t="s">
        <v>6</v>
      </c>
      <c r="L125">
        <v>183</v>
      </c>
      <c r="M125" t="s">
        <v>6</v>
      </c>
    </row>
    <row r="126" spans="1:28" x14ac:dyDescent="0.2">
      <c r="A126" s="1">
        <v>45415</v>
      </c>
      <c r="B126" s="2">
        <v>4.1666666666666664E-2</v>
      </c>
      <c r="C126" s="3">
        <v>45415.041666666664</v>
      </c>
      <c r="D126">
        <v>48.8</v>
      </c>
      <c r="E126">
        <v>57.3</v>
      </c>
      <c r="F126">
        <v>44.5</v>
      </c>
      <c r="G126" t="s">
        <v>6</v>
      </c>
      <c r="H126">
        <v>13.8</v>
      </c>
      <c r="I126">
        <v>24.6</v>
      </c>
      <c r="J126">
        <v>11.9</v>
      </c>
      <c r="K126" t="s">
        <v>6</v>
      </c>
      <c r="L126">
        <v>221</v>
      </c>
      <c r="M126" t="s">
        <v>6</v>
      </c>
    </row>
    <row r="127" spans="1:28" x14ac:dyDescent="0.2">
      <c r="A127" s="1">
        <v>45415</v>
      </c>
      <c r="B127" s="2">
        <v>8.3333333333333329E-2</v>
      </c>
      <c r="C127" s="3">
        <v>45415.083333333336</v>
      </c>
      <c r="D127">
        <v>43.2</v>
      </c>
      <c r="E127">
        <v>47.3</v>
      </c>
      <c r="F127">
        <v>40.1</v>
      </c>
      <c r="G127" t="s">
        <v>6</v>
      </c>
      <c r="H127">
        <v>16.2</v>
      </c>
      <c r="I127">
        <v>27</v>
      </c>
      <c r="J127">
        <v>12.3</v>
      </c>
      <c r="K127" t="s">
        <v>6</v>
      </c>
      <c r="L127">
        <v>176</v>
      </c>
      <c r="M127" t="s">
        <v>6</v>
      </c>
    </row>
    <row r="128" spans="1:28" x14ac:dyDescent="0.2">
      <c r="A128" s="1">
        <v>45415</v>
      </c>
      <c r="B128" s="2">
        <v>0.125</v>
      </c>
      <c r="C128" s="3">
        <v>45415.125</v>
      </c>
      <c r="D128">
        <v>45.2</v>
      </c>
      <c r="E128">
        <v>52.9</v>
      </c>
      <c r="F128">
        <v>40.299999999999997</v>
      </c>
      <c r="G128" t="s">
        <v>6</v>
      </c>
      <c r="H128">
        <v>13.6</v>
      </c>
      <c r="I128">
        <v>21.4</v>
      </c>
      <c r="J128">
        <v>12</v>
      </c>
      <c r="K128" t="s">
        <v>6</v>
      </c>
      <c r="L128">
        <v>190</v>
      </c>
      <c r="M128" t="s">
        <v>6</v>
      </c>
    </row>
    <row r="129" spans="1:13" x14ac:dyDescent="0.2">
      <c r="A129" s="1">
        <v>45415</v>
      </c>
      <c r="B129" s="2">
        <v>0.16666666666666666</v>
      </c>
      <c r="C129" s="3">
        <v>45415.166666666664</v>
      </c>
      <c r="D129">
        <v>45.9</v>
      </c>
      <c r="E129">
        <v>52.4</v>
      </c>
      <c r="F129">
        <v>41.3</v>
      </c>
      <c r="G129" t="s">
        <v>6</v>
      </c>
      <c r="H129">
        <v>13.6</v>
      </c>
      <c r="I129">
        <v>25.7</v>
      </c>
      <c r="J129">
        <v>11.9</v>
      </c>
      <c r="K129" t="s">
        <v>6</v>
      </c>
      <c r="L129">
        <v>226</v>
      </c>
      <c r="M129" t="s">
        <v>6</v>
      </c>
    </row>
    <row r="130" spans="1:13" x14ac:dyDescent="0.2">
      <c r="A130" s="1">
        <v>45415</v>
      </c>
      <c r="B130" s="2">
        <v>0.20833333333333334</v>
      </c>
      <c r="C130" s="3">
        <v>45415.208333333336</v>
      </c>
      <c r="D130">
        <v>53.8</v>
      </c>
      <c r="E130">
        <v>63.8</v>
      </c>
      <c r="F130">
        <v>44.5</v>
      </c>
      <c r="G130" t="s">
        <v>6</v>
      </c>
      <c r="H130">
        <v>13.2</v>
      </c>
      <c r="I130">
        <v>19.8</v>
      </c>
      <c r="J130">
        <v>11.5</v>
      </c>
      <c r="K130" t="s">
        <v>6</v>
      </c>
      <c r="L130">
        <v>221</v>
      </c>
      <c r="M130" t="s">
        <v>6</v>
      </c>
    </row>
    <row r="131" spans="1:13" x14ac:dyDescent="0.2">
      <c r="A131" s="1">
        <v>45415</v>
      </c>
      <c r="B131" s="2">
        <v>0.25</v>
      </c>
      <c r="C131" s="3">
        <v>45415.25</v>
      </c>
      <c r="D131">
        <v>47.4</v>
      </c>
      <c r="E131">
        <v>54.2</v>
      </c>
      <c r="F131">
        <v>42.9</v>
      </c>
      <c r="G131" t="s">
        <v>6</v>
      </c>
      <c r="H131">
        <v>15.6</v>
      </c>
      <c r="I131">
        <v>25.1</v>
      </c>
      <c r="J131">
        <v>11.7</v>
      </c>
      <c r="K131" t="s">
        <v>6</v>
      </c>
      <c r="L131">
        <v>226</v>
      </c>
      <c r="M131" t="s">
        <v>6</v>
      </c>
    </row>
    <row r="132" spans="1:13" x14ac:dyDescent="0.2">
      <c r="A132" s="13">
        <v>45415</v>
      </c>
      <c r="B132" s="9">
        <v>0.29166666666666669</v>
      </c>
      <c r="C132" s="8">
        <v>45415.291666666664</v>
      </c>
      <c r="D132" s="10">
        <v>43.3</v>
      </c>
      <c r="E132" s="10">
        <v>46.6</v>
      </c>
      <c r="F132" s="10">
        <v>42.4</v>
      </c>
      <c r="G132" s="10" t="s">
        <v>6</v>
      </c>
      <c r="H132" s="10">
        <v>23.8</v>
      </c>
      <c r="I132" s="10">
        <v>29.6</v>
      </c>
      <c r="J132" s="10">
        <v>13.9</v>
      </c>
      <c r="K132" s="10" t="s">
        <v>6</v>
      </c>
      <c r="L132" s="10">
        <v>19</v>
      </c>
      <c r="M132" t="s">
        <v>6</v>
      </c>
    </row>
    <row r="133" spans="1:13" x14ac:dyDescent="0.2">
      <c r="A133" s="14">
        <v>45415</v>
      </c>
      <c r="B133" s="12">
        <v>0.29166666666666669</v>
      </c>
      <c r="C133" s="7">
        <v>45415.291666666664</v>
      </c>
      <c r="D133" s="11">
        <v>43.3</v>
      </c>
      <c r="E133" s="11">
        <v>46.6</v>
      </c>
      <c r="F133" s="11">
        <v>42.4</v>
      </c>
      <c r="G133" s="11" t="s">
        <v>6</v>
      </c>
      <c r="H133" s="11">
        <v>23.8</v>
      </c>
      <c r="I133" s="11">
        <v>29.6</v>
      </c>
      <c r="J133" s="11">
        <v>13.9</v>
      </c>
      <c r="K133" s="11" t="s">
        <v>6</v>
      </c>
      <c r="L133" s="11">
        <v>19</v>
      </c>
      <c r="M133" t="s">
        <v>6</v>
      </c>
    </row>
    <row r="134" spans="1:13" x14ac:dyDescent="0.2">
      <c r="A134" s="1">
        <v>45415</v>
      </c>
      <c r="B134" s="2">
        <v>0.66666666666666663</v>
      </c>
      <c r="C134" s="3">
        <v>45415.666666666664</v>
      </c>
      <c r="D134">
        <v>48.1</v>
      </c>
      <c r="E134">
        <v>49.6</v>
      </c>
      <c r="F134">
        <v>47.3</v>
      </c>
      <c r="G134" t="s">
        <v>6</v>
      </c>
      <c r="H134">
        <v>14.5</v>
      </c>
      <c r="I134">
        <v>16.100000000000001</v>
      </c>
      <c r="J134">
        <v>13.6</v>
      </c>
      <c r="K134" t="s">
        <v>6</v>
      </c>
      <c r="L134">
        <v>15</v>
      </c>
      <c r="M134" t="s">
        <v>6</v>
      </c>
    </row>
    <row r="135" spans="1:13" x14ac:dyDescent="0.2">
      <c r="A135" s="1">
        <v>45415</v>
      </c>
      <c r="B135" s="2">
        <v>0.70833333333333337</v>
      </c>
      <c r="C135" s="3">
        <v>45415.708333333336</v>
      </c>
      <c r="D135">
        <v>47.9</v>
      </c>
      <c r="E135">
        <v>49</v>
      </c>
      <c r="F135">
        <v>46.8</v>
      </c>
      <c r="G135" t="s">
        <v>6</v>
      </c>
      <c r="H135">
        <v>21.1</v>
      </c>
      <c r="I135">
        <v>21.7</v>
      </c>
      <c r="J135">
        <v>20.2</v>
      </c>
      <c r="K135" t="s">
        <v>6</v>
      </c>
      <c r="L135">
        <v>9</v>
      </c>
      <c r="M135" t="s">
        <v>6</v>
      </c>
    </row>
    <row r="136" spans="1:13" x14ac:dyDescent="0.2">
      <c r="A136" s="1">
        <v>45415</v>
      </c>
      <c r="B136" s="2">
        <v>0.75</v>
      </c>
      <c r="C136" s="3">
        <v>45415.75</v>
      </c>
      <c r="D136">
        <v>52</v>
      </c>
      <c r="E136">
        <v>53.1</v>
      </c>
      <c r="F136">
        <v>51.1</v>
      </c>
      <c r="G136" t="s">
        <v>6</v>
      </c>
      <c r="H136">
        <v>15.6</v>
      </c>
      <c r="I136">
        <v>16.899999999999999</v>
      </c>
      <c r="J136">
        <v>15.3</v>
      </c>
      <c r="K136" t="s">
        <v>6</v>
      </c>
      <c r="L136">
        <v>9</v>
      </c>
      <c r="M136" t="s">
        <v>6</v>
      </c>
    </row>
    <row r="137" spans="1:13" x14ac:dyDescent="0.2">
      <c r="A137" s="1">
        <v>45415</v>
      </c>
      <c r="B137" s="2">
        <v>0.79166666666666663</v>
      </c>
      <c r="C137" s="3">
        <v>45415.791666666664</v>
      </c>
      <c r="D137">
        <v>53.1</v>
      </c>
      <c r="E137">
        <v>54.9</v>
      </c>
      <c r="F137">
        <v>51.1</v>
      </c>
      <c r="G137" t="s">
        <v>6</v>
      </c>
      <c r="H137">
        <v>13.9</v>
      </c>
      <c r="I137">
        <v>15.6</v>
      </c>
      <c r="J137">
        <v>11.7</v>
      </c>
      <c r="K137" t="s">
        <v>6</v>
      </c>
      <c r="L137">
        <v>26</v>
      </c>
      <c r="M137" t="s">
        <v>6</v>
      </c>
    </row>
    <row r="138" spans="1:13" x14ac:dyDescent="0.2">
      <c r="A138" s="1">
        <v>45415</v>
      </c>
      <c r="B138" s="2">
        <v>0.83333333333333337</v>
      </c>
      <c r="C138" s="3">
        <v>45415.833333333336</v>
      </c>
      <c r="D138">
        <v>50</v>
      </c>
      <c r="E138">
        <v>55.1</v>
      </c>
      <c r="F138">
        <v>46</v>
      </c>
      <c r="G138" t="s">
        <v>6</v>
      </c>
      <c r="H138">
        <v>20.9</v>
      </c>
      <c r="I138">
        <v>31.1</v>
      </c>
      <c r="J138">
        <v>12.4</v>
      </c>
      <c r="K138" t="s">
        <v>6</v>
      </c>
      <c r="L138">
        <v>185</v>
      </c>
      <c r="M138" t="s">
        <v>6</v>
      </c>
    </row>
    <row r="139" spans="1:13" x14ac:dyDescent="0.2">
      <c r="A139" s="1">
        <v>45415</v>
      </c>
      <c r="B139" s="2">
        <v>0.875</v>
      </c>
      <c r="C139" s="3">
        <v>45415.875</v>
      </c>
      <c r="D139">
        <v>49.4</v>
      </c>
      <c r="E139">
        <v>56</v>
      </c>
      <c r="F139">
        <v>43.5</v>
      </c>
      <c r="G139" t="s">
        <v>6</v>
      </c>
      <c r="H139">
        <v>18.100000000000001</v>
      </c>
      <c r="I139">
        <v>30.4</v>
      </c>
      <c r="J139">
        <v>12.1</v>
      </c>
      <c r="K139" t="s">
        <v>6</v>
      </c>
      <c r="L139">
        <v>216</v>
      </c>
      <c r="M139" t="s">
        <v>6</v>
      </c>
    </row>
    <row r="140" spans="1:13" x14ac:dyDescent="0.2">
      <c r="A140" s="1">
        <v>45415</v>
      </c>
      <c r="B140" s="2">
        <v>0.91666666666666663</v>
      </c>
      <c r="C140" s="3">
        <v>45415.916666666664</v>
      </c>
      <c r="D140">
        <v>46.5</v>
      </c>
      <c r="E140">
        <v>59.7</v>
      </c>
      <c r="F140">
        <v>40.6</v>
      </c>
      <c r="G140" t="s">
        <v>6</v>
      </c>
      <c r="H140">
        <v>14.6</v>
      </c>
      <c r="I140">
        <v>24</v>
      </c>
      <c r="J140">
        <v>11.3</v>
      </c>
      <c r="K140" t="s">
        <v>6</v>
      </c>
      <c r="L140">
        <v>228</v>
      </c>
      <c r="M140" t="s">
        <v>6</v>
      </c>
    </row>
    <row r="141" spans="1:13" x14ac:dyDescent="0.2">
      <c r="A141" s="1">
        <v>45415</v>
      </c>
      <c r="B141" s="2">
        <v>0.95833333333333337</v>
      </c>
      <c r="C141" s="3">
        <v>45415.958333333336</v>
      </c>
      <c r="D141">
        <v>52.8</v>
      </c>
      <c r="E141">
        <v>63.4</v>
      </c>
      <c r="F141">
        <v>45.1</v>
      </c>
      <c r="G141" t="s">
        <v>6</v>
      </c>
      <c r="H141">
        <v>13.2</v>
      </c>
      <c r="I141">
        <v>20.3</v>
      </c>
      <c r="J141">
        <v>10.4</v>
      </c>
      <c r="K141" t="s">
        <v>6</v>
      </c>
      <c r="L141">
        <v>207</v>
      </c>
      <c r="M141" t="s">
        <v>6</v>
      </c>
    </row>
    <row r="142" spans="1:13" x14ac:dyDescent="0.2">
      <c r="A142" s="1">
        <v>45416</v>
      </c>
      <c r="B142" s="2">
        <v>0</v>
      </c>
      <c r="C142" s="3">
        <v>45416</v>
      </c>
      <c r="D142">
        <v>48.3</v>
      </c>
      <c r="E142">
        <v>54.2</v>
      </c>
      <c r="F142">
        <v>41.8</v>
      </c>
      <c r="G142" t="s">
        <v>6</v>
      </c>
      <c r="H142">
        <v>13.7</v>
      </c>
      <c r="I142">
        <v>19.7</v>
      </c>
      <c r="J142">
        <v>12.1</v>
      </c>
      <c r="K142" t="s">
        <v>6</v>
      </c>
      <c r="L142">
        <v>222</v>
      </c>
      <c r="M142" t="s">
        <v>6</v>
      </c>
    </row>
    <row r="143" spans="1:13" x14ac:dyDescent="0.2">
      <c r="A143" s="1">
        <v>45416</v>
      </c>
      <c r="B143" s="2">
        <v>4.1666666666666664E-2</v>
      </c>
      <c r="C143" s="3">
        <v>45416.041666666664</v>
      </c>
      <c r="D143">
        <v>49.1</v>
      </c>
      <c r="E143">
        <v>60.1</v>
      </c>
      <c r="F143">
        <v>40.700000000000003</v>
      </c>
      <c r="G143" t="s">
        <v>6</v>
      </c>
      <c r="H143">
        <v>15.3</v>
      </c>
      <c r="I143">
        <v>25.8</v>
      </c>
      <c r="J143">
        <v>11.5</v>
      </c>
      <c r="K143" t="s">
        <v>6</v>
      </c>
      <c r="L143">
        <v>218</v>
      </c>
      <c r="M143" t="s">
        <v>6</v>
      </c>
    </row>
    <row r="144" spans="1:13" x14ac:dyDescent="0.2">
      <c r="A144" s="1">
        <v>45416</v>
      </c>
      <c r="B144" s="2">
        <v>8.3333333333333329E-2</v>
      </c>
      <c r="C144" s="3">
        <v>45416.083333333336</v>
      </c>
      <c r="D144">
        <v>45.4</v>
      </c>
      <c r="E144">
        <v>51.7</v>
      </c>
      <c r="F144">
        <v>40.1</v>
      </c>
      <c r="G144" t="s">
        <v>6</v>
      </c>
      <c r="H144">
        <v>14.7</v>
      </c>
      <c r="I144">
        <v>28.4</v>
      </c>
      <c r="J144">
        <v>11.6</v>
      </c>
      <c r="K144" t="s">
        <v>6</v>
      </c>
      <c r="L144">
        <v>187</v>
      </c>
      <c r="M144" t="s">
        <v>6</v>
      </c>
    </row>
    <row r="145" spans="1:13" x14ac:dyDescent="0.2">
      <c r="A145" s="1">
        <v>45416</v>
      </c>
      <c r="B145" s="2">
        <v>0.125</v>
      </c>
      <c r="C145" s="3">
        <v>45416.125</v>
      </c>
      <c r="D145">
        <v>48.2</v>
      </c>
      <c r="E145">
        <v>53.4</v>
      </c>
      <c r="F145">
        <v>43.5</v>
      </c>
      <c r="G145" t="s">
        <v>6</v>
      </c>
      <c r="H145">
        <v>14.2</v>
      </c>
      <c r="I145">
        <v>24.3</v>
      </c>
      <c r="J145">
        <v>12.1</v>
      </c>
      <c r="K145" t="s">
        <v>6</v>
      </c>
      <c r="L145">
        <v>219</v>
      </c>
      <c r="M145" t="s">
        <v>6</v>
      </c>
    </row>
    <row r="146" spans="1:13" x14ac:dyDescent="0.2">
      <c r="A146" s="1">
        <v>45416</v>
      </c>
      <c r="B146" s="2">
        <v>0.16666666666666666</v>
      </c>
      <c r="C146" s="3">
        <v>45416.166666666664</v>
      </c>
      <c r="D146">
        <v>44.7</v>
      </c>
      <c r="E146">
        <v>49.1</v>
      </c>
      <c r="F146">
        <v>41.1</v>
      </c>
      <c r="G146" t="s">
        <v>6</v>
      </c>
      <c r="H146">
        <v>15</v>
      </c>
      <c r="I146">
        <v>27.1</v>
      </c>
      <c r="J146">
        <v>12.1</v>
      </c>
      <c r="K146" t="s">
        <v>6</v>
      </c>
      <c r="L146">
        <v>211</v>
      </c>
      <c r="M146" t="s">
        <v>6</v>
      </c>
    </row>
    <row r="147" spans="1:13" x14ac:dyDescent="0.2">
      <c r="A147" s="1">
        <v>45416</v>
      </c>
      <c r="B147" s="2">
        <v>0.20833333333333334</v>
      </c>
      <c r="C147" s="3">
        <v>45416.208333333336</v>
      </c>
      <c r="D147">
        <v>52.5</v>
      </c>
      <c r="E147">
        <v>67.3</v>
      </c>
      <c r="F147">
        <v>42.2</v>
      </c>
      <c r="G147" t="s">
        <v>6</v>
      </c>
      <c r="H147">
        <v>16.100000000000001</v>
      </c>
      <c r="I147">
        <v>25.8</v>
      </c>
      <c r="J147">
        <v>11.8</v>
      </c>
      <c r="K147" t="s">
        <v>6</v>
      </c>
      <c r="L147">
        <v>225</v>
      </c>
      <c r="M147" t="s">
        <v>6</v>
      </c>
    </row>
    <row r="148" spans="1:13" x14ac:dyDescent="0.2">
      <c r="A148" s="1">
        <v>45416</v>
      </c>
      <c r="B148" s="2">
        <v>0.25</v>
      </c>
      <c r="C148" s="3">
        <v>45416.25</v>
      </c>
      <c r="D148">
        <v>46.8</v>
      </c>
      <c r="E148">
        <v>50.8</v>
      </c>
      <c r="F148">
        <v>43.5</v>
      </c>
      <c r="G148" t="s">
        <v>6</v>
      </c>
      <c r="H148">
        <v>14.8</v>
      </c>
      <c r="I148">
        <v>28.5</v>
      </c>
      <c r="J148">
        <v>12.2</v>
      </c>
      <c r="K148" t="s">
        <v>6</v>
      </c>
      <c r="L148">
        <v>224</v>
      </c>
      <c r="M148" t="s">
        <v>6</v>
      </c>
    </row>
    <row r="149" spans="1:13" x14ac:dyDescent="0.2">
      <c r="A149" s="1">
        <v>45416</v>
      </c>
      <c r="B149" s="2">
        <v>0.29166666666666669</v>
      </c>
      <c r="C149" s="3">
        <v>45416.291666666664</v>
      </c>
      <c r="D149">
        <v>48.1</v>
      </c>
      <c r="E149">
        <v>61.2</v>
      </c>
      <c r="F149">
        <v>40.299999999999997</v>
      </c>
      <c r="G149" t="s">
        <v>6</v>
      </c>
      <c r="H149">
        <v>15.7</v>
      </c>
      <c r="I149">
        <v>26</v>
      </c>
      <c r="J149">
        <v>12.3</v>
      </c>
      <c r="K149" t="s">
        <v>6</v>
      </c>
      <c r="L149">
        <v>166</v>
      </c>
      <c r="M149" t="s">
        <v>6</v>
      </c>
    </row>
    <row r="150" spans="1:13" x14ac:dyDescent="0.2">
      <c r="A150" s="13">
        <v>45416</v>
      </c>
      <c r="B150" s="9">
        <v>0.33333333333333331</v>
      </c>
      <c r="C150" s="8">
        <v>45416.333333333336</v>
      </c>
      <c r="D150" s="10">
        <v>49.8</v>
      </c>
      <c r="E150" s="10">
        <v>49.8</v>
      </c>
      <c r="F150" s="10">
        <v>49.8</v>
      </c>
      <c r="G150" s="10" t="s">
        <v>6</v>
      </c>
      <c r="H150" s="10">
        <v>14.7</v>
      </c>
      <c r="I150" s="10">
        <v>14.7</v>
      </c>
      <c r="J150" s="10">
        <v>14.7</v>
      </c>
      <c r="K150" s="10" t="s">
        <v>6</v>
      </c>
      <c r="L150" s="10">
        <v>1</v>
      </c>
      <c r="M150" t="s">
        <v>6</v>
      </c>
    </row>
    <row r="151" spans="1:13" x14ac:dyDescent="0.2">
      <c r="A151" s="14">
        <v>45416</v>
      </c>
      <c r="B151" s="12">
        <v>0.375</v>
      </c>
      <c r="C151" s="7">
        <v>45416.375</v>
      </c>
      <c r="D151" s="11">
        <v>54.8</v>
      </c>
      <c r="E151" s="11">
        <v>59.7</v>
      </c>
      <c r="F151" s="11">
        <v>52.2</v>
      </c>
      <c r="G151" s="11" t="s">
        <v>6</v>
      </c>
      <c r="H151" s="11">
        <v>14.5</v>
      </c>
      <c r="I151" s="11">
        <v>17.2</v>
      </c>
      <c r="J151" s="11">
        <v>12.8</v>
      </c>
      <c r="K151" s="11" t="s">
        <v>6</v>
      </c>
      <c r="L151" s="11">
        <v>79</v>
      </c>
      <c r="M151" t="s">
        <v>6</v>
      </c>
    </row>
    <row r="152" spans="1:13" x14ac:dyDescent="0.2">
      <c r="A152" s="1">
        <v>45416</v>
      </c>
      <c r="B152" s="2">
        <v>0.41666666666666669</v>
      </c>
      <c r="C152" s="3">
        <v>45416.416666666664</v>
      </c>
      <c r="D152">
        <v>58.9</v>
      </c>
      <c r="E152">
        <v>64.400000000000006</v>
      </c>
      <c r="F152">
        <v>54.8</v>
      </c>
      <c r="G152" t="s">
        <v>6</v>
      </c>
      <c r="H152">
        <v>12.3</v>
      </c>
      <c r="I152">
        <v>15.6</v>
      </c>
      <c r="J152">
        <v>10.4</v>
      </c>
      <c r="K152" t="s">
        <v>6</v>
      </c>
      <c r="L152">
        <v>209</v>
      </c>
      <c r="M152" t="s">
        <v>6</v>
      </c>
    </row>
    <row r="153" spans="1:13" x14ac:dyDescent="0.2">
      <c r="A153" s="1">
        <v>45416</v>
      </c>
      <c r="B153" s="2">
        <v>0.45833333333333331</v>
      </c>
      <c r="C153" s="3">
        <v>45416.458333333336</v>
      </c>
      <c r="D153">
        <v>61.1</v>
      </c>
      <c r="E153">
        <v>66.5</v>
      </c>
      <c r="F153">
        <v>56.1</v>
      </c>
      <c r="G153" t="s">
        <v>6</v>
      </c>
      <c r="H153">
        <v>12.9</v>
      </c>
      <c r="I153">
        <v>17.8</v>
      </c>
      <c r="J153">
        <v>9.6999999999999993</v>
      </c>
      <c r="K153" t="s">
        <v>6</v>
      </c>
      <c r="L153">
        <v>175</v>
      </c>
      <c r="M153" t="s">
        <v>6</v>
      </c>
    </row>
    <row r="154" spans="1:13" x14ac:dyDescent="0.2">
      <c r="A154" s="1">
        <v>45416</v>
      </c>
      <c r="B154" s="2">
        <v>0.5</v>
      </c>
      <c r="C154" s="3">
        <v>45416.5</v>
      </c>
      <c r="D154">
        <v>61.7</v>
      </c>
      <c r="E154">
        <v>67.2</v>
      </c>
      <c r="F154">
        <v>55.7</v>
      </c>
      <c r="G154" t="s">
        <v>6</v>
      </c>
      <c r="H154">
        <v>10.9</v>
      </c>
      <c r="I154">
        <v>13.5</v>
      </c>
      <c r="J154">
        <v>9.3000000000000007</v>
      </c>
      <c r="K154" t="s">
        <v>6</v>
      </c>
      <c r="L154">
        <v>89</v>
      </c>
      <c r="M154" t="s">
        <v>6</v>
      </c>
    </row>
    <row r="155" spans="1:13" x14ac:dyDescent="0.2">
      <c r="A155" s="1">
        <v>45416</v>
      </c>
      <c r="B155" s="2">
        <v>0.54166666666666663</v>
      </c>
      <c r="C155" s="3">
        <v>45416.541666666664</v>
      </c>
      <c r="D155">
        <v>57.1</v>
      </c>
      <c r="E155">
        <v>59.8</v>
      </c>
      <c r="F155">
        <v>55.3</v>
      </c>
      <c r="G155" t="s">
        <v>6</v>
      </c>
      <c r="H155">
        <v>13.2</v>
      </c>
      <c r="I155">
        <v>13.5</v>
      </c>
      <c r="J155">
        <v>12.8</v>
      </c>
      <c r="K155" t="s">
        <v>6</v>
      </c>
      <c r="L155">
        <v>3</v>
      </c>
      <c r="M155" t="s">
        <v>6</v>
      </c>
    </row>
    <row r="156" spans="1:13" x14ac:dyDescent="0.2">
      <c r="A156" s="1">
        <v>45416</v>
      </c>
      <c r="B156" s="2">
        <v>0.625</v>
      </c>
      <c r="C156" s="3">
        <v>45416.625</v>
      </c>
      <c r="D156">
        <v>56.2</v>
      </c>
      <c r="E156">
        <v>57.8</v>
      </c>
      <c r="F156">
        <v>54.5</v>
      </c>
      <c r="G156" t="s">
        <v>6</v>
      </c>
      <c r="H156">
        <v>18.899999999999999</v>
      </c>
      <c r="I156">
        <v>24.7</v>
      </c>
      <c r="J156">
        <v>12.9</v>
      </c>
      <c r="K156" t="s">
        <v>6</v>
      </c>
      <c r="L156">
        <v>19</v>
      </c>
      <c r="M156" t="s">
        <v>6</v>
      </c>
    </row>
    <row r="157" spans="1:13" x14ac:dyDescent="0.2">
      <c r="A157" s="1">
        <v>45416</v>
      </c>
      <c r="B157" s="2">
        <v>0.83333333333333337</v>
      </c>
      <c r="C157" s="3">
        <v>45416.833333333336</v>
      </c>
      <c r="D157">
        <v>57.2</v>
      </c>
      <c r="E157">
        <v>67</v>
      </c>
      <c r="F157">
        <v>48</v>
      </c>
      <c r="G157" t="s">
        <v>6</v>
      </c>
      <c r="H157">
        <v>15.5</v>
      </c>
      <c r="I157">
        <v>26.1</v>
      </c>
      <c r="J157">
        <v>11.2</v>
      </c>
      <c r="K157" t="s">
        <v>6</v>
      </c>
      <c r="L157">
        <v>195</v>
      </c>
      <c r="M157" t="s">
        <v>6</v>
      </c>
    </row>
    <row r="158" spans="1:13" x14ac:dyDescent="0.2">
      <c r="A158" s="1">
        <v>45416</v>
      </c>
      <c r="B158" s="2">
        <v>0.875</v>
      </c>
      <c r="C158" s="3">
        <v>45416.875</v>
      </c>
      <c r="D158">
        <v>48.7</v>
      </c>
      <c r="E158">
        <v>60.4</v>
      </c>
      <c r="F158">
        <v>40.200000000000003</v>
      </c>
      <c r="G158" t="s">
        <v>6</v>
      </c>
      <c r="H158">
        <v>13.2</v>
      </c>
      <c r="I158">
        <v>20.7</v>
      </c>
      <c r="J158">
        <v>11</v>
      </c>
      <c r="K158" t="s">
        <v>6</v>
      </c>
      <c r="L158">
        <v>226</v>
      </c>
      <c r="M158" t="s">
        <v>6</v>
      </c>
    </row>
    <row r="159" spans="1:13" x14ac:dyDescent="0.2">
      <c r="A159" s="1">
        <v>45416</v>
      </c>
      <c r="B159" s="2">
        <v>0.91666666666666663</v>
      </c>
      <c r="C159" s="3">
        <v>45416.916666666664</v>
      </c>
      <c r="D159">
        <v>57.3</v>
      </c>
      <c r="E159">
        <v>66.900000000000006</v>
      </c>
      <c r="F159">
        <v>46.1</v>
      </c>
      <c r="G159" t="s">
        <v>6</v>
      </c>
      <c r="H159">
        <v>12.5</v>
      </c>
      <c r="I159">
        <v>17.3</v>
      </c>
      <c r="J159">
        <v>11.1</v>
      </c>
      <c r="K159" t="s">
        <v>6</v>
      </c>
      <c r="L159">
        <v>226</v>
      </c>
      <c r="M159" t="s">
        <v>6</v>
      </c>
    </row>
    <row r="160" spans="1:13" x14ac:dyDescent="0.2">
      <c r="A160" s="1">
        <v>45416</v>
      </c>
      <c r="B160" s="2">
        <v>0.95833333333333337</v>
      </c>
      <c r="C160" s="3">
        <v>45416.958333333336</v>
      </c>
      <c r="D160">
        <v>57.7</v>
      </c>
      <c r="E160">
        <v>71.5</v>
      </c>
      <c r="F160">
        <v>46.7</v>
      </c>
      <c r="G160" t="s">
        <v>6</v>
      </c>
      <c r="H160">
        <v>14.3</v>
      </c>
      <c r="I160">
        <v>37.6</v>
      </c>
      <c r="J160">
        <v>11.1</v>
      </c>
      <c r="K160" t="s">
        <v>6</v>
      </c>
      <c r="L160">
        <v>217</v>
      </c>
      <c r="M160" t="s">
        <v>6</v>
      </c>
    </row>
    <row r="161" spans="1:13" x14ac:dyDescent="0.2">
      <c r="A161" s="1">
        <v>45417</v>
      </c>
      <c r="B161" s="2">
        <v>0</v>
      </c>
      <c r="C161" s="3">
        <v>45417</v>
      </c>
      <c r="D161">
        <v>62.3</v>
      </c>
      <c r="E161">
        <v>68</v>
      </c>
      <c r="F161">
        <v>57.2</v>
      </c>
      <c r="G161" t="s">
        <v>6</v>
      </c>
      <c r="H161">
        <v>13.5</v>
      </c>
      <c r="I161">
        <v>21.7</v>
      </c>
      <c r="J161">
        <v>11.4</v>
      </c>
      <c r="K161" t="s">
        <v>6</v>
      </c>
      <c r="L161">
        <v>221</v>
      </c>
      <c r="M161" t="s">
        <v>6</v>
      </c>
    </row>
    <row r="162" spans="1:13" x14ac:dyDescent="0.2">
      <c r="A162" s="1">
        <v>45417</v>
      </c>
      <c r="B162" s="2">
        <v>4.1666666666666664E-2</v>
      </c>
      <c r="C162" s="3">
        <v>45417.041666666664</v>
      </c>
      <c r="D162">
        <v>61.2</v>
      </c>
      <c r="E162">
        <v>66</v>
      </c>
      <c r="F162">
        <v>56.7</v>
      </c>
      <c r="G162" t="s">
        <v>6</v>
      </c>
      <c r="H162">
        <v>13.7</v>
      </c>
      <c r="I162">
        <v>17.100000000000001</v>
      </c>
      <c r="J162">
        <v>12.2</v>
      </c>
      <c r="K162" t="s">
        <v>6</v>
      </c>
      <c r="L162">
        <v>217</v>
      </c>
      <c r="M162" t="s">
        <v>6</v>
      </c>
    </row>
    <row r="163" spans="1:13" x14ac:dyDescent="0.2">
      <c r="A163" s="1">
        <v>45417</v>
      </c>
      <c r="B163" s="2">
        <v>8.3333333333333329E-2</v>
      </c>
      <c r="C163" s="3">
        <v>45417.083333333336</v>
      </c>
      <c r="D163">
        <v>61.2</v>
      </c>
      <c r="E163">
        <v>68.7</v>
      </c>
      <c r="F163">
        <v>56.5</v>
      </c>
      <c r="G163" t="s">
        <v>6</v>
      </c>
      <c r="H163">
        <v>13</v>
      </c>
      <c r="I163">
        <v>15.9</v>
      </c>
      <c r="J163">
        <v>11.6</v>
      </c>
      <c r="K163" t="s">
        <v>6</v>
      </c>
      <c r="L163">
        <v>223</v>
      </c>
      <c r="M163" t="s">
        <v>6</v>
      </c>
    </row>
    <row r="164" spans="1:13" x14ac:dyDescent="0.2">
      <c r="A164" s="1">
        <v>45417</v>
      </c>
      <c r="B164" s="2">
        <v>0.125</v>
      </c>
      <c r="C164" s="3">
        <v>45417.125</v>
      </c>
      <c r="D164">
        <v>55.5</v>
      </c>
      <c r="E164">
        <v>61.9</v>
      </c>
      <c r="F164">
        <v>48</v>
      </c>
      <c r="G164" t="s">
        <v>6</v>
      </c>
      <c r="H164">
        <v>13.9</v>
      </c>
      <c r="I164">
        <v>23</v>
      </c>
      <c r="J164">
        <v>11</v>
      </c>
      <c r="K164" t="s">
        <v>6</v>
      </c>
      <c r="L164">
        <v>218</v>
      </c>
      <c r="M164" t="s">
        <v>6</v>
      </c>
    </row>
    <row r="165" spans="1:13" x14ac:dyDescent="0.2">
      <c r="A165" s="1">
        <v>45417</v>
      </c>
      <c r="B165" s="2">
        <v>0.16666666666666666</v>
      </c>
      <c r="C165" s="3">
        <v>45417.166666666664</v>
      </c>
      <c r="D165">
        <v>60.8</v>
      </c>
      <c r="E165">
        <v>70.599999999999994</v>
      </c>
      <c r="F165">
        <v>53.7</v>
      </c>
      <c r="G165" t="s">
        <v>6</v>
      </c>
      <c r="H165">
        <v>13.3</v>
      </c>
      <c r="I165">
        <v>22.9</v>
      </c>
      <c r="J165">
        <v>11.2</v>
      </c>
      <c r="K165" t="s">
        <v>6</v>
      </c>
      <c r="L165">
        <v>212</v>
      </c>
      <c r="M165" t="s">
        <v>6</v>
      </c>
    </row>
    <row r="166" spans="1:13" x14ac:dyDescent="0.2">
      <c r="A166" s="1">
        <v>45417</v>
      </c>
      <c r="B166" s="2">
        <v>0.20833333333333334</v>
      </c>
      <c r="C166" s="3">
        <v>45417.208333333336</v>
      </c>
      <c r="D166">
        <v>59.7</v>
      </c>
      <c r="E166">
        <v>67.7</v>
      </c>
      <c r="F166">
        <v>54.1</v>
      </c>
      <c r="G166" t="s">
        <v>6</v>
      </c>
      <c r="H166">
        <v>13.5</v>
      </c>
      <c r="I166">
        <v>23.2</v>
      </c>
      <c r="J166">
        <v>11.3</v>
      </c>
      <c r="K166" t="s">
        <v>6</v>
      </c>
      <c r="L166">
        <v>206</v>
      </c>
      <c r="M166" t="s">
        <v>6</v>
      </c>
    </row>
    <row r="167" spans="1:13" x14ac:dyDescent="0.2">
      <c r="A167" s="1">
        <v>45417</v>
      </c>
      <c r="B167" s="2">
        <v>0.25</v>
      </c>
      <c r="C167" s="3">
        <v>45417.25</v>
      </c>
      <c r="D167">
        <v>61.6</v>
      </c>
      <c r="E167">
        <v>67.7</v>
      </c>
      <c r="F167">
        <v>50.7</v>
      </c>
      <c r="G167" t="s">
        <v>6</v>
      </c>
      <c r="H167">
        <v>14</v>
      </c>
      <c r="I167">
        <v>31.3</v>
      </c>
      <c r="J167">
        <v>11.1</v>
      </c>
      <c r="K167" t="s">
        <v>6</v>
      </c>
      <c r="L167">
        <v>222</v>
      </c>
      <c r="M167" t="s">
        <v>6</v>
      </c>
    </row>
    <row r="168" spans="1:13" x14ac:dyDescent="0.2">
      <c r="A168" s="1">
        <v>45417</v>
      </c>
      <c r="B168" s="2">
        <v>0.29166666666666669</v>
      </c>
      <c r="C168" s="3">
        <v>45417.291666666664</v>
      </c>
      <c r="D168">
        <v>62</v>
      </c>
      <c r="E168">
        <v>67.599999999999994</v>
      </c>
      <c r="F168">
        <v>56.5</v>
      </c>
      <c r="G168" t="s">
        <v>6</v>
      </c>
      <c r="H168">
        <v>13</v>
      </c>
      <c r="I168">
        <v>20.2</v>
      </c>
      <c r="J168">
        <v>11.5</v>
      </c>
      <c r="K168" t="s">
        <v>6</v>
      </c>
      <c r="L168">
        <v>203</v>
      </c>
      <c r="M168" t="s">
        <v>6</v>
      </c>
    </row>
    <row r="169" spans="1:13" x14ac:dyDescent="0.2">
      <c r="A169" s="13">
        <v>45417</v>
      </c>
      <c r="B169" s="9">
        <v>0.33333333333333331</v>
      </c>
      <c r="C169" s="8">
        <v>45417.333333333336</v>
      </c>
      <c r="D169" s="10">
        <v>60.8</v>
      </c>
      <c r="E169" s="10">
        <v>61.3</v>
      </c>
      <c r="F169" s="10">
        <v>60.1</v>
      </c>
      <c r="G169" s="10" t="s">
        <v>6</v>
      </c>
      <c r="H169" s="10">
        <v>22.2</v>
      </c>
      <c r="I169" s="10">
        <v>28.4</v>
      </c>
      <c r="J169" s="10">
        <v>16.8</v>
      </c>
      <c r="K169" s="10" t="s">
        <v>6</v>
      </c>
      <c r="L169" s="10">
        <v>9</v>
      </c>
      <c r="M169" t="s">
        <v>6</v>
      </c>
    </row>
    <row r="170" spans="1:13" x14ac:dyDescent="0.2">
      <c r="A170" s="14">
        <v>45417</v>
      </c>
      <c r="B170" s="12">
        <v>0.375</v>
      </c>
      <c r="C170" s="7">
        <v>45417.375</v>
      </c>
      <c r="D170" s="11">
        <v>57.4</v>
      </c>
      <c r="E170" s="11">
        <v>61.4</v>
      </c>
      <c r="F170" s="11">
        <v>53.4</v>
      </c>
      <c r="G170" s="11" t="s">
        <v>6</v>
      </c>
      <c r="H170" s="11">
        <v>17.8</v>
      </c>
      <c r="I170" s="11">
        <v>35.6</v>
      </c>
      <c r="J170" s="11">
        <v>12.8</v>
      </c>
      <c r="K170" s="11" t="s">
        <v>6</v>
      </c>
      <c r="L170" s="11">
        <v>86</v>
      </c>
      <c r="M170" t="s">
        <v>6</v>
      </c>
    </row>
    <row r="171" spans="1:13" x14ac:dyDescent="0.2">
      <c r="A171" s="1">
        <v>45417</v>
      </c>
      <c r="B171" s="2">
        <v>0.41666666666666669</v>
      </c>
      <c r="C171" s="3">
        <v>45417.416666666664</v>
      </c>
      <c r="D171">
        <v>55.4</v>
      </c>
      <c r="E171">
        <v>62.3</v>
      </c>
      <c r="F171">
        <v>51.6</v>
      </c>
      <c r="G171" t="s">
        <v>6</v>
      </c>
      <c r="H171">
        <v>18.5</v>
      </c>
      <c r="I171">
        <v>22.9</v>
      </c>
      <c r="J171">
        <v>13.2</v>
      </c>
      <c r="K171" t="s">
        <v>6</v>
      </c>
      <c r="L171">
        <v>135</v>
      </c>
      <c r="M171" t="s">
        <v>6</v>
      </c>
    </row>
    <row r="172" spans="1:13" x14ac:dyDescent="0.2">
      <c r="A172" s="1">
        <v>45417</v>
      </c>
      <c r="B172" s="2">
        <v>0.45833333333333331</v>
      </c>
      <c r="C172" s="3">
        <v>45417.458333333336</v>
      </c>
      <c r="D172">
        <v>59.5</v>
      </c>
      <c r="E172">
        <v>68.8</v>
      </c>
      <c r="F172">
        <v>53.7</v>
      </c>
      <c r="G172" t="s">
        <v>6</v>
      </c>
      <c r="H172">
        <v>16.399999999999999</v>
      </c>
      <c r="I172">
        <v>23.6</v>
      </c>
      <c r="J172">
        <v>12.5</v>
      </c>
      <c r="K172" t="s">
        <v>6</v>
      </c>
      <c r="L172">
        <v>229</v>
      </c>
      <c r="M172" t="s">
        <v>6</v>
      </c>
    </row>
    <row r="173" spans="1:13" x14ac:dyDescent="0.2">
      <c r="A173" s="1">
        <v>45417</v>
      </c>
      <c r="B173" s="2">
        <v>0.5</v>
      </c>
      <c r="C173" s="3">
        <v>45417.5</v>
      </c>
      <c r="D173">
        <v>61.8</v>
      </c>
      <c r="E173">
        <v>66.599999999999994</v>
      </c>
      <c r="F173">
        <v>56.2</v>
      </c>
      <c r="G173" t="s">
        <v>6</v>
      </c>
      <c r="H173">
        <v>15.6</v>
      </c>
      <c r="I173">
        <v>22.1</v>
      </c>
      <c r="J173">
        <v>12.9</v>
      </c>
      <c r="K173" t="s">
        <v>6</v>
      </c>
      <c r="L173">
        <v>139</v>
      </c>
      <c r="M173" t="s">
        <v>6</v>
      </c>
    </row>
    <row r="174" spans="1:13" x14ac:dyDescent="0.2">
      <c r="A174" s="1">
        <v>45417</v>
      </c>
      <c r="B174" s="2">
        <v>0.54166666666666663</v>
      </c>
      <c r="C174" s="3">
        <v>45417.541666666664</v>
      </c>
      <c r="D174">
        <v>61.5</v>
      </c>
      <c r="E174">
        <v>64.099999999999994</v>
      </c>
      <c r="F174">
        <v>57.9</v>
      </c>
      <c r="G174" t="s">
        <v>6</v>
      </c>
      <c r="H174">
        <v>15.1</v>
      </c>
      <c r="I174">
        <v>21.6</v>
      </c>
      <c r="J174">
        <v>11.6</v>
      </c>
      <c r="K174" t="s">
        <v>6</v>
      </c>
      <c r="L174">
        <v>115</v>
      </c>
      <c r="M174" t="s">
        <v>6</v>
      </c>
    </row>
    <row r="175" spans="1:13" x14ac:dyDescent="0.2">
      <c r="A175" s="1">
        <v>45417</v>
      </c>
      <c r="B175" s="2">
        <v>0.58333333333333337</v>
      </c>
      <c r="C175" s="3">
        <v>45417.583333333336</v>
      </c>
      <c r="D175">
        <v>56.4</v>
      </c>
      <c r="E175">
        <v>60.3</v>
      </c>
      <c r="F175">
        <v>52.7</v>
      </c>
      <c r="G175" t="s">
        <v>6</v>
      </c>
      <c r="H175">
        <v>13.6</v>
      </c>
      <c r="I175">
        <v>19.8</v>
      </c>
      <c r="J175">
        <v>10.4</v>
      </c>
      <c r="K175" t="s">
        <v>6</v>
      </c>
      <c r="L175">
        <v>175</v>
      </c>
      <c r="M175" t="s">
        <v>6</v>
      </c>
    </row>
    <row r="176" spans="1:13" x14ac:dyDescent="0.2">
      <c r="A176" s="1">
        <v>45417</v>
      </c>
      <c r="B176" s="2">
        <v>0.625</v>
      </c>
      <c r="C176" s="3">
        <v>45417.625</v>
      </c>
      <c r="D176">
        <v>62.6</v>
      </c>
      <c r="E176">
        <v>72</v>
      </c>
      <c r="F176">
        <v>54.2</v>
      </c>
      <c r="G176" t="s">
        <v>6</v>
      </c>
      <c r="H176">
        <v>12.6</v>
      </c>
      <c r="I176">
        <v>17.899999999999999</v>
      </c>
      <c r="J176">
        <v>10.3</v>
      </c>
      <c r="K176" t="s">
        <v>6</v>
      </c>
      <c r="L176">
        <v>212</v>
      </c>
      <c r="M176" t="s">
        <v>6</v>
      </c>
    </row>
    <row r="177" spans="1:13" x14ac:dyDescent="0.2">
      <c r="A177" s="1">
        <v>45417</v>
      </c>
      <c r="B177" s="2">
        <v>0.66666666666666663</v>
      </c>
      <c r="C177" s="3">
        <v>45417.666666666664</v>
      </c>
      <c r="D177">
        <v>57.6</v>
      </c>
      <c r="E177">
        <v>63</v>
      </c>
      <c r="F177">
        <v>55.5</v>
      </c>
      <c r="G177" t="s">
        <v>6</v>
      </c>
      <c r="H177">
        <v>14.5</v>
      </c>
      <c r="I177">
        <v>17.5</v>
      </c>
      <c r="J177">
        <v>10.9</v>
      </c>
      <c r="K177" t="s">
        <v>6</v>
      </c>
      <c r="L177">
        <v>33</v>
      </c>
      <c r="M177" t="s">
        <v>6</v>
      </c>
    </row>
    <row r="178" spans="1:13" x14ac:dyDescent="0.2">
      <c r="A178" s="1">
        <v>45417</v>
      </c>
      <c r="B178" s="2">
        <v>0.70833333333333337</v>
      </c>
      <c r="C178" s="3">
        <v>45417.708333333336</v>
      </c>
      <c r="D178">
        <v>56.8</v>
      </c>
      <c r="E178">
        <v>56.8</v>
      </c>
      <c r="F178">
        <v>56.8</v>
      </c>
      <c r="G178" t="s">
        <v>6</v>
      </c>
      <c r="H178">
        <v>16.5</v>
      </c>
      <c r="I178">
        <v>16.5</v>
      </c>
      <c r="J178">
        <v>16.5</v>
      </c>
      <c r="K178" t="s">
        <v>6</v>
      </c>
      <c r="L178">
        <v>1</v>
      </c>
      <c r="M178" t="s">
        <v>6</v>
      </c>
    </row>
    <row r="179" spans="1:13" x14ac:dyDescent="0.2">
      <c r="A179" s="1">
        <v>45417</v>
      </c>
      <c r="B179" s="2">
        <v>0.75</v>
      </c>
      <c r="C179" s="3">
        <v>45417.75</v>
      </c>
      <c r="D179">
        <v>53.7</v>
      </c>
      <c r="E179">
        <v>58.5</v>
      </c>
      <c r="F179">
        <v>46.9</v>
      </c>
      <c r="G179" t="s">
        <v>6</v>
      </c>
      <c r="H179">
        <v>17.600000000000001</v>
      </c>
      <c r="I179">
        <v>25.5</v>
      </c>
      <c r="J179">
        <v>13.3</v>
      </c>
      <c r="K179" t="s">
        <v>6</v>
      </c>
      <c r="L179">
        <v>185</v>
      </c>
      <c r="M179" t="s">
        <v>6</v>
      </c>
    </row>
    <row r="180" spans="1:13" x14ac:dyDescent="0.2">
      <c r="A180" s="1">
        <v>45417</v>
      </c>
      <c r="B180" s="2">
        <v>0.79166666666666663</v>
      </c>
      <c r="C180" s="3">
        <v>45417.791666666664</v>
      </c>
      <c r="D180">
        <v>59.6</v>
      </c>
      <c r="E180">
        <v>65.3</v>
      </c>
      <c r="F180">
        <v>46.8</v>
      </c>
      <c r="G180" t="s">
        <v>6</v>
      </c>
      <c r="H180">
        <v>17.399999999999999</v>
      </c>
      <c r="I180">
        <v>21.3</v>
      </c>
      <c r="J180">
        <v>12.2</v>
      </c>
      <c r="K180" t="s">
        <v>6</v>
      </c>
      <c r="L180">
        <v>134</v>
      </c>
      <c r="M180" t="s">
        <v>6</v>
      </c>
    </row>
    <row r="181" spans="1:13" x14ac:dyDescent="0.2">
      <c r="A181" s="1">
        <v>45417</v>
      </c>
      <c r="B181" s="2">
        <v>0.83333333333333337</v>
      </c>
      <c r="C181" s="3">
        <v>45417.833333333336</v>
      </c>
      <c r="D181">
        <v>49.8</v>
      </c>
      <c r="E181">
        <v>58.2</v>
      </c>
      <c r="F181">
        <v>46</v>
      </c>
      <c r="G181" t="s">
        <v>6</v>
      </c>
      <c r="H181">
        <v>19</v>
      </c>
      <c r="I181">
        <v>32.299999999999997</v>
      </c>
      <c r="J181">
        <v>12.3</v>
      </c>
      <c r="K181" t="s">
        <v>6</v>
      </c>
      <c r="L181">
        <v>221</v>
      </c>
      <c r="M181" t="s">
        <v>6</v>
      </c>
    </row>
    <row r="182" spans="1:13" x14ac:dyDescent="0.2">
      <c r="A182" s="1">
        <v>45417</v>
      </c>
      <c r="B182" s="2">
        <v>0.875</v>
      </c>
      <c r="C182" s="3">
        <v>45417.875</v>
      </c>
      <c r="D182">
        <v>45.4</v>
      </c>
      <c r="E182">
        <v>50.6</v>
      </c>
      <c r="F182">
        <v>40.1</v>
      </c>
      <c r="G182" t="s">
        <v>6</v>
      </c>
      <c r="H182">
        <v>12.6</v>
      </c>
      <c r="I182">
        <v>15.5</v>
      </c>
      <c r="J182">
        <v>11.5</v>
      </c>
      <c r="K182" t="s">
        <v>6</v>
      </c>
      <c r="L182">
        <v>220</v>
      </c>
      <c r="M182" t="s">
        <v>6</v>
      </c>
    </row>
    <row r="183" spans="1:13" x14ac:dyDescent="0.2">
      <c r="A183" s="1">
        <v>45417</v>
      </c>
      <c r="B183" s="2">
        <v>0.91666666666666663</v>
      </c>
      <c r="C183" s="3">
        <v>45417.916666666664</v>
      </c>
      <c r="D183">
        <v>42.8</v>
      </c>
      <c r="E183">
        <v>47.4</v>
      </c>
      <c r="F183">
        <v>40.299999999999997</v>
      </c>
      <c r="G183" t="s">
        <v>6</v>
      </c>
      <c r="H183">
        <v>16.8</v>
      </c>
      <c r="I183">
        <v>24.3</v>
      </c>
      <c r="J183">
        <v>11.7</v>
      </c>
      <c r="K183" t="s">
        <v>6</v>
      </c>
      <c r="L183">
        <v>211</v>
      </c>
      <c r="M183" t="s">
        <v>6</v>
      </c>
    </row>
    <row r="184" spans="1:13" x14ac:dyDescent="0.2">
      <c r="A184" s="1">
        <v>45417</v>
      </c>
      <c r="B184" s="2">
        <v>0.95833333333333337</v>
      </c>
      <c r="C184" s="3">
        <v>45417.958333333336</v>
      </c>
      <c r="D184">
        <v>47.7</v>
      </c>
      <c r="E184">
        <v>56.1</v>
      </c>
      <c r="F184">
        <v>40.299999999999997</v>
      </c>
      <c r="G184" t="s">
        <v>6</v>
      </c>
      <c r="H184">
        <v>14.7</v>
      </c>
      <c r="I184">
        <v>21</v>
      </c>
      <c r="J184">
        <v>11.9</v>
      </c>
      <c r="K184" t="s">
        <v>6</v>
      </c>
      <c r="L184">
        <v>209</v>
      </c>
      <c r="M184" t="s">
        <v>6</v>
      </c>
    </row>
    <row r="185" spans="1:13" x14ac:dyDescent="0.2">
      <c r="A185" s="1">
        <v>45418</v>
      </c>
      <c r="B185" s="2">
        <v>0</v>
      </c>
      <c r="C185" s="3">
        <v>45418</v>
      </c>
      <c r="D185">
        <v>52.3</v>
      </c>
      <c r="E185">
        <v>59.5</v>
      </c>
      <c r="F185">
        <v>45.1</v>
      </c>
      <c r="G185" t="s">
        <v>6</v>
      </c>
      <c r="H185">
        <v>15.1</v>
      </c>
      <c r="I185">
        <v>28.1</v>
      </c>
      <c r="J185">
        <v>11.7</v>
      </c>
      <c r="K185" t="s">
        <v>6</v>
      </c>
      <c r="L185">
        <v>221</v>
      </c>
      <c r="M185" t="s">
        <v>6</v>
      </c>
    </row>
    <row r="186" spans="1:13" x14ac:dyDescent="0.2">
      <c r="A186" s="1">
        <v>45418</v>
      </c>
      <c r="B186" s="2">
        <v>4.1666666666666664E-2</v>
      </c>
      <c r="C186" s="3">
        <v>45418.041666666664</v>
      </c>
      <c r="D186">
        <v>47</v>
      </c>
      <c r="E186">
        <v>55.5</v>
      </c>
      <c r="F186">
        <v>40.4</v>
      </c>
      <c r="G186" t="s">
        <v>6</v>
      </c>
      <c r="H186">
        <v>15</v>
      </c>
      <c r="I186">
        <v>26.8</v>
      </c>
      <c r="J186">
        <v>11.4</v>
      </c>
      <c r="K186" t="s">
        <v>6</v>
      </c>
      <c r="L186">
        <v>191</v>
      </c>
      <c r="M186" t="s">
        <v>6</v>
      </c>
    </row>
    <row r="187" spans="1:13" x14ac:dyDescent="0.2">
      <c r="A187" s="1">
        <v>45418</v>
      </c>
      <c r="B187" s="2">
        <v>8.3333333333333329E-2</v>
      </c>
      <c r="C187" s="3">
        <v>45418.083333333336</v>
      </c>
      <c r="D187">
        <v>45.5</v>
      </c>
      <c r="E187">
        <v>51.4</v>
      </c>
      <c r="F187">
        <v>42.4</v>
      </c>
      <c r="G187" t="s">
        <v>6</v>
      </c>
      <c r="H187">
        <v>15.1</v>
      </c>
      <c r="I187">
        <v>25.8</v>
      </c>
      <c r="J187">
        <v>11.2</v>
      </c>
      <c r="K187" t="s">
        <v>6</v>
      </c>
      <c r="L187">
        <v>225</v>
      </c>
      <c r="M187" t="s">
        <v>6</v>
      </c>
    </row>
    <row r="188" spans="1:13" x14ac:dyDescent="0.2">
      <c r="A188" s="1">
        <v>45418</v>
      </c>
      <c r="B188" s="2">
        <v>0.125</v>
      </c>
      <c r="C188" s="3">
        <v>45418.125</v>
      </c>
      <c r="D188">
        <v>48.3</v>
      </c>
      <c r="E188">
        <v>57.6</v>
      </c>
      <c r="F188">
        <v>42.1</v>
      </c>
      <c r="G188" t="s">
        <v>6</v>
      </c>
      <c r="H188">
        <v>13.4</v>
      </c>
      <c r="I188">
        <v>22.6</v>
      </c>
      <c r="J188">
        <v>11.3</v>
      </c>
      <c r="K188" t="s">
        <v>6</v>
      </c>
      <c r="L188">
        <v>217</v>
      </c>
      <c r="M188" t="s">
        <v>6</v>
      </c>
    </row>
    <row r="189" spans="1:13" x14ac:dyDescent="0.2">
      <c r="A189" s="1">
        <v>45418</v>
      </c>
      <c r="B189" s="2">
        <v>0.16666666666666666</v>
      </c>
      <c r="C189" s="3">
        <v>45418.166666666664</v>
      </c>
      <c r="D189">
        <v>45.2</v>
      </c>
      <c r="E189">
        <v>58.5</v>
      </c>
      <c r="F189">
        <v>40.700000000000003</v>
      </c>
      <c r="G189" t="s">
        <v>6</v>
      </c>
      <c r="H189">
        <v>12.8</v>
      </c>
      <c r="I189">
        <v>19.2</v>
      </c>
      <c r="J189">
        <v>11.6</v>
      </c>
      <c r="K189" t="s">
        <v>6</v>
      </c>
      <c r="L189">
        <v>216</v>
      </c>
      <c r="M189" t="s">
        <v>6</v>
      </c>
    </row>
    <row r="190" spans="1:13" x14ac:dyDescent="0.2">
      <c r="A190" s="1">
        <v>45418</v>
      </c>
      <c r="B190" s="2">
        <v>0.20833333333333334</v>
      </c>
      <c r="C190" s="3">
        <v>45418.208333333336</v>
      </c>
      <c r="D190">
        <v>40.9</v>
      </c>
      <c r="E190">
        <v>42.1</v>
      </c>
      <c r="F190">
        <v>40.200000000000003</v>
      </c>
      <c r="G190" t="s">
        <v>6</v>
      </c>
      <c r="H190">
        <v>13.3</v>
      </c>
      <c r="I190">
        <v>16.399999999999999</v>
      </c>
      <c r="J190">
        <v>11.9</v>
      </c>
      <c r="K190" t="s">
        <v>6</v>
      </c>
      <c r="L190">
        <v>41</v>
      </c>
      <c r="M190" t="s">
        <v>6</v>
      </c>
    </row>
    <row r="191" spans="1:13" x14ac:dyDescent="0.2">
      <c r="A191" s="1">
        <v>45418</v>
      </c>
      <c r="B191" s="2">
        <v>0.25</v>
      </c>
      <c r="C191" s="3">
        <v>45418.25</v>
      </c>
      <c r="D191">
        <v>47.2</v>
      </c>
      <c r="E191">
        <v>50.4</v>
      </c>
      <c r="F191">
        <v>40.9</v>
      </c>
      <c r="G191" t="s">
        <v>6</v>
      </c>
      <c r="H191">
        <v>16.7</v>
      </c>
      <c r="I191">
        <v>21.7</v>
      </c>
      <c r="J191">
        <v>11.3</v>
      </c>
      <c r="K191" t="s">
        <v>6</v>
      </c>
      <c r="L191">
        <v>119</v>
      </c>
      <c r="M191" t="s">
        <v>6</v>
      </c>
    </row>
    <row r="192" spans="1:13" x14ac:dyDescent="0.2">
      <c r="A192" s="13">
        <v>45418</v>
      </c>
      <c r="B192" s="9">
        <v>0.29166666666666669</v>
      </c>
      <c r="C192" s="8">
        <v>45418.291666666664</v>
      </c>
      <c r="D192" s="10">
        <v>47.8</v>
      </c>
      <c r="E192" s="10">
        <v>49.9</v>
      </c>
      <c r="F192" s="10">
        <v>45.6</v>
      </c>
      <c r="G192" s="10" t="s">
        <v>6</v>
      </c>
      <c r="H192" s="10">
        <v>19.3</v>
      </c>
      <c r="I192" s="10">
        <v>27.2</v>
      </c>
      <c r="J192" s="10">
        <v>13</v>
      </c>
      <c r="K192" s="10" t="s">
        <v>6</v>
      </c>
      <c r="L192" s="10">
        <v>130</v>
      </c>
      <c r="M192" t="s">
        <v>6</v>
      </c>
    </row>
    <row r="193" spans="1:13" x14ac:dyDescent="0.2">
      <c r="A193" s="14">
        <v>45418</v>
      </c>
      <c r="B193" s="12">
        <v>0.45833333333333331</v>
      </c>
      <c r="C193" s="7">
        <v>45418.458333333336</v>
      </c>
      <c r="D193" s="11">
        <v>61.2</v>
      </c>
      <c r="E193" s="11">
        <v>62.1</v>
      </c>
      <c r="F193" s="11">
        <v>60.1</v>
      </c>
      <c r="G193" s="11" t="s">
        <v>6</v>
      </c>
      <c r="H193" s="11">
        <v>13.3</v>
      </c>
      <c r="I193" s="11">
        <v>15.3</v>
      </c>
      <c r="J193" s="11">
        <v>12</v>
      </c>
      <c r="K193" s="11" t="s">
        <v>6</v>
      </c>
      <c r="L193" s="11">
        <v>26</v>
      </c>
      <c r="M193" t="s">
        <v>6</v>
      </c>
    </row>
    <row r="194" spans="1:13" x14ac:dyDescent="0.2">
      <c r="A194" s="1">
        <v>45418</v>
      </c>
      <c r="B194" s="2">
        <v>0.5</v>
      </c>
      <c r="C194" s="3">
        <v>45418.5</v>
      </c>
      <c r="D194">
        <v>58.9</v>
      </c>
      <c r="E194">
        <v>59.4</v>
      </c>
      <c r="F194">
        <v>58.4</v>
      </c>
      <c r="G194" t="s">
        <v>6</v>
      </c>
      <c r="H194">
        <v>14</v>
      </c>
      <c r="I194">
        <v>14.5</v>
      </c>
      <c r="J194">
        <v>13.3</v>
      </c>
      <c r="K194" t="s">
        <v>6</v>
      </c>
      <c r="L194">
        <v>5</v>
      </c>
      <c r="M194" t="s">
        <v>6</v>
      </c>
    </row>
    <row r="195" spans="1:13" x14ac:dyDescent="0.2">
      <c r="A195" s="1">
        <v>45418</v>
      </c>
      <c r="B195" s="2">
        <v>0.54166666666666663</v>
      </c>
      <c r="C195" s="3">
        <v>45418.541666666664</v>
      </c>
      <c r="D195">
        <v>59.2</v>
      </c>
      <c r="E195">
        <v>59.2</v>
      </c>
      <c r="F195">
        <v>59.2</v>
      </c>
      <c r="G195" t="s">
        <v>6</v>
      </c>
      <c r="H195">
        <v>12.6</v>
      </c>
      <c r="I195">
        <v>13.4</v>
      </c>
      <c r="J195">
        <v>11.8</v>
      </c>
      <c r="K195" t="s">
        <v>6</v>
      </c>
      <c r="L195">
        <v>4</v>
      </c>
      <c r="M195" t="s">
        <v>6</v>
      </c>
    </row>
    <row r="196" spans="1:13" x14ac:dyDescent="0.2">
      <c r="A196" s="1">
        <v>45418</v>
      </c>
      <c r="B196" s="2">
        <v>0.58333333333333337</v>
      </c>
      <c r="C196" s="3">
        <v>45418.583333333336</v>
      </c>
      <c r="D196">
        <v>59.2</v>
      </c>
      <c r="E196">
        <v>60.8</v>
      </c>
      <c r="F196">
        <v>58.7</v>
      </c>
      <c r="G196" t="s">
        <v>6</v>
      </c>
      <c r="H196">
        <v>12.9</v>
      </c>
      <c r="I196">
        <v>15.8</v>
      </c>
      <c r="J196">
        <v>11.3</v>
      </c>
      <c r="K196" t="s">
        <v>6</v>
      </c>
      <c r="L196">
        <v>23</v>
      </c>
      <c r="M196" t="s">
        <v>6</v>
      </c>
    </row>
    <row r="197" spans="1:13" x14ac:dyDescent="0.2">
      <c r="A197" s="1">
        <v>45418</v>
      </c>
      <c r="B197" s="2">
        <v>0.79166666666666663</v>
      </c>
      <c r="C197" s="3">
        <v>45418.791666666664</v>
      </c>
      <c r="D197">
        <v>63</v>
      </c>
      <c r="E197">
        <v>68.900000000000006</v>
      </c>
      <c r="F197">
        <v>54.5</v>
      </c>
      <c r="G197" t="s">
        <v>6</v>
      </c>
      <c r="H197">
        <v>19.399999999999999</v>
      </c>
      <c r="I197">
        <v>23.9</v>
      </c>
      <c r="J197">
        <v>14.5</v>
      </c>
      <c r="K197" t="s">
        <v>6</v>
      </c>
      <c r="L197">
        <v>104</v>
      </c>
      <c r="M197" t="s">
        <v>6</v>
      </c>
    </row>
    <row r="198" spans="1:13" x14ac:dyDescent="0.2">
      <c r="A198" s="1">
        <v>45418</v>
      </c>
      <c r="B198" s="2">
        <v>0.83333333333333337</v>
      </c>
      <c r="C198" s="3">
        <v>45418.833333333336</v>
      </c>
      <c r="D198">
        <v>54.5</v>
      </c>
      <c r="E198">
        <v>63.3</v>
      </c>
      <c r="F198">
        <v>49.4</v>
      </c>
      <c r="G198" t="s">
        <v>6</v>
      </c>
      <c r="H198">
        <v>19.3</v>
      </c>
      <c r="I198">
        <v>31.1</v>
      </c>
      <c r="J198">
        <v>12.5</v>
      </c>
      <c r="K198" t="s">
        <v>6</v>
      </c>
      <c r="L198">
        <v>210</v>
      </c>
      <c r="M198" t="s">
        <v>6</v>
      </c>
    </row>
    <row r="199" spans="1:13" x14ac:dyDescent="0.2">
      <c r="A199" s="1">
        <v>45418</v>
      </c>
      <c r="B199" s="2">
        <v>0.875</v>
      </c>
      <c r="C199" s="3">
        <v>45418.875</v>
      </c>
      <c r="D199">
        <v>46.8</v>
      </c>
      <c r="E199">
        <v>56.7</v>
      </c>
      <c r="F199">
        <v>41</v>
      </c>
      <c r="G199" t="s">
        <v>6</v>
      </c>
      <c r="H199">
        <v>16.3</v>
      </c>
      <c r="I199">
        <v>28.3</v>
      </c>
      <c r="J199">
        <v>12.1</v>
      </c>
      <c r="K199" t="s">
        <v>6</v>
      </c>
      <c r="L199">
        <v>219</v>
      </c>
      <c r="M199" t="s">
        <v>6</v>
      </c>
    </row>
    <row r="200" spans="1:13" x14ac:dyDescent="0.2">
      <c r="A200" s="1">
        <v>45418</v>
      </c>
      <c r="B200" s="2">
        <v>0.91666666666666663</v>
      </c>
      <c r="C200" s="3">
        <v>45418.916666666664</v>
      </c>
      <c r="D200">
        <v>45.1</v>
      </c>
      <c r="E200">
        <v>48.3</v>
      </c>
      <c r="F200">
        <v>41.4</v>
      </c>
      <c r="G200" t="s">
        <v>6</v>
      </c>
      <c r="H200">
        <v>14.1</v>
      </c>
      <c r="I200">
        <v>21</v>
      </c>
      <c r="J200">
        <v>11.9</v>
      </c>
      <c r="K200" t="s">
        <v>6</v>
      </c>
      <c r="L200">
        <v>227</v>
      </c>
      <c r="M200" t="s">
        <v>6</v>
      </c>
    </row>
    <row r="201" spans="1:13" x14ac:dyDescent="0.2">
      <c r="A201" s="1">
        <v>45418</v>
      </c>
      <c r="B201" s="2">
        <v>0.95833333333333337</v>
      </c>
      <c r="C201" s="3">
        <v>45418.958333333336</v>
      </c>
      <c r="D201">
        <v>44.3</v>
      </c>
      <c r="E201">
        <v>48.4</v>
      </c>
      <c r="F201">
        <v>40.799999999999997</v>
      </c>
      <c r="G201" t="s">
        <v>6</v>
      </c>
      <c r="H201">
        <v>14</v>
      </c>
      <c r="I201">
        <v>18.2</v>
      </c>
      <c r="J201">
        <v>12</v>
      </c>
      <c r="K201" t="s">
        <v>6</v>
      </c>
      <c r="L201">
        <v>202</v>
      </c>
      <c r="M201" t="s">
        <v>6</v>
      </c>
    </row>
    <row r="202" spans="1:13" x14ac:dyDescent="0.2">
      <c r="A202" s="1">
        <v>45419</v>
      </c>
      <c r="B202" s="2">
        <v>0</v>
      </c>
      <c r="C202" s="3">
        <v>45419</v>
      </c>
      <c r="D202">
        <v>41.6</v>
      </c>
      <c r="E202">
        <v>46.8</v>
      </c>
      <c r="F202">
        <v>40.1</v>
      </c>
      <c r="G202" t="s">
        <v>6</v>
      </c>
      <c r="H202">
        <v>14.5</v>
      </c>
      <c r="I202">
        <v>19.600000000000001</v>
      </c>
      <c r="J202">
        <v>12.3</v>
      </c>
      <c r="K202" t="s">
        <v>6</v>
      </c>
      <c r="L202">
        <v>77</v>
      </c>
      <c r="M202" t="s">
        <v>6</v>
      </c>
    </row>
    <row r="203" spans="1:13" x14ac:dyDescent="0.2">
      <c r="A203" s="1">
        <v>45419</v>
      </c>
      <c r="B203" s="2">
        <v>4.1666666666666664E-2</v>
      </c>
      <c r="C203" s="3">
        <v>45419.041666666664</v>
      </c>
      <c r="D203">
        <v>44.1</v>
      </c>
      <c r="E203">
        <v>48</v>
      </c>
      <c r="F203">
        <v>40.299999999999997</v>
      </c>
      <c r="G203" t="s">
        <v>6</v>
      </c>
      <c r="H203">
        <v>13.5</v>
      </c>
      <c r="I203">
        <v>20.7</v>
      </c>
      <c r="J203">
        <v>11.8</v>
      </c>
      <c r="K203" t="s">
        <v>6</v>
      </c>
      <c r="L203">
        <v>199</v>
      </c>
      <c r="M203" t="s">
        <v>6</v>
      </c>
    </row>
    <row r="204" spans="1:13" x14ac:dyDescent="0.2">
      <c r="A204" s="1">
        <v>45419</v>
      </c>
      <c r="B204" s="2">
        <v>8.3333333333333329E-2</v>
      </c>
      <c r="C204" s="3">
        <v>45419.083333333336</v>
      </c>
      <c r="D204">
        <v>48.7</v>
      </c>
      <c r="E204">
        <v>57.1</v>
      </c>
      <c r="F204">
        <v>42</v>
      </c>
      <c r="G204" t="s">
        <v>6</v>
      </c>
      <c r="H204">
        <v>14.3</v>
      </c>
      <c r="I204">
        <v>26.1</v>
      </c>
      <c r="J204">
        <v>11.7</v>
      </c>
      <c r="K204" t="s">
        <v>6</v>
      </c>
      <c r="L204">
        <v>197</v>
      </c>
      <c r="M204" t="s">
        <v>6</v>
      </c>
    </row>
    <row r="205" spans="1:13" x14ac:dyDescent="0.2">
      <c r="A205" s="1">
        <v>45419</v>
      </c>
      <c r="B205" s="2">
        <v>0.125</v>
      </c>
      <c r="C205" s="3">
        <v>45419.125</v>
      </c>
      <c r="D205">
        <v>58.2</v>
      </c>
      <c r="E205">
        <v>68.7</v>
      </c>
      <c r="F205">
        <v>48.8</v>
      </c>
      <c r="G205" t="s">
        <v>6</v>
      </c>
      <c r="H205">
        <v>15</v>
      </c>
      <c r="I205">
        <v>24.4</v>
      </c>
      <c r="J205">
        <v>11.7</v>
      </c>
      <c r="K205" t="s">
        <v>6</v>
      </c>
      <c r="L205">
        <v>223</v>
      </c>
      <c r="M205" t="s">
        <v>6</v>
      </c>
    </row>
    <row r="206" spans="1:13" x14ac:dyDescent="0.2">
      <c r="A206" s="1">
        <v>45419</v>
      </c>
      <c r="B206" s="2">
        <v>0.16666666666666666</v>
      </c>
      <c r="C206" s="3">
        <v>45419.166666666664</v>
      </c>
      <c r="D206">
        <v>49.8</v>
      </c>
      <c r="E206">
        <v>52.5</v>
      </c>
      <c r="F206">
        <v>47.5</v>
      </c>
      <c r="G206" t="s">
        <v>6</v>
      </c>
      <c r="H206">
        <v>13.2</v>
      </c>
      <c r="I206">
        <v>18.7</v>
      </c>
      <c r="J206">
        <v>10.8</v>
      </c>
      <c r="K206" t="s">
        <v>6</v>
      </c>
      <c r="L206">
        <v>204</v>
      </c>
      <c r="M206" t="s">
        <v>6</v>
      </c>
    </row>
    <row r="207" spans="1:13" x14ac:dyDescent="0.2">
      <c r="A207" s="1">
        <v>45419</v>
      </c>
      <c r="B207" s="2">
        <v>0.20833333333333334</v>
      </c>
      <c r="C207" s="3">
        <v>45419.208333333336</v>
      </c>
      <c r="D207">
        <v>46.7</v>
      </c>
      <c r="E207">
        <v>51.5</v>
      </c>
      <c r="F207">
        <v>42.4</v>
      </c>
      <c r="G207" t="s">
        <v>6</v>
      </c>
      <c r="H207">
        <v>12.7</v>
      </c>
      <c r="I207">
        <v>19.2</v>
      </c>
      <c r="J207">
        <v>10.6</v>
      </c>
      <c r="K207" t="s">
        <v>6</v>
      </c>
      <c r="L207">
        <v>225</v>
      </c>
      <c r="M207" t="s">
        <v>6</v>
      </c>
    </row>
    <row r="208" spans="1:13" x14ac:dyDescent="0.2">
      <c r="A208" s="1">
        <v>45419</v>
      </c>
      <c r="B208" s="2">
        <v>0.25</v>
      </c>
      <c r="C208" s="3">
        <v>45419.25</v>
      </c>
      <c r="D208">
        <v>49.3</v>
      </c>
      <c r="E208">
        <v>61.5</v>
      </c>
      <c r="F208">
        <v>44.6</v>
      </c>
      <c r="G208" t="s">
        <v>6</v>
      </c>
      <c r="H208">
        <v>14.3</v>
      </c>
      <c r="I208">
        <v>25.8</v>
      </c>
      <c r="J208">
        <v>10.8</v>
      </c>
      <c r="K208" t="s">
        <v>6</v>
      </c>
      <c r="L208">
        <v>150</v>
      </c>
      <c r="M208" t="s">
        <v>6</v>
      </c>
    </row>
    <row r="209" spans="1:13" x14ac:dyDescent="0.2">
      <c r="A209" s="1">
        <v>45419</v>
      </c>
      <c r="B209" s="2">
        <v>0.29166666666666669</v>
      </c>
      <c r="C209" s="3">
        <v>45419.291666666664</v>
      </c>
      <c r="D209">
        <v>56.6</v>
      </c>
      <c r="E209">
        <v>63</v>
      </c>
      <c r="F209">
        <v>44.3</v>
      </c>
      <c r="G209" t="s">
        <v>6</v>
      </c>
      <c r="H209">
        <v>17.3</v>
      </c>
      <c r="I209">
        <v>21.4</v>
      </c>
      <c r="J209">
        <v>13.2</v>
      </c>
      <c r="K209" t="s">
        <v>6</v>
      </c>
      <c r="L209">
        <v>178</v>
      </c>
      <c r="M209" t="s">
        <v>6</v>
      </c>
    </row>
    <row r="210" spans="1:13" x14ac:dyDescent="0.2">
      <c r="A210" s="13">
        <v>45419</v>
      </c>
      <c r="B210" s="9">
        <v>0.33333333333333331</v>
      </c>
      <c r="C210" s="8">
        <v>45419.333333333336</v>
      </c>
      <c r="D210" s="10">
        <v>49.8</v>
      </c>
      <c r="E210" s="10">
        <v>55.5</v>
      </c>
      <c r="F210" s="10">
        <v>44.7</v>
      </c>
      <c r="G210" s="10" t="s">
        <v>6</v>
      </c>
      <c r="H210" s="10">
        <v>16.100000000000001</v>
      </c>
      <c r="I210" s="10">
        <v>21.8</v>
      </c>
      <c r="J210" s="10">
        <v>12.6</v>
      </c>
      <c r="K210" s="10" t="s">
        <v>6</v>
      </c>
      <c r="L210" s="10">
        <v>126</v>
      </c>
      <c r="M210" t="s">
        <v>6</v>
      </c>
    </row>
    <row r="211" spans="1:13" x14ac:dyDescent="0.2">
      <c r="A211" s="14">
        <v>45419</v>
      </c>
      <c r="B211" s="12">
        <v>0.375</v>
      </c>
      <c r="C211" s="7">
        <v>45419.375</v>
      </c>
      <c r="D211" s="11">
        <v>49.7</v>
      </c>
      <c r="E211" s="11">
        <v>58.2</v>
      </c>
      <c r="F211" s="11">
        <v>43.6</v>
      </c>
      <c r="G211" s="11" t="s">
        <v>6</v>
      </c>
      <c r="H211" s="11">
        <v>17.8</v>
      </c>
      <c r="I211" s="11">
        <v>26.8</v>
      </c>
      <c r="J211" s="11">
        <v>12.4</v>
      </c>
      <c r="K211" s="11" t="s">
        <v>6</v>
      </c>
      <c r="L211" s="11">
        <v>184</v>
      </c>
      <c r="M211" t="s">
        <v>6</v>
      </c>
    </row>
    <row r="212" spans="1:13" x14ac:dyDescent="0.2">
      <c r="A212" s="1">
        <v>45419</v>
      </c>
      <c r="B212" s="2">
        <v>0.41666666666666669</v>
      </c>
      <c r="C212" s="3">
        <v>45419.416666666664</v>
      </c>
      <c r="D212">
        <v>46.4</v>
      </c>
      <c r="E212">
        <v>51.4</v>
      </c>
      <c r="F212">
        <v>42.8</v>
      </c>
      <c r="G212" t="s">
        <v>6</v>
      </c>
      <c r="H212">
        <v>18.7</v>
      </c>
      <c r="I212">
        <v>29.4</v>
      </c>
      <c r="J212">
        <v>13.6</v>
      </c>
      <c r="K212" t="s">
        <v>6</v>
      </c>
      <c r="L212">
        <v>186</v>
      </c>
      <c r="M212" t="s">
        <v>6</v>
      </c>
    </row>
    <row r="213" spans="1:13" x14ac:dyDescent="0.2">
      <c r="A213" s="1">
        <v>45419</v>
      </c>
      <c r="B213" s="2">
        <v>0.45833333333333331</v>
      </c>
      <c r="C213" s="3">
        <v>45419.458333333336</v>
      </c>
      <c r="D213">
        <v>47.4</v>
      </c>
      <c r="E213">
        <v>51.3</v>
      </c>
      <c r="F213">
        <v>43.1</v>
      </c>
      <c r="G213" t="s">
        <v>6</v>
      </c>
      <c r="H213">
        <v>18.2</v>
      </c>
      <c r="I213">
        <v>27.5</v>
      </c>
      <c r="J213">
        <v>13.1</v>
      </c>
      <c r="K213" t="s">
        <v>6</v>
      </c>
      <c r="L213">
        <v>181</v>
      </c>
      <c r="M213" t="s">
        <v>6</v>
      </c>
    </row>
    <row r="214" spans="1:13" x14ac:dyDescent="0.2">
      <c r="A214" s="1">
        <v>45419</v>
      </c>
      <c r="B214" s="2">
        <v>0.5</v>
      </c>
      <c r="C214" s="3">
        <v>45419.5</v>
      </c>
      <c r="D214">
        <v>45.9</v>
      </c>
      <c r="E214">
        <v>50</v>
      </c>
      <c r="F214">
        <v>41.2</v>
      </c>
      <c r="G214" t="s">
        <v>6</v>
      </c>
      <c r="H214">
        <v>23.3</v>
      </c>
      <c r="I214">
        <v>34.6</v>
      </c>
      <c r="J214">
        <v>14.5</v>
      </c>
      <c r="K214" t="s">
        <v>6</v>
      </c>
      <c r="L214">
        <v>184</v>
      </c>
      <c r="M214" t="s">
        <v>6</v>
      </c>
    </row>
    <row r="215" spans="1:13" x14ac:dyDescent="0.2">
      <c r="A215" s="1">
        <v>45419</v>
      </c>
      <c r="B215" s="2">
        <v>0.54166666666666663</v>
      </c>
      <c r="C215" s="3">
        <v>45419.541666666664</v>
      </c>
      <c r="D215">
        <v>44</v>
      </c>
      <c r="E215">
        <v>49.8</v>
      </c>
      <c r="F215">
        <v>40.1</v>
      </c>
      <c r="G215" t="s">
        <v>6</v>
      </c>
      <c r="H215">
        <v>19.8</v>
      </c>
      <c r="I215">
        <v>34.1</v>
      </c>
      <c r="J215">
        <v>12.4</v>
      </c>
      <c r="K215" t="s">
        <v>6</v>
      </c>
      <c r="L215">
        <v>163</v>
      </c>
      <c r="M215" t="s">
        <v>6</v>
      </c>
    </row>
    <row r="216" spans="1:13" x14ac:dyDescent="0.2">
      <c r="A216" s="1">
        <v>45419</v>
      </c>
      <c r="B216" s="2">
        <v>0.58333333333333337</v>
      </c>
      <c r="C216" s="3">
        <v>45419.583333333336</v>
      </c>
      <c r="D216">
        <v>43.3</v>
      </c>
      <c r="E216">
        <v>46.3</v>
      </c>
      <c r="F216">
        <v>40.299999999999997</v>
      </c>
      <c r="G216" t="s">
        <v>6</v>
      </c>
      <c r="H216">
        <v>18.600000000000001</v>
      </c>
      <c r="I216">
        <v>34.200000000000003</v>
      </c>
      <c r="J216">
        <v>12.1</v>
      </c>
      <c r="K216" t="s">
        <v>6</v>
      </c>
      <c r="L216">
        <v>223</v>
      </c>
      <c r="M216" t="s">
        <v>6</v>
      </c>
    </row>
    <row r="217" spans="1:13" x14ac:dyDescent="0.2">
      <c r="A217" s="1">
        <v>45419</v>
      </c>
      <c r="B217" s="2">
        <v>0.625</v>
      </c>
      <c r="C217" s="3">
        <v>45419.625</v>
      </c>
      <c r="D217">
        <v>42.5</v>
      </c>
      <c r="E217">
        <v>45.5</v>
      </c>
      <c r="F217">
        <v>40.6</v>
      </c>
      <c r="G217" t="s">
        <v>6</v>
      </c>
      <c r="H217">
        <v>14.4</v>
      </c>
      <c r="I217">
        <v>22.1</v>
      </c>
      <c r="J217">
        <v>10.4</v>
      </c>
      <c r="K217" t="s">
        <v>6</v>
      </c>
      <c r="L217">
        <v>225</v>
      </c>
      <c r="M217" t="s">
        <v>6</v>
      </c>
    </row>
    <row r="218" spans="1:13" x14ac:dyDescent="0.2">
      <c r="A218" s="1">
        <v>45419</v>
      </c>
      <c r="B218" s="2">
        <v>0.66666666666666663</v>
      </c>
      <c r="C218" s="3">
        <v>45419.666666666664</v>
      </c>
      <c r="D218">
        <v>43.5</v>
      </c>
      <c r="E218">
        <v>46.5</v>
      </c>
      <c r="F218">
        <v>40.799999999999997</v>
      </c>
      <c r="G218" t="s">
        <v>6</v>
      </c>
      <c r="H218">
        <v>16.899999999999999</v>
      </c>
      <c r="I218">
        <v>24.3</v>
      </c>
      <c r="J218">
        <v>10.9</v>
      </c>
      <c r="K218" t="s">
        <v>6</v>
      </c>
      <c r="L218">
        <v>209</v>
      </c>
      <c r="M218" t="s">
        <v>6</v>
      </c>
    </row>
    <row r="219" spans="1:13" x14ac:dyDescent="0.2">
      <c r="A219" s="1">
        <v>45419</v>
      </c>
      <c r="B219" s="2">
        <v>0.70833333333333337</v>
      </c>
      <c r="C219" s="3">
        <v>45419.708333333336</v>
      </c>
      <c r="D219">
        <v>43.6</v>
      </c>
      <c r="E219">
        <v>47.4</v>
      </c>
      <c r="F219">
        <v>40.1</v>
      </c>
      <c r="G219" t="s">
        <v>6</v>
      </c>
      <c r="H219">
        <v>18.2</v>
      </c>
      <c r="I219">
        <v>28</v>
      </c>
      <c r="J219">
        <v>13</v>
      </c>
      <c r="K219" t="s">
        <v>6</v>
      </c>
      <c r="L219">
        <v>173</v>
      </c>
      <c r="M219" t="s">
        <v>6</v>
      </c>
    </row>
    <row r="220" spans="1:13" x14ac:dyDescent="0.2">
      <c r="A220" s="1">
        <v>45419</v>
      </c>
      <c r="B220" s="2">
        <v>0.75</v>
      </c>
      <c r="C220" s="3">
        <v>45419.75</v>
      </c>
      <c r="D220">
        <v>56.2</v>
      </c>
      <c r="E220">
        <v>65.599999999999994</v>
      </c>
      <c r="F220">
        <v>43</v>
      </c>
      <c r="G220" t="s">
        <v>6</v>
      </c>
      <c r="H220">
        <v>19.899999999999999</v>
      </c>
      <c r="I220">
        <v>31.7</v>
      </c>
      <c r="J220">
        <v>13.5</v>
      </c>
      <c r="K220" t="s">
        <v>6</v>
      </c>
      <c r="L220">
        <v>163</v>
      </c>
      <c r="M220" t="s">
        <v>6</v>
      </c>
    </row>
    <row r="221" spans="1:13" x14ac:dyDescent="0.2">
      <c r="A221" s="1">
        <v>45419</v>
      </c>
      <c r="B221" s="2">
        <v>0.79166666666666663</v>
      </c>
      <c r="C221" s="3">
        <v>45419.791666666664</v>
      </c>
      <c r="D221">
        <v>59.3</v>
      </c>
      <c r="E221">
        <v>64.8</v>
      </c>
      <c r="F221">
        <v>49.1</v>
      </c>
      <c r="G221" t="s">
        <v>6</v>
      </c>
      <c r="H221">
        <v>22.3</v>
      </c>
      <c r="I221">
        <v>32.9</v>
      </c>
      <c r="J221">
        <v>15.7</v>
      </c>
      <c r="K221" t="s">
        <v>6</v>
      </c>
      <c r="L221">
        <v>141</v>
      </c>
      <c r="M221" t="s">
        <v>6</v>
      </c>
    </row>
    <row r="222" spans="1:13" x14ac:dyDescent="0.2">
      <c r="A222" s="1">
        <v>45419</v>
      </c>
      <c r="B222" s="2">
        <v>0.83333333333333337</v>
      </c>
      <c r="C222" s="3">
        <v>45419.833333333336</v>
      </c>
      <c r="D222">
        <v>51.5</v>
      </c>
      <c r="E222">
        <v>56</v>
      </c>
      <c r="F222">
        <v>44.8</v>
      </c>
      <c r="G222" t="s">
        <v>6</v>
      </c>
      <c r="H222">
        <v>16</v>
      </c>
      <c r="I222">
        <v>22</v>
      </c>
      <c r="J222">
        <v>13.5</v>
      </c>
      <c r="K222" t="s">
        <v>6</v>
      </c>
      <c r="L222">
        <v>173</v>
      </c>
      <c r="M222" t="s">
        <v>6</v>
      </c>
    </row>
    <row r="223" spans="1:13" x14ac:dyDescent="0.2">
      <c r="A223" s="1">
        <v>45419</v>
      </c>
      <c r="B223" s="2">
        <v>0.875</v>
      </c>
      <c r="C223" s="3">
        <v>45419.875</v>
      </c>
      <c r="D223">
        <v>46.7</v>
      </c>
      <c r="E223">
        <v>52</v>
      </c>
      <c r="F223">
        <v>42</v>
      </c>
      <c r="G223" t="s">
        <v>6</v>
      </c>
      <c r="H223">
        <v>17.100000000000001</v>
      </c>
      <c r="I223">
        <v>28.6</v>
      </c>
      <c r="J223">
        <v>13.6</v>
      </c>
      <c r="K223" t="s">
        <v>6</v>
      </c>
      <c r="L223">
        <v>210</v>
      </c>
      <c r="M223" t="s">
        <v>6</v>
      </c>
    </row>
    <row r="224" spans="1:13" x14ac:dyDescent="0.2">
      <c r="A224" s="1">
        <v>45419</v>
      </c>
      <c r="B224" s="2">
        <v>0.91666666666666663</v>
      </c>
      <c r="C224" s="3">
        <v>45419.916666666664</v>
      </c>
      <c r="D224">
        <v>45.6</v>
      </c>
      <c r="E224">
        <v>52.2</v>
      </c>
      <c r="F224">
        <v>42</v>
      </c>
      <c r="G224" t="s">
        <v>6</v>
      </c>
      <c r="H224">
        <v>14.2</v>
      </c>
      <c r="I224">
        <v>18.5</v>
      </c>
      <c r="J224">
        <v>11.8</v>
      </c>
      <c r="K224" t="s">
        <v>6</v>
      </c>
      <c r="L224">
        <v>217</v>
      </c>
      <c r="M224" t="s">
        <v>6</v>
      </c>
    </row>
    <row r="225" spans="1:13" x14ac:dyDescent="0.2">
      <c r="A225" s="1">
        <v>45419</v>
      </c>
      <c r="B225" s="2">
        <v>0.95833333333333337</v>
      </c>
      <c r="C225" s="3">
        <v>45419.958333333336</v>
      </c>
      <c r="D225">
        <v>42.6</v>
      </c>
      <c r="E225">
        <v>45.8</v>
      </c>
      <c r="F225">
        <v>40.299999999999997</v>
      </c>
      <c r="G225" t="s">
        <v>6</v>
      </c>
      <c r="H225">
        <v>16.100000000000001</v>
      </c>
      <c r="I225">
        <v>28.6</v>
      </c>
      <c r="J225">
        <v>12.8</v>
      </c>
      <c r="K225" t="s">
        <v>6</v>
      </c>
      <c r="L225">
        <v>119</v>
      </c>
      <c r="M225" t="s">
        <v>6</v>
      </c>
    </row>
    <row r="226" spans="1:13" x14ac:dyDescent="0.2">
      <c r="A226" s="1">
        <v>45420</v>
      </c>
      <c r="B226" s="2">
        <v>0</v>
      </c>
      <c r="C226" s="3">
        <v>45420</v>
      </c>
      <c r="D226">
        <v>48.3</v>
      </c>
      <c r="E226">
        <v>54.4</v>
      </c>
      <c r="F226">
        <v>41.4</v>
      </c>
      <c r="G226" t="s">
        <v>6</v>
      </c>
      <c r="H226">
        <v>13.8</v>
      </c>
      <c r="I226">
        <v>24</v>
      </c>
      <c r="J226">
        <v>11.4</v>
      </c>
      <c r="K226" t="s">
        <v>6</v>
      </c>
      <c r="L226">
        <v>214</v>
      </c>
      <c r="M226" t="s">
        <v>6</v>
      </c>
    </row>
    <row r="227" spans="1:13" x14ac:dyDescent="0.2">
      <c r="A227" s="1">
        <v>45420</v>
      </c>
      <c r="B227" s="2">
        <v>4.1666666666666664E-2</v>
      </c>
      <c r="C227" s="3">
        <v>45420.041666666664</v>
      </c>
      <c r="D227">
        <v>45.9</v>
      </c>
      <c r="E227">
        <v>56.2</v>
      </c>
      <c r="F227">
        <v>40.9</v>
      </c>
      <c r="G227" t="s">
        <v>6</v>
      </c>
      <c r="H227">
        <v>13.8</v>
      </c>
      <c r="I227">
        <v>25.3</v>
      </c>
      <c r="J227">
        <v>10.5</v>
      </c>
      <c r="K227" t="s">
        <v>6</v>
      </c>
      <c r="L227">
        <v>208</v>
      </c>
      <c r="M227" t="s">
        <v>6</v>
      </c>
    </row>
    <row r="228" spans="1:13" x14ac:dyDescent="0.2">
      <c r="A228" s="1">
        <v>45420</v>
      </c>
      <c r="B228" s="2">
        <v>8.3333333333333329E-2</v>
      </c>
      <c r="C228" s="3">
        <v>45420.083333333336</v>
      </c>
      <c r="D228">
        <v>48.9</v>
      </c>
      <c r="E228">
        <v>53.3</v>
      </c>
      <c r="F228">
        <v>44.3</v>
      </c>
      <c r="G228" t="s">
        <v>6</v>
      </c>
      <c r="H228">
        <v>13.9</v>
      </c>
      <c r="I228">
        <v>23.5</v>
      </c>
      <c r="J228">
        <v>11.6</v>
      </c>
      <c r="K228" t="s">
        <v>6</v>
      </c>
      <c r="L228">
        <v>218</v>
      </c>
      <c r="M228" t="s">
        <v>6</v>
      </c>
    </row>
    <row r="229" spans="1:13" x14ac:dyDescent="0.2">
      <c r="A229" s="1">
        <v>45420</v>
      </c>
      <c r="B229" s="2">
        <v>0.125</v>
      </c>
      <c r="C229" s="3">
        <v>45420.125</v>
      </c>
      <c r="D229">
        <v>42.9</v>
      </c>
      <c r="E229">
        <v>51.7</v>
      </c>
      <c r="F229">
        <v>40.200000000000003</v>
      </c>
      <c r="G229" t="s">
        <v>6</v>
      </c>
      <c r="H229">
        <v>13.2</v>
      </c>
      <c r="I229">
        <v>16</v>
      </c>
      <c r="J229">
        <v>10.9</v>
      </c>
      <c r="K229" t="s">
        <v>6</v>
      </c>
      <c r="L229">
        <v>207</v>
      </c>
      <c r="M229" t="s">
        <v>6</v>
      </c>
    </row>
    <row r="230" spans="1:13" x14ac:dyDescent="0.2">
      <c r="A230" s="1">
        <v>45420</v>
      </c>
      <c r="B230" s="2">
        <v>0.16666666666666666</v>
      </c>
      <c r="C230" s="3">
        <v>45420.166666666664</v>
      </c>
      <c r="D230">
        <v>45.3</v>
      </c>
      <c r="E230">
        <v>52.2</v>
      </c>
      <c r="F230">
        <v>40.6</v>
      </c>
      <c r="G230" t="s">
        <v>6</v>
      </c>
      <c r="H230">
        <v>13.3</v>
      </c>
      <c r="I230">
        <v>21.2</v>
      </c>
      <c r="J230">
        <v>11.7</v>
      </c>
      <c r="K230" t="s">
        <v>6</v>
      </c>
      <c r="L230">
        <v>220</v>
      </c>
      <c r="M230" t="s">
        <v>6</v>
      </c>
    </row>
    <row r="231" spans="1:13" x14ac:dyDescent="0.2">
      <c r="A231" s="1">
        <v>45420</v>
      </c>
      <c r="B231" s="2">
        <v>0.20833333333333334</v>
      </c>
      <c r="C231" s="3">
        <v>45420.208333333336</v>
      </c>
      <c r="D231">
        <v>53.8</v>
      </c>
      <c r="E231">
        <v>69.7</v>
      </c>
      <c r="F231">
        <v>45</v>
      </c>
      <c r="G231" t="s">
        <v>6</v>
      </c>
      <c r="H231">
        <v>13</v>
      </c>
      <c r="I231">
        <v>20.100000000000001</v>
      </c>
      <c r="J231">
        <v>11.1</v>
      </c>
      <c r="K231" t="s">
        <v>6</v>
      </c>
      <c r="L231">
        <v>212</v>
      </c>
      <c r="M231" t="s">
        <v>6</v>
      </c>
    </row>
    <row r="232" spans="1:13" x14ac:dyDescent="0.2">
      <c r="A232" s="1">
        <v>45420</v>
      </c>
      <c r="B232" s="2">
        <v>0.25</v>
      </c>
      <c r="C232" s="3">
        <v>45420.25</v>
      </c>
      <c r="D232">
        <v>65.900000000000006</v>
      </c>
      <c r="E232">
        <v>66.599999999999994</v>
      </c>
      <c r="F232">
        <v>65</v>
      </c>
      <c r="G232" t="s">
        <v>6</v>
      </c>
      <c r="H232">
        <v>21.9</v>
      </c>
      <c r="I232">
        <v>23.8</v>
      </c>
      <c r="J232">
        <v>20.6</v>
      </c>
      <c r="K232" t="s">
        <v>6</v>
      </c>
      <c r="L232">
        <v>4</v>
      </c>
      <c r="M232" t="s">
        <v>6</v>
      </c>
    </row>
    <row r="233" spans="1:13" x14ac:dyDescent="0.2">
      <c r="A233" s="1">
        <v>45420</v>
      </c>
      <c r="B233" s="2">
        <v>0.29166666666666669</v>
      </c>
      <c r="C233" s="3">
        <v>45420.291666666664</v>
      </c>
      <c r="D233">
        <v>65.400000000000006</v>
      </c>
      <c r="E233">
        <v>67.400000000000006</v>
      </c>
      <c r="F233">
        <v>63.9</v>
      </c>
      <c r="G233" t="s">
        <v>6</v>
      </c>
      <c r="H233">
        <v>22.3</v>
      </c>
      <c r="I233">
        <v>28.8</v>
      </c>
      <c r="J233">
        <v>19.600000000000001</v>
      </c>
      <c r="K233" t="s">
        <v>6</v>
      </c>
      <c r="L233">
        <v>14</v>
      </c>
      <c r="M233" t="s">
        <v>6</v>
      </c>
    </row>
    <row r="234" spans="1:13" x14ac:dyDescent="0.2">
      <c r="A234" s="13">
        <v>45420</v>
      </c>
      <c r="B234" s="9">
        <v>0.33333333333333331</v>
      </c>
      <c r="C234" s="8">
        <v>45420.333333333336</v>
      </c>
      <c r="D234" s="10">
        <v>60.7</v>
      </c>
      <c r="E234" s="10">
        <v>65.900000000000006</v>
      </c>
      <c r="F234" s="10">
        <v>55.1</v>
      </c>
      <c r="G234" s="10" t="s">
        <v>6</v>
      </c>
      <c r="H234" s="10">
        <v>18.600000000000001</v>
      </c>
      <c r="I234" s="10">
        <v>31.7</v>
      </c>
      <c r="J234" s="10">
        <v>12.7</v>
      </c>
      <c r="K234" s="10" t="s">
        <v>6</v>
      </c>
      <c r="L234" s="10">
        <v>36</v>
      </c>
      <c r="M234" t="s">
        <v>6</v>
      </c>
    </row>
    <row r="235" spans="1:13" x14ac:dyDescent="0.2">
      <c r="A235" s="14">
        <v>45420</v>
      </c>
      <c r="B235" s="12">
        <v>0.375</v>
      </c>
      <c r="C235" s="7">
        <v>45420.375</v>
      </c>
      <c r="D235" s="11">
        <v>64.099999999999994</v>
      </c>
      <c r="E235" s="11">
        <v>70.8</v>
      </c>
      <c r="F235" s="11">
        <v>60</v>
      </c>
      <c r="G235" s="11" t="s">
        <v>6</v>
      </c>
      <c r="H235" s="11">
        <v>19.2</v>
      </c>
      <c r="I235" s="11">
        <v>26.2</v>
      </c>
      <c r="J235" s="11">
        <v>14.2</v>
      </c>
      <c r="K235" s="11" t="s">
        <v>6</v>
      </c>
      <c r="L235" s="11">
        <v>193</v>
      </c>
      <c r="M235" t="s">
        <v>6</v>
      </c>
    </row>
    <row r="236" spans="1:13" x14ac:dyDescent="0.2">
      <c r="A236" s="1">
        <v>45420</v>
      </c>
      <c r="B236" s="2">
        <v>0.41666666666666669</v>
      </c>
      <c r="C236" s="3">
        <v>45420.416666666664</v>
      </c>
      <c r="D236">
        <v>61.8</v>
      </c>
      <c r="E236">
        <v>65.599999999999994</v>
      </c>
      <c r="F236">
        <v>57.4</v>
      </c>
      <c r="G236" t="s">
        <v>6</v>
      </c>
      <c r="H236">
        <v>17.5</v>
      </c>
      <c r="I236">
        <v>26.5</v>
      </c>
      <c r="J236">
        <v>12.1</v>
      </c>
      <c r="K236" t="s">
        <v>6</v>
      </c>
      <c r="L236">
        <v>135</v>
      </c>
      <c r="M236" t="s">
        <v>6</v>
      </c>
    </row>
    <row r="237" spans="1:13" x14ac:dyDescent="0.2">
      <c r="A237" s="1">
        <v>45420</v>
      </c>
      <c r="B237" s="2">
        <v>0.45833333333333331</v>
      </c>
      <c r="C237" s="3">
        <v>45420.458333333336</v>
      </c>
      <c r="D237">
        <v>62.9</v>
      </c>
      <c r="E237">
        <v>70.599999999999994</v>
      </c>
      <c r="F237">
        <v>54.1</v>
      </c>
      <c r="G237" t="s">
        <v>6</v>
      </c>
      <c r="H237">
        <v>16.3</v>
      </c>
      <c r="I237">
        <v>24.2</v>
      </c>
      <c r="J237">
        <v>12.6</v>
      </c>
      <c r="K237" t="s">
        <v>6</v>
      </c>
      <c r="L237">
        <v>99</v>
      </c>
      <c r="M237" t="s">
        <v>6</v>
      </c>
    </row>
    <row r="238" spans="1:13" x14ac:dyDescent="0.2">
      <c r="A238" s="1">
        <v>45420</v>
      </c>
      <c r="B238" s="2">
        <v>0.5</v>
      </c>
      <c r="C238" s="3">
        <v>45420.5</v>
      </c>
      <c r="D238">
        <v>56.3</v>
      </c>
      <c r="E238">
        <v>60</v>
      </c>
      <c r="F238">
        <v>52.3</v>
      </c>
      <c r="G238" t="s">
        <v>6</v>
      </c>
      <c r="H238">
        <v>15.9</v>
      </c>
      <c r="I238">
        <v>20.8</v>
      </c>
      <c r="J238">
        <v>13.5</v>
      </c>
      <c r="K238" t="s">
        <v>6</v>
      </c>
      <c r="L238">
        <v>34</v>
      </c>
      <c r="M238" t="s">
        <v>6</v>
      </c>
    </row>
    <row r="239" spans="1:13" x14ac:dyDescent="0.2">
      <c r="A239" s="1">
        <v>45420</v>
      </c>
      <c r="B239" s="2">
        <v>0.54166666666666663</v>
      </c>
      <c r="C239" s="3">
        <v>45420.541666666664</v>
      </c>
      <c r="D239">
        <v>59.2</v>
      </c>
      <c r="E239">
        <v>64.099999999999994</v>
      </c>
      <c r="F239">
        <v>55.4</v>
      </c>
      <c r="G239" t="s">
        <v>6</v>
      </c>
      <c r="H239">
        <v>13.4</v>
      </c>
      <c r="I239">
        <v>18.8</v>
      </c>
      <c r="J239">
        <v>10</v>
      </c>
      <c r="K239" t="s">
        <v>6</v>
      </c>
      <c r="L239">
        <v>190</v>
      </c>
      <c r="M239" t="s">
        <v>6</v>
      </c>
    </row>
    <row r="240" spans="1:13" x14ac:dyDescent="0.2">
      <c r="A240" s="1">
        <v>45420</v>
      </c>
      <c r="B240" s="2">
        <v>0.58333333333333337</v>
      </c>
      <c r="C240" s="3">
        <v>45420.583333333336</v>
      </c>
      <c r="D240">
        <v>59.3</v>
      </c>
      <c r="E240">
        <v>64.2</v>
      </c>
      <c r="F240">
        <v>54.1</v>
      </c>
      <c r="G240" t="s">
        <v>6</v>
      </c>
      <c r="H240">
        <v>13.4</v>
      </c>
      <c r="I240">
        <v>21.4</v>
      </c>
      <c r="J240">
        <v>10</v>
      </c>
      <c r="K240" t="s">
        <v>6</v>
      </c>
      <c r="L240">
        <v>158</v>
      </c>
      <c r="M240" t="s">
        <v>6</v>
      </c>
    </row>
    <row r="241" spans="1:13" x14ac:dyDescent="0.2">
      <c r="A241" s="1">
        <v>45420</v>
      </c>
      <c r="B241" s="2">
        <v>0.625</v>
      </c>
      <c r="C241" s="3">
        <v>45420.625</v>
      </c>
      <c r="D241">
        <v>59.2</v>
      </c>
      <c r="E241">
        <v>63.4</v>
      </c>
      <c r="F241">
        <v>55.5</v>
      </c>
      <c r="G241" t="s">
        <v>6</v>
      </c>
      <c r="H241">
        <v>15.2</v>
      </c>
      <c r="I241">
        <v>20.9</v>
      </c>
      <c r="J241">
        <v>12.1</v>
      </c>
      <c r="K241" t="s">
        <v>6</v>
      </c>
      <c r="L241">
        <v>73</v>
      </c>
      <c r="M241" t="s">
        <v>6</v>
      </c>
    </row>
    <row r="242" spans="1:13" x14ac:dyDescent="0.2">
      <c r="A242" s="1">
        <v>45420</v>
      </c>
      <c r="B242" s="2">
        <v>0.66666666666666663</v>
      </c>
      <c r="C242" s="3">
        <v>45420.666666666664</v>
      </c>
      <c r="D242">
        <v>60.8</v>
      </c>
      <c r="E242">
        <v>64.3</v>
      </c>
      <c r="F242">
        <v>55.9</v>
      </c>
      <c r="G242" t="s">
        <v>6</v>
      </c>
      <c r="H242">
        <v>11.6</v>
      </c>
      <c r="I242">
        <v>13.5</v>
      </c>
      <c r="J242">
        <v>9.9</v>
      </c>
      <c r="K242" t="s">
        <v>6</v>
      </c>
      <c r="L242">
        <v>55</v>
      </c>
      <c r="M242" t="s">
        <v>6</v>
      </c>
    </row>
    <row r="243" spans="1:13" x14ac:dyDescent="0.2">
      <c r="A243" s="1">
        <v>45420</v>
      </c>
      <c r="B243" s="2">
        <v>0.70833333333333337</v>
      </c>
      <c r="C243" s="3">
        <v>45420.708333333336</v>
      </c>
      <c r="D243">
        <v>52.8</v>
      </c>
      <c r="E243">
        <v>56.7</v>
      </c>
      <c r="F243">
        <v>49.1</v>
      </c>
      <c r="G243" t="s">
        <v>6</v>
      </c>
      <c r="H243">
        <v>16</v>
      </c>
      <c r="I243">
        <v>24.2</v>
      </c>
      <c r="J243">
        <v>11.7</v>
      </c>
      <c r="K243" t="s">
        <v>6</v>
      </c>
      <c r="L243">
        <v>100</v>
      </c>
      <c r="M243" t="s">
        <v>6</v>
      </c>
    </row>
    <row r="244" spans="1:13" x14ac:dyDescent="0.2">
      <c r="A244" s="1">
        <v>45420</v>
      </c>
      <c r="B244" s="2">
        <v>0.75</v>
      </c>
      <c r="C244" s="3">
        <v>45420.75</v>
      </c>
      <c r="D244">
        <v>53.3</v>
      </c>
      <c r="E244">
        <v>53.3</v>
      </c>
      <c r="F244">
        <v>53.3</v>
      </c>
      <c r="G244" t="s">
        <v>6</v>
      </c>
      <c r="H244">
        <v>15</v>
      </c>
      <c r="I244">
        <v>15.4</v>
      </c>
      <c r="J244">
        <v>14.6</v>
      </c>
      <c r="K244" t="s">
        <v>6</v>
      </c>
      <c r="L244">
        <v>2</v>
      </c>
      <c r="M244" t="s">
        <v>6</v>
      </c>
    </row>
    <row r="245" spans="1:13" x14ac:dyDescent="0.2">
      <c r="A245" s="1">
        <v>45420</v>
      </c>
      <c r="B245" s="2">
        <v>0.79166666666666663</v>
      </c>
      <c r="C245" s="3">
        <v>45420.791666666664</v>
      </c>
      <c r="D245">
        <v>51.3</v>
      </c>
      <c r="E245">
        <v>55.7</v>
      </c>
      <c r="F245">
        <v>45.9</v>
      </c>
      <c r="G245" t="s">
        <v>6</v>
      </c>
      <c r="H245">
        <v>19.7</v>
      </c>
      <c r="I245">
        <v>33.9</v>
      </c>
      <c r="J245">
        <v>13.3</v>
      </c>
      <c r="K245" t="s">
        <v>6</v>
      </c>
      <c r="L245">
        <v>122</v>
      </c>
      <c r="M245" t="s">
        <v>6</v>
      </c>
    </row>
    <row r="246" spans="1:13" x14ac:dyDescent="0.2">
      <c r="A246" s="1">
        <v>45420</v>
      </c>
      <c r="B246" s="2">
        <v>0.83333333333333337</v>
      </c>
      <c r="C246" s="3">
        <v>45420.833333333336</v>
      </c>
      <c r="D246">
        <v>51.1</v>
      </c>
      <c r="E246">
        <v>58.2</v>
      </c>
      <c r="F246">
        <v>45.4</v>
      </c>
      <c r="G246" t="s">
        <v>6</v>
      </c>
      <c r="H246">
        <v>20.5</v>
      </c>
      <c r="I246">
        <v>29.9</v>
      </c>
      <c r="J246">
        <v>12.8</v>
      </c>
      <c r="K246" t="s">
        <v>6</v>
      </c>
      <c r="L246">
        <v>212</v>
      </c>
      <c r="M246" t="s">
        <v>6</v>
      </c>
    </row>
    <row r="247" spans="1:13" x14ac:dyDescent="0.2">
      <c r="A247" s="1">
        <v>45420</v>
      </c>
      <c r="B247" s="2">
        <v>0.875</v>
      </c>
      <c r="C247" s="3">
        <v>45420.875</v>
      </c>
      <c r="D247">
        <v>45.2</v>
      </c>
      <c r="E247">
        <v>51.5</v>
      </c>
      <c r="F247">
        <v>42.3</v>
      </c>
      <c r="G247" t="s">
        <v>6</v>
      </c>
      <c r="H247">
        <v>17.3</v>
      </c>
      <c r="I247">
        <v>27.7</v>
      </c>
      <c r="J247">
        <v>12.4</v>
      </c>
      <c r="K247" t="s">
        <v>6</v>
      </c>
      <c r="L247">
        <v>219</v>
      </c>
      <c r="M247" t="s">
        <v>6</v>
      </c>
    </row>
    <row r="248" spans="1:13" x14ac:dyDescent="0.2">
      <c r="A248" s="1">
        <v>45420</v>
      </c>
      <c r="B248" s="2">
        <v>0.91666666666666663</v>
      </c>
      <c r="C248" s="3">
        <v>45420.916666666664</v>
      </c>
      <c r="D248">
        <v>41.5</v>
      </c>
      <c r="E248">
        <v>44.1</v>
      </c>
      <c r="F248">
        <v>40.1</v>
      </c>
      <c r="G248" t="s">
        <v>6</v>
      </c>
      <c r="H248">
        <v>14.4</v>
      </c>
      <c r="I248">
        <v>21.5</v>
      </c>
      <c r="J248">
        <v>12.8</v>
      </c>
      <c r="K248" t="s">
        <v>6</v>
      </c>
      <c r="L248">
        <v>203</v>
      </c>
      <c r="M248" t="s">
        <v>6</v>
      </c>
    </row>
    <row r="249" spans="1:13" x14ac:dyDescent="0.2">
      <c r="A249" s="1">
        <v>45420</v>
      </c>
      <c r="B249" s="2">
        <v>0.95833333333333337</v>
      </c>
      <c r="C249" s="3">
        <v>45420.958333333336</v>
      </c>
      <c r="D249">
        <v>46.5</v>
      </c>
      <c r="E249">
        <v>62.9</v>
      </c>
      <c r="F249">
        <v>41.6</v>
      </c>
      <c r="G249" t="s">
        <v>6</v>
      </c>
      <c r="H249">
        <v>16.899999999999999</v>
      </c>
      <c r="I249">
        <v>28.1</v>
      </c>
      <c r="J249">
        <v>12.5</v>
      </c>
      <c r="K249" t="s">
        <v>6</v>
      </c>
      <c r="L249">
        <v>213</v>
      </c>
      <c r="M249" t="s">
        <v>6</v>
      </c>
    </row>
    <row r="250" spans="1:13" x14ac:dyDescent="0.2">
      <c r="A250" s="1">
        <v>45421</v>
      </c>
      <c r="B250" s="2">
        <v>0</v>
      </c>
      <c r="C250" s="3">
        <v>45421</v>
      </c>
      <c r="D250">
        <v>44.6</v>
      </c>
      <c r="E250">
        <v>49.7</v>
      </c>
      <c r="F250">
        <v>40.1</v>
      </c>
      <c r="G250" t="s">
        <v>6</v>
      </c>
      <c r="H250">
        <v>14.6</v>
      </c>
      <c r="I250">
        <v>22.8</v>
      </c>
      <c r="J250">
        <v>11.9</v>
      </c>
      <c r="K250" t="s">
        <v>6</v>
      </c>
      <c r="L250">
        <v>215</v>
      </c>
      <c r="M250" t="s">
        <v>6</v>
      </c>
    </row>
    <row r="251" spans="1:13" x14ac:dyDescent="0.2">
      <c r="A251" s="1">
        <v>45421</v>
      </c>
      <c r="B251" s="2">
        <v>4.1666666666666664E-2</v>
      </c>
      <c r="C251" s="3">
        <v>45421.041666666664</v>
      </c>
      <c r="D251">
        <v>47.4</v>
      </c>
      <c r="E251">
        <v>55.1</v>
      </c>
      <c r="F251">
        <v>42.8</v>
      </c>
      <c r="G251" t="s">
        <v>6</v>
      </c>
      <c r="H251">
        <v>14</v>
      </c>
      <c r="I251">
        <v>23.8</v>
      </c>
      <c r="J251">
        <v>11.9</v>
      </c>
      <c r="K251" t="s">
        <v>6</v>
      </c>
      <c r="L251">
        <v>209</v>
      </c>
      <c r="M251" t="s">
        <v>6</v>
      </c>
    </row>
    <row r="252" spans="1:13" x14ac:dyDescent="0.2">
      <c r="A252" s="1">
        <v>45421</v>
      </c>
      <c r="B252" s="2">
        <v>8.3333333333333329E-2</v>
      </c>
      <c r="C252" s="3">
        <v>45421.083333333336</v>
      </c>
      <c r="D252">
        <v>51.2</v>
      </c>
      <c r="E252">
        <v>58.3</v>
      </c>
      <c r="F252">
        <v>43.4</v>
      </c>
      <c r="G252" t="s">
        <v>6</v>
      </c>
      <c r="H252">
        <v>15</v>
      </c>
      <c r="I252">
        <v>25.1</v>
      </c>
      <c r="J252">
        <v>11.9</v>
      </c>
      <c r="K252" t="s">
        <v>6</v>
      </c>
      <c r="L252">
        <v>198</v>
      </c>
      <c r="M252" t="s">
        <v>6</v>
      </c>
    </row>
    <row r="253" spans="1:13" x14ac:dyDescent="0.2">
      <c r="A253" s="1">
        <v>45421</v>
      </c>
      <c r="B253" s="2">
        <v>0.125</v>
      </c>
      <c r="C253" s="3">
        <v>45421.125</v>
      </c>
      <c r="D253">
        <v>48.7</v>
      </c>
      <c r="E253">
        <v>55.5</v>
      </c>
      <c r="F253">
        <v>42.5</v>
      </c>
      <c r="G253" t="s">
        <v>6</v>
      </c>
      <c r="H253">
        <v>14.6</v>
      </c>
      <c r="I253">
        <v>19.899999999999999</v>
      </c>
      <c r="J253">
        <v>11.4</v>
      </c>
      <c r="K253" t="s">
        <v>6</v>
      </c>
      <c r="L253">
        <v>215</v>
      </c>
      <c r="M253" t="s">
        <v>6</v>
      </c>
    </row>
    <row r="254" spans="1:13" x14ac:dyDescent="0.2">
      <c r="A254" s="1">
        <v>45421</v>
      </c>
      <c r="B254" s="2">
        <v>0.16666666666666666</v>
      </c>
      <c r="C254" s="3">
        <v>45421.166666666664</v>
      </c>
      <c r="D254">
        <v>46.4</v>
      </c>
      <c r="E254">
        <v>55.3</v>
      </c>
      <c r="F254">
        <v>40.1</v>
      </c>
      <c r="G254" t="s">
        <v>6</v>
      </c>
      <c r="H254">
        <v>12.8</v>
      </c>
      <c r="I254">
        <v>17.600000000000001</v>
      </c>
      <c r="J254">
        <v>10.5</v>
      </c>
      <c r="K254" t="s">
        <v>6</v>
      </c>
      <c r="L254">
        <v>122</v>
      </c>
      <c r="M254" t="s">
        <v>6</v>
      </c>
    </row>
    <row r="255" spans="1:13" x14ac:dyDescent="0.2">
      <c r="A255" s="1">
        <v>45421</v>
      </c>
      <c r="B255" s="2">
        <v>0.20833333333333334</v>
      </c>
      <c r="C255" s="3">
        <v>45421.208333333336</v>
      </c>
      <c r="D255">
        <v>43.9</v>
      </c>
      <c r="E255">
        <v>54.4</v>
      </c>
      <c r="F255">
        <v>40.4</v>
      </c>
      <c r="G255" t="s">
        <v>6</v>
      </c>
      <c r="H255">
        <v>15.6</v>
      </c>
      <c r="I255">
        <v>25.6</v>
      </c>
      <c r="J255">
        <v>11.1</v>
      </c>
      <c r="K255" t="s">
        <v>6</v>
      </c>
      <c r="L255">
        <v>222</v>
      </c>
      <c r="M255" t="s">
        <v>6</v>
      </c>
    </row>
    <row r="256" spans="1:13" x14ac:dyDescent="0.2">
      <c r="A256" s="1">
        <v>45421</v>
      </c>
      <c r="B256" s="2">
        <v>0.25</v>
      </c>
      <c r="C256" s="3">
        <v>45421.25</v>
      </c>
      <c r="D256">
        <v>59</v>
      </c>
      <c r="E256">
        <v>68.7</v>
      </c>
      <c r="F256">
        <v>51.4</v>
      </c>
      <c r="G256" t="s">
        <v>6</v>
      </c>
      <c r="H256">
        <v>15</v>
      </c>
      <c r="I256">
        <v>25</v>
      </c>
      <c r="J256">
        <v>11.5</v>
      </c>
      <c r="K256" t="s">
        <v>6</v>
      </c>
      <c r="L256">
        <v>178</v>
      </c>
      <c r="M256" t="s">
        <v>6</v>
      </c>
    </row>
    <row r="257" spans="1:13" x14ac:dyDescent="0.2">
      <c r="A257" s="13">
        <v>45421</v>
      </c>
      <c r="B257" s="9">
        <v>0.29166666666666669</v>
      </c>
      <c r="C257" s="8">
        <v>45421.291666666664</v>
      </c>
      <c r="D257" s="10">
        <v>69.2</v>
      </c>
      <c r="E257" s="10">
        <v>71.3</v>
      </c>
      <c r="F257" s="10">
        <v>65.2</v>
      </c>
      <c r="G257" s="10" t="s">
        <v>6</v>
      </c>
      <c r="H257" s="10">
        <v>17.399999999999999</v>
      </c>
      <c r="I257" s="10">
        <v>23</v>
      </c>
      <c r="J257" s="10">
        <v>12.3</v>
      </c>
      <c r="K257" s="10" t="s">
        <v>6</v>
      </c>
      <c r="L257" s="10">
        <v>101</v>
      </c>
      <c r="M257" t="s">
        <v>6</v>
      </c>
    </row>
    <row r="258" spans="1:13" x14ac:dyDescent="0.2">
      <c r="A258" s="14">
        <v>45421</v>
      </c>
      <c r="B258" s="12">
        <v>0.375</v>
      </c>
      <c r="C258" s="7">
        <v>45421.375</v>
      </c>
      <c r="D258" s="11">
        <v>62.5</v>
      </c>
      <c r="E258" s="11">
        <v>70.3</v>
      </c>
      <c r="F258" s="11">
        <v>54.9</v>
      </c>
      <c r="G258" s="11" t="s">
        <v>6</v>
      </c>
      <c r="H258" s="11">
        <v>17.399999999999999</v>
      </c>
      <c r="I258" s="11">
        <v>22.5</v>
      </c>
      <c r="J258" s="11">
        <v>14.8</v>
      </c>
      <c r="K258" s="11" t="s">
        <v>6</v>
      </c>
      <c r="L258" s="11">
        <v>135</v>
      </c>
      <c r="M258" t="s">
        <v>6</v>
      </c>
    </row>
    <row r="259" spans="1:13" x14ac:dyDescent="0.2">
      <c r="A259" s="1">
        <v>45421</v>
      </c>
      <c r="B259" s="2">
        <v>0.41666666666666669</v>
      </c>
      <c r="C259" s="3">
        <v>45421.416666666664</v>
      </c>
      <c r="D259">
        <v>58.3</v>
      </c>
      <c r="E259">
        <v>62.2</v>
      </c>
      <c r="F259">
        <v>54.4</v>
      </c>
      <c r="G259" t="s">
        <v>6</v>
      </c>
      <c r="H259">
        <v>16.3</v>
      </c>
      <c r="I259">
        <v>26.5</v>
      </c>
      <c r="J259">
        <v>10.9</v>
      </c>
      <c r="K259" t="s">
        <v>6</v>
      </c>
      <c r="L259">
        <v>226</v>
      </c>
      <c r="M259" t="s">
        <v>6</v>
      </c>
    </row>
    <row r="260" spans="1:13" x14ac:dyDescent="0.2">
      <c r="A260" s="1">
        <v>45421</v>
      </c>
      <c r="B260" s="2">
        <v>0.45833333333333331</v>
      </c>
      <c r="C260" s="3">
        <v>45421.458333333336</v>
      </c>
      <c r="D260">
        <v>56.8</v>
      </c>
      <c r="E260">
        <v>63.4</v>
      </c>
      <c r="F260">
        <v>50</v>
      </c>
      <c r="G260" t="s">
        <v>6</v>
      </c>
      <c r="H260">
        <v>13.6</v>
      </c>
      <c r="I260">
        <v>22.2</v>
      </c>
      <c r="J260">
        <v>10.7</v>
      </c>
      <c r="K260" t="s">
        <v>6</v>
      </c>
      <c r="L260">
        <v>195</v>
      </c>
      <c r="M260" t="s">
        <v>6</v>
      </c>
    </row>
    <row r="261" spans="1:13" x14ac:dyDescent="0.2">
      <c r="A261" s="1">
        <v>45421</v>
      </c>
      <c r="B261" s="2">
        <v>0.5</v>
      </c>
      <c r="C261" s="3">
        <v>45421.5</v>
      </c>
      <c r="D261">
        <v>60.6</v>
      </c>
      <c r="E261">
        <v>66.099999999999994</v>
      </c>
      <c r="F261">
        <v>56.9</v>
      </c>
      <c r="G261" t="s">
        <v>6</v>
      </c>
      <c r="H261">
        <v>13.7</v>
      </c>
      <c r="I261">
        <v>16.7</v>
      </c>
      <c r="J261">
        <v>11.3</v>
      </c>
      <c r="K261" t="s">
        <v>6</v>
      </c>
      <c r="L261">
        <v>34</v>
      </c>
      <c r="M261" t="s">
        <v>6</v>
      </c>
    </row>
    <row r="262" spans="1:13" x14ac:dyDescent="0.2">
      <c r="A262" s="1">
        <v>45421</v>
      </c>
      <c r="B262" s="2">
        <v>0.58333333333333337</v>
      </c>
      <c r="C262" s="3">
        <v>45421.583333333336</v>
      </c>
      <c r="D262">
        <v>62.1</v>
      </c>
      <c r="E262">
        <v>65.099999999999994</v>
      </c>
      <c r="F262">
        <v>57.8</v>
      </c>
      <c r="G262" t="s">
        <v>6</v>
      </c>
      <c r="H262">
        <v>15</v>
      </c>
      <c r="I262">
        <v>20.2</v>
      </c>
      <c r="J262">
        <v>12.4</v>
      </c>
      <c r="K262" t="s">
        <v>6</v>
      </c>
      <c r="L262">
        <v>65</v>
      </c>
      <c r="M262" t="s">
        <v>6</v>
      </c>
    </row>
    <row r="263" spans="1:13" x14ac:dyDescent="0.2">
      <c r="A263" s="1">
        <v>45421</v>
      </c>
      <c r="B263" s="2">
        <v>0.625</v>
      </c>
      <c r="C263" s="3">
        <v>45421.625</v>
      </c>
      <c r="D263">
        <v>57.7</v>
      </c>
      <c r="E263">
        <v>64.900000000000006</v>
      </c>
      <c r="F263">
        <v>52.1</v>
      </c>
      <c r="G263" t="s">
        <v>6</v>
      </c>
      <c r="H263">
        <v>15</v>
      </c>
      <c r="I263">
        <v>23</v>
      </c>
      <c r="J263">
        <v>12.7</v>
      </c>
      <c r="K263" t="s">
        <v>6</v>
      </c>
      <c r="L263">
        <v>133</v>
      </c>
      <c r="M263" t="s">
        <v>6</v>
      </c>
    </row>
    <row r="264" spans="1:13" x14ac:dyDescent="0.2">
      <c r="A264" s="1">
        <v>45421</v>
      </c>
      <c r="B264" s="2">
        <v>0.66666666666666663</v>
      </c>
      <c r="C264" s="3">
        <v>45421.666666666664</v>
      </c>
      <c r="D264">
        <v>58.6</v>
      </c>
      <c r="E264">
        <v>65</v>
      </c>
      <c r="F264">
        <v>55.3</v>
      </c>
      <c r="G264" t="s">
        <v>6</v>
      </c>
      <c r="H264">
        <v>15.6</v>
      </c>
      <c r="I264">
        <v>21.5</v>
      </c>
      <c r="J264">
        <v>12</v>
      </c>
      <c r="K264" t="s">
        <v>6</v>
      </c>
      <c r="L264">
        <v>196</v>
      </c>
      <c r="M264" t="s">
        <v>6</v>
      </c>
    </row>
    <row r="265" spans="1:13" x14ac:dyDescent="0.2">
      <c r="A265" s="1">
        <v>45421</v>
      </c>
      <c r="B265" s="2">
        <v>0.70833333333333337</v>
      </c>
      <c r="C265" s="3">
        <v>45421.708333333336</v>
      </c>
      <c r="D265">
        <v>60.4</v>
      </c>
      <c r="E265">
        <v>62.6</v>
      </c>
      <c r="F265">
        <v>58.7</v>
      </c>
      <c r="G265" t="s">
        <v>6</v>
      </c>
      <c r="H265">
        <v>13</v>
      </c>
      <c r="I265">
        <v>14.8</v>
      </c>
      <c r="J265">
        <v>12</v>
      </c>
      <c r="K265" t="s">
        <v>6</v>
      </c>
      <c r="L265">
        <v>51</v>
      </c>
      <c r="M265" t="s">
        <v>6</v>
      </c>
    </row>
    <row r="266" spans="1:13" x14ac:dyDescent="0.2">
      <c r="A266" s="1">
        <v>45421</v>
      </c>
      <c r="B266" s="2">
        <v>0.75</v>
      </c>
      <c r="C266" s="3">
        <v>45421.75</v>
      </c>
      <c r="D266">
        <v>59.9</v>
      </c>
      <c r="E266">
        <v>59.9</v>
      </c>
      <c r="F266">
        <v>59.9</v>
      </c>
      <c r="G266" t="s">
        <v>6</v>
      </c>
      <c r="H266">
        <v>11.4</v>
      </c>
      <c r="I266">
        <v>11.4</v>
      </c>
      <c r="J266">
        <v>11.4</v>
      </c>
      <c r="K266" t="s">
        <v>6</v>
      </c>
      <c r="L266">
        <v>1</v>
      </c>
      <c r="M266" t="s">
        <v>6</v>
      </c>
    </row>
    <row r="267" spans="1:13" x14ac:dyDescent="0.2">
      <c r="A267" s="1">
        <v>45421</v>
      </c>
      <c r="B267" s="2">
        <v>0.79166666666666663</v>
      </c>
      <c r="C267" s="3">
        <v>45421.791666666664</v>
      </c>
      <c r="D267">
        <v>59.8</v>
      </c>
      <c r="E267">
        <v>59.8</v>
      </c>
      <c r="F267">
        <v>59.7</v>
      </c>
      <c r="G267" t="s">
        <v>6</v>
      </c>
      <c r="H267">
        <v>14.7</v>
      </c>
      <c r="I267">
        <v>16.7</v>
      </c>
      <c r="J267">
        <v>11</v>
      </c>
      <c r="K267" t="s">
        <v>6</v>
      </c>
      <c r="L267">
        <v>4</v>
      </c>
      <c r="M267" t="s">
        <v>6</v>
      </c>
    </row>
    <row r="268" spans="1:13" x14ac:dyDescent="0.2">
      <c r="A268" s="1">
        <v>45421</v>
      </c>
      <c r="B268" s="2">
        <v>0.83333333333333337</v>
      </c>
      <c r="C268" s="3">
        <v>45421.833333333336</v>
      </c>
      <c r="D268">
        <v>49.4</v>
      </c>
      <c r="E268">
        <v>62</v>
      </c>
      <c r="F268">
        <v>43.5</v>
      </c>
      <c r="G268" t="s">
        <v>6</v>
      </c>
      <c r="H268">
        <v>16.600000000000001</v>
      </c>
      <c r="I268">
        <v>27.6</v>
      </c>
      <c r="J268">
        <v>12.7</v>
      </c>
      <c r="K268" t="s">
        <v>6</v>
      </c>
      <c r="L268">
        <v>174</v>
      </c>
      <c r="M268" t="s">
        <v>6</v>
      </c>
    </row>
    <row r="269" spans="1:13" x14ac:dyDescent="0.2">
      <c r="A269" s="1">
        <v>45421</v>
      </c>
      <c r="B269" s="2">
        <v>0.875</v>
      </c>
      <c r="C269" s="3">
        <v>45421.875</v>
      </c>
      <c r="D269">
        <v>55.3</v>
      </c>
      <c r="E269">
        <v>66.5</v>
      </c>
      <c r="F269">
        <v>43.1</v>
      </c>
      <c r="G269" t="s">
        <v>6</v>
      </c>
      <c r="H269">
        <v>17.8</v>
      </c>
      <c r="I269">
        <v>25.1</v>
      </c>
      <c r="J269">
        <v>13.9</v>
      </c>
      <c r="K269" t="s">
        <v>6</v>
      </c>
      <c r="L269">
        <v>84</v>
      </c>
      <c r="M269" t="s">
        <v>6</v>
      </c>
    </row>
    <row r="270" spans="1:13" x14ac:dyDescent="0.2">
      <c r="A270" s="1">
        <v>45422</v>
      </c>
      <c r="B270" s="2">
        <v>0</v>
      </c>
      <c r="C270" s="3">
        <v>45422</v>
      </c>
      <c r="D270">
        <v>55.3</v>
      </c>
      <c r="E270">
        <v>64</v>
      </c>
      <c r="F270">
        <v>48.1</v>
      </c>
      <c r="G270" t="s">
        <v>6</v>
      </c>
      <c r="H270">
        <v>13.7</v>
      </c>
      <c r="I270">
        <v>21.9</v>
      </c>
      <c r="J270">
        <v>11.9</v>
      </c>
      <c r="K270" t="s">
        <v>6</v>
      </c>
      <c r="L270">
        <v>87</v>
      </c>
      <c r="M270" t="s">
        <v>6</v>
      </c>
    </row>
    <row r="271" spans="1:13" x14ac:dyDescent="0.2">
      <c r="A271" s="1">
        <v>45422</v>
      </c>
      <c r="B271" s="2">
        <v>4.1666666666666664E-2</v>
      </c>
      <c r="C271" s="3">
        <v>45422.041666666664</v>
      </c>
      <c r="D271">
        <v>48.9</v>
      </c>
      <c r="E271">
        <v>58</v>
      </c>
      <c r="F271">
        <v>42.4</v>
      </c>
      <c r="G271" t="s">
        <v>6</v>
      </c>
      <c r="H271">
        <v>14.6</v>
      </c>
      <c r="I271">
        <v>26.8</v>
      </c>
      <c r="J271">
        <v>11.8</v>
      </c>
      <c r="K271" t="s">
        <v>6</v>
      </c>
      <c r="L271">
        <v>223</v>
      </c>
      <c r="M271" t="s">
        <v>6</v>
      </c>
    </row>
    <row r="272" spans="1:13" x14ac:dyDescent="0.2">
      <c r="A272" s="1">
        <v>45422</v>
      </c>
      <c r="B272" s="2">
        <v>8.3333333333333329E-2</v>
      </c>
      <c r="C272" s="3">
        <v>45422.083333333336</v>
      </c>
      <c r="D272">
        <v>48.8</v>
      </c>
      <c r="E272">
        <v>56.8</v>
      </c>
      <c r="F272">
        <v>44.4</v>
      </c>
      <c r="G272" t="s">
        <v>6</v>
      </c>
      <c r="H272">
        <v>14.1</v>
      </c>
      <c r="I272">
        <v>26</v>
      </c>
      <c r="J272">
        <v>11.3</v>
      </c>
      <c r="K272" t="s">
        <v>6</v>
      </c>
      <c r="L272">
        <v>217</v>
      </c>
      <c r="M272" t="s">
        <v>6</v>
      </c>
    </row>
    <row r="273" spans="1:13" x14ac:dyDescent="0.2">
      <c r="A273" s="1">
        <v>45422</v>
      </c>
      <c r="B273" s="2">
        <v>0.125</v>
      </c>
      <c r="C273" s="3">
        <v>45422.125</v>
      </c>
      <c r="D273">
        <v>50.1</v>
      </c>
      <c r="E273">
        <v>56.9</v>
      </c>
      <c r="F273">
        <v>44.4</v>
      </c>
      <c r="G273" t="s">
        <v>6</v>
      </c>
      <c r="H273">
        <v>15.3</v>
      </c>
      <c r="I273">
        <v>25.8</v>
      </c>
      <c r="J273">
        <v>11.7</v>
      </c>
      <c r="K273" t="s">
        <v>6</v>
      </c>
      <c r="L273">
        <v>218</v>
      </c>
      <c r="M273" t="s">
        <v>6</v>
      </c>
    </row>
    <row r="274" spans="1:13" x14ac:dyDescent="0.2">
      <c r="A274" s="1">
        <v>45422</v>
      </c>
      <c r="B274" s="2">
        <v>0.16666666666666666</v>
      </c>
      <c r="C274" s="3">
        <v>45422.166666666664</v>
      </c>
      <c r="D274">
        <v>43.3</v>
      </c>
      <c r="E274">
        <v>47.6</v>
      </c>
      <c r="F274">
        <v>40.1</v>
      </c>
      <c r="G274" t="s">
        <v>6</v>
      </c>
      <c r="H274">
        <v>14.4</v>
      </c>
      <c r="I274">
        <v>23.6</v>
      </c>
      <c r="J274">
        <v>11.9</v>
      </c>
      <c r="K274" t="s">
        <v>6</v>
      </c>
      <c r="L274">
        <v>144</v>
      </c>
      <c r="M274" t="s">
        <v>6</v>
      </c>
    </row>
    <row r="275" spans="1:13" x14ac:dyDescent="0.2">
      <c r="A275" s="1">
        <v>45422</v>
      </c>
      <c r="B275" s="2">
        <v>0.20833333333333334</v>
      </c>
      <c r="C275" s="3">
        <v>45422.208333333336</v>
      </c>
      <c r="D275">
        <v>42.8</v>
      </c>
      <c r="E275">
        <v>45.4</v>
      </c>
      <c r="F275">
        <v>40.299999999999997</v>
      </c>
      <c r="G275" t="s">
        <v>6</v>
      </c>
      <c r="H275">
        <v>14.1</v>
      </c>
      <c r="I275">
        <v>19</v>
      </c>
      <c r="J275">
        <v>11.6</v>
      </c>
      <c r="K275" t="s">
        <v>6</v>
      </c>
      <c r="L275">
        <v>47</v>
      </c>
      <c r="M275" t="s">
        <v>6</v>
      </c>
    </row>
    <row r="276" spans="1:13" x14ac:dyDescent="0.2">
      <c r="A276" s="1">
        <v>45422</v>
      </c>
      <c r="B276" s="2">
        <v>0.25</v>
      </c>
      <c r="C276" s="3">
        <v>45422.25</v>
      </c>
      <c r="D276">
        <v>45.8</v>
      </c>
      <c r="E276">
        <v>51.9</v>
      </c>
      <c r="F276">
        <v>41.5</v>
      </c>
      <c r="G276" t="s">
        <v>6</v>
      </c>
      <c r="H276">
        <v>15.6</v>
      </c>
      <c r="I276">
        <v>25.9</v>
      </c>
      <c r="J276">
        <v>11.7</v>
      </c>
      <c r="K276" t="s">
        <v>6</v>
      </c>
      <c r="L276">
        <v>215</v>
      </c>
      <c r="M276" t="s">
        <v>6</v>
      </c>
    </row>
    <row r="277" spans="1:13" x14ac:dyDescent="0.2">
      <c r="A277" s="1">
        <v>45422</v>
      </c>
      <c r="B277" s="2">
        <v>0.29166666666666669</v>
      </c>
      <c r="C277" s="3">
        <v>45422.291666666664</v>
      </c>
      <c r="D277">
        <v>49.1</v>
      </c>
      <c r="E277">
        <v>53.2</v>
      </c>
      <c r="F277">
        <v>46.2</v>
      </c>
      <c r="G277" t="s">
        <v>6</v>
      </c>
      <c r="H277">
        <v>15.7</v>
      </c>
      <c r="I277">
        <v>22.3</v>
      </c>
      <c r="J277">
        <v>11.9</v>
      </c>
      <c r="K277" t="s">
        <v>6</v>
      </c>
      <c r="L277">
        <v>109</v>
      </c>
      <c r="M277" t="s">
        <v>6</v>
      </c>
    </row>
    <row r="278" spans="1:13" x14ac:dyDescent="0.2">
      <c r="A278" s="13">
        <v>45422</v>
      </c>
      <c r="B278" s="9">
        <v>0.33333333333333331</v>
      </c>
      <c r="C278" s="8">
        <v>45422.333333333336</v>
      </c>
      <c r="D278" s="10">
        <v>55.1</v>
      </c>
      <c r="E278" s="10">
        <v>59.8</v>
      </c>
      <c r="F278" s="10">
        <v>49.2</v>
      </c>
      <c r="G278" s="10" t="s">
        <v>6</v>
      </c>
      <c r="H278" s="10">
        <v>13.9</v>
      </c>
      <c r="I278" s="10">
        <v>21.4</v>
      </c>
      <c r="J278" s="10">
        <v>10.4</v>
      </c>
      <c r="K278" s="10" t="s">
        <v>6</v>
      </c>
      <c r="L278" s="10">
        <v>169</v>
      </c>
      <c r="M278" t="s">
        <v>6</v>
      </c>
    </row>
    <row r="279" spans="1:13" x14ac:dyDescent="0.2">
      <c r="A279" s="14">
        <v>45422</v>
      </c>
      <c r="B279" s="12">
        <v>0.375</v>
      </c>
      <c r="C279" s="7">
        <v>45422.375</v>
      </c>
      <c r="D279" s="11">
        <v>57.9</v>
      </c>
      <c r="E279" s="11">
        <v>68.099999999999994</v>
      </c>
      <c r="F279" s="11">
        <v>53.3</v>
      </c>
      <c r="G279" s="11" t="s">
        <v>6</v>
      </c>
      <c r="H279" s="11">
        <v>14.7</v>
      </c>
      <c r="I279" s="11">
        <v>22.2</v>
      </c>
      <c r="J279" s="11">
        <v>11.9</v>
      </c>
      <c r="K279" s="11" t="s">
        <v>6</v>
      </c>
      <c r="L279" s="11">
        <v>108</v>
      </c>
      <c r="M279" t="s">
        <v>6</v>
      </c>
    </row>
    <row r="280" spans="1:13" x14ac:dyDescent="0.2">
      <c r="A280" s="1">
        <v>45422</v>
      </c>
      <c r="B280" s="2">
        <v>0.41666666666666669</v>
      </c>
      <c r="C280" s="3">
        <v>45422.416666666664</v>
      </c>
      <c r="D280">
        <v>54</v>
      </c>
      <c r="E280">
        <v>55.5</v>
      </c>
      <c r="F280">
        <v>53.5</v>
      </c>
      <c r="G280" t="s">
        <v>6</v>
      </c>
      <c r="H280">
        <v>11.4</v>
      </c>
      <c r="I280">
        <v>12.7</v>
      </c>
      <c r="J280">
        <v>10.199999999999999</v>
      </c>
      <c r="K280" t="s">
        <v>6</v>
      </c>
      <c r="L280">
        <v>40</v>
      </c>
      <c r="M280" t="s">
        <v>6</v>
      </c>
    </row>
    <row r="281" spans="1:13" x14ac:dyDescent="0.2">
      <c r="A281" s="1">
        <v>45422</v>
      </c>
      <c r="B281" s="2">
        <v>0.45833333333333331</v>
      </c>
      <c r="C281" s="3">
        <v>45422.458333333336</v>
      </c>
      <c r="D281">
        <v>57.2</v>
      </c>
      <c r="E281">
        <v>62.1</v>
      </c>
      <c r="F281">
        <v>52.1</v>
      </c>
      <c r="G281" t="s">
        <v>6</v>
      </c>
      <c r="H281">
        <v>14.9</v>
      </c>
      <c r="I281">
        <v>21.1</v>
      </c>
      <c r="J281">
        <v>9.9</v>
      </c>
      <c r="K281" t="s">
        <v>6</v>
      </c>
      <c r="L281">
        <v>197</v>
      </c>
      <c r="M281" t="s">
        <v>6</v>
      </c>
    </row>
    <row r="282" spans="1:13" x14ac:dyDescent="0.2">
      <c r="A282" s="1">
        <v>45422</v>
      </c>
      <c r="B282" s="2">
        <v>0.5</v>
      </c>
      <c r="C282" s="3">
        <v>45422.5</v>
      </c>
      <c r="D282">
        <v>56.3</v>
      </c>
      <c r="E282">
        <v>60.9</v>
      </c>
      <c r="F282">
        <v>52.4</v>
      </c>
      <c r="G282" t="s">
        <v>6</v>
      </c>
      <c r="H282">
        <v>17.100000000000001</v>
      </c>
      <c r="I282">
        <v>27</v>
      </c>
      <c r="J282">
        <v>11.8</v>
      </c>
      <c r="K282" t="s">
        <v>6</v>
      </c>
      <c r="L282">
        <v>54</v>
      </c>
      <c r="M282" t="s">
        <v>6</v>
      </c>
    </row>
    <row r="283" spans="1:13" x14ac:dyDescent="0.2">
      <c r="A283" s="1">
        <v>45422</v>
      </c>
      <c r="B283" s="2">
        <v>0.54166666666666663</v>
      </c>
      <c r="C283" s="3">
        <v>45422.541666666664</v>
      </c>
      <c r="D283">
        <v>65.2</v>
      </c>
      <c r="E283">
        <v>70.8</v>
      </c>
      <c r="F283">
        <v>56.9</v>
      </c>
      <c r="G283" t="s">
        <v>6</v>
      </c>
      <c r="H283">
        <v>14.8</v>
      </c>
      <c r="I283">
        <v>25.7</v>
      </c>
      <c r="J283">
        <v>12</v>
      </c>
      <c r="K283" t="s">
        <v>6</v>
      </c>
      <c r="L283">
        <v>211</v>
      </c>
      <c r="M283" t="s">
        <v>6</v>
      </c>
    </row>
    <row r="284" spans="1:13" x14ac:dyDescent="0.2">
      <c r="A284" s="1">
        <v>45422</v>
      </c>
      <c r="B284" s="2">
        <v>0.58333333333333337</v>
      </c>
      <c r="C284" s="3">
        <v>45422.583333333336</v>
      </c>
      <c r="D284">
        <v>68.2</v>
      </c>
      <c r="E284">
        <v>72.099999999999994</v>
      </c>
      <c r="F284">
        <v>65</v>
      </c>
      <c r="G284" t="s">
        <v>6</v>
      </c>
      <c r="H284">
        <v>13.5</v>
      </c>
      <c r="I284">
        <v>20</v>
      </c>
      <c r="J284">
        <v>9.6</v>
      </c>
      <c r="K284" t="s">
        <v>6</v>
      </c>
      <c r="L284">
        <v>225</v>
      </c>
      <c r="M284" t="s">
        <v>6</v>
      </c>
    </row>
    <row r="285" spans="1:13" x14ac:dyDescent="0.2">
      <c r="A285" s="1">
        <v>45422</v>
      </c>
      <c r="B285" s="2">
        <v>0.625</v>
      </c>
      <c r="C285" s="3">
        <v>45422.625</v>
      </c>
      <c r="D285">
        <v>66.7</v>
      </c>
      <c r="E285">
        <v>70.400000000000006</v>
      </c>
      <c r="F285">
        <v>62.8</v>
      </c>
      <c r="G285" t="s">
        <v>6</v>
      </c>
      <c r="H285">
        <v>15</v>
      </c>
      <c r="I285">
        <v>21.9</v>
      </c>
      <c r="J285">
        <v>11.1</v>
      </c>
      <c r="K285" t="s">
        <v>6</v>
      </c>
      <c r="L285">
        <v>210</v>
      </c>
      <c r="M285" t="s">
        <v>6</v>
      </c>
    </row>
    <row r="286" spans="1:13" x14ac:dyDescent="0.2">
      <c r="A286" s="1">
        <v>45422</v>
      </c>
      <c r="B286" s="2">
        <v>0.66666666666666663</v>
      </c>
      <c r="C286" s="3">
        <v>45422.666666666664</v>
      </c>
      <c r="D286">
        <v>65.7</v>
      </c>
      <c r="E286">
        <v>69.400000000000006</v>
      </c>
      <c r="F286">
        <v>60.9</v>
      </c>
      <c r="G286" t="s">
        <v>6</v>
      </c>
      <c r="H286">
        <v>15.8</v>
      </c>
      <c r="I286">
        <v>22.8</v>
      </c>
      <c r="J286">
        <v>11.9</v>
      </c>
      <c r="K286" t="s">
        <v>6</v>
      </c>
      <c r="L286">
        <v>91</v>
      </c>
      <c r="M286" t="s">
        <v>6</v>
      </c>
    </row>
    <row r="287" spans="1:13" x14ac:dyDescent="0.2">
      <c r="A287" s="1">
        <v>45422</v>
      </c>
      <c r="B287" s="2">
        <v>0.70833333333333337</v>
      </c>
      <c r="C287" s="3">
        <v>45422.708333333336</v>
      </c>
      <c r="D287">
        <v>64.3</v>
      </c>
      <c r="E287">
        <v>67.5</v>
      </c>
      <c r="F287">
        <v>61.9</v>
      </c>
      <c r="G287" t="s">
        <v>6</v>
      </c>
      <c r="H287">
        <v>16.399999999999999</v>
      </c>
      <c r="I287">
        <v>28.7</v>
      </c>
      <c r="J287">
        <v>12.5</v>
      </c>
      <c r="K287" t="s">
        <v>6</v>
      </c>
      <c r="L287">
        <v>108</v>
      </c>
      <c r="M287" t="s">
        <v>6</v>
      </c>
    </row>
    <row r="288" spans="1:13" x14ac:dyDescent="0.2">
      <c r="A288" s="1">
        <v>45422</v>
      </c>
      <c r="B288" s="2">
        <v>0.75</v>
      </c>
      <c r="C288" s="3">
        <v>45422.75</v>
      </c>
      <c r="D288">
        <v>65.7</v>
      </c>
      <c r="E288">
        <v>68.8</v>
      </c>
      <c r="F288">
        <v>60.2</v>
      </c>
      <c r="G288" t="s">
        <v>6</v>
      </c>
      <c r="H288">
        <v>17.100000000000001</v>
      </c>
      <c r="I288">
        <v>26.5</v>
      </c>
      <c r="J288">
        <v>12</v>
      </c>
      <c r="K288" t="s">
        <v>6</v>
      </c>
      <c r="L288">
        <v>80</v>
      </c>
      <c r="M288" t="s">
        <v>6</v>
      </c>
    </row>
    <row r="289" spans="1:13" x14ac:dyDescent="0.2">
      <c r="A289" s="1">
        <v>45422</v>
      </c>
      <c r="B289" s="2">
        <v>0.79166666666666663</v>
      </c>
      <c r="C289" s="3">
        <v>45422.791666666664</v>
      </c>
      <c r="D289">
        <v>61.6</v>
      </c>
      <c r="E289">
        <v>63</v>
      </c>
      <c r="F289">
        <v>59.9</v>
      </c>
      <c r="G289" t="s">
        <v>6</v>
      </c>
      <c r="H289">
        <v>15.7</v>
      </c>
      <c r="I289">
        <v>17.3</v>
      </c>
      <c r="J289">
        <v>14.2</v>
      </c>
      <c r="K289" t="s">
        <v>6</v>
      </c>
      <c r="L289">
        <v>13</v>
      </c>
      <c r="M289" t="s">
        <v>6</v>
      </c>
    </row>
    <row r="290" spans="1:13" x14ac:dyDescent="0.2">
      <c r="A290" s="1">
        <v>45422</v>
      </c>
      <c r="B290" s="2">
        <v>0.83333333333333337</v>
      </c>
      <c r="C290" s="3">
        <v>45422.833333333336</v>
      </c>
      <c r="D290">
        <v>54.8</v>
      </c>
      <c r="E290">
        <v>72.400000000000006</v>
      </c>
      <c r="F290">
        <v>40.799999999999997</v>
      </c>
      <c r="G290" t="s">
        <v>6</v>
      </c>
      <c r="H290">
        <v>15.1</v>
      </c>
      <c r="I290">
        <v>23.9</v>
      </c>
      <c r="J290">
        <v>12</v>
      </c>
      <c r="K290" t="s">
        <v>6</v>
      </c>
      <c r="L290">
        <v>203</v>
      </c>
      <c r="M290" t="s">
        <v>6</v>
      </c>
    </row>
    <row r="291" spans="1:13" x14ac:dyDescent="0.2">
      <c r="A291" s="1">
        <v>45422</v>
      </c>
      <c r="B291" s="2">
        <v>0.875</v>
      </c>
      <c r="C291" s="3">
        <v>45422.875</v>
      </c>
      <c r="D291">
        <v>43.9</v>
      </c>
      <c r="E291">
        <v>46.5</v>
      </c>
      <c r="F291">
        <v>40.5</v>
      </c>
      <c r="G291" t="s">
        <v>6</v>
      </c>
      <c r="H291">
        <v>14.3</v>
      </c>
      <c r="I291">
        <v>23.6</v>
      </c>
      <c r="J291">
        <v>12.3</v>
      </c>
      <c r="K291" t="s">
        <v>6</v>
      </c>
      <c r="L291">
        <v>219</v>
      </c>
      <c r="M291" t="s">
        <v>6</v>
      </c>
    </row>
    <row r="292" spans="1:13" x14ac:dyDescent="0.2">
      <c r="A292" s="1">
        <v>45422</v>
      </c>
      <c r="B292" s="2">
        <v>0.91666666666666663</v>
      </c>
      <c r="C292" s="3">
        <v>45422.916666666664</v>
      </c>
      <c r="D292">
        <v>46.7</v>
      </c>
      <c r="E292">
        <v>51.4</v>
      </c>
      <c r="F292">
        <v>42.4</v>
      </c>
      <c r="G292" t="s">
        <v>6</v>
      </c>
      <c r="H292">
        <v>13.4</v>
      </c>
      <c r="I292">
        <v>18.600000000000001</v>
      </c>
      <c r="J292">
        <v>11.9</v>
      </c>
      <c r="K292" t="s">
        <v>6</v>
      </c>
      <c r="L292">
        <v>227</v>
      </c>
      <c r="M292" t="s">
        <v>6</v>
      </c>
    </row>
    <row r="293" spans="1:13" x14ac:dyDescent="0.2">
      <c r="A293" s="1">
        <v>45422</v>
      </c>
      <c r="B293" s="2">
        <v>0.95833333333333337</v>
      </c>
      <c r="C293" s="3">
        <v>45422.958333333336</v>
      </c>
      <c r="D293">
        <v>47.1</v>
      </c>
      <c r="E293">
        <v>54.2</v>
      </c>
      <c r="F293">
        <v>41.8</v>
      </c>
      <c r="G293" t="s">
        <v>6</v>
      </c>
      <c r="H293">
        <v>13.4</v>
      </c>
      <c r="I293">
        <v>17.2</v>
      </c>
      <c r="J293">
        <v>12</v>
      </c>
      <c r="K293" t="s">
        <v>6</v>
      </c>
      <c r="L293">
        <v>226</v>
      </c>
      <c r="M293" t="s">
        <v>6</v>
      </c>
    </row>
    <row r="294" spans="1:13" x14ac:dyDescent="0.2">
      <c r="A294" s="1">
        <v>45423</v>
      </c>
      <c r="B294" s="2">
        <v>0</v>
      </c>
      <c r="C294" s="3">
        <v>45423</v>
      </c>
      <c r="D294">
        <v>53</v>
      </c>
      <c r="E294">
        <v>63.6</v>
      </c>
      <c r="F294">
        <v>47.1</v>
      </c>
      <c r="G294" t="s">
        <v>6</v>
      </c>
      <c r="H294">
        <v>13.2</v>
      </c>
      <c r="I294">
        <v>20.5</v>
      </c>
      <c r="J294">
        <v>11.9</v>
      </c>
      <c r="K294" t="s">
        <v>6</v>
      </c>
      <c r="L294">
        <v>222</v>
      </c>
      <c r="M294" t="s">
        <v>6</v>
      </c>
    </row>
    <row r="295" spans="1:13" x14ac:dyDescent="0.2">
      <c r="A295" s="1">
        <v>45423</v>
      </c>
      <c r="B295" s="2">
        <v>4.1666666666666664E-2</v>
      </c>
      <c r="C295" s="3">
        <v>45423.041666666664</v>
      </c>
      <c r="D295">
        <v>47.4</v>
      </c>
      <c r="E295">
        <v>58.6</v>
      </c>
      <c r="F295">
        <v>40.1</v>
      </c>
      <c r="G295" t="s">
        <v>6</v>
      </c>
      <c r="H295">
        <v>13.5</v>
      </c>
      <c r="I295">
        <v>23</v>
      </c>
      <c r="J295">
        <v>11.8</v>
      </c>
      <c r="K295" t="s">
        <v>6</v>
      </c>
      <c r="L295">
        <v>152</v>
      </c>
      <c r="M295" t="s">
        <v>6</v>
      </c>
    </row>
    <row r="296" spans="1:13" x14ac:dyDescent="0.2">
      <c r="A296" s="1">
        <v>45423</v>
      </c>
      <c r="B296" s="2">
        <v>8.3333333333333329E-2</v>
      </c>
      <c r="C296" s="3">
        <v>45423.083333333336</v>
      </c>
      <c r="D296">
        <v>46.8</v>
      </c>
      <c r="E296">
        <v>50.9</v>
      </c>
      <c r="F296">
        <v>43.2</v>
      </c>
      <c r="G296" t="s">
        <v>6</v>
      </c>
      <c r="H296">
        <v>13.1</v>
      </c>
      <c r="I296">
        <v>24.7</v>
      </c>
      <c r="J296">
        <v>11.7</v>
      </c>
      <c r="K296" t="s">
        <v>6</v>
      </c>
      <c r="L296">
        <v>225</v>
      </c>
      <c r="M296" t="s">
        <v>6</v>
      </c>
    </row>
    <row r="297" spans="1:13" x14ac:dyDescent="0.2">
      <c r="A297" s="1">
        <v>45423</v>
      </c>
      <c r="B297" s="2">
        <v>0.125</v>
      </c>
      <c r="C297" s="3">
        <v>45423.125</v>
      </c>
      <c r="D297">
        <v>49.2</v>
      </c>
      <c r="E297">
        <v>59.1</v>
      </c>
      <c r="F297">
        <v>42.4</v>
      </c>
      <c r="G297" t="s">
        <v>6</v>
      </c>
      <c r="H297">
        <v>14.1</v>
      </c>
      <c r="I297">
        <v>24.4</v>
      </c>
      <c r="J297">
        <v>10.7</v>
      </c>
      <c r="K297" t="s">
        <v>6</v>
      </c>
      <c r="L297">
        <v>224</v>
      </c>
      <c r="M297" t="s">
        <v>6</v>
      </c>
    </row>
    <row r="298" spans="1:13" x14ac:dyDescent="0.2">
      <c r="A298" s="1">
        <v>45423</v>
      </c>
      <c r="B298" s="2">
        <v>0.16666666666666666</v>
      </c>
      <c r="C298" s="3">
        <v>45423.166666666664</v>
      </c>
      <c r="D298">
        <v>47</v>
      </c>
      <c r="E298">
        <v>50.4</v>
      </c>
      <c r="F298">
        <v>42.6</v>
      </c>
      <c r="G298" t="s">
        <v>6</v>
      </c>
      <c r="H298">
        <v>12.4</v>
      </c>
      <c r="I298">
        <v>14.5</v>
      </c>
      <c r="J298">
        <v>11.4</v>
      </c>
      <c r="K298" t="s">
        <v>6</v>
      </c>
      <c r="L298">
        <v>227</v>
      </c>
      <c r="M298" t="s">
        <v>6</v>
      </c>
    </row>
    <row r="299" spans="1:13" x14ac:dyDescent="0.2">
      <c r="A299" s="1">
        <v>45423</v>
      </c>
      <c r="B299" s="2">
        <v>0.20833333333333334</v>
      </c>
      <c r="C299" s="3">
        <v>45423.208333333336</v>
      </c>
      <c r="D299">
        <v>50</v>
      </c>
      <c r="E299">
        <v>65</v>
      </c>
      <c r="F299">
        <v>43.5</v>
      </c>
      <c r="G299" t="s">
        <v>6</v>
      </c>
      <c r="H299">
        <v>12.6</v>
      </c>
      <c r="I299">
        <v>17.600000000000001</v>
      </c>
      <c r="J299">
        <v>11.3</v>
      </c>
      <c r="K299" t="s">
        <v>6</v>
      </c>
      <c r="L299">
        <v>228</v>
      </c>
      <c r="M299" t="s">
        <v>6</v>
      </c>
    </row>
    <row r="300" spans="1:13" x14ac:dyDescent="0.2">
      <c r="A300" s="1">
        <v>45423</v>
      </c>
      <c r="B300" s="2">
        <v>0.25</v>
      </c>
      <c r="C300" s="3">
        <v>45423.25</v>
      </c>
      <c r="D300">
        <v>44.6</v>
      </c>
      <c r="E300">
        <v>48.3</v>
      </c>
      <c r="F300">
        <v>41.3</v>
      </c>
      <c r="G300" t="s">
        <v>6</v>
      </c>
      <c r="H300">
        <v>12.6</v>
      </c>
      <c r="I300">
        <v>21.2</v>
      </c>
      <c r="J300">
        <v>10.9</v>
      </c>
      <c r="K300" t="s">
        <v>6</v>
      </c>
      <c r="L300">
        <v>218</v>
      </c>
      <c r="M300" t="s">
        <v>6</v>
      </c>
    </row>
    <row r="301" spans="1:13" x14ac:dyDescent="0.2">
      <c r="A301" s="1">
        <v>45423</v>
      </c>
      <c r="B301" s="2">
        <v>0.29166666666666669</v>
      </c>
      <c r="C301" s="3">
        <v>45423.291666666664</v>
      </c>
      <c r="D301">
        <v>48.1</v>
      </c>
      <c r="E301">
        <v>54.8</v>
      </c>
      <c r="F301">
        <v>42.1</v>
      </c>
      <c r="G301" t="s">
        <v>6</v>
      </c>
      <c r="H301">
        <v>14.1</v>
      </c>
      <c r="I301">
        <v>29.9</v>
      </c>
      <c r="J301">
        <v>11.6</v>
      </c>
      <c r="K301" t="s">
        <v>6</v>
      </c>
      <c r="L301">
        <v>211</v>
      </c>
      <c r="M301" t="s">
        <v>6</v>
      </c>
    </row>
    <row r="302" spans="1:13" x14ac:dyDescent="0.2">
      <c r="A302" s="13">
        <v>45423</v>
      </c>
      <c r="B302" s="9">
        <v>0.33333333333333331</v>
      </c>
      <c r="C302" s="8">
        <v>45423.333333333336</v>
      </c>
      <c r="D302" s="10">
        <v>50.8</v>
      </c>
      <c r="E302" s="10">
        <v>59.1</v>
      </c>
      <c r="F302" s="10">
        <v>45.8</v>
      </c>
      <c r="G302" s="10" t="s">
        <v>6</v>
      </c>
      <c r="H302" s="10">
        <v>16.7</v>
      </c>
      <c r="I302" s="10">
        <v>22.5</v>
      </c>
      <c r="J302" s="10">
        <v>13.5</v>
      </c>
      <c r="K302" s="10" t="s">
        <v>6</v>
      </c>
      <c r="L302" s="10">
        <v>38</v>
      </c>
      <c r="M302" t="s">
        <v>6</v>
      </c>
    </row>
    <row r="303" spans="1:13" x14ac:dyDescent="0.2">
      <c r="A303" s="14">
        <v>45423</v>
      </c>
      <c r="B303" s="12">
        <v>0.375</v>
      </c>
      <c r="C303" s="7">
        <v>45423.375</v>
      </c>
      <c r="D303" s="11">
        <v>64.599999999999994</v>
      </c>
      <c r="E303" s="11">
        <v>74.2</v>
      </c>
      <c r="F303" s="11">
        <v>59.8</v>
      </c>
      <c r="G303" s="11" t="s">
        <v>6</v>
      </c>
      <c r="H303" s="11">
        <v>11.7</v>
      </c>
      <c r="I303" s="11">
        <v>20.3</v>
      </c>
      <c r="J303" s="11">
        <v>10.1</v>
      </c>
      <c r="K303" s="11" t="s">
        <v>6</v>
      </c>
      <c r="L303" s="11">
        <v>78</v>
      </c>
      <c r="M303" t="s">
        <v>6</v>
      </c>
    </row>
    <row r="304" spans="1:13" x14ac:dyDescent="0.2">
      <c r="A304" s="1">
        <v>45423</v>
      </c>
      <c r="B304" s="2">
        <v>0.41666666666666669</v>
      </c>
      <c r="C304" s="3">
        <v>45423.416666666664</v>
      </c>
      <c r="D304">
        <v>63.3</v>
      </c>
      <c r="E304">
        <v>68</v>
      </c>
      <c r="F304">
        <v>58.7</v>
      </c>
      <c r="G304" t="s">
        <v>6</v>
      </c>
      <c r="H304">
        <v>11.6</v>
      </c>
      <c r="I304">
        <v>18.600000000000001</v>
      </c>
      <c r="J304">
        <v>9.9</v>
      </c>
      <c r="K304" t="s">
        <v>6</v>
      </c>
      <c r="L304">
        <v>87</v>
      </c>
      <c r="M304" t="s">
        <v>6</v>
      </c>
    </row>
    <row r="305" spans="1:13" x14ac:dyDescent="0.2">
      <c r="A305" s="1">
        <v>45423</v>
      </c>
      <c r="B305" s="2">
        <v>0.45833333333333331</v>
      </c>
      <c r="C305" s="3">
        <v>45423.458333333336</v>
      </c>
      <c r="D305">
        <v>59</v>
      </c>
      <c r="E305">
        <v>65.8</v>
      </c>
      <c r="F305">
        <v>54.4</v>
      </c>
      <c r="G305" t="s">
        <v>6</v>
      </c>
      <c r="H305">
        <v>10.9</v>
      </c>
      <c r="I305">
        <v>13</v>
      </c>
      <c r="J305">
        <v>9.1999999999999993</v>
      </c>
      <c r="K305" t="s">
        <v>6</v>
      </c>
      <c r="L305">
        <v>138</v>
      </c>
      <c r="M305" t="s">
        <v>6</v>
      </c>
    </row>
    <row r="306" spans="1:13" x14ac:dyDescent="0.2">
      <c r="A306" s="1">
        <v>45423</v>
      </c>
      <c r="B306" s="2">
        <v>0.5</v>
      </c>
      <c r="C306" s="3">
        <v>45423.5</v>
      </c>
      <c r="D306">
        <v>59.1</v>
      </c>
      <c r="E306">
        <v>62.3</v>
      </c>
      <c r="F306">
        <v>55</v>
      </c>
      <c r="G306" t="s">
        <v>6</v>
      </c>
      <c r="H306">
        <v>10.7</v>
      </c>
      <c r="I306">
        <v>12.2</v>
      </c>
      <c r="J306">
        <v>9.6</v>
      </c>
      <c r="K306" t="s">
        <v>6</v>
      </c>
      <c r="L306">
        <v>38</v>
      </c>
      <c r="M306" t="s">
        <v>6</v>
      </c>
    </row>
    <row r="307" spans="1:13" x14ac:dyDescent="0.2">
      <c r="A307" s="1">
        <v>45423</v>
      </c>
      <c r="B307" s="2">
        <v>0.58333333333333337</v>
      </c>
      <c r="C307" s="3">
        <v>45423.583333333336</v>
      </c>
      <c r="D307">
        <v>56.9</v>
      </c>
      <c r="E307">
        <v>58.8</v>
      </c>
      <c r="F307">
        <v>54.9</v>
      </c>
      <c r="G307" t="s">
        <v>6</v>
      </c>
      <c r="H307">
        <v>15</v>
      </c>
      <c r="I307">
        <v>18</v>
      </c>
      <c r="J307">
        <v>11.9</v>
      </c>
      <c r="K307" t="s">
        <v>6</v>
      </c>
      <c r="L307">
        <v>24</v>
      </c>
      <c r="M307" t="s">
        <v>6</v>
      </c>
    </row>
    <row r="308" spans="1:13" x14ac:dyDescent="0.2">
      <c r="A308" s="1">
        <v>45423</v>
      </c>
      <c r="B308" s="2">
        <v>0.625</v>
      </c>
      <c r="C308" s="3">
        <v>45423.625</v>
      </c>
      <c r="D308">
        <v>57.4</v>
      </c>
      <c r="E308">
        <v>58.7</v>
      </c>
      <c r="F308">
        <v>56.9</v>
      </c>
      <c r="G308" t="s">
        <v>6</v>
      </c>
      <c r="H308">
        <v>18.100000000000001</v>
      </c>
      <c r="I308">
        <v>19.100000000000001</v>
      </c>
      <c r="J308">
        <v>17</v>
      </c>
      <c r="K308" t="s">
        <v>6</v>
      </c>
      <c r="L308">
        <v>10</v>
      </c>
      <c r="M308" t="s">
        <v>6</v>
      </c>
    </row>
    <row r="309" spans="1:13" x14ac:dyDescent="0.2">
      <c r="A309" s="1">
        <v>45423</v>
      </c>
      <c r="B309" s="2">
        <v>0.66666666666666663</v>
      </c>
      <c r="C309" s="3">
        <v>45423.666666666664</v>
      </c>
      <c r="D309">
        <v>59.9</v>
      </c>
      <c r="E309">
        <v>63.8</v>
      </c>
      <c r="F309">
        <v>56.7</v>
      </c>
      <c r="G309" t="s">
        <v>6</v>
      </c>
      <c r="H309">
        <v>16.100000000000001</v>
      </c>
      <c r="I309">
        <v>20.399999999999999</v>
      </c>
      <c r="J309">
        <v>14</v>
      </c>
      <c r="K309" t="s">
        <v>6</v>
      </c>
      <c r="L309">
        <v>25</v>
      </c>
      <c r="M309" t="s">
        <v>6</v>
      </c>
    </row>
    <row r="310" spans="1:13" x14ac:dyDescent="0.2">
      <c r="A310" s="1">
        <v>45423</v>
      </c>
      <c r="B310" s="2">
        <v>0.70833333333333337</v>
      </c>
      <c r="C310" s="3">
        <v>45423.708333333336</v>
      </c>
      <c r="D310">
        <v>59.3</v>
      </c>
      <c r="E310">
        <v>60.9</v>
      </c>
      <c r="F310">
        <v>56.9</v>
      </c>
      <c r="G310" t="s">
        <v>6</v>
      </c>
      <c r="H310">
        <v>16.2</v>
      </c>
      <c r="I310">
        <v>24.4</v>
      </c>
      <c r="J310">
        <v>11.6</v>
      </c>
      <c r="K310" t="s">
        <v>6</v>
      </c>
      <c r="L310">
        <v>53</v>
      </c>
      <c r="M310" t="s">
        <v>6</v>
      </c>
    </row>
    <row r="311" spans="1:13" x14ac:dyDescent="0.2">
      <c r="A311" s="1">
        <v>45423</v>
      </c>
      <c r="B311" s="2">
        <v>0.75</v>
      </c>
      <c r="C311" s="3">
        <v>45423.75</v>
      </c>
      <c r="D311">
        <v>59.3</v>
      </c>
      <c r="E311">
        <v>61.5</v>
      </c>
      <c r="F311">
        <v>56.7</v>
      </c>
      <c r="G311" t="s">
        <v>6</v>
      </c>
      <c r="H311">
        <v>13.6</v>
      </c>
      <c r="I311">
        <v>15.8</v>
      </c>
      <c r="J311">
        <v>12.1</v>
      </c>
      <c r="K311" t="s">
        <v>6</v>
      </c>
      <c r="L311">
        <v>20</v>
      </c>
      <c r="M311" t="s">
        <v>6</v>
      </c>
    </row>
    <row r="312" spans="1:13" x14ac:dyDescent="0.2">
      <c r="A312" s="1">
        <v>45423</v>
      </c>
      <c r="B312" s="2">
        <v>0.79166666666666663</v>
      </c>
      <c r="C312" s="3">
        <v>45423.791666666664</v>
      </c>
      <c r="D312">
        <v>61.9</v>
      </c>
      <c r="E312">
        <v>62.4</v>
      </c>
      <c r="F312">
        <v>60.8</v>
      </c>
      <c r="G312" t="s">
        <v>6</v>
      </c>
      <c r="H312">
        <v>13.7</v>
      </c>
      <c r="I312">
        <v>14.1</v>
      </c>
      <c r="J312">
        <v>13.4</v>
      </c>
      <c r="K312" t="s">
        <v>6</v>
      </c>
      <c r="L312">
        <v>3</v>
      </c>
      <c r="M312" t="s">
        <v>6</v>
      </c>
    </row>
    <row r="313" spans="1:13" x14ac:dyDescent="0.2">
      <c r="A313" s="1">
        <v>45423</v>
      </c>
      <c r="B313" s="2">
        <v>0.83333333333333337</v>
      </c>
      <c r="C313" s="3">
        <v>45423.833333333336</v>
      </c>
      <c r="D313">
        <v>69.099999999999994</v>
      </c>
      <c r="E313">
        <v>88.8</v>
      </c>
      <c r="F313">
        <v>59.1</v>
      </c>
      <c r="G313" t="s">
        <v>6</v>
      </c>
      <c r="H313">
        <v>17.2</v>
      </c>
      <c r="I313">
        <v>33.700000000000003</v>
      </c>
      <c r="J313">
        <v>11.5</v>
      </c>
      <c r="K313" t="s">
        <v>6</v>
      </c>
      <c r="L313">
        <v>178</v>
      </c>
      <c r="M313" t="s">
        <v>6</v>
      </c>
    </row>
    <row r="314" spans="1:13" x14ac:dyDescent="0.2">
      <c r="A314" s="1">
        <v>45423</v>
      </c>
      <c r="B314" s="2">
        <v>0.875</v>
      </c>
      <c r="C314" s="3">
        <v>45423.875</v>
      </c>
      <c r="D314">
        <v>61.4</v>
      </c>
      <c r="E314">
        <v>67.8</v>
      </c>
      <c r="F314">
        <v>57.6</v>
      </c>
      <c r="G314" t="s">
        <v>6</v>
      </c>
      <c r="H314">
        <v>14.3</v>
      </c>
      <c r="I314">
        <v>23.1</v>
      </c>
      <c r="J314">
        <v>11.8</v>
      </c>
      <c r="K314" t="s">
        <v>6</v>
      </c>
      <c r="L314">
        <v>220</v>
      </c>
      <c r="M314" t="s">
        <v>6</v>
      </c>
    </row>
    <row r="315" spans="1:13" x14ac:dyDescent="0.2">
      <c r="A315" s="1">
        <v>45423</v>
      </c>
      <c r="B315" s="2">
        <v>0.91666666666666663</v>
      </c>
      <c r="C315" s="3">
        <v>45423.916666666664</v>
      </c>
      <c r="D315">
        <v>61.2</v>
      </c>
      <c r="E315">
        <v>69.5</v>
      </c>
      <c r="F315">
        <v>56.9</v>
      </c>
      <c r="G315" t="s">
        <v>6</v>
      </c>
      <c r="H315">
        <v>12.5</v>
      </c>
      <c r="I315">
        <v>16.399999999999999</v>
      </c>
      <c r="J315">
        <v>11.3</v>
      </c>
      <c r="K315" t="s">
        <v>6</v>
      </c>
      <c r="L315">
        <v>221</v>
      </c>
      <c r="M315" t="s">
        <v>6</v>
      </c>
    </row>
    <row r="316" spans="1:13" x14ac:dyDescent="0.2">
      <c r="A316" s="1">
        <v>45423</v>
      </c>
      <c r="B316" s="2">
        <v>0.95833333333333337</v>
      </c>
      <c r="C316" s="3">
        <v>45423.958333333336</v>
      </c>
      <c r="D316">
        <v>57</v>
      </c>
      <c r="E316">
        <v>65.400000000000006</v>
      </c>
      <c r="F316">
        <v>51.2</v>
      </c>
      <c r="G316" t="s">
        <v>6</v>
      </c>
      <c r="H316">
        <v>12.5</v>
      </c>
      <c r="I316">
        <v>22.1</v>
      </c>
      <c r="J316">
        <v>10.8</v>
      </c>
      <c r="K316" t="s">
        <v>6</v>
      </c>
      <c r="L316">
        <v>225</v>
      </c>
      <c r="M316" t="s">
        <v>6</v>
      </c>
    </row>
    <row r="317" spans="1:13" x14ac:dyDescent="0.2">
      <c r="A317" s="1">
        <v>45424</v>
      </c>
      <c r="B317" s="2">
        <v>0</v>
      </c>
      <c r="C317" s="3">
        <v>45424</v>
      </c>
      <c r="D317">
        <v>61.5</v>
      </c>
      <c r="E317">
        <v>67.8</v>
      </c>
      <c r="F317">
        <v>54.2</v>
      </c>
      <c r="G317" t="s">
        <v>6</v>
      </c>
      <c r="H317">
        <v>12.7</v>
      </c>
      <c r="I317">
        <v>17.5</v>
      </c>
      <c r="J317">
        <v>11.1</v>
      </c>
      <c r="K317" t="s">
        <v>6</v>
      </c>
      <c r="L317">
        <v>221</v>
      </c>
      <c r="M317" t="s">
        <v>6</v>
      </c>
    </row>
    <row r="318" spans="1:13" x14ac:dyDescent="0.2">
      <c r="A318" s="1">
        <v>45424</v>
      </c>
      <c r="B318" s="2">
        <v>4.1666666666666664E-2</v>
      </c>
      <c r="C318" s="3">
        <v>45424.041666666664</v>
      </c>
      <c r="D318">
        <v>58.9</v>
      </c>
      <c r="E318">
        <v>64.3</v>
      </c>
      <c r="F318">
        <v>52.7</v>
      </c>
      <c r="G318" t="s">
        <v>6</v>
      </c>
      <c r="H318">
        <v>13.2</v>
      </c>
      <c r="I318">
        <v>22.5</v>
      </c>
      <c r="J318">
        <v>11.2</v>
      </c>
      <c r="K318" t="s">
        <v>6</v>
      </c>
      <c r="L318">
        <v>226</v>
      </c>
      <c r="M318" t="s">
        <v>6</v>
      </c>
    </row>
    <row r="319" spans="1:13" x14ac:dyDescent="0.2">
      <c r="A319" s="1">
        <v>45424</v>
      </c>
      <c r="B319" s="2">
        <v>8.3333333333333329E-2</v>
      </c>
      <c r="C319" s="3">
        <v>45424.083333333336</v>
      </c>
      <c r="D319">
        <v>57.2</v>
      </c>
      <c r="E319">
        <v>64.3</v>
      </c>
      <c r="F319">
        <v>53.3</v>
      </c>
      <c r="G319" t="s">
        <v>6</v>
      </c>
      <c r="H319">
        <v>13.6</v>
      </c>
      <c r="I319">
        <v>23.7</v>
      </c>
      <c r="J319">
        <v>11.1</v>
      </c>
      <c r="K319" t="s">
        <v>6</v>
      </c>
      <c r="L319">
        <v>219</v>
      </c>
      <c r="M319" t="s">
        <v>6</v>
      </c>
    </row>
    <row r="320" spans="1:13" x14ac:dyDescent="0.2">
      <c r="A320" s="1">
        <v>45424</v>
      </c>
      <c r="B320" s="2">
        <v>0.125</v>
      </c>
      <c r="C320" s="3">
        <v>45424.125</v>
      </c>
      <c r="D320">
        <v>63.1</v>
      </c>
      <c r="E320">
        <v>70.3</v>
      </c>
      <c r="F320">
        <v>54.5</v>
      </c>
      <c r="G320" t="s">
        <v>6</v>
      </c>
      <c r="H320">
        <v>13.1</v>
      </c>
      <c r="I320">
        <v>20.399999999999999</v>
      </c>
      <c r="J320">
        <v>10.8</v>
      </c>
      <c r="K320" t="s">
        <v>6</v>
      </c>
      <c r="L320">
        <v>224</v>
      </c>
      <c r="M320" t="s">
        <v>6</v>
      </c>
    </row>
    <row r="321" spans="1:13" x14ac:dyDescent="0.2">
      <c r="A321" s="1">
        <v>45424</v>
      </c>
      <c r="B321" s="2">
        <v>0.16666666666666666</v>
      </c>
      <c r="C321" s="3">
        <v>45424.166666666664</v>
      </c>
      <c r="D321">
        <v>64.2</v>
      </c>
      <c r="E321">
        <v>76.400000000000006</v>
      </c>
      <c r="F321">
        <v>55.5</v>
      </c>
      <c r="G321" t="s">
        <v>6</v>
      </c>
      <c r="H321">
        <v>13.3</v>
      </c>
      <c r="I321">
        <v>20.5</v>
      </c>
      <c r="J321">
        <v>11.2</v>
      </c>
      <c r="K321" t="s">
        <v>6</v>
      </c>
      <c r="L321">
        <v>228</v>
      </c>
      <c r="M321" t="s">
        <v>6</v>
      </c>
    </row>
    <row r="322" spans="1:13" x14ac:dyDescent="0.2">
      <c r="A322" s="1">
        <v>45424</v>
      </c>
      <c r="B322" s="2">
        <v>0.20833333333333334</v>
      </c>
      <c r="C322" s="3">
        <v>45424.208333333336</v>
      </c>
      <c r="D322">
        <v>63.7</v>
      </c>
      <c r="E322">
        <v>71.5</v>
      </c>
      <c r="F322">
        <v>58.1</v>
      </c>
      <c r="G322" t="s">
        <v>6</v>
      </c>
      <c r="H322">
        <v>13.3</v>
      </c>
      <c r="I322">
        <v>19</v>
      </c>
      <c r="J322">
        <v>11.6</v>
      </c>
      <c r="K322" t="s">
        <v>6</v>
      </c>
      <c r="L322">
        <v>214</v>
      </c>
      <c r="M322" t="s">
        <v>6</v>
      </c>
    </row>
    <row r="323" spans="1:13" x14ac:dyDescent="0.2">
      <c r="A323" s="1">
        <v>45424</v>
      </c>
      <c r="B323" s="2">
        <v>0.25</v>
      </c>
      <c r="C323" s="3">
        <v>45424.25</v>
      </c>
      <c r="D323">
        <v>61.6</v>
      </c>
      <c r="E323">
        <v>70.5</v>
      </c>
      <c r="F323">
        <v>54.2</v>
      </c>
      <c r="G323" t="s">
        <v>6</v>
      </c>
      <c r="H323">
        <v>12.2</v>
      </c>
      <c r="I323">
        <v>14.8</v>
      </c>
      <c r="J323">
        <v>10.3</v>
      </c>
      <c r="K323" t="s">
        <v>6</v>
      </c>
      <c r="L323">
        <v>208</v>
      </c>
      <c r="M323" t="s">
        <v>6</v>
      </c>
    </row>
    <row r="324" spans="1:13" x14ac:dyDescent="0.2">
      <c r="A324" s="13">
        <v>45424</v>
      </c>
      <c r="B324" s="9">
        <v>0.33333333333333331</v>
      </c>
      <c r="C324" s="8">
        <v>45424.333333333336</v>
      </c>
      <c r="D324" s="10">
        <v>58.6</v>
      </c>
      <c r="E324" s="10">
        <v>60</v>
      </c>
      <c r="F324" s="10">
        <v>49.7</v>
      </c>
      <c r="G324" s="10" t="s">
        <v>6</v>
      </c>
      <c r="H324" s="10">
        <v>12.9</v>
      </c>
      <c r="I324" s="10">
        <v>15.7</v>
      </c>
      <c r="J324" s="10">
        <v>11.7</v>
      </c>
      <c r="K324" s="10" t="s">
        <v>6</v>
      </c>
      <c r="L324" s="10">
        <v>16</v>
      </c>
      <c r="M324" t="s">
        <v>6</v>
      </c>
    </row>
    <row r="325" spans="1:13" x14ac:dyDescent="0.2">
      <c r="A325" s="14">
        <v>45424</v>
      </c>
      <c r="B325" s="12">
        <v>0.375</v>
      </c>
      <c r="C325" s="7">
        <v>45424.375</v>
      </c>
      <c r="D325" s="11">
        <v>44.2</v>
      </c>
      <c r="E325" s="11">
        <v>48.6</v>
      </c>
      <c r="F325" s="11">
        <v>40.700000000000003</v>
      </c>
      <c r="G325" s="11" t="s">
        <v>6</v>
      </c>
      <c r="H325" s="11">
        <v>17.899999999999999</v>
      </c>
      <c r="I325" s="11">
        <v>25.8</v>
      </c>
      <c r="J325" s="11">
        <v>13.4</v>
      </c>
      <c r="K325" s="11" t="s">
        <v>6</v>
      </c>
      <c r="L325" s="11">
        <v>183</v>
      </c>
      <c r="M325" t="s">
        <v>6</v>
      </c>
    </row>
    <row r="326" spans="1:13" x14ac:dyDescent="0.2">
      <c r="A326" s="1">
        <v>45424</v>
      </c>
      <c r="B326" s="2">
        <v>0.41666666666666669</v>
      </c>
      <c r="C326" s="3">
        <v>45424.416666666664</v>
      </c>
      <c r="D326">
        <v>45.3</v>
      </c>
      <c r="E326">
        <v>46.5</v>
      </c>
      <c r="F326">
        <v>44.7</v>
      </c>
      <c r="G326" t="s">
        <v>6</v>
      </c>
      <c r="H326">
        <v>19.2</v>
      </c>
      <c r="I326">
        <v>20.100000000000001</v>
      </c>
      <c r="J326">
        <v>18.399999999999999</v>
      </c>
      <c r="K326" t="s">
        <v>6</v>
      </c>
      <c r="L326">
        <v>8</v>
      </c>
      <c r="M326" t="s">
        <v>6</v>
      </c>
    </row>
    <row r="327" spans="1:13" x14ac:dyDescent="0.2">
      <c r="A327" s="1">
        <v>45424</v>
      </c>
      <c r="B327" s="2">
        <v>0.45833333333333331</v>
      </c>
      <c r="C327" s="3">
        <v>45424.458333333336</v>
      </c>
      <c r="D327">
        <v>56.5</v>
      </c>
      <c r="E327">
        <v>59</v>
      </c>
      <c r="F327">
        <v>52.5</v>
      </c>
      <c r="G327" t="s">
        <v>6</v>
      </c>
      <c r="H327">
        <v>15.4</v>
      </c>
      <c r="I327">
        <v>18.399999999999999</v>
      </c>
      <c r="J327">
        <v>11.5</v>
      </c>
      <c r="K327" t="s">
        <v>6</v>
      </c>
      <c r="L327">
        <v>22</v>
      </c>
      <c r="M327" t="s">
        <v>6</v>
      </c>
    </row>
    <row r="328" spans="1:13" x14ac:dyDescent="0.2">
      <c r="A328" s="1">
        <v>45424</v>
      </c>
      <c r="B328" s="2">
        <v>0.5</v>
      </c>
      <c r="C328" s="3">
        <v>45424.5</v>
      </c>
      <c r="D328">
        <v>55.7</v>
      </c>
      <c r="E328">
        <v>57.9</v>
      </c>
      <c r="F328">
        <v>53.9</v>
      </c>
      <c r="G328" t="s">
        <v>6</v>
      </c>
      <c r="H328">
        <v>16.7</v>
      </c>
      <c r="I328">
        <v>25.5</v>
      </c>
      <c r="J328">
        <v>12.1</v>
      </c>
      <c r="K328" t="s">
        <v>6</v>
      </c>
      <c r="L328">
        <v>107</v>
      </c>
      <c r="M328" t="s">
        <v>6</v>
      </c>
    </row>
    <row r="329" spans="1:13" x14ac:dyDescent="0.2">
      <c r="A329" s="1">
        <v>45424</v>
      </c>
      <c r="B329" s="2">
        <v>0.54166666666666663</v>
      </c>
      <c r="C329" s="3">
        <v>45424.541666666664</v>
      </c>
      <c r="D329">
        <v>53.1</v>
      </c>
      <c r="E329">
        <v>59.7</v>
      </c>
      <c r="F329">
        <v>45</v>
      </c>
      <c r="G329" t="s">
        <v>6</v>
      </c>
      <c r="H329">
        <v>16</v>
      </c>
      <c r="I329">
        <v>20.3</v>
      </c>
      <c r="J329">
        <v>12.6</v>
      </c>
      <c r="K329" t="s">
        <v>6</v>
      </c>
      <c r="L329">
        <v>217</v>
      </c>
      <c r="M329" t="s">
        <v>6</v>
      </c>
    </row>
    <row r="330" spans="1:13" x14ac:dyDescent="0.2">
      <c r="A330" s="1">
        <v>45424</v>
      </c>
      <c r="B330" s="2">
        <v>0.58333333333333337</v>
      </c>
      <c r="C330" s="3">
        <v>45424.583333333336</v>
      </c>
      <c r="D330">
        <v>47.7</v>
      </c>
      <c r="E330">
        <v>56.6</v>
      </c>
      <c r="F330">
        <v>44.2</v>
      </c>
      <c r="G330" t="s">
        <v>6</v>
      </c>
      <c r="H330">
        <v>15.9</v>
      </c>
      <c r="I330">
        <v>24.6</v>
      </c>
      <c r="J330">
        <v>12.7</v>
      </c>
      <c r="K330" t="s">
        <v>6</v>
      </c>
      <c r="L330">
        <v>230</v>
      </c>
      <c r="M330" t="s">
        <v>6</v>
      </c>
    </row>
    <row r="331" spans="1:13" x14ac:dyDescent="0.2">
      <c r="A331" s="1">
        <v>45424</v>
      </c>
      <c r="B331" s="2">
        <v>0.625</v>
      </c>
      <c r="C331" s="3">
        <v>45424.625</v>
      </c>
      <c r="D331">
        <v>49.6</v>
      </c>
      <c r="E331">
        <v>54.8</v>
      </c>
      <c r="F331">
        <v>46.2</v>
      </c>
      <c r="G331" t="s">
        <v>6</v>
      </c>
      <c r="H331">
        <v>16.899999999999999</v>
      </c>
      <c r="I331">
        <v>21.5</v>
      </c>
      <c r="J331">
        <v>12.4</v>
      </c>
      <c r="K331" t="s">
        <v>6</v>
      </c>
      <c r="L331">
        <v>121</v>
      </c>
      <c r="M331" t="s">
        <v>6</v>
      </c>
    </row>
    <row r="332" spans="1:13" x14ac:dyDescent="0.2">
      <c r="A332" s="1">
        <v>45424</v>
      </c>
      <c r="B332" s="2">
        <v>0.66666666666666663</v>
      </c>
      <c r="C332" s="3">
        <v>45424.666666666664</v>
      </c>
      <c r="D332">
        <v>48.5</v>
      </c>
      <c r="E332">
        <v>54.3</v>
      </c>
      <c r="F332">
        <v>44.1</v>
      </c>
      <c r="G332" t="s">
        <v>6</v>
      </c>
      <c r="H332">
        <v>15.7</v>
      </c>
      <c r="I332">
        <v>21.8</v>
      </c>
      <c r="J332">
        <v>12.6</v>
      </c>
      <c r="K332" t="s">
        <v>6</v>
      </c>
      <c r="L332">
        <v>231</v>
      </c>
      <c r="M332" t="s">
        <v>6</v>
      </c>
    </row>
    <row r="333" spans="1:13" x14ac:dyDescent="0.2">
      <c r="A333" s="1">
        <v>45424</v>
      </c>
      <c r="B333" s="2">
        <v>0.70833333333333337</v>
      </c>
      <c r="C333" s="3">
        <v>45424.708333333336</v>
      </c>
      <c r="D333">
        <v>47.5</v>
      </c>
      <c r="E333">
        <v>54</v>
      </c>
      <c r="F333">
        <v>43.1</v>
      </c>
      <c r="G333" t="s">
        <v>6</v>
      </c>
      <c r="H333">
        <v>15.5</v>
      </c>
      <c r="I333">
        <v>21.3</v>
      </c>
      <c r="J333">
        <v>11.5</v>
      </c>
      <c r="K333" t="s">
        <v>6</v>
      </c>
      <c r="L333">
        <v>160</v>
      </c>
      <c r="M333" t="s">
        <v>6</v>
      </c>
    </row>
    <row r="334" spans="1:13" x14ac:dyDescent="0.2">
      <c r="A334" s="1">
        <v>45424</v>
      </c>
      <c r="B334" s="2">
        <v>0.75</v>
      </c>
      <c r="C334" s="3">
        <v>45424.75</v>
      </c>
      <c r="D334">
        <v>47.5</v>
      </c>
      <c r="E334">
        <v>55.5</v>
      </c>
      <c r="F334">
        <v>43</v>
      </c>
      <c r="G334" t="s">
        <v>6</v>
      </c>
      <c r="H334">
        <v>17.5</v>
      </c>
      <c r="I334">
        <v>23.2</v>
      </c>
      <c r="J334">
        <v>12.9</v>
      </c>
      <c r="K334" t="s">
        <v>6</v>
      </c>
      <c r="L334">
        <v>160</v>
      </c>
      <c r="M334" t="s">
        <v>6</v>
      </c>
    </row>
    <row r="335" spans="1:13" x14ac:dyDescent="0.2">
      <c r="A335" s="1">
        <v>45424</v>
      </c>
      <c r="B335" s="2">
        <v>0.79166666666666663</v>
      </c>
      <c r="C335" s="3">
        <v>45424.791666666664</v>
      </c>
      <c r="D335">
        <v>45.7</v>
      </c>
      <c r="E335">
        <v>57.8</v>
      </c>
      <c r="F335">
        <v>42.5</v>
      </c>
      <c r="G335" t="s">
        <v>6</v>
      </c>
      <c r="H335">
        <v>17.899999999999999</v>
      </c>
      <c r="I335">
        <v>25.6</v>
      </c>
      <c r="J335">
        <v>12.5</v>
      </c>
      <c r="K335" t="s">
        <v>6</v>
      </c>
      <c r="L335">
        <v>212</v>
      </c>
      <c r="M335" t="s">
        <v>6</v>
      </c>
    </row>
    <row r="336" spans="1:13" x14ac:dyDescent="0.2">
      <c r="A336" s="1">
        <v>45424</v>
      </c>
      <c r="B336" s="2">
        <v>0.83333333333333337</v>
      </c>
      <c r="C336" s="3">
        <v>45424.833333333336</v>
      </c>
      <c r="D336">
        <v>49</v>
      </c>
      <c r="E336">
        <v>59.5</v>
      </c>
      <c r="F336">
        <v>44.7</v>
      </c>
      <c r="G336" t="s">
        <v>6</v>
      </c>
      <c r="H336">
        <v>20.2</v>
      </c>
      <c r="I336">
        <v>31</v>
      </c>
      <c r="J336">
        <v>11.9</v>
      </c>
      <c r="K336" t="s">
        <v>6</v>
      </c>
      <c r="L336">
        <v>223</v>
      </c>
      <c r="M336" t="s">
        <v>6</v>
      </c>
    </row>
    <row r="337" spans="1:13" x14ac:dyDescent="0.2">
      <c r="A337" s="1">
        <v>45424</v>
      </c>
      <c r="B337" s="2">
        <v>0.875</v>
      </c>
      <c r="C337" s="3">
        <v>45424.875</v>
      </c>
      <c r="D337">
        <v>45.4</v>
      </c>
      <c r="E337">
        <v>53.2</v>
      </c>
      <c r="F337">
        <v>41.5</v>
      </c>
      <c r="G337" t="s">
        <v>6</v>
      </c>
      <c r="H337">
        <v>14.4</v>
      </c>
      <c r="I337">
        <v>22.4</v>
      </c>
      <c r="J337">
        <v>11.6</v>
      </c>
      <c r="K337" t="s">
        <v>6</v>
      </c>
      <c r="L337">
        <v>218</v>
      </c>
      <c r="M337" t="s">
        <v>6</v>
      </c>
    </row>
    <row r="338" spans="1:13" x14ac:dyDescent="0.2">
      <c r="A338" s="1">
        <v>45424</v>
      </c>
      <c r="B338" s="2">
        <v>0.91666666666666663</v>
      </c>
      <c r="C338" s="3">
        <v>45424.916666666664</v>
      </c>
      <c r="D338">
        <v>47.7</v>
      </c>
      <c r="E338">
        <v>50.9</v>
      </c>
      <c r="F338">
        <v>44.9</v>
      </c>
      <c r="G338" t="s">
        <v>6</v>
      </c>
      <c r="H338">
        <v>12.8</v>
      </c>
      <c r="I338">
        <v>19.899999999999999</v>
      </c>
      <c r="J338">
        <v>11.5</v>
      </c>
      <c r="K338" t="s">
        <v>6</v>
      </c>
      <c r="L338">
        <v>224</v>
      </c>
      <c r="M338" t="s">
        <v>6</v>
      </c>
    </row>
    <row r="339" spans="1:13" x14ac:dyDescent="0.2">
      <c r="A339" s="1">
        <v>45424</v>
      </c>
      <c r="B339" s="2">
        <v>0.95833333333333337</v>
      </c>
      <c r="C339" s="3">
        <v>45424.958333333336</v>
      </c>
      <c r="D339">
        <v>46.9</v>
      </c>
      <c r="E339">
        <v>50.3</v>
      </c>
      <c r="F339">
        <v>43.7</v>
      </c>
      <c r="G339" t="s">
        <v>6</v>
      </c>
      <c r="H339">
        <v>16.7</v>
      </c>
      <c r="I339">
        <v>25.2</v>
      </c>
      <c r="J339">
        <v>12.4</v>
      </c>
      <c r="K339" t="s">
        <v>6</v>
      </c>
      <c r="L339">
        <v>209</v>
      </c>
      <c r="M339" t="s">
        <v>6</v>
      </c>
    </row>
    <row r="340" spans="1:13" x14ac:dyDescent="0.2">
      <c r="A340" s="1">
        <v>45425</v>
      </c>
      <c r="B340" s="2">
        <v>0</v>
      </c>
      <c r="C340" s="3">
        <v>45425</v>
      </c>
      <c r="D340">
        <v>44.2</v>
      </c>
      <c r="E340">
        <v>51.1</v>
      </c>
      <c r="F340">
        <v>40.200000000000003</v>
      </c>
      <c r="G340" t="s">
        <v>6</v>
      </c>
      <c r="H340">
        <v>14.7</v>
      </c>
      <c r="I340">
        <v>26.4</v>
      </c>
      <c r="J340">
        <v>11.5</v>
      </c>
      <c r="K340" t="s">
        <v>6</v>
      </c>
      <c r="L340">
        <v>188</v>
      </c>
      <c r="M340" t="s">
        <v>6</v>
      </c>
    </row>
    <row r="341" spans="1:13" x14ac:dyDescent="0.2">
      <c r="A341" s="1">
        <v>45425</v>
      </c>
      <c r="B341" s="2">
        <v>4.1666666666666664E-2</v>
      </c>
      <c r="C341" s="3">
        <v>45425.041666666664</v>
      </c>
      <c r="D341">
        <v>46.2</v>
      </c>
      <c r="E341">
        <v>55.8</v>
      </c>
      <c r="F341">
        <v>40.4</v>
      </c>
      <c r="G341" t="s">
        <v>6</v>
      </c>
      <c r="H341">
        <v>13.6</v>
      </c>
      <c r="I341">
        <v>22.7</v>
      </c>
      <c r="J341">
        <v>11.5</v>
      </c>
      <c r="K341" t="s">
        <v>6</v>
      </c>
      <c r="L341">
        <v>223</v>
      </c>
      <c r="M341" t="s">
        <v>6</v>
      </c>
    </row>
    <row r="342" spans="1:13" x14ac:dyDescent="0.2">
      <c r="A342" s="1">
        <v>45425</v>
      </c>
      <c r="B342" s="2">
        <v>8.3333333333333329E-2</v>
      </c>
      <c r="C342" s="3">
        <v>45425.083333333336</v>
      </c>
      <c r="D342">
        <v>55.7</v>
      </c>
      <c r="E342">
        <v>69.5</v>
      </c>
      <c r="F342">
        <v>47.1</v>
      </c>
      <c r="G342" t="s">
        <v>6</v>
      </c>
      <c r="H342">
        <v>13.3</v>
      </c>
      <c r="I342">
        <v>23.6</v>
      </c>
      <c r="J342">
        <v>10.7</v>
      </c>
      <c r="K342" t="s">
        <v>6</v>
      </c>
      <c r="L342">
        <v>211</v>
      </c>
      <c r="M342" t="s">
        <v>6</v>
      </c>
    </row>
    <row r="343" spans="1:13" x14ac:dyDescent="0.2">
      <c r="A343" s="1">
        <v>45425</v>
      </c>
      <c r="B343" s="2">
        <v>0.125</v>
      </c>
      <c r="C343" s="3">
        <v>45425.125</v>
      </c>
      <c r="D343">
        <v>51.3</v>
      </c>
      <c r="E343">
        <v>58.6</v>
      </c>
      <c r="F343">
        <v>45.5</v>
      </c>
      <c r="G343" t="s">
        <v>6</v>
      </c>
      <c r="H343">
        <v>11.8</v>
      </c>
      <c r="I343">
        <v>14.7</v>
      </c>
      <c r="J343">
        <v>10.5</v>
      </c>
      <c r="K343" t="s">
        <v>6</v>
      </c>
      <c r="L343">
        <v>222</v>
      </c>
      <c r="M343" t="s">
        <v>6</v>
      </c>
    </row>
    <row r="344" spans="1:13" x14ac:dyDescent="0.2">
      <c r="A344" s="1">
        <v>45425</v>
      </c>
      <c r="B344" s="2">
        <v>0.16666666666666666</v>
      </c>
      <c r="C344" s="3">
        <v>45425.166666666664</v>
      </c>
      <c r="D344">
        <v>50.3</v>
      </c>
      <c r="E344">
        <v>56</v>
      </c>
      <c r="F344">
        <v>44.5</v>
      </c>
      <c r="G344" t="s">
        <v>6</v>
      </c>
      <c r="H344">
        <v>13.9</v>
      </c>
      <c r="I344">
        <v>24.3</v>
      </c>
      <c r="J344">
        <v>10.8</v>
      </c>
      <c r="K344" t="s">
        <v>6</v>
      </c>
      <c r="L344">
        <v>221</v>
      </c>
      <c r="M344" t="s">
        <v>6</v>
      </c>
    </row>
    <row r="345" spans="1:13" x14ac:dyDescent="0.2">
      <c r="A345" s="13">
        <v>45425</v>
      </c>
      <c r="B345" s="9">
        <v>0.20833333333333334</v>
      </c>
      <c r="C345" s="8">
        <v>45425.208333333336</v>
      </c>
      <c r="D345" s="10">
        <v>42</v>
      </c>
      <c r="E345" s="10">
        <v>45.9</v>
      </c>
      <c r="F345" s="10">
        <v>40.200000000000003</v>
      </c>
      <c r="G345" s="10" t="s">
        <v>6</v>
      </c>
      <c r="H345" s="10">
        <v>12.8</v>
      </c>
      <c r="I345" s="10">
        <v>21.2</v>
      </c>
      <c r="J345" s="10">
        <v>11</v>
      </c>
      <c r="K345" s="10" t="s">
        <v>6</v>
      </c>
      <c r="L345" s="10">
        <v>148</v>
      </c>
      <c r="M345" t="s">
        <v>6</v>
      </c>
    </row>
    <row r="346" spans="1:13" x14ac:dyDescent="0.2">
      <c r="A346" s="14">
        <v>45425</v>
      </c>
      <c r="B346" s="12">
        <v>0.79166666666666663</v>
      </c>
      <c r="C346" s="7">
        <v>45425.791666666664</v>
      </c>
      <c r="D346" s="11">
        <v>48.1</v>
      </c>
      <c r="E346" s="11">
        <v>53</v>
      </c>
      <c r="F346" s="11">
        <v>42.9</v>
      </c>
      <c r="G346" s="11" t="s">
        <v>6</v>
      </c>
      <c r="H346" s="11">
        <v>17.100000000000001</v>
      </c>
      <c r="I346" s="11">
        <v>23.2</v>
      </c>
      <c r="J346" s="11">
        <v>12.8</v>
      </c>
      <c r="K346" s="11" t="s">
        <v>6</v>
      </c>
      <c r="L346" s="11">
        <v>154</v>
      </c>
      <c r="M346" t="s">
        <v>6</v>
      </c>
    </row>
    <row r="347" spans="1:13" x14ac:dyDescent="0.2">
      <c r="A347" s="1">
        <v>45425</v>
      </c>
      <c r="B347" s="2">
        <v>0.83333333333333337</v>
      </c>
      <c r="C347" s="3">
        <v>45425.833333333336</v>
      </c>
      <c r="D347">
        <v>46.4</v>
      </c>
      <c r="E347">
        <v>51.9</v>
      </c>
      <c r="F347">
        <v>43.5</v>
      </c>
      <c r="G347" t="s">
        <v>6</v>
      </c>
      <c r="H347">
        <v>14.4</v>
      </c>
      <c r="I347">
        <v>22</v>
      </c>
      <c r="J347">
        <v>11</v>
      </c>
      <c r="K347" t="s">
        <v>6</v>
      </c>
      <c r="L347">
        <v>217</v>
      </c>
      <c r="M347" t="s">
        <v>6</v>
      </c>
    </row>
    <row r="348" spans="1:13" x14ac:dyDescent="0.2">
      <c r="A348" s="1">
        <v>45425</v>
      </c>
      <c r="B348" s="2">
        <v>0.875</v>
      </c>
      <c r="C348" s="3">
        <v>45425.875</v>
      </c>
      <c r="D348">
        <v>48.8</v>
      </c>
      <c r="E348">
        <v>56.7</v>
      </c>
      <c r="F348">
        <v>43.5</v>
      </c>
      <c r="G348" t="s">
        <v>6</v>
      </c>
      <c r="H348">
        <v>15</v>
      </c>
      <c r="I348">
        <v>30.8</v>
      </c>
      <c r="J348">
        <v>11.2</v>
      </c>
      <c r="K348" t="s">
        <v>6</v>
      </c>
      <c r="L348">
        <v>204</v>
      </c>
      <c r="M348" t="s">
        <v>6</v>
      </c>
    </row>
    <row r="349" spans="1:13" x14ac:dyDescent="0.2">
      <c r="A349" s="1">
        <v>45425</v>
      </c>
      <c r="B349" s="2">
        <v>0.91666666666666663</v>
      </c>
      <c r="C349" s="3">
        <v>45425.916666666664</v>
      </c>
      <c r="D349">
        <v>43.2</v>
      </c>
      <c r="E349">
        <v>49</v>
      </c>
      <c r="F349">
        <v>40.1</v>
      </c>
      <c r="G349" t="s">
        <v>6</v>
      </c>
      <c r="H349">
        <v>15</v>
      </c>
      <c r="I349">
        <v>26.3</v>
      </c>
      <c r="J349">
        <v>11.1</v>
      </c>
      <c r="K349" t="s">
        <v>6</v>
      </c>
      <c r="L349">
        <v>220</v>
      </c>
      <c r="M349" t="s">
        <v>6</v>
      </c>
    </row>
    <row r="350" spans="1:13" x14ac:dyDescent="0.2">
      <c r="A350" s="1">
        <v>45425</v>
      </c>
      <c r="B350" s="2">
        <v>0.95833333333333337</v>
      </c>
      <c r="C350" s="3">
        <v>45425.958333333336</v>
      </c>
      <c r="D350">
        <v>42.2</v>
      </c>
      <c r="E350">
        <v>46</v>
      </c>
      <c r="F350">
        <v>40.1</v>
      </c>
      <c r="G350" t="s">
        <v>6</v>
      </c>
      <c r="H350">
        <v>12.8</v>
      </c>
      <c r="I350">
        <v>15.7</v>
      </c>
      <c r="J350">
        <v>11.7</v>
      </c>
      <c r="K350" t="s">
        <v>6</v>
      </c>
      <c r="L350">
        <v>212</v>
      </c>
      <c r="M350" t="s">
        <v>6</v>
      </c>
    </row>
    <row r="351" spans="1:13" x14ac:dyDescent="0.2">
      <c r="A351" s="1">
        <v>45426</v>
      </c>
      <c r="B351" s="2">
        <v>0</v>
      </c>
      <c r="C351" s="3">
        <v>45426</v>
      </c>
      <c r="D351">
        <v>43.4</v>
      </c>
      <c r="E351">
        <v>47</v>
      </c>
      <c r="F351">
        <v>40.200000000000003</v>
      </c>
      <c r="G351" t="s">
        <v>6</v>
      </c>
      <c r="H351">
        <v>13.5</v>
      </c>
      <c r="I351">
        <v>20.7</v>
      </c>
      <c r="J351">
        <v>11.7</v>
      </c>
      <c r="K351" t="s">
        <v>6</v>
      </c>
      <c r="L351">
        <v>226</v>
      </c>
      <c r="M351" t="s">
        <v>6</v>
      </c>
    </row>
    <row r="352" spans="1:13" x14ac:dyDescent="0.2">
      <c r="A352" s="1">
        <v>45426</v>
      </c>
      <c r="B352" s="2">
        <v>4.1666666666666664E-2</v>
      </c>
      <c r="C352" s="3">
        <v>45426.041666666664</v>
      </c>
      <c r="D352">
        <v>46.6</v>
      </c>
      <c r="E352">
        <v>63.8</v>
      </c>
      <c r="F352">
        <v>41.6</v>
      </c>
      <c r="G352" t="s">
        <v>6</v>
      </c>
      <c r="H352">
        <v>15.2</v>
      </c>
      <c r="I352">
        <v>25.1</v>
      </c>
      <c r="J352">
        <v>11.9</v>
      </c>
      <c r="K352" t="s">
        <v>6</v>
      </c>
      <c r="L352">
        <v>214</v>
      </c>
      <c r="M352" t="s">
        <v>6</v>
      </c>
    </row>
    <row r="353" spans="1:13" x14ac:dyDescent="0.2">
      <c r="A353" s="1">
        <v>45426</v>
      </c>
      <c r="B353" s="2">
        <v>8.3333333333333329E-2</v>
      </c>
      <c r="C353" s="3">
        <v>45426.083333333336</v>
      </c>
      <c r="D353">
        <v>46</v>
      </c>
      <c r="E353">
        <v>63.7</v>
      </c>
      <c r="F353">
        <v>40.1</v>
      </c>
      <c r="G353" t="s">
        <v>6</v>
      </c>
      <c r="H353">
        <v>14</v>
      </c>
      <c r="I353">
        <v>24.1</v>
      </c>
      <c r="J353">
        <v>11.9</v>
      </c>
      <c r="K353" t="s">
        <v>6</v>
      </c>
      <c r="L353">
        <v>220</v>
      </c>
      <c r="M353" t="s">
        <v>6</v>
      </c>
    </row>
    <row r="354" spans="1:13" x14ac:dyDescent="0.2">
      <c r="A354" s="1">
        <v>45426</v>
      </c>
      <c r="B354" s="2">
        <v>0.125</v>
      </c>
      <c r="C354" s="3">
        <v>45426.125</v>
      </c>
      <c r="D354">
        <v>45.2</v>
      </c>
      <c r="E354">
        <v>52.1</v>
      </c>
      <c r="F354">
        <v>40.6</v>
      </c>
      <c r="G354" t="s">
        <v>6</v>
      </c>
      <c r="H354">
        <v>13.8</v>
      </c>
      <c r="I354">
        <v>21.8</v>
      </c>
      <c r="J354">
        <v>11.8</v>
      </c>
      <c r="K354" t="s">
        <v>6</v>
      </c>
      <c r="L354">
        <v>213</v>
      </c>
      <c r="M354" t="s">
        <v>6</v>
      </c>
    </row>
    <row r="355" spans="1:13" x14ac:dyDescent="0.2">
      <c r="A355" s="1">
        <v>45426</v>
      </c>
      <c r="B355" s="2">
        <v>0.16666666666666666</v>
      </c>
      <c r="C355" s="3">
        <v>45426.166666666664</v>
      </c>
      <c r="D355">
        <v>48</v>
      </c>
      <c r="E355">
        <v>53.3</v>
      </c>
      <c r="F355">
        <v>42.6</v>
      </c>
      <c r="G355" t="s">
        <v>6</v>
      </c>
      <c r="H355">
        <v>13.2</v>
      </c>
      <c r="I355">
        <v>21.8</v>
      </c>
      <c r="J355">
        <v>11.1</v>
      </c>
      <c r="K355" t="s">
        <v>6</v>
      </c>
      <c r="L355">
        <v>215</v>
      </c>
      <c r="M355" t="s">
        <v>6</v>
      </c>
    </row>
    <row r="356" spans="1:13" x14ac:dyDescent="0.2">
      <c r="A356" s="1">
        <v>45426</v>
      </c>
      <c r="B356" s="2">
        <v>0.20833333333333334</v>
      </c>
      <c r="C356" s="3">
        <v>45426.208333333336</v>
      </c>
      <c r="D356">
        <v>47.1</v>
      </c>
      <c r="E356">
        <v>50.5</v>
      </c>
      <c r="F356">
        <v>45</v>
      </c>
      <c r="G356" t="s">
        <v>6</v>
      </c>
      <c r="H356">
        <v>13.6</v>
      </c>
      <c r="I356">
        <v>24.2</v>
      </c>
      <c r="J356">
        <v>10.9</v>
      </c>
      <c r="K356" t="s">
        <v>6</v>
      </c>
      <c r="L356">
        <v>221</v>
      </c>
      <c r="M356" t="s">
        <v>6</v>
      </c>
    </row>
    <row r="357" spans="1:13" x14ac:dyDescent="0.2">
      <c r="A357" s="1">
        <v>45426</v>
      </c>
      <c r="B357" s="2">
        <v>0.25</v>
      </c>
      <c r="C357" s="3">
        <v>45426.25</v>
      </c>
      <c r="D357">
        <v>51.2</v>
      </c>
      <c r="E357">
        <v>56.5</v>
      </c>
      <c r="F357">
        <v>46.3</v>
      </c>
      <c r="G357" t="s">
        <v>6</v>
      </c>
      <c r="H357">
        <v>11.1</v>
      </c>
      <c r="I357">
        <v>17.8</v>
      </c>
      <c r="J357">
        <v>9</v>
      </c>
      <c r="K357" t="s">
        <v>6</v>
      </c>
      <c r="L357">
        <v>223</v>
      </c>
      <c r="M357" t="s">
        <v>6</v>
      </c>
    </row>
    <row r="358" spans="1:13" x14ac:dyDescent="0.2">
      <c r="A358" s="1">
        <v>45426</v>
      </c>
      <c r="B358" s="2">
        <v>0.29166666666666669</v>
      </c>
      <c r="C358" s="3">
        <v>45426.291666666664</v>
      </c>
      <c r="D358">
        <v>53.4</v>
      </c>
      <c r="E358">
        <v>56.5</v>
      </c>
      <c r="F358">
        <v>49.6</v>
      </c>
      <c r="G358" t="s">
        <v>6</v>
      </c>
      <c r="H358">
        <v>12.9</v>
      </c>
      <c r="I358">
        <v>23.9</v>
      </c>
      <c r="J358">
        <v>9</v>
      </c>
      <c r="K358" t="s">
        <v>6</v>
      </c>
      <c r="L358">
        <v>214</v>
      </c>
      <c r="M358" t="s">
        <v>6</v>
      </c>
    </row>
    <row r="359" spans="1:13" x14ac:dyDescent="0.2">
      <c r="A359" s="13">
        <v>45426</v>
      </c>
      <c r="B359" s="9">
        <v>0.33333333333333331</v>
      </c>
      <c r="C359" s="8">
        <v>45426.333333333336</v>
      </c>
      <c r="D359" s="10">
        <v>48.9</v>
      </c>
      <c r="E359" s="10">
        <v>50.8</v>
      </c>
      <c r="F359" s="10">
        <v>47.5</v>
      </c>
      <c r="G359" s="10" t="s">
        <v>6</v>
      </c>
      <c r="H359" s="10">
        <v>15.6</v>
      </c>
      <c r="I359" s="10">
        <v>20.3</v>
      </c>
      <c r="J359" s="10">
        <v>11.5</v>
      </c>
      <c r="K359" s="10" t="s">
        <v>6</v>
      </c>
      <c r="L359" s="10">
        <v>128</v>
      </c>
      <c r="M359" t="s">
        <v>6</v>
      </c>
    </row>
    <row r="360" spans="1:13" x14ac:dyDescent="0.2">
      <c r="A360" s="14">
        <v>45426</v>
      </c>
      <c r="B360" s="12">
        <v>0.375</v>
      </c>
      <c r="C360" s="7">
        <v>45426.375</v>
      </c>
      <c r="D360" s="11">
        <v>46.9</v>
      </c>
      <c r="E360" s="11">
        <v>48.7</v>
      </c>
      <c r="F360" s="11">
        <v>45.4</v>
      </c>
      <c r="G360" s="11" t="s">
        <v>6</v>
      </c>
      <c r="H360" s="11">
        <v>15.7</v>
      </c>
      <c r="I360" s="11">
        <v>20.100000000000001</v>
      </c>
      <c r="J360" s="11">
        <v>11.9</v>
      </c>
      <c r="K360" s="11" t="s">
        <v>6</v>
      </c>
      <c r="L360" s="11">
        <v>133</v>
      </c>
      <c r="M360" t="s">
        <v>6</v>
      </c>
    </row>
    <row r="361" spans="1:13" x14ac:dyDescent="0.2">
      <c r="A361" s="1">
        <v>45426</v>
      </c>
      <c r="B361" s="2">
        <v>0.41666666666666669</v>
      </c>
      <c r="C361" s="3">
        <v>45426.416666666664</v>
      </c>
      <c r="D361">
        <v>45.3</v>
      </c>
      <c r="E361">
        <v>48.2</v>
      </c>
      <c r="F361">
        <v>42.6</v>
      </c>
      <c r="G361" t="s">
        <v>6</v>
      </c>
      <c r="H361">
        <v>11.6</v>
      </c>
      <c r="I361">
        <v>21</v>
      </c>
      <c r="J361">
        <v>9</v>
      </c>
      <c r="K361" t="s">
        <v>6</v>
      </c>
      <c r="L361">
        <v>181</v>
      </c>
      <c r="M361" t="s">
        <v>6</v>
      </c>
    </row>
    <row r="362" spans="1:13" x14ac:dyDescent="0.2">
      <c r="A362" s="1">
        <v>45426</v>
      </c>
      <c r="B362" s="2">
        <v>0.45833333333333331</v>
      </c>
      <c r="C362" s="3">
        <v>45426.458333333336</v>
      </c>
      <c r="D362">
        <v>42.4</v>
      </c>
      <c r="E362">
        <v>42.6</v>
      </c>
      <c r="F362">
        <v>42.2</v>
      </c>
      <c r="G362" t="s">
        <v>6</v>
      </c>
      <c r="H362">
        <v>11.1</v>
      </c>
      <c r="I362">
        <v>13.5</v>
      </c>
      <c r="J362">
        <v>9.8000000000000007</v>
      </c>
      <c r="K362" t="s">
        <v>6</v>
      </c>
      <c r="L362">
        <v>25</v>
      </c>
      <c r="M362" t="s">
        <v>6</v>
      </c>
    </row>
    <row r="363" spans="1:13" x14ac:dyDescent="0.2">
      <c r="A363" s="1">
        <v>45426</v>
      </c>
      <c r="B363" s="2">
        <v>0.83333333333333337</v>
      </c>
      <c r="C363" s="3">
        <v>45426.833333333336</v>
      </c>
      <c r="D363">
        <v>53.1</v>
      </c>
      <c r="E363">
        <v>56.6</v>
      </c>
      <c r="F363">
        <v>46.3</v>
      </c>
      <c r="G363" t="s">
        <v>6</v>
      </c>
      <c r="H363">
        <v>23.9</v>
      </c>
      <c r="I363">
        <v>31</v>
      </c>
      <c r="J363">
        <v>15.4</v>
      </c>
      <c r="K363" t="s">
        <v>6</v>
      </c>
      <c r="L363">
        <v>37</v>
      </c>
      <c r="M363" t="s">
        <v>6</v>
      </c>
    </row>
    <row r="364" spans="1:13" x14ac:dyDescent="0.2">
      <c r="A364" s="1">
        <v>45426</v>
      </c>
      <c r="B364" s="2">
        <v>0.875</v>
      </c>
      <c r="C364" s="3">
        <v>45426.875</v>
      </c>
      <c r="D364">
        <v>47.4</v>
      </c>
      <c r="E364">
        <v>53.9</v>
      </c>
      <c r="F364">
        <v>40.9</v>
      </c>
      <c r="G364" t="s">
        <v>6</v>
      </c>
      <c r="H364">
        <v>16.7</v>
      </c>
      <c r="I364">
        <v>28.5</v>
      </c>
      <c r="J364">
        <v>13.5</v>
      </c>
      <c r="K364" t="s">
        <v>6</v>
      </c>
      <c r="L364">
        <v>216</v>
      </c>
      <c r="M364" t="s">
        <v>6</v>
      </c>
    </row>
    <row r="365" spans="1:13" x14ac:dyDescent="0.2">
      <c r="A365" s="1">
        <v>45426</v>
      </c>
      <c r="B365" s="2">
        <v>0.91666666666666663</v>
      </c>
      <c r="C365" s="3">
        <v>45426.916666666664</v>
      </c>
      <c r="D365">
        <v>48</v>
      </c>
      <c r="E365">
        <v>56.4</v>
      </c>
      <c r="F365">
        <v>43.7</v>
      </c>
      <c r="G365" t="s">
        <v>6</v>
      </c>
      <c r="H365">
        <v>17.600000000000001</v>
      </c>
      <c r="I365">
        <v>27.7</v>
      </c>
      <c r="J365">
        <v>13.8</v>
      </c>
      <c r="K365" t="s">
        <v>6</v>
      </c>
      <c r="L365">
        <v>212</v>
      </c>
      <c r="M365" t="s">
        <v>6</v>
      </c>
    </row>
    <row r="366" spans="1:13" x14ac:dyDescent="0.2">
      <c r="A366" s="1">
        <v>45426</v>
      </c>
      <c r="B366" s="2">
        <v>0.95833333333333337</v>
      </c>
      <c r="C366" s="3">
        <v>45426.958333333336</v>
      </c>
      <c r="D366">
        <v>47</v>
      </c>
      <c r="E366">
        <v>53.1</v>
      </c>
      <c r="F366">
        <v>43.6</v>
      </c>
      <c r="G366" t="s">
        <v>6</v>
      </c>
      <c r="H366">
        <v>17.8</v>
      </c>
      <c r="I366">
        <v>29.1</v>
      </c>
      <c r="J366">
        <v>13.4</v>
      </c>
      <c r="K366" t="s">
        <v>6</v>
      </c>
      <c r="L366">
        <v>216</v>
      </c>
      <c r="M366" t="s">
        <v>6</v>
      </c>
    </row>
    <row r="367" spans="1:13" x14ac:dyDescent="0.2">
      <c r="A367" s="1">
        <v>45427</v>
      </c>
      <c r="B367" s="2">
        <v>0</v>
      </c>
      <c r="C367" s="3">
        <v>45427</v>
      </c>
      <c r="D367">
        <v>47.5</v>
      </c>
      <c r="E367">
        <v>51.8</v>
      </c>
      <c r="F367">
        <v>43.4</v>
      </c>
      <c r="G367" t="s">
        <v>6</v>
      </c>
      <c r="H367">
        <v>15.9</v>
      </c>
      <c r="I367">
        <v>27.5</v>
      </c>
      <c r="J367">
        <v>12.9</v>
      </c>
      <c r="K367" t="s">
        <v>6</v>
      </c>
      <c r="L367">
        <v>215</v>
      </c>
      <c r="M367" t="s">
        <v>6</v>
      </c>
    </row>
    <row r="368" spans="1:13" x14ac:dyDescent="0.2">
      <c r="A368" s="1">
        <v>45427</v>
      </c>
      <c r="B368" s="2">
        <v>4.1666666666666664E-2</v>
      </c>
      <c r="C368" s="3">
        <v>45427.041666666664</v>
      </c>
      <c r="D368">
        <v>42.2</v>
      </c>
      <c r="E368">
        <v>46.2</v>
      </c>
      <c r="F368">
        <v>40.1</v>
      </c>
      <c r="G368" t="s">
        <v>6</v>
      </c>
      <c r="H368">
        <v>16</v>
      </c>
      <c r="I368">
        <v>31.4</v>
      </c>
      <c r="J368">
        <v>12.1</v>
      </c>
      <c r="K368" t="s">
        <v>6</v>
      </c>
      <c r="L368">
        <v>193</v>
      </c>
      <c r="M368" t="s">
        <v>6</v>
      </c>
    </row>
    <row r="369" spans="1:13" x14ac:dyDescent="0.2">
      <c r="A369" s="1">
        <v>45427</v>
      </c>
      <c r="B369" s="2">
        <v>8.3333333333333329E-2</v>
      </c>
      <c r="C369" s="3">
        <v>45427.083333333336</v>
      </c>
      <c r="D369">
        <v>47.4</v>
      </c>
      <c r="E369">
        <v>57.9</v>
      </c>
      <c r="F369">
        <v>40.9</v>
      </c>
      <c r="G369" t="s">
        <v>6</v>
      </c>
      <c r="H369">
        <v>13.7</v>
      </c>
      <c r="I369">
        <v>19.5</v>
      </c>
      <c r="J369">
        <v>11.8</v>
      </c>
      <c r="K369" t="s">
        <v>6</v>
      </c>
      <c r="L369">
        <v>204</v>
      </c>
      <c r="M369" t="s">
        <v>6</v>
      </c>
    </row>
    <row r="370" spans="1:13" x14ac:dyDescent="0.2">
      <c r="A370" s="1">
        <v>45427</v>
      </c>
      <c r="B370" s="2">
        <v>0.125</v>
      </c>
      <c r="C370" s="3">
        <v>45427.125</v>
      </c>
      <c r="D370">
        <v>43.6</v>
      </c>
      <c r="E370">
        <v>51.1</v>
      </c>
      <c r="F370">
        <v>40.4</v>
      </c>
      <c r="G370" t="s">
        <v>6</v>
      </c>
      <c r="H370">
        <v>15.8</v>
      </c>
      <c r="I370">
        <v>26.1</v>
      </c>
      <c r="J370">
        <v>11.8</v>
      </c>
      <c r="K370" t="s">
        <v>6</v>
      </c>
      <c r="L370">
        <v>197</v>
      </c>
      <c r="M370" t="s">
        <v>6</v>
      </c>
    </row>
    <row r="371" spans="1:13" x14ac:dyDescent="0.2">
      <c r="A371" s="1">
        <v>45427</v>
      </c>
      <c r="B371" s="2">
        <v>0.16666666666666666</v>
      </c>
      <c r="C371" s="3">
        <v>45427.166666666664</v>
      </c>
      <c r="D371">
        <v>49.4</v>
      </c>
      <c r="E371">
        <v>55.7</v>
      </c>
      <c r="F371">
        <v>44</v>
      </c>
      <c r="G371" t="s">
        <v>6</v>
      </c>
      <c r="H371">
        <v>13.2</v>
      </c>
      <c r="I371">
        <v>18.3</v>
      </c>
      <c r="J371">
        <v>11.2</v>
      </c>
      <c r="K371" t="s">
        <v>6</v>
      </c>
      <c r="L371">
        <v>221</v>
      </c>
      <c r="M371" t="s">
        <v>6</v>
      </c>
    </row>
    <row r="372" spans="1:13" x14ac:dyDescent="0.2">
      <c r="A372" s="1">
        <v>45427</v>
      </c>
      <c r="B372" s="2">
        <v>0.20833333333333334</v>
      </c>
      <c r="C372" s="3">
        <v>45427.208333333336</v>
      </c>
      <c r="D372">
        <v>48.9</v>
      </c>
      <c r="E372">
        <v>52.7</v>
      </c>
      <c r="F372">
        <v>45.2</v>
      </c>
      <c r="G372" t="s">
        <v>6</v>
      </c>
      <c r="H372">
        <v>13.9</v>
      </c>
      <c r="I372">
        <v>20.3</v>
      </c>
      <c r="J372">
        <v>11.5</v>
      </c>
      <c r="K372" t="s">
        <v>6</v>
      </c>
      <c r="L372">
        <v>209</v>
      </c>
      <c r="M372" t="s">
        <v>6</v>
      </c>
    </row>
    <row r="373" spans="1:13" x14ac:dyDescent="0.2">
      <c r="A373" s="1">
        <v>45427</v>
      </c>
      <c r="B373" s="2">
        <v>0.25</v>
      </c>
      <c r="C373" s="3">
        <v>45427.25</v>
      </c>
      <c r="D373">
        <v>45.3</v>
      </c>
      <c r="E373">
        <v>48.4</v>
      </c>
      <c r="F373">
        <v>42.3</v>
      </c>
      <c r="G373" t="s">
        <v>6</v>
      </c>
      <c r="H373">
        <v>14</v>
      </c>
      <c r="I373">
        <v>20.8</v>
      </c>
      <c r="J373">
        <v>11.1</v>
      </c>
      <c r="K373" t="s">
        <v>6</v>
      </c>
      <c r="L373">
        <v>227</v>
      </c>
      <c r="M373" t="s">
        <v>6</v>
      </c>
    </row>
    <row r="374" spans="1:13" x14ac:dyDescent="0.2">
      <c r="A374" s="1">
        <v>45427</v>
      </c>
      <c r="B374" s="2">
        <v>0.29166666666666669</v>
      </c>
      <c r="C374" s="3">
        <v>45427.291666666664</v>
      </c>
      <c r="D374">
        <v>45.8</v>
      </c>
      <c r="E374">
        <v>50.9</v>
      </c>
      <c r="F374">
        <v>40.6</v>
      </c>
      <c r="G374" t="s">
        <v>6</v>
      </c>
      <c r="H374">
        <v>15.9</v>
      </c>
      <c r="I374">
        <v>22</v>
      </c>
      <c r="J374">
        <v>12.2</v>
      </c>
      <c r="K374" t="s">
        <v>6</v>
      </c>
      <c r="L374">
        <v>148</v>
      </c>
      <c r="M374" t="s">
        <v>6</v>
      </c>
    </row>
    <row r="375" spans="1:13" x14ac:dyDescent="0.2">
      <c r="A375" s="13">
        <v>45427</v>
      </c>
      <c r="B375" s="9">
        <v>0.33333333333333331</v>
      </c>
      <c r="C375" s="8">
        <v>45427.333333333336</v>
      </c>
      <c r="D375" s="10">
        <v>45.8</v>
      </c>
      <c r="E375" s="10">
        <v>49.2</v>
      </c>
      <c r="F375" s="10">
        <v>43.9</v>
      </c>
      <c r="G375" s="10" t="s">
        <v>6</v>
      </c>
      <c r="H375" s="10">
        <v>14</v>
      </c>
      <c r="I375" s="10">
        <v>24.4</v>
      </c>
      <c r="J375" s="10">
        <v>10.5</v>
      </c>
      <c r="K375" s="10" t="s">
        <v>6</v>
      </c>
      <c r="L375" s="10">
        <v>205</v>
      </c>
      <c r="M375" t="s">
        <v>6</v>
      </c>
    </row>
    <row r="376" spans="1:13" x14ac:dyDescent="0.2">
      <c r="A376" s="14">
        <v>45427</v>
      </c>
      <c r="B376" s="12">
        <v>0.375</v>
      </c>
      <c r="C376" s="7">
        <v>45427.375</v>
      </c>
      <c r="D376" s="11">
        <v>48.8</v>
      </c>
      <c r="E376" s="11">
        <v>52.4</v>
      </c>
      <c r="F376" s="11">
        <v>44.8</v>
      </c>
      <c r="G376" s="11" t="s">
        <v>6</v>
      </c>
      <c r="H376" s="11">
        <v>12.2</v>
      </c>
      <c r="I376" s="11">
        <v>18.7</v>
      </c>
      <c r="J376" s="11">
        <v>10.199999999999999</v>
      </c>
      <c r="K376" s="11" t="s">
        <v>6</v>
      </c>
      <c r="L376" s="11">
        <v>228</v>
      </c>
      <c r="M376" t="s">
        <v>6</v>
      </c>
    </row>
    <row r="377" spans="1:13" x14ac:dyDescent="0.2">
      <c r="A377" s="1">
        <v>45427</v>
      </c>
      <c r="B377" s="2">
        <v>0.41666666666666669</v>
      </c>
      <c r="C377" s="3">
        <v>45427.416666666664</v>
      </c>
      <c r="D377">
        <v>45</v>
      </c>
      <c r="E377">
        <v>47.7</v>
      </c>
      <c r="F377">
        <v>42.6</v>
      </c>
      <c r="G377" t="s">
        <v>6</v>
      </c>
      <c r="H377">
        <v>12.3</v>
      </c>
      <c r="I377">
        <v>19.8</v>
      </c>
      <c r="J377">
        <v>9.4</v>
      </c>
      <c r="K377" t="s">
        <v>6</v>
      </c>
      <c r="L377">
        <v>186</v>
      </c>
      <c r="M377" t="s">
        <v>6</v>
      </c>
    </row>
    <row r="378" spans="1:13" x14ac:dyDescent="0.2">
      <c r="A378" s="1">
        <v>45427</v>
      </c>
      <c r="B378" s="2">
        <v>0.45833333333333331</v>
      </c>
      <c r="C378" s="3">
        <v>45427.458333333336</v>
      </c>
      <c r="D378">
        <v>42.6</v>
      </c>
      <c r="E378">
        <v>47.5</v>
      </c>
      <c r="F378">
        <v>40.1</v>
      </c>
      <c r="G378" t="s">
        <v>6</v>
      </c>
      <c r="H378">
        <v>10.6</v>
      </c>
      <c r="I378">
        <v>15.5</v>
      </c>
      <c r="J378">
        <v>9</v>
      </c>
      <c r="K378" t="s">
        <v>6</v>
      </c>
      <c r="L378">
        <v>203</v>
      </c>
      <c r="M378" t="s">
        <v>6</v>
      </c>
    </row>
    <row r="379" spans="1:13" x14ac:dyDescent="0.2">
      <c r="A379" s="1">
        <v>45427</v>
      </c>
      <c r="B379" s="2">
        <v>0.5</v>
      </c>
      <c r="C379" s="3">
        <v>45427.5</v>
      </c>
      <c r="D379">
        <v>44.1</v>
      </c>
      <c r="E379">
        <v>46.2</v>
      </c>
      <c r="F379">
        <v>40.1</v>
      </c>
      <c r="G379" t="s">
        <v>6</v>
      </c>
      <c r="H379">
        <v>12.6</v>
      </c>
      <c r="I379">
        <v>20.6</v>
      </c>
      <c r="J379">
        <v>9.3000000000000007</v>
      </c>
      <c r="K379" t="s">
        <v>6</v>
      </c>
      <c r="L379">
        <v>151</v>
      </c>
      <c r="M379" t="s">
        <v>6</v>
      </c>
    </row>
    <row r="380" spans="1:13" x14ac:dyDescent="0.2">
      <c r="A380" s="1">
        <v>45427</v>
      </c>
      <c r="B380" s="2">
        <v>0.54166666666666663</v>
      </c>
      <c r="C380" s="3">
        <v>45427.541666666664</v>
      </c>
      <c r="D380">
        <v>47.4</v>
      </c>
      <c r="E380">
        <v>55.1</v>
      </c>
      <c r="F380">
        <v>42.6</v>
      </c>
      <c r="G380" t="s">
        <v>6</v>
      </c>
      <c r="H380">
        <v>12.7</v>
      </c>
      <c r="I380">
        <v>18.600000000000001</v>
      </c>
      <c r="J380">
        <v>9.6999999999999993</v>
      </c>
      <c r="K380" t="s">
        <v>6</v>
      </c>
      <c r="L380">
        <v>173</v>
      </c>
      <c r="M380" t="s">
        <v>6</v>
      </c>
    </row>
    <row r="381" spans="1:13" x14ac:dyDescent="0.2">
      <c r="A381" s="1">
        <v>45427</v>
      </c>
      <c r="B381" s="2">
        <v>0.58333333333333337</v>
      </c>
      <c r="C381" s="3">
        <v>45427.583333333336</v>
      </c>
      <c r="D381">
        <v>51.1</v>
      </c>
      <c r="E381">
        <v>55.4</v>
      </c>
      <c r="F381">
        <v>49.7</v>
      </c>
      <c r="G381" t="s">
        <v>6</v>
      </c>
      <c r="H381">
        <v>14.9</v>
      </c>
      <c r="I381">
        <v>19.600000000000001</v>
      </c>
      <c r="J381">
        <v>11</v>
      </c>
      <c r="K381" t="s">
        <v>6</v>
      </c>
      <c r="L381">
        <v>115</v>
      </c>
      <c r="M381" t="s">
        <v>6</v>
      </c>
    </row>
    <row r="382" spans="1:13" x14ac:dyDescent="0.2">
      <c r="A382" s="1">
        <v>45427</v>
      </c>
      <c r="B382" s="2">
        <v>0.625</v>
      </c>
      <c r="C382" s="3">
        <v>45427.625</v>
      </c>
      <c r="D382">
        <v>53.4</v>
      </c>
      <c r="E382">
        <v>59.7</v>
      </c>
      <c r="F382">
        <v>50</v>
      </c>
      <c r="G382" t="s">
        <v>6</v>
      </c>
      <c r="H382">
        <v>15.3</v>
      </c>
      <c r="I382">
        <v>19.100000000000001</v>
      </c>
      <c r="J382">
        <v>12.5</v>
      </c>
      <c r="K382" t="s">
        <v>6</v>
      </c>
      <c r="L382">
        <v>81</v>
      </c>
      <c r="M382" t="s">
        <v>6</v>
      </c>
    </row>
    <row r="383" spans="1:13" x14ac:dyDescent="0.2">
      <c r="A383" s="1">
        <v>45427</v>
      </c>
      <c r="B383" s="2">
        <v>0.66666666666666663</v>
      </c>
      <c r="C383" s="3">
        <v>45427.666666666664</v>
      </c>
      <c r="D383">
        <v>68.3</v>
      </c>
      <c r="E383">
        <v>72.7</v>
      </c>
      <c r="F383">
        <v>64.099999999999994</v>
      </c>
      <c r="G383" t="s">
        <v>6</v>
      </c>
      <c r="H383">
        <v>15</v>
      </c>
      <c r="I383">
        <v>18.100000000000001</v>
      </c>
      <c r="J383">
        <v>12.5</v>
      </c>
      <c r="K383" t="s">
        <v>6</v>
      </c>
      <c r="L383">
        <v>139</v>
      </c>
      <c r="M383" t="s">
        <v>6</v>
      </c>
    </row>
    <row r="384" spans="1:13" x14ac:dyDescent="0.2">
      <c r="A384" s="1">
        <v>45427</v>
      </c>
      <c r="B384" s="2">
        <v>0.70833333333333337</v>
      </c>
      <c r="C384" s="3">
        <v>45427.708333333336</v>
      </c>
      <c r="D384">
        <v>67.3</v>
      </c>
      <c r="E384">
        <v>71.099999999999994</v>
      </c>
      <c r="F384">
        <v>62.7</v>
      </c>
      <c r="G384" t="s">
        <v>6</v>
      </c>
      <c r="H384">
        <v>15.6</v>
      </c>
      <c r="I384">
        <v>21.7</v>
      </c>
      <c r="J384">
        <v>12.1</v>
      </c>
      <c r="K384" t="s">
        <v>6</v>
      </c>
      <c r="L384">
        <v>216</v>
      </c>
      <c r="M384" t="s">
        <v>6</v>
      </c>
    </row>
    <row r="385" spans="1:13" x14ac:dyDescent="0.2">
      <c r="A385" s="1">
        <v>45427</v>
      </c>
      <c r="B385" s="2">
        <v>0.75</v>
      </c>
      <c r="C385" s="3">
        <v>45427.75</v>
      </c>
      <c r="D385">
        <v>62.3</v>
      </c>
      <c r="E385">
        <v>65.3</v>
      </c>
      <c r="F385">
        <v>60.1</v>
      </c>
      <c r="G385" t="s">
        <v>6</v>
      </c>
      <c r="H385">
        <v>15.5</v>
      </c>
      <c r="I385">
        <v>19.899999999999999</v>
      </c>
      <c r="J385">
        <v>11.8</v>
      </c>
      <c r="K385" t="s">
        <v>6</v>
      </c>
      <c r="L385">
        <v>136</v>
      </c>
      <c r="M385" t="s">
        <v>6</v>
      </c>
    </row>
    <row r="386" spans="1:13" x14ac:dyDescent="0.2">
      <c r="A386" s="1">
        <v>45427</v>
      </c>
      <c r="B386" s="2">
        <v>0.79166666666666663</v>
      </c>
      <c r="C386" s="3">
        <v>45427.791666666664</v>
      </c>
      <c r="D386">
        <v>59.4</v>
      </c>
      <c r="E386">
        <v>62.2</v>
      </c>
      <c r="F386">
        <v>55.5</v>
      </c>
      <c r="G386" t="s">
        <v>6</v>
      </c>
      <c r="H386">
        <v>17.3</v>
      </c>
      <c r="I386">
        <v>24.8</v>
      </c>
      <c r="J386">
        <v>14</v>
      </c>
      <c r="K386" t="s">
        <v>6</v>
      </c>
      <c r="L386">
        <v>97</v>
      </c>
      <c r="M386" t="s">
        <v>6</v>
      </c>
    </row>
    <row r="387" spans="1:13" x14ac:dyDescent="0.2">
      <c r="A387" s="1">
        <v>45427</v>
      </c>
      <c r="B387" s="2">
        <v>0.83333333333333337</v>
      </c>
      <c r="C387" s="3">
        <v>45427.833333333336</v>
      </c>
      <c r="D387">
        <v>51</v>
      </c>
      <c r="E387">
        <v>60.4</v>
      </c>
      <c r="F387">
        <v>44.3</v>
      </c>
      <c r="G387" t="s">
        <v>6</v>
      </c>
      <c r="H387">
        <v>15</v>
      </c>
      <c r="I387">
        <v>25.7</v>
      </c>
      <c r="J387">
        <v>12.2</v>
      </c>
      <c r="K387" t="s">
        <v>6</v>
      </c>
      <c r="L387">
        <v>223</v>
      </c>
      <c r="M387" t="s">
        <v>6</v>
      </c>
    </row>
    <row r="388" spans="1:13" x14ac:dyDescent="0.2">
      <c r="A388" s="1">
        <v>45427</v>
      </c>
      <c r="B388" s="2">
        <v>0.875</v>
      </c>
      <c r="C388" s="3">
        <v>45427.875</v>
      </c>
      <c r="D388">
        <v>47.6</v>
      </c>
      <c r="E388">
        <v>56.2</v>
      </c>
      <c r="F388">
        <v>41.4</v>
      </c>
      <c r="G388" t="s">
        <v>6</v>
      </c>
      <c r="H388">
        <v>16.899999999999999</v>
      </c>
      <c r="I388">
        <v>27.3</v>
      </c>
      <c r="J388">
        <v>12.3</v>
      </c>
      <c r="K388" t="s">
        <v>6</v>
      </c>
      <c r="L388">
        <v>219</v>
      </c>
      <c r="M388" t="s">
        <v>6</v>
      </c>
    </row>
    <row r="389" spans="1:13" x14ac:dyDescent="0.2">
      <c r="A389" s="1">
        <v>45427</v>
      </c>
      <c r="B389" s="2">
        <v>0.91666666666666663</v>
      </c>
      <c r="C389" s="3">
        <v>45427.916666666664</v>
      </c>
      <c r="D389">
        <v>43.5</v>
      </c>
      <c r="E389">
        <v>47.4</v>
      </c>
      <c r="F389">
        <v>40.1</v>
      </c>
      <c r="G389" t="s">
        <v>6</v>
      </c>
      <c r="H389">
        <v>14.8</v>
      </c>
      <c r="I389">
        <v>26</v>
      </c>
      <c r="J389">
        <v>12</v>
      </c>
      <c r="K389" t="s">
        <v>6</v>
      </c>
      <c r="L389">
        <v>215</v>
      </c>
      <c r="M389" t="s">
        <v>6</v>
      </c>
    </row>
    <row r="390" spans="1:13" x14ac:dyDescent="0.2">
      <c r="A390" s="1">
        <v>45427</v>
      </c>
      <c r="B390" s="2">
        <v>0.95833333333333337</v>
      </c>
      <c r="C390" s="3">
        <v>45427.958333333336</v>
      </c>
      <c r="D390">
        <v>46.2</v>
      </c>
      <c r="E390">
        <v>51.9</v>
      </c>
      <c r="F390">
        <v>40.299999999999997</v>
      </c>
      <c r="G390" t="s">
        <v>6</v>
      </c>
      <c r="H390">
        <v>16.3</v>
      </c>
      <c r="I390">
        <v>28.3</v>
      </c>
      <c r="J390">
        <v>11.7</v>
      </c>
      <c r="K390" t="s">
        <v>6</v>
      </c>
      <c r="L390">
        <v>217</v>
      </c>
      <c r="M390" t="s">
        <v>6</v>
      </c>
    </row>
    <row r="391" spans="1:13" x14ac:dyDescent="0.2">
      <c r="A391" s="1">
        <v>45428</v>
      </c>
      <c r="B391" s="2">
        <v>0</v>
      </c>
      <c r="C391" s="3">
        <v>45428</v>
      </c>
      <c r="D391">
        <v>44.9</v>
      </c>
      <c r="E391">
        <v>53.7</v>
      </c>
      <c r="F391">
        <v>40.299999999999997</v>
      </c>
      <c r="G391" t="s">
        <v>6</v>
      </c>
      <c r="H391">
        <v>14.4</v>
      </c>
      <c r="I391">
        <v>27.7</v>
      </c>
      <c r="J391">
        <v>11.9</v>
      </c>
      <c r="K391" t="s">
        <v>6</v>
      </c>
      <c r="L391">
        <v>228</v>
      </c>
      <c r="M391" t="s">
        <v>6</v>
      </c>
    </row>
    <row r="392" spans="1:13" x14ac:dyDescent="0.2">
      <c r="A392" s="1">
        <v>45428</v>
      </c>
      <c r="B392" s="2">
        <v>4.1666666666666664E-2</v>
      </c>
      <c r="C392" s="3">
        <v>45428.041666666664</v>
      </c>
      <c r="D392">
        <v>43.8</v>
      </c>
      <c r="E392">
        <v>46.8</v>
      </c>
      <c r="F392">
        <v>41.2</v>
      </c>
      <c r="G392" t="s">
        <v>6</v>
      </c>
      <c r="H392">
        <v>14.9</v>
      </c>
      <c r="I392">
        <v>27.2</v>
      </c>
      <c r="J392">
        <v>11.9</v>
      </c>
      <c r="K392" t="s">
        <v>6</v>
      </c>
      <c r="L392">
        <v>212</v>
      </c>
      <c r="M392" t="s">
        <v>6</v>
      </c>
    </row>
    <row r="393" spans="1:13" x14ac:dyDescent="0.2">
      <c r="A393" s="1">
        <v>45428</v>
      </c>
      <c r="B393" s="2">
        <v>8.3333333333333329E-2</v>
      </c>
      <c r="C393" s="3">
        <v>45428.083333333336</v>
      </c>
      <c r="D393">
        <v>46.4</v>
      </c>
      <c r="E393">
        <v>52.5</v>
      </c>
      <c r="F393">
        <v>40.6</v>
      </c>
      <c r="G393" t="s">
        <v>6</v>
      </c>
      <c r="H393">
        <v>13.2</v>
      </c>
      <c r="I393">
        <v>21.5</v>
      </c>
      <c r="J393">
        <v>11.5</v>
      </c>
      <c r="K393" t="s">
        <v>6</v>
      </c>
      <c r="L393">
        <v>222</v>
      </c>
      <c r="M393" t="s">
        <v>6</v>
      </c>
    </row>
    <row r="394" spans="1:13" x14ac:dyDescent="0.2">
      <c r="A394" s="1">
        <v>45428</v>
      </c>
      <c r="B394" s="2">
        <v>0.125</v>
      </c>
      <c r="C394" s="3">
        <v>45428.125</v>
      </c>
      <c r="D394">
        <v>49.1</v>
      </c>
      <c r="E394">
        <v>58</v>
      </c>
      <c r="F394">
        <v>42.1</v>
      </c>
      <c r="G394" t="s">
        <v>6</v>
      </c>
      <c r="H394">
        <v>14.2</v>
      </c>
      <c r="I394">
        <v>27</v>
      </c>
      <c r="J394">
        <v>12</v>
      </c>
      <c r="K394" t="s">
        <v>6</v>
      </c>
      <c r="L394">
        <v>205</v>
      </c>
      <c r="M394" t="s">
        <v>6</v>
      </c>
    </row>
    <row r="395" spans="1:13" x14ac:dyDescent="0.2">
      <c r="A395" s="1">
        <v>45428</v>
      </c>
      <c r="B395" s="2">
        <v>0.16666666666666666</v>
      </c>
      <c r="C395" s="3">
        <v>45428.166666666664</v>
      </c>
      <c r="D395">
        <v>45.2</v>
      </c>
      <c r="E395">
        <v>53.9</v>
      </c>
      <c r="F395">
        <v>41.7</v>
      </c>
      <c r="G395" t="s">
        <v>6</v>
      </c>
      <c r="H395">
        <v>13</v>
      </c>
      <c r="I395">
        <v>16.100000000000001</v>
      </c>
      <c r="J395">
        <v>11.5</v>
      </c>
      <c r="K395" t="s">
        <v>6</v>
      </c>
      <c r="L395">
        <v>220</v>
      </c>
      <c r="M395" t="s">
        <v>6</v>
      </c>
    </row>
    <row r="396" spans="1:13" x14ac:dyDescent="0.2">
      <c r="A396" s="1">
        <v>45428</v>
      </c>
      <c r="B396" s="2">
        <v>0.20833333333333334</v>
      </c>
      <c r="C396" s="3">
        <v>45428.208333333336</v>
      </c>
      <c r="D396">
        <v>45.7</v>
      </c>
      <c r="E396">
        <v>47.5</v>
      </c>
      <c r="F396">
        <v>44.3</v>
      </c>
      <c r="G396" t="s">
        <v>6</v>
      </c>
      <c r="H396">
        <v>13</v>
      </c>
      <c r="I396">
        <v>18</v>
      </c>
      <c r="J396">
        <v>11</v>
      </c>
      <c r="K396" t="s">
        <v>6</v>
      </c>
      <c r="L396">
        <v>187</v>
      </c>
      <c r="M396" t="s">
        <v>6</v>
      </c>
    </row>
    <row r="397" spans="1:13" x14ac:dyDescent="0.2">
      <c r="A397" s="13">
        <v>45428</v>
      </c>
      <c r="B397" s="9">
        <v>0.33333333333333331</v>
      </c>
      <c r="C397" s="8">
        <v>45428.333333333336</v>
      </c>
      <c r="D397" s="10">
        <v>59.2</v>
      </c>
      <c r="E397" s="10">
        <v>62.7</v>
      </c>
      <c r="F397" s="10">
        <v>52</v>
      </c>
      <c r="G397" s="10" t="s">
        <v>6</v>
      </c>
      <c r="H397" s="10">
        <v>18.7</v>
      </c>
      <c r="I397" s="10">
        <v>27.5</v>
      </c>
      <c r="J397" s="10">
        <v>14.3</v>
      </c>
      <c r="K397" s="10" t="s">
        <v>6</v>
      </c>
      <c r="L397" s="10">
        <v>99</v>
      </c>
      <c r="M397" t="s">
        <v>6</v>
      </c>
    </row>
    <row r="398" spans="1:13" x14ac:dyDescent="0.2">
      <c r="A398" s="14">
        <v>45428</v>
      </c>
      <c r="B398" s="12">
        <v>0.375</v>
      </c>
      <c r="C398" s="7">
        <v>45428.375</v>
      </c>
      <c r="D398" s="11">
        <v>61.8</v>
      </c>
      <c r="E398" s="11">
        <v>66.400000000000006</v>
      </c>
      <c r="F398" s="11">
        <v>58.9</v>
      </c>
      <c r="G398" s="11" t="s">
        <v>6</v>
      </c>
      <c r="H398" s="11">
        <v>20.2</v>
      </c>
      <c r="I398" s="11">
        <v>31.1</v>
      </c>
      <c r="J398" s="11">
        <v>13.4</v>
      </c>
      <c r="K398" s="11" t="s">
        <v>6</v>
      </c>
      <c r="L398" s="11">
        <v>129</v>
      </c>
      <c r="M398" t="s">
        <v>6</v>
      </c>
    </row>
    <row r="399" spans="1:13" x14ac:dyDescent="0.2">
      <c r="A399" s="1">
        <v>45428</v>
      </c>
      <c r="B399" s="2">
        <v>0.41666666666666669</v>
      </c>
      <c r="C399" s="3">
        <v>45428.416666666664</v>
      </c>
      <c r="D399">
        <v>61.2</v>
      </c>
      <c r="E399">
        <v>63.3</v>
      </c>
      <c r="F399">
        <v>59.7</v>
      </c>
      <c r="G399" t="s">
        <v>6</v>
      </c>
      <c r="H399">
        <v>22.7</v>
      </c>
      <c r="I399">
        <v>33.700000000000003</v>
      </c>
      <c r="J399">
        <v>13.4</v>
      </c>
      <c r="K399" t="s">
        <v>6</v>
      </c>
      <c r="L399">
        <v>107</v>
      </c>
      <c r="M399" t="s">
        <v>6</v>
      </c>
    </row>
    <row r="400" spans="1:13" x14ac:dyDescent="0.2">
      <c r="A400" s="1">
        <v>45428</v>
      </c>
      <c r="B400" s="2">
        <v>0.45833333333333331</v>
      </c>
      <c r="C400" s="3">
        <v>45428.458333333336</v>
      </c>
      <c r="D400">
        <v>60.7</v>
      </c>
      <c r="E400">
        <v>63.3</v>
      </c>
      <c r="F400">
        <v>58.4</v>
      </c>
      <c r="G400" t="s">
        <v>6</v>
      </c>
      <c r="H400">
        <v>24.6</v>
      </c>
      <c r="I400">
        <v>34.299999999999997</v>
      </c>
      <c r="J400">
        <v>13.5</v>
      </c>
      <c r="K400" t="s">
        <v>6</v>
      </c>
      <c r="L400">
        <v>116</v>
      </c>
      <c r="M400" t="s">
        <v>6</v>
      </c>
    </row>
    <row r="401" spans="1:13" x14ac:dyDescent="0.2">
      <c r="A401" s="1">
        <v>45428</v>
      </c>
      <c r="B401" s="2">
        <v>0.5</v>
      </c>
      <c r="C401" s="3">
        <v>45428.5</v>
      </c>
      <c r="D401">
        <v>58</v>
      </c>
      <c r="E401">
        <v>61</v>
      </c>
      <c r="F401">
        <v>56.4</v>
      </c>
      <c r="G401" t="s">
        <v>6</v>
      </c>
      <c r="H401">
        <v>22.5</v>
      </c>
      <c r="I401">
        <v>33.9</v>
      </c>
      <c r="J401">
        <v>14.8</v>
      </c>
      <c r="K401" t="s">
        <v>6</v>
      </c>
      <c r="L401">
        <v>79</v>
      </c>
      <c r="M401" t="s">
        <v>6</v>
      </c>
    </row>
    <row r="402" spans="1:13" x14ac:dyDescent="0.2">
      <c r="A402" s="1">
        <v>45428</v>
      </c>
      <c r="B402" s="2">
        <v>0.54166666666666663</v>
      </c>
      <c r="C402" s="3">
        <v>45428.541666666664</v>
      </c>
      <c r="D402">
        <v>57.1</v>
      </c>
      <c r="E402">
        <v>58.5</v>
      </c>
      <c r="F402">
        <v>55</v>
      </c>
      <c r="G402" t="s">
        <v>6</v>
      </c>
      <c r="H402">
        <v>25.8</v>
      </c>
      <c r="I402">
        <v>33.799999999999997</v>
      </c>
      <c r="J402">
        <v>19</v>
      </c>
      <c r="K402" t="s">
        <v>6</v>
      </c>
      <c r="L402">
        <v>124</v>
      </c>
      <c r="M402" t="s">
        <v>6</v>
      </c>
    </row>
    <row r="403" spans="1:13" x14ac:dyDescent="0.2">
      <c r="A403" s="1">
        <v>45428</v>
      </c>
      <c r="B403" s="2">
        <v>0.58333333333333337</v>
      </c>
      <c r="C403" s="3">
        <v>45428.583333333336</v>
      </c>
      <c r="D403">
        <v>62.7</v>
      </c>
      <c r="E403">
        <v>72.2</v>
      </c>
      <c r="F403">
        <v>54.5</v>
      </c>
      <c r="G403" t="s">
        <v>6</v>
      </c>
      <c r="H403">
        <v>22.2</v>
      </c>
      <c r="I403">
        <v>34.1</v>
      </c>
      <c r="J403">
        <v>14</v>
      </c>
      <c r="K403" t="s">
        <v>6</v>
      </c>
      <c r="L403">
        <v>163</v>
      </c>
      <c r="M403" t="s">
        <v>6</v>
      </c>
    </row>
    <row r="404" spans="1:13" x14ac:dyDescent="0.2">
      <c r="A404" s="1">
        <v>45428</v>
      </c>
      <c r="B404" s="2">
        <v>0.625</v>
      </c>
      <c r="C404" s="3">
        <v>45428.625</v>
      </c>
      <c r="D404">
        <v>68.8</v>
      </c>
      <c r="E404">
        <v>71.900000000000006</v>
      </c>
      <c r="F404">
        <v>63.7</v>
      </c>
      <c r="G404" t="s">
        <v>6</v>
      </c>
      <c r="H404">
        <v>22.2</v>
      </c>
      <c r="I404">
        <v>32.9</v>
      </c>
      <c r="J404">
        <v>15.4</v>
      </c>
      <c r="K404" t="s">
        <v>6</v>
      </c>
      <c r="L404">
        <v>95</v>
      </c>
      <c r="M404" t="s">
        <v>6</v>
      </c>
    </row>
    <row r="405" spans="1:13" x14ac:dyDescent="0.2">
      <c r="A405" s="1">
        <v>45428</v>
      </c>
      <c r="B405" s="2">
        <v>0.66666666666666663</v>
      </c>
      <c r="C405" s="3">
        <v>45428.666666666664</v>
      </c>
      <c r="D405">
        <v>68.5</v>
      </c>
      <c r="E405">
        <v>70.7</v>
      </c>
      <c r="F405">
        <v>64.5</v>
      </c>
      <c r="G405" t="s">
        <v>6</v>
      </c>
      <c r="H405">
        <v>24.9</v>
      </c>
      <c r="I405">
        <v>34.299999999999997</v>
      </c>
      <c r="J405">
        <v>15.5</v>
      </c>
      <c r="K405" t="s">
        <v>6</v>
      </c>
      <c r="L405">
        <v>140</v>
      </c>
      <c r="M405" t="s">
        <v>6</v>
      </c>
    </row>
    <row r="406" spans="1:13" x14ac:dyDescent="0.2">
      <c r="A406" s="1">
        <v>45428</v>
      </c>
      <c r="B406" s="2">
        <v>0.70833333333333337</v>
      </c>
      <c r="C406" s="3">
        <v>45428.708333333336</v>
      </c>
      <c r="D406">
        <v>68.2</v>
      </c>
      <c r="E406">
        <v>71.2</v>
      </c>
      <c r="F406">
        <v>62.8</v>
      </c>
      <c r="G406" t="s">
        <v>6</v>
      </c>
      <c r="H406">
        <v>22.1</v>
      </c>
      <c r="I406">
        <v>32.9</v>
      </c>
      <c r="J406">
        <v>12.3</v>
      </c>
      <c r="K406" t="s">
        <v>6</v>
      </c>
      <c r="L406">
        <v>154</v>
      </c>
      <c r="M406" t="s">
        <v>6</v>
      </c>
    </row>
    <row r="407" spans="1:13" x14ac:dyDescent="0.2">
      <c r="A407" s="1">
        <v>45428</v>
      </c>
      <c r="B407" s="2">
        <v>0.75</v>
      </c>
      <c r="C407" s="3">
        <v>45428.75</v>
      </c>
      <c r="D407">
        <v>68.2</v>
      </c>
      <c r="E407">
        <v>71.2</v>
      </c>
      <c r="F407">
        <v>61.6</v>
      </c>
      <c r="G407" t="s">
        <v>6</v>
      </c>
      <c r="H407">
        <v>21.9</v>
      </c>
      <c r="I407">
        <v>31.3</v>
      </c>
      <c r="J407">
        <v>13.2</v>
      </c>
      <c r="K407" t="s">
        <v>6</v>
      </c>
      <c r="L407">
        <v>156</v>
      </c>
      <c r="M407" t="s">
        <v>6</v>
      </c>
    </row>
    <row r="408" spans="1:13" x14ac:dyDescent="0.2">
      <c r="A408" s="1">
        <v>45428</v>
      </c>
      <c r="B408" s="2">
        <v>0.79166666666666663</v>
      </c>
      <c r="C408" s="3">
        <v>45428.791666666664</v>
      </c>
      <c r="D408">
        <v>60.6</v>
      </c>
      <c r="E408">
        <v>69.099999999999994</v>
      </c>
      <c r="F408">
        <v>52.3</v>
      </c>
      <c r="G408" t="s">
        <v>6</v>
      </c>
      <c r="H408">
        <v>17.3</v>
      </c>
      <c r="I408">
        <v>22.1</v>
      </c>
      <c r="J408">
        <v>13.4</v>
      </c>
      <c r="K408" t="s">
        <v>6</v>
      </c>
      <c r="L408">
        <v>152</v>
      </c>
      <c r="M408" t="s">
        <v>6</v>
      </c>
    </row>
    <row r="409" spans="1:13" x14ac:dyDescent="0.2">
      <c r="A409" s="1">
        <v>45428</v>
      </c>
      <c r="B409" s="2">
        <v>0.83333333333333337</v>
      </c>
      <c r="C409" s="3">
        <v>45428.833333333336</v>
      </c>
      <c r="D409">
        <v>49.5</v>
      </c>
      <c r="E409">
        <v>60.5</v>
      </c>
      <c r="F409">
        <v>42.9</v>
      </c>
      <c r="G409" t="s">
        <v>6</v>
      </c>
      <c r="H409">
        <v>18.3</v>
      </c>
      <c r="I409">
        <v>29</v>
      </c>
      <c r="J409">
        <v>12.8</v>
      </c>
      <c r="K409" t="s">
        <v>6</v>
      </c>
      <c r="L409">
        <v>219</v>
      </c>
      <c r="M409" t="s">
        <v>6</v>
      </c>
    </row>
    <row r="410" spans="1:13" x14ac:dyDescent="0.2">
      <c r="A410" s="1">
        <v>45428</v>
      </c>
      <c r="B410" s="2">
        <v>0.875</v>
      </c>
      <c r="C410" s="3">
        <v>45428.875</v>
      </c>
      <c r="D410">
        <v>48.6</v>
      </c>
      <c r="E410">
        <v>53.5</v>
      </c>
      <c r="F410">
        <v>41.3</v>
      </c>
      <c r="G410" t="s">
        <v>6</v>
      </c>
      <c r="H410">
        <v>15.2</v>
      </c>
      <c r="I410">
        <v>26.8</v>
      </c>
      <c r="J410">
        <v>11.7</v>
      </c>
      <c r="K410" t="s">
        <v>6</v>
      </c>
      <c r="L410">
        <v>228</v>
      </c>
      <c r="M410" t="s">
        <v>6</v>
      </c>
    </row>
    <row r="411" spans="1:13" x14ac:dyDescent="0.2">
      <c r="A411" s="1">
        <v>45428</v>
      </c>
      <c r="B411" s="2">
        <v>0.91666666666666663</v>
      </c>
      <c r="C411" s="3">
        <v>45428.916666666664</v>
      </c>
      <c r="D411">
        <v>45.3</v>
      </c>
      <c r="E411">
        <v>50.4</v>
      </c>
      <c r="F411">
        <v>41.7</v>
      </c>
      <c r="G411" t="s">
        <v>6</v>
      </c>
      <c r="H411">
        <v>14.2</v>
      </c>
      <c r="I411">
        <v>24.1</v>
      </c>
      <c r="J411">
        <v>11.5</v>
      </c>
      <c r="K411" t="s">
        <v>6</v>
      </c>
      <c r="L411">
        <v>226</v>
      </c>
      <c r="M411" t="s">
        <v>6</v>
      </c>
    </row>
    <row r="412" spans="1:13" x14ac:dyDescent="0.2">
      <c r="A412" s="1">
        <v>45428</v>
      </c>
      <c r="B412" s="2">
        <v>0.95833333333333337</v>
      </c>
      <c r="C412" s="3">
        <v>45428.958333333336</v>
      </c>
      <c r="D412">
        <v>45.1</v>
      </c>
      <c r="E412">
        <v>50.6</v>
      </c>
      <c r="F412">
        <v>41.4</v>
      </c>
      <c r="G412" t="s">
        <v>6</v>
      </c>
      <c r="H412">
        <v>13.4</v>
      </c>
      <c r="I412">
        <v>16.899999999999999</v>
      </c>
      <c r="J412">
        <v>11.9</v>
      </c>
      <c r="K412" t="s">
        <v>6</v>
      </c>
      <c r="L412">
        <v>226</v>
      </c>
      <c r="M412" t="s">
        <v>6</v>
      </c>
    </row>
    <row r="413" spans="1:13" x14ac:dyDescent="0.2">
      <c r="A413" s="1">
        <v>45429</v>
      </c>
      <c r="B413" s="2">
        <v>0</v>
      </c>
      <c r="C413" s="3">
        <v>45429</v>
      </c>
      <c r="D413">
        <v>44.7</v>
      </c>
      <c r="E413">
        <v>47.5</v>
      </c>
      <c r="F413">
        <v>42.1</v>
      </c>
      <c r="G413" t="s">
        <v>6</v>
      </c>
      <c r="H413">
        <v>15.6</v>
      </c>
      <c r="I413">
        <v>26</v>
      </c>
      <c r="J413">
        <v>12.3</v>
      </c>
      <c r="K413" t="s">
        <v>6</v>
      </c>
      <c r="L413">
        <v>218</v>
      </c>
      <c r="M413" t="s">
        <v>6</v>
      </c>
    </row>
    <row r="414" spans="1:13" x14ac:dyDescent="0.2">
      <c r="A414" s="1">
        <v>45429</v>
      </c>
      <c r="B414" s="2">
        <v>4.1666666666666664E-2</v>
      </c>
      <c r="C414" s="3">
        <v>45429.041666666664</v>
      </c>
      <c r="D414">
        <v>50.3</v>
      </c>
      <c r="E414">
        <v>56.2</v>
      </c>
      <c r="F414">
        <v>44</v>
      </c>
      <c r="G414" t="s">
        <v>6</v>
      </c>
      <c r="H414">
        <v>13.6</v>
      </c>
      <c r="I414">
        <v>18.399999999999999</v>
      </c>
      <c r="J414">
        <v>11.7</v>
      </c>
      <c r="K414" t="s">
        <v>6</v>
      </c>
      <c r="L414">
        <v>207</v>
      </c>
      <c r="M414" t="s">
        <v>6</v>
      </c>
    </row>
    <row r="415" spans="1:13" x14ac:dyDescent="0.2">
      <c r="A415" s="1">
        <v>45429</v>
      </c>
      <c r="B415" s="2">
        <v>8.3333333333333329E-2</v>
      </c>
      <c r="C415" s="3">
        <v>45429.083333333336</v>
      </c>
      <c r="D415">
        <v>49.5</v>
      </c>
      <c r="E415">
        <v>60.8</v>
      </c>
      <c r="F415">
        <v>45.1</v>
      </c>
      <c r="G415" t="s">
        <v>6</v>
      </c>
      <c r="H415">
        <v>13.8</v>
      </c>
      <c r="I415">
        <v>27.4</v>
      </c>
      <c r="J415">
        <v>11.6</v>
      </c>
      <c r="K415" t="s">
        <v>6</v>
      </c>
      <c r="L415">
        <v>219</v>
      </c>
      <c r="M415" t="s">
        <v>6</v>
      </c>
    </row>
    <row r="416" spans="1:13" x14ac:dyDescent="0.2">
      <c r="A416" s="1">
        <v>45429</v>
      </c>
      <c r="B416" s="2">
        <v>0.125</v>
      </c>
      <c r="C416" s="3">
        <v>45429.125</v>
      </c>
      <c r="D416">
        <v>46.7</v>
      </c>
      <c r="E416">
        <v>52.8</v>
      </c>
      <c r="F416">
        <v>41.4</v>
      </c>
      <c r="G416" t="s">
        <v>6</v>
      </c>
      <c r="H416">
        <v>12.9</v>
      </c>
      <c r="I416">
        <v>17.3</v>
      </c>
      <c r="J416">
        <v>10.6</v>
      </c>
      <c r="K416" t="s">
        <v>6</v>
      </c>
      <c r="L416">
        <v>218</v>
      </c>
      <c r="M416" t="s">
        <v>6</v>
      </c>
    </row>
    <row r="417" spans="1:13" x14ac:dyDescent="0.2">
      <c r="A417" s="1">
        <v>45429</v>
      </c>
      <c r="B417" s="2">
        <v>0.16666666666666666</v>
      </c>
      <c r="C417" s="3">
        <v>45429.166666666664</v>
      </c>
      <c r="D417">
        <v>48</v>
      </c>
      <c r="E417">
        <v>55.4</v>
      </c>
      <c r="F417">
        <v>43.9</v>
      </c>
      <c r="G417" t="s">
        <v>6</v>
      </c>
      <c r="H417">
        <v>13.8</v>
      </c>
      <c r="I417">
        <v>25.6</v>
      </c>
      <c r="J417">
        <v>11.2</v>
      </c>
      <c r="K417" t="s">
        <v>6</v>
      </c>
      <c r="L417">
        <v>217</v>
      </c>
      <c r="M417" t="s">
        <v>6</v>
      </c>
    </row>
    <row r="418" spans="1:13" x14ac:dyDescent="0.2">
      <c r="A418" s="1">
        <v>45429</v>
      </c>
      <c r="B418" s="2">
        <v>0.20833333333333334</v>
      </c>
      <c r="C418" s="3">
        <v>45429.208333333336</v>
      </c>
      <c r="D418">
        <v>48</v>
      </c>
      <c r="E418">
        <v>59.6</v>
      </c>
      <c r="F418">
        <v>43.6</v>
      </c>
      <c r="G418" t="s">
        <v>6</v>
      </c>
      <c r="H418">
        <v>15.6</v>
      </c>
      <c r="I418">
        <v>26.7</v>
      </c>
      <c r="J418">
        <v>11.6</v>
      </c>
      <c r="K418" t="s">
        <v>6</v>
      </c>
      <c r="L418">
        <v>215</v>
      </c>
      <c r="M418" t="s">
        <v>6</v>
      </c>
    </row>
    <row r="419" spans="1:13" x14ac:dyDescent="0.2">
      <c r="A419" s="1">
        <v>45429</v>
      </c>
      <c r="B419" s="2">
        <v>0.25</v>
      </c>
      <c r="C419" s="3">
        <v>45429.25</v>
      </c>
      <c r="D419">
        <v>47.6</v>
      </c>
      <c r="E419">
        <v>53.5</v>
      </c>
      <c r="F419">
        <v>44</v>
      </c>
      <c r="G419" t="s">
        <v>6</v>
      </c>
      <c r="H419">
        <v>16.8</v>
      </c>
      <c r="I419">
        <v>28.8</v>
      </c>
      <c r="J419">
        <v>12.1</v>
      </c>
      <c r="K419" t="s">
        <v>6</v>
      </c>
      <c r="L419">
        <v>214</v>
      </c>
      <c r="M419" t="s">
        <v>6</v>
      </c>
    </row>
    <row r="420" spans="1:13" x14ac:dyDescent="0.2">
      <c r="A420" s="13">
        <v>45429</v>
      </c>
      <c r="B420" s="9">
        <v>0.29166666666666669</v>
      </c>
      <c r="C420" s="8">
        <v>45429.291666666664</v>
      </c>
      <c r="D420" s="10">
        <v>66.2</v>
      </c>
      <c r="E420" s="10">
        <v>73.8</v>
      </c>
      <c r="F420" s="10">
        <v>46.5</v>
      </c>
      <c r="G420" s="10" t="s">
        <v>6</v>
      </c>
      <c r="H420" s="10">
        <v>16.7</v>
      </c>
      <c r="I420" s="10">
        <v>32.6</v>
      </c>
      <c r="J420" s="10">
        <v>13</v>
      </c>
      <c r="K420" s="10" t="s">
        <v>6</v>
      </c>
      <c r="L420" s="10">
        <v>65</v>
      </c>
      <c r="M420" t="s">
        <v>6</v>
      </c>
    </row>
    <row r="421" spans="1:13" x14ac:dyDescent="0.2">
      <c r="A421" s="14">
        <v>45429</v>
      </c>
      <c r="B421" s="12">
        <v>0.375</v>
      </c>
      <c r="C421" s="7">
        <v>45429.375</v>
      </c>
      <c r="D421" s="11">
        <v>59.2</v>
      </c>
      <c r="E421" s="11">
        <v>68</v>
      </c>
      <c r="F421" s="11">
        <v>54.3</v>
      </c>
      <c r="G421" s="11" t="s">
        <v>6</v>
      </c>
      <c r="H421" s="11">
        <v>13.3</v>
      </c>
      <c r="I421" s="11">
        <v>23.1</v>
      </c>
      <c r="J421" s="11">
        <v>10.1</v>
      </c>
      <c r="K421" s="11" t="s">
        <v>6</v>
      </c>
      <c r="L421" s="11">
        <v>220</v>
      </c>
      <c r="M421" t="s">
        <v>6</v>
      </c>
    </row>
    <row r="422" spans="1:13" x14ac:dyDescent="0.2">
      <c r="A422" s="1">
        <v>45429</v>
      </c>
      <c r="B422" s="2">
        <v>0.41666666666666669</v>
      </c>
      <c r="C422" s="3">
        <v>45429.416666666664</v>
      </c>
      <c r="D422">
        <v>58.6</v>
      </c>
      <c r="E422">
        <v>64.099999999999994</v>
      </c>
      <c r="F422">
        <v>52.9</v>
      </c>
      <c r="G422" t="s">
        <v>6</v>
      </c>
      <c r="H422">
        <v>13.3</v>
      </c>
      <c r="I422">
        <v>19.3</v>
      </c>
      <c r="J422">
        <v>9.5</v>
      </c>
      <c r="K422" t="s">
        <v>6</v>
      </c>
      <c r="L422">
        <v>177</v>
      </c>
      <c r="M422" t="s">
        <v>6</v>
      </c>
    </row>
    <row r="423" spans="1:13" x14ac:dyDescent="0.2">
      <c r="A423" s="1">
        <v>45429</v>
      </c>
      <c r="B423" s="2">
        <v>0.45833333333333331</v>
      </c>
      <c r="C423" s="3">
        <v>45429.458333333336</v>
      </c>
      <c r="D423">
        <v>56.9</v>
      </c>
      <c r="E423">
        <v>60.7</v>
      </c>
      <c r="F423">
        <v>52.9</v>
      </c>
      <c r="G423" t="s">
        <v>6</v>
      </c>
      <c r="H423">
        <v>11</v>
      </c>
      <c r="I423">
        <v>14</v>
      </c>
      <c r="J423">
        <v>9.5</v>
      </c>
      <c r="K423" t="s">
        <v>6</v>
      </c>
      <c r="L423">
        <v>212</v>
      </c>
      <c r="M423" t="s">
        <v>6</v>
      </c>
    </row>
    <row r="424" spans="1:13" x14ac:dyDescent="0.2">
      <c r="A424" s="1">
        <v>45429</v>
      </c>
      <c r="B424" s="2">
        <v>0.54166666666666663</v>
      </c>
      <c r="C424" s="3">
        <v>45429.541666666664</v>
      </c>
      <c r="D424">
        <v>54.2</v>
      </c>
      <c r="E424">
        <v>59.3</v>
      </c>
      <c r="F424">
        <v>47.2</v>
      </c>
      <c r="G424" t="s">
        <v>6</v>
      </c>
      <c r="H424">
        <v>13.5</v>
      </c>
      <c r="I424">
        <v>18.399999999999999</v>
      </c>
      <c r="J424">
        <v>9.6</v>
      </c>
      <c r="K424" t="s">
        <v>6</v>
      </c>
      <c r="L424">
        <v>199</v>
      </c>
      <c r="M424" t="s">
        <v>6</v>
      </c>
    </row>
    <row r="425" spans="1:13" x14ac:dyDescent="0.2">
      <c r="A425" s="1">
        <v>45429</v>
      </c>
      <c r="B425" s="2">
        <v>0.58333333333333337</v>
      </c>
      <c r="C425" s="3">
        <v>45429.583333333336</v>
      </c>
      <c r="D425">
        <v>55.9</v>
      </c>
      <c r="E425">
        <v>60.7</v>
      </c>
      <c r="F425">
        <v>48.4</v>
      </c>
      <c r="G425" t="s">
        <v>6</v>
      </c>
      <c r="H425">
        <v>12</v>
      </c>
      <c r="I425">
        <v>19.5</v>
      </c>
      <c r="J425">
        <v>9.6999999999999993</v>
      </c>
      <c r="K425" t="s">
        <v>6</v>
      </c>
      <c r="L425">
        <v>224</v>
      </c>
      <c r="M425" t="s">
        <v>6</v>
      </c>
    </row>
    <row r="426" spans="1:13" x14ac:dyDescent="0.2">
      <c r="A426" s="1">
        <v>45429</v>
      </c>
      <c r="B426" s="2">
        <v>0.625</v>
      </c>
      <c r="C426" s="3">
        <v>45429.625</v>
      </c>
      <c r="D426">
        <v>60</v>
      </c>
      <c r="E426">
        <v>67.3</v>
      </c>
      <c r="F426">
        <v>55.4</v>
      </c>
      <c r="G426" t="s">
        <v>6</v>
      </c>
      <c r="H426">
        <v>13.4</v>
      </c>
      <c r="I426">
        <v>20.6</v>
      </c>
      <c r="J426">
        <v>9.9</v>
      </c>
      <c r="K426" t="s">
        <v>6</v>
      </c>
      <c r="L426">
        <v>93</v>
      </c>
      <c r="M426" t="s">
        <v>6</v>
      </c>
    </row>
    <row r="427" spans="1:13" x14ac:dyDescent="0.2">
      <c r="A427" s="1">
        <v>45429</v>
      </c>
      <c r="B427" s="2">
        <v>0.66666666666666663</v>
      </c>
      <c r="C427" s="3">
        <v>45429.666666666664</v>
      </c>
      <c r="D427">
        <v>63.3</v>
      </c>
      <c r="E427">
        <v>63.3</v>
      </c>
      <c r="F427">
        <v>63.3</v>
      </c>
      <c r="G427" t="s">
        <v>6</v>
      </c>
      <c r="H427">
        <v>12.2</v>
      </c>
      <c r="I427">
        <v>12.2</v>
      </c>
      <c r="J427">
        <v>12.2</v>
      </c>
      <c r="K427" t="s">
        <v>6</v>
      </c>
      <c r="L427">
        <v>1</v>
      </c>
      <c r="M427" t="s">
        <v>6</v>
      </c>
    </row>
    <row r="428" spans="1:13" x14ac:dyDescent="0.2">
      <c r="A428" s="1">
        <v>45429</v>
      </c>
      <c r="B428" s="2">
        <v>0.70833333333333337</v>
      </c>
      <c r="C428" s="3">
        <v>45429.708333333336</v>
      </c>
      <c r="D428">
        <v>64.2</v>
      </c>
      <c r="E428">
        <v>66.400000000000006</v>
      </c>
      <c r="F428">
        <v>61</v>
      </c>
      <c r="G428" t="s">
        <v>6</v>
      </c>
      <c r="H428">
        <v>13.5</v>
      </c>
      <c r="I428">
        <v>22.5</v>
      </c>
      <c r="J428">
        <v>10.199999999999999</v>
      </c>
      <c r="K428" t="s">
        <v>6</v>
      </c>
      <c r="L428">
        <v>23</v>
      </c>
      <c r="M428" t="s">
        <v>6</v>
      </c>
    </row>
    <row r="429" spans="1:13" x14ac:dyDescent="0.2">
      <c r="A429" s="1">
        <v>45429</v>
      </c>
      <c r="B429" s="2">
        <v>0.79166666666666663</v>
      </c>
      <c r="C429" s="3">
        <v>45429.791666666664</v>
      </c>
      <c r="D429">
        <v>59.8</v>
      </c>
      <c r="E429">
        <v>60.1</v>
      </c>
      <c r="F429">
        <v>59.4</v>
      </c>
      <c r="G429" t="s">
        <v>6</v>
      </c>
      <c r="H429">
        <v>30</v>
      </c>
      <c r="I429">
        <v>31.1</v>
      </c>
      <c r="J429">
        <v>28.9</v>
      </c>
      <c r="K429" t="s">
        <v>6</v>
      </c>
      <c r="L429">
        <v>2</v>
      </c>
      <c r="M429" t="s">
        <v>6</v>
      </c>
    </row>
    <row r="430" spans="1:13" x14ac:dyDescent="0.2">
      <c r="A430" s="1">
        <v>45429</v>
      </c>
      <c r="B430" s="2">
        <v>0.83333333333333337</v>
      </c>
      <c r="C430" s="3">
        <v>45429.833333333336</v>
      </c>
      <c r="D430">
        <v>63.8</v>
      </c>
      <c r="E430">
        <v>73.8</v>
      </c>
      <c r="F430">
        <v>57.6</v>
      </c>
      <c r="G430" t="s">
        <v>6</v>
      </c>
      <c r="H430">
        <v>16.8</v>
      </c>
      <c r="I430">
        <v>26.3</v>
      </c>
      <c r="J430">
        <v>13.1</v>
      </c>
      <c r="K430" t="s">
        <v>6</v>
      </c>
      <c r="L430">
        <v>143</v>
      </c>
      <c r="M430" t="s">
        <v>6</v>
      </c>
    </row>
    <row r="431" spans="1:13" x14ac:dyDescent="0.2">
      <c r="A431" s="1">
        <v>45429</v>
      </c>
      <c r="B431" s="2">
        <v>0.875</v>
      </c>
      <c r="C431" s="3">
        <v>45429.875</v>
      </c>
      <c r="D431">
        <v>59.3</v>
      </c>
      <c r="E431">
        <v>71</v>
      </c>
      <c r="F431">
        <v>49.3</v>
      </c>
      <c r="G431" t="s">
        <v>6</v>
      </c>
      <c r="H431">
        <v>17.3</v>
      </c>
      <c r="I431">
        <v>28.6</v>
      </c>
      <c r="J431">
        <v>12.3</v>
      </c>
      <c r="K431" t="s">
        <v>6</v>
      </c>
      <c r="L431">
        <v>222</v>
      </c>
      <c r="M431" t="s">
        <v>6</v>
      </c>
    </row>
    <row r="432" spans="1:13" x14ac:dyDescent="0.2">
      <c r="A432" s="1">
        <v>45429</v>
      </c>
      <c r="B432" s="2">
        <v>0.91666666666666663</v>
      </c>
      <c r="C432" s="3">
        <v>45429.916666666664</v>
      </c>
      <c r="D432">
        <v>46.3</v>
      </c>
      <c r="E432">
        <v>54.5</v>
      </c>
      <c r="F432">
        <v>41.1</v>
      </c>
      <c r="G432" t="s">
        <v>6</v>
      </c>
      <c r="H432">
        <v>14.3</v>
      </c>
      <c r="I432">
        <v>19.5</v>
      </c>
      <c r="J432">
        <v>12.4</v>
      </c>
      <c r="K432" t="s">
        <v>6</v>
      </c>
      <c r="L432">
        <v>218</v>
      </c>
      <c r="M432" t="s">
        <v>6</v>
      </c>
    </row>
    <row r="433" spans="1:13" x14ac:dyDescent="0.2">
      <c r="A433" s="1">
        <v>45429</v>
      </c>
      <c r="B433" s="2">
        <v>0.95833333333333337</v>
      </c>
      <c r="C433" s="3">
        <v>45429.958333333336</v>
      </c>
      <c r="D433">
        <v>42.8</v>
      </c>
      <c r="E433">
        <v>46.5</v>
      </c>
      <c r="F433">
        <v>40.5</v>
      </c>
      <c r="G433" t="s">
        <v>6</v>
      </c>
      <c r="H433">
        <v>14.5</v>
      </c>
      <c r="I433">
        <v>29</v>
      </c>
      <c r="J433">
        <v>12.2</v>
      </c>
      <c r="K433" t="s">
        <v>6</v>
      </c>
      <c r="L433">
        <v>229</v>
      </c>
      <c r="M433" t="s">
        <v>6</v>
      </c>
    </row>
    <row r="434" spans="1:13" x14ac:dyDescent="0.2">
      <c r="A434" s="1">
        <v>45430</v>
      </c>
      <c r="B434" s="2">
        <v>0</v>
      </c>
      <c r="C434" s="3">
        <v>45430</v>
      </c>
      <c r="D434">
        <v>49.4</v>
      </c>
      <c r="E434">
        <v>60.7</v>
      </c>
      <c r="F434">
        <v>42.7</v>
      </c>
      <c r="G434" t="s">
        <v>6</v>
      </c>
      <c r="H434">
        <v>14.3</v>
      </c>
      <c r="I434">
        <v>23.9</v>
      </c>
      <c r="J434">
        <v>12.4</v>
      </c>
      <c r="K434" t="s">
        <v>6</v>
      </c>
      <c r="L434">
        <v>217</v>
      </c>
      <c r="M434" t="s">
        <v>6</v>
      </c>
    </row>
    <row r="435" spans="1:13" x14ac:dyDescent="0.2">
      <c r="A435" s="1">
        <v>45430</v>
      </c>
      <c r="B435" s="2">
        <v>4.1666666666666664E-2</v>
      </c>
      <c r="C435" s="3">
        <v>45430.041666666664</v>
      </c>
      <c r="D435">
        <v>43.8</v>
      </c>
      <c r="E435">
        <v>47.3</v>
      </c>
      <c r="F435">
        <v>41.8</v>
      </c>
      <c r="G435" t="s">
        <v>6</v>
      </c>
      <c r="H435">
        <v>14.1</v>
      </c>
      <c r="I435">
        <v>18.600000000000001</v>
      </c>
      <c r="J435">
        <v>12.7</v>
      </c>
      <c r="K435" t="s">
        <v>6</v>
      </c>
      <c r="L435">
        <v>210</v>
      </c>
      <c r="M435" t="s">
        <v>6</v>
      </c>
    </row>
    <row r="436" spans="1:13" x14ac:dyDescent="0.2">
      <c r="A436" s="1">
        <v>45430</v>
      </c>
      <c r="B436" s="2">
        <v>8.3333333333333329E-2</v>
      </c>
      <c r="C436" s="3">
        <v>45430.083333333336</v>
      </c>
      <c r="D436">
        <v>44.5</v>
      </c>
      <c r="E436">
        <v>53.8</v>
      </c>
      <c r="F436">
        <v>40.299999999999997</v>
      </c>
      <c r="G436" t="s">
        <v>6</v>
      </c>
      <c r="H436">
        <v>14.7</v>
      </c>
      <c r="I436">
        <v>26.2</v>
      </c>
      <c r="J436">
        <v>12.1</v>
      </c>
      <c r="K436" t="s">
        <v>6</v>
      </c>
      <c r="L436">
        <v>214</v>
      </c>
      <c r="M436" t="s">
        <v>6</v>
      </c>
    </row>
    <row r="437" spans="1:13" x14ac:dyDescent="0.2">
      <c r="A437" s="1">
        <v>45430</v>
      </c>
      <c r="B437" s="2">
        <v>0.125</v>
      </c>
      <c r="C437" s="3">
        <v>45430.125</v>
      </c>
      <c r="D437">
        <v>51.8</v>
      </c>
      <c r="E437">
        <v>66.8</v>
      </c>
      <c r="F437">
        <v>42.7</v>
      </c>
      <c r="G437" t="s">
        <v>6</v>
      </c>
      <c r="H437">
        <v>15.4</v>
      </c>
      <c r="I437">
        <v>26.8</v>
      </c>
      <c r="J437">
        <v>11.9</v>
      </c>
      <c r="K437" t="s">
        <v>6</v>
      </c>
      <c r="L437">
        <v>216</v>
      </c>
      <c r="M437" t="s">
        <v>6</v>
      </c>
    </row>
    <row r="438" spans="1:13" x14ac:dyDescent="0.2">
      <c r="A438" s="1">
        <v>45430</v>
      </c>
      <c r="B438" s="2">
        <v>0.16666666666666666</v>
      </c>
      <c r="C438" s="3">
        <v>45430.166666666664</v>
      </c>
      <c r="D438">
        <v>58.3</v>
      </c>
      <c r="E438">
        <v>67.099999999999994</v>
      </c>
      <c r="F438">
        <v>51.6</v>
      </c>
      <c r="G438" t="s">
        <v>6</v>
      </c>
      <c r="H438">
        <v>15.9</v>
      </c>
      <c r="I438">
        <v>25.4</v>
      </c>
      <c r="J438">
        <v>11.7</v>
      </c>
      <c r="K438" t="s">
        <v>6</v>
      </c>
      <c r="L438">
        <v>222</v>
      </c>
      <c r="M438" t="s">
        <v>6</v>
      </c>
    </row>
    <row r="439" spans="1:13" x14ac:dyDescent="0.2">
      <c r="A439" s="1">
        <v>45430</v>
      </c>
      <c r="B439" s="2">
        <v>0.20833333333333334</v>
      </c>
      <c r="C439" s="3">
        <v>45430.208333333336</v>
      </c>
      <c r="D439">
        <v>46.9</v>
      </c>
      <c r="E439">
        <v>53.9</v>
      </c>
      <c r="F439">
        <v>43.1</v>
      </c>
      <c r="G439" t="s">
        <v>6</v>
      </c>
      <c r="H439">
        <v>14.9</v>
      </c>
      <c r="I439">
        <v>24.2</v>
      </c>
      <c r="J439">
        <v>11.4</v>
      </c>
      <c r="K439" t="s">
        <v>6</v>
      </c>
      <c r="L439">
        <v>227</v>
      </c>
      <c r="M439" t="s">
        <v>6</v>
      </c>
    </row>
    <row r="440" spans="1:13" x14ac:dyDescent="0.2">
      <c r="A440" s="1">
        <v>45430</v>
      </c>
      <c r="B440" s="2">
        <v>0.25</v>
      </c>
      <c r="C440" s="3">
        <v>45430.25</v>
      </c>
      <c r="D440">
        <v>50.7</v>
      </c>
      <c r="E440">
        <v>56.7</v>
      </c>
      <c r="F440">
        <v>42.1</v>
      </c>
      <c r="G440" t="s">
        <v>6</v>
      </c>
      <c r="H440">
        <v>14.8</v>
      </c>
      <c r="I440">
        <v>25.1</v>
      </c>
      <c r="J440">
        <v>11.6</v>
      </c>
      <c r="K440" t="s">
        <v>6</v>
      </c>
      <c r="L440">
        <v>213</v>
      </c>
      <c r="M440" t="s">
        <v>6</v>
      </c>
    </row>
    <row r="441" spans="1:13" x14ac:dyDescent="0.2">
      <c r="A441" s="13">
        <v>45430</v>
      </c>
      <c r="B441" s="9">
        <v>0.29166666666666669</v>
      </c>
      <c r="C441" s="8">
        <v>45430.291666666664</v>
      </c>
      <c r="D441" s="10">
        <v>53.6</v>
      </c>
      <c r="E441" s="10">
        <v>68.8</v>
      </c>
      <c r="F441" s="10">
        <v>46.9</v>
      </c>
      <c r="G441" s="10" t="s">
        <v>6</v>
      </c>
      <c r="H441" s="10">
        <v>16.3</v>
      </c>
      <c r="I441" s="10">
        <v>20</v>
      </c>
      <c r="J441" s="10">
        <v>12.6</v>
      </c>
      <c r="K441" s="10" t="s">
        <v>6</v>
      </c>
      <c r="L441" s="10">
        <v>102</v>
      </c>
      <c r="M441" t="s">
        <v>6</v>
      </c>
    </row>
    <row r="442" spans="1:13" x14ac:dyDescent="0.2">
      <c r="A442" s="14">
        <v>45430</v>
      </c>
      <c r="B442" s="12">
        <v>0.375</v>
      </c>
      <c r="C442" s="7">
        <v>45430.375</v>
      </c>
      <c r="D442" s="11">
        <v>56.7</v>
      </c>
      <c r="E442" s="11">
        <v>60.3</v>
      </c>
      <c r="F442" s="11">
        <v>54</v>
      </c>
      <c r="G442" s="11" t="s">
        <v>6</v>
      </c>
      <c r="H442" s="11">
        <v>15.9</v>
      </c>
      <c r="I442" s="11">
        <v>21.2</v>
      </c>
      <c r="J442" s="11">
        <v>13.6</v>
      </c>
      <c r="K442" s="11" t="s">
        <v>6</v>
      </c>
      <c r="L442" s="11">
        <v>106</v>
      </c>
      <c r="M442" t="s">
        <v>6</v>
      </c>
    </row>
    <row r="443" spans="1:13" x14ac:dyDescent="0.2">
      <c r="A443" s="1">
        <v>45430</v>
      </c>
      <c r="B443" s="2">
        <v>0.41666666666666669</v>
      </c>
      <c r="C443" s="3">
        <v>45430.416666666664</v>
      </c>
      <c r="D443">
        <v>57.6</v>
      </c>
      <c r="E443">
        <v>63.8</v>
      </c>
      <c r="F443">
        <v>50.9</v>
      </c>
      <c r="G443" t="s">
        <v>6</v>
      </c>
      <c r="H443">
        <v>12.9</v>
      </c>
      <c r="I443">
        <v>15.5</v>
      </c>
      <c r="J443">
        <v>11.2</v>
      </c>
      <c r="K443" t="s">
        <v>6</v>
      </c>
      <c r="L443">
        <v>206</v>
      </c>
      <c r="M443" t="s">
        <v>6</v>
      </c>
    </row>
    <row r="444" spans="1:13" x14ac:dyDescent="0.2">
      <c r="A444" s="1">
        <v>45430</v>
      </c>
      <c r="B444" s="2">
        <v>0.45833333333333331</v>
      </c>
      <c r="C444" s="3">
        <v>45430.458333333336</v>
      </c>
      <c r="D444">
        <v>59.7</v>
      </c>
      <c r="E444">
        <v>67</v>
      </c>
      <c r="F444">
        <v>53.9</v>
      </c>
      <c r="G444" t="s">
        <v>6</v>
      </c>
      <c r="H444">
        <v>14.3</v>
      </c>
      <c r="I444">
        <v>20.399999999999999</v>
      </c>
      <c r="J444">
        <v>12</v>
      </c>
      <c r="K444" t="s">
        <v>6</v>
      </c>
      <c r="L444">
        <v>211</v>
      </c>
      <c r="M444" t="s">
        <v>6</v>
      </c>
    </row>
    <row r="445" spans="1:13" x14ac:dyDescent="0.2">
      <c r="A445" s="1">
        <v>45430</v>
      </c>
      <c r="B445" s="2">
        <v>0.5</v>
      </c>
      <c r="C445" s="3">
        <v>45430.5</v>
      </c>
      <c r="D445">
        <v>56.2</v>
      </c>
      <c r="E445">
        <v>62.7</v>
      </c>
      <c r="F445">
        <v>50.4</v>
      </c>
      <c r="G445" t="s">
        <v>6</v>
      </c>
      <c r="H445">
        <v>12.9</v>
      </c>
      <c r="I445">
        <v>17.3</v>
      </c>
      <c r="J445">
        <v>10.199999999999999</v>
      </c>
      <c r="K445" t="s">
        <v>6</v>
      </c>
      <c r="L445">
        <v>223</v>
      </c>
      <c r="M445" t="s">
        <v>6</v>
      </c>
    </row>
    <row r="446" spans="1:13" x14ac:dyDescent="0.2">
      <c r="A446" s="1">
        <v>45430</v>
      </c>
      <c r="B446" s="2">
        <v>0.54166666666666663</v>
      </c>
      <c r="C446" s="3">
        <v>45430.541666666664</v>
      </c>
      <c r="D446">
        <v>57.4</v>
      </c>
      <c r="E446">
        <v>65.2</v>
      </c>
      <c r="F446">
        <v>52.5</v>
      </c>
      <c r="G446" t="s">
        <v>6</v>
      </c>
      <c r="H446">
        <v>12.2</v>
      </c>
      <c r="I446">
        <v>15.3</v>
      </c>
      <c r="J446">
        <v>9.8000000000000007</v>
      </c>
      <c r="K446" t="s">
        <v>6</v>
      </c>
      <c r="L446">
        <v>215</v>
      </c>
      <c r="M446" t="s">
        <v>6</v>
      </c>
    </row>
    <row r="447" spans="1:13" x14ac:dyDescent="0.2">
      <c r="A447" s="1">
        <v>45430</v>
      </c>
      <c r="B447" s="2">
        <v>0.58333333333333337</v>
      </c>
      <c r="C447" s="3">
        <v>45430.583333333336</v>
      </c>
      <c r="D447">
        <v>55.9</v>
      </c>
      <c r="E447">
        <v>57.7</v>
      </c>
      <c r="F447">
        <v>51.7</v>
      </c>
      <c r="G447" t="s">
        <v>6</v>
      </c>
      <c r="H447">
        <v>12.5</v>
      </c>
      <c r="I447">
        <v>16.2</v>
      </c>
      <c r="J447">
        <v>9.5</v>
      </c>
      <c r="K447" t="s">
        <v>6</v>
      </c>
      <c r="L447">
        <v>38</v>
      </c>
      <c r="M447" t="s">
        <v>6</v>
      </c>
    </row>
    <row r="448" spans="1:13" x14ac:dyDescent="0.2">
      <c r="A448" s="1">
        <v>45430</v>
      </c>
      <c r="B448" s="2">
        <v>0.625</v>
      </c>
      <c r="C448" s="3">
        <v>45430.625</v>
      </c>
      <c r="D448">
        <v>57.6</v>
      </c>
      <c r="E448">
        <v>73</v>
      </c>
      <c r="F448">
        <v>52.4</v>
      </c>
      <c r="G448" t="s">
        <v>6</v>
      </c>
      <c r="H448">
        <v>17.7</v>
      </c>
      <c r="I448">
        <v>24.8</v>
      </c>
      <c r="J448">
        <v>12.6</v>
      </c>
      <c r="K448" t="s">
        <v>6</v>
      </c>
      <c r="L448">
        <v>79</v>
      </c>
      <c r="M448" t="s">
        <v>6</v>
      </c>
    </row>
    <row r="449" spans="1:13" x14ac:dyDescent="0.2">
      <c r="A449" s="1">
        <v>45430</v>
      </c>
      <c r="B449" s="2">
        <v>0.66666666666666663</v>
      </c>
      <c r="C449" s="3">
        <v>45430.666666666664</v>
      </c>
      <c r="D449">
        <v>65.7</v>
      </c>
      <c r="E449">
        <v>72.2</v>
      </c>
      <c r="F449">
        <v>62.4</v>
      </c>
      <c r="G449" t="s">
        <v>6</v>
      </c>
      <c r="H449">
        <v>13.9</v>
      </c>
      <c r="I449">
        <v>18.5</v>
      </c>
      <c r="J449">
        <v>11.8</v>
      </c>
      <c r="K449" t="s">
        <v>6</v>
      </c>
      <c r="L449">
        <v>41</v>
      </c>
      <c r="M449" t="s">
        <v>6</v>
      </c>
    </row>
    <row r="450" spans="1:13" x14ac:dyDescent="0.2">
      <c r="A450" s="1">
        <v>45430</v>
      </c>
      <c r="B450" s="2">
        <v>0.70833333333333337</v>
      </c>
      <c r="C450" s="3">
        <v>45430.708333333336</v>
      </c>
      <c r="D450">
        <v>63.8</v>
      </c>
      <c r="E450">
        <v>71.599999999999994</v>
      </c>
      <c r="F450">
        <v>57.1</v>
      </c>
      <c r="G450" t="s">
        <v>6</v>
      </c>
      <c r="H450">
        <v>15.1</v>
      </c>
      <c r="I450">
        <v>20</v>
      </c>
      <c r="J450">
        <v>11.6</v>
      </c>
      <c r="K450" t="s">
        <v>6</v>
      </c>
      <c r="L450">
        <v>154</v>
      </c>
      <c r="M450" t="s">
        <v>6</v>
      </c>
    </row>
    <row r="451" spans="1:13" x14ac:dyDescent="0.2">
      <c r="A451" s="1">
        <v>45430</v>
      </c>
      <c r="B451" s="2">
        <v>0.75</v>
      </c>
      <c r="C451" s="3">
        <v>45430.75</v>
      </c>
      <c r="D451">
        <v>67.8</v>
      </c>
      <c r="E451">
        <v>69.3</v>
      </c>
      <c r="F451">
        <v>65.400000000000006</v>
      </c>
      <c r="G451" t="s">
        <v>6</v>
      </c>
      <c r="H451">
        <v>13.1</v>
      </c>
      <c r="I451">
        <v>13.7</v>
      </c>
      <c r="J451">
        <v>12.4</v>
      </c>
      <c r="K451" t="s">
        <v>6</v>
      </c>
      <c r="L451">
        <v>8</v>
      </c>
      <c r="M451" t="s">
        <v>6</v>
      </c>
    </row>
    <row r="452" spans="1:13" x14ac:dyDescent="0.2">
      <c r="A452" s="1">
        <v>45430</v>
      </c>
      <c r="B452" s="2">
        <v>0.83333333333333337</v>
      </c>
      <c r="C452" s="3">
        <v>45430.833333333336</v>
      </c>
      <c r="D452">
        <v>56.4</v>
      </c>
      <c r="E452">
        <v>60.8</v>
      </c>
      <c r="F452">
        <v>51.1</v>
      </c>
      <c r="G452" t="s">
        <v>6</v>
      </c>
      <c r="H452">
        <v>15.1</v>
      </c>
      <c r="I452">
        <v>22.1</v>
      </c>
      <c r="J452">
        <v>10.7</v>
      </c>
      <c r="K452" t="s">
        <v>6</v>
      </c>
      <c r="L452">
        <v>168</v>
      </c>
      <c r="M452" t="s">
        <v>6</v>
      </c>
    </row>
    <row r="453" spans="1:13" x14ac:dyDescent="0.2">
      <c r="A453" s="1">
        <v>45430</v>
      </c>
      <c r="B453" s="2">
        <v>0.875</v>
      </c>
      <c r="C453" s="3">
        <v>45430.875</v>
      </c>
      <c r="D453">
        <v>47.9</v>
      </c>
      <c r="E453">
        <v>55.3</v>
      </c>
      <c r="F453">
        <v>42.2</v>
      </c>
      <c r="G453" t="s">
        <v>6</v>
      </c>
      <c r="H453">
        <v>13.2</v>
      </c>
      <c r="I453">
        <v>17.7</v>
      </c>
      <c r="J453">
        <v>9.9</v>
      </c>
      <c r="K453" t="s">
        <v>6</v>
      </c>
      <c r="L453">
        <v>216</v>
      </c>
      <c r="M453" t="s">
        <v>6</v>
      </c>
    </row>
    <row r="454" spans="1:13" x14ac:dyDescent="0.2">
      <c r="A454" s="1">
        <v>45430</v>
      </c>
      <c r="B454" s="2">
        <v>0.91666666666666663</v>
      </c>
      <c r="C454" s="3">
        <v>45430.916666666664</v>
      </c>
      <c r="D454">
        <v>42.2</v>
      </c>
      <c r="E454">
        <v>45.8</v>
      </c>
      <c r="F454">
        <v>40.1</v>
      </c>
      <c r="G454" t="s">
        <v>6</v>
      </c>
      <c r="H454">
        <v>13.1</v>
      </c>
      <c r="I454">
        <v>17.399999999999999</v>
      </c>
      <c r="J454">
        <v>11.8</v>
      </c>
      <c r="K454" t="s">
        <v>6</v>
      </c>
      <c r="L454">
        <v>144</v>
      </c>
      <c r="M454" t="s">
        <v>6</v>
      </c>
    </row>
    <row r="455" spans="1:13" x14ac:dyDescent="0.2">
      <c r="A455" s="1">
        <v>45430</v>
      </c>
      <c r="B455" s="2">
        <v>0.95833333333333337</v>
      </c>
      <c r="C455" s="3">
        <v>45430.958333333336</v>
      </c>
      <c r="D455">
        <v>41.9</v>
      </c>
      <c r="E455">
        <v>43.6</v>
      </c>
      <c r="F455">
        <v>40.1</v>
      </c>
      <c r="G455" t="s">
        <v>6</v>
      </c>
      <c r="H455">
        <v>13.8</v>
      </c>
      <c r="I455">
        <v>21</v>
      </c>
      <c r="J455">
        <v>12</v>
      </c>
      <c r="K455" t="s">
        <v>6</v>
      </c>
      <c r="L455">
        <v>137</v>
      </c>
      <c r="M455" t="s">
        <v>6</v>
      </c>
    </row>
    <row r="456" spans="1:13" x14ac:dyDescent="0.2">
      <c r="A456" s="1">
        <v>45431</v>
      </c>
      <c r="B456" s="2">
        <v>0</v>
      </c>
      <c r="C456" s="3">
        <v>45431</v>
      </c>
      <c r="D456">
        <v>41.7</v>
      </c>
      <c r="E456">
        <v>45</v>
      </c>
      <c r="F456">
        <v>40.1</v>
      </c>
      <c r="G456" t="s">
        <v>6</v>
      </c>
      <c r="H456">
        <v>16.600000000000001</v>
      </c>
      <c r="I456">
        <v>26</v>
      </c>
      <c r="J456">
        <v>12.2</v>
      </c>
      <c r="K456" t="s">
        <v>6</v>
      </c>
      <c r="L456">
        <v>196</v>
      </c>
      <c r="M456" t="s">
        <v>6</v>
      </c>
    </row>
    <row r="457" spans="1:13" x14ac:dyDescent="0.2">
      <c r="A457" s="1">
        <v>45431</v>
      </c>
      <c r="B457" s="2">
        <v>4.1666666666666664E-2</v>
      </c>
      <c r="C457" s="3">
        <v>45431.041666666664</v>
      </c>
      <c r="D457">
        <v>44.9</v>
      </c>
      <c r="E457">
        <v>49.6</v>
      </c>
      <c r="F457">
        <v>40.1</v>
      </c>
      <c r="G457" t="s">
        <v>6</v>
      </c>
      <c r="H457">
        <v>14.7</v>
      </c>
      <c r="I457">
        <v>26.1</v>
      </c>
      <c r="J457">
        <v>12.2</v>
      </c>
      <c r="K457" t="s">
        <v>6</v>
      </c>
      <c r="L457">
        <v>162</v>
      </c>
      <c r="M457" t="s">
        <v>6</v>
      </c>
    </row>
    <row r="458" spans="1:13" x14ac:dyDescent="0.2">
      <c r="A458" s="1">
        <v>45431</v>
      </c>
      <c r="B458" s="2">
        <v>8.3333333333333329E-2</v>
      </c>
      <c r="C458" s="3">
        <v>45431.083333333336</v>
      </c>
      <c r="D458">
        <v>43.9</v>
      </c>
      <c r="E458">
        <v>47.6</v>
      </c>
      <c r="F458">
        <v>41.1</v>
      </c>
      <c r="G458" t="s">
        <v>6</v>
      </c>
      <c r="H458">
        <v>14.1</v>
      </c>
      <c r="I458">
        <v>23.6</v>
      </c>
      <c r="J458">
        <v>11.4</v>
      </c>
      <c r="K458" t="s">
        <v>6</v>
      </c>
      <c r="L458">
        <v>231</v>
      </c>
      <c r="M458" t="s">
        <v>6</v>
      </c>
    </row>
    <row r="459" spans="1:13" x14ac:dyDescent="0.2">
      <c r="A459" s="1">
        <v>45431</v>
      </c>
      <c r="B459" s="2">
        <v>0.125</v>
      </c>
      <c r="C459" s="3">
        <v>45431.125</v>
      </c>
      <c r="D459">
        <v>47</v>
      </c>
      <c r="E459">
        <v>58.1</v>
      </c>
      <c r="F459">
        <v>40.5</v>
      </c>
      <c r="G459" t="s">
        <v>6</v>
      </c>
      <c r="H459">
        <v>12.9</v>
      </c>
      <c r="I459">
        <v>17.600000000000001</v>
      </c>
      <c r="J459">
        <v>11.5</v>
      </c>
      <c r="K459" t="s">
        <v>6</v>
      </c>
      <c r="L459">
        <v>217</v>
      </c>
      <c r="M459" t="s">
        <v>6</v>
      </c>
    </row>
    <row r="460" spans="1:13" x14ac:dyDescent="0.2">
      <c r="A460" s="1">
        <v>45431</v>
      </c>
      <c r="B460" s="2">
        <v>0.16666666666666666</v>
      </c>
      <c r="C460" s="3">
        <v>45431.166666666664</v>
      </c>
      <c r="D460">
        <v>49</v>
      </c>
      <c r="E460">
        <v>51.5</v>
      </c>
      <c r="F460">
        <v>46.2</v>
      </c>
      <c r="G460" t="s">
        <v>6</v>
      </c>
      <c r="H460">
        <v>12.9</v>
      </c>
      <c r="I460">
        <v>20.2</v>
      </c>
      <c r="J460">
        <v>11.3</v>
      </c>
      <c r="K460" t="s">
        <v>6</v>
      </c>
      <c r="L460">
        <v>213</v>
      </c>
      <c r="M460" t="s">
        <v>6</v>
      </c>
    </row>
    <row r="461" spans="1:13" x14ac:dyDescent="0.2">
      <c r="A461" s="1">
        <v>45431</v>
      </c>
      <c r="B461" s="2">
        <v>0.20833333333333334</v>
      </c>
      <c r="C461" s="3">
        <v>45431.208333333336</v>
      </c>
      <c r="D461">
        <v>56.9</v>
      </c>
      <c r="E461">
        <v>88.8</v>
      </c>
      <c r="F461">
        <v>44.8</v>
      </c>
      <c r="G461" t="s">
        <v>6</v>
      </c>
      <c r="H461">
        <v>13.6</v>
      </c>
      <c r="I461">
        <v>18.600000000000001</v>
      </c>
      <c r="J461">
        <v>11.2</v>
      </c>
      <c r="K461" t="s">
        <v>6</v>
      </c>
      <c r="L461">
        <v>208</v>
      </c>
      <c r="M461" t="s">
        <v>6</v>
      </c>
    </row>
    <row r="462" spans="1:13" x14ac:dyDescent="0.2">
      <c r="A462" s="1">
        <v>45431</v>
      </c>
      <c r="B462" s="2">
        <v>0.25</v>
      </c>
      <c r="C462" s="3">
        <v>45431.25</v>
      </c>
      <c r="D462">
        <v>61.2</v>
      </c>
      <c r="E462">
        <v>71.7</v>
      </c>
      <c r="F462">
        <v>57.4</v>
      </c>
      <c r="G462" t="s">
        <v>6</v>
      </c>
      <c r="H462">
        <v>14.1</v>
      </c>
      <c r="I462">
        <v>24.3</v>
      </c>
      <c r="J462">
        <v>10.6</v>
      </c>
      <c r="K462" t="s">
        <v>6</v>
      </c>
      <c r="L462">
        <v>215</v>
      </c>
      <c r="M462" t="s">
        <v>6</v>
      </c>
    </row>
    <row r="463" spans="1:13" x14ac:dyDescent="0.2">
      <c r="A463" s="1">
        <v>45431</v>
      </c>
      <c r="B463" s="2">
        <v>0.29166666666666669</v>
      </c>
      <c r="C463" s="3">
        <v>45431.291666666664</v>
      </c>
      <c r="D463">
        <v>60</v>
      </c>
      <c r="E463">
        <v>67.8</v>
      </c>
      <c r="F463">
        <v>55.2</v>
      </c>
      <c r="G463" t="s">
        <v>6</v>
      </c>
      <c r="H463">
        <v>13.5</v>
      </c>
      <c r="I463">
        <v>20.8</v>
      </c>
      <c r="J463">
        <v>11.3</v>
      </c>
      <c r="K463" t="s">
        <v>6</v>
      </c>
      <c r="L463">
        <v>124</v>
      </c>
      <c r="M463" t="s">
        <v>6</v>
      </c>
    </row>
    <row r="464" spans="1:13" x14ac:dyDescent="0.2">
      <c r="A464" s="13">
        <v>45431</v>
      </c>
      <c r="B464" s="9">
        <v>0.33333333333333331</v>
      </c>
      <c r="C464" s="8">
        <v>45431.333333333336</v>
      </c>
      <c r="D464" s="10">
        <v>54.9</v>
      </c>
      <c r="E464" s="10">
        <v>57.7</v>
      </c>
      <c r="F464" s="10">
        <v>53.3</v>
      </c>
      <c r="G464" s="10" t="s">
        <v>6</v>
      </c>
      <c r="H464" s="10">
        <v>15.2</v>
      </c>
      <c r="I464" s="10">
        <v>19.3</v>
      </c>
      <c r="J464" s="10">
        <v>12</v>
      </c>
      <c r="K464" s="10" t="s">
        <v>6</v>
      </c>
      <c r="L464" s="10">
        <v>47</v>
      </c>
      <c r="M464" t="s">
        <v>6</v>
      </c>
    </row>
    <row r="465" spans="1:13" x14ac:dyDescent="0.2">
      <c r="A465" s="14">
        <v>45431</v>
      </c>
      <c r="B465" s="12">
        <v>0.375</v>
      </c>
      <c r="C465" s="7">
        <v>45431.375</v>
      </c>
      <c r="D465" s="11">
        <v>52.7</v>
      </c>
      <c r="E465" s="11">
        <v>56.7</v>
      </c>
      <c r="F465" s="11">
        <v>47.6</v>
      </c>
      <c r="G465" s="11" t="s">
        <v>6</v>
      </c>
      <c r="H465" s="11">
        <v>13.2</v>
      </c>
      <c r="I465" s="11">
        <v>17</v>
      </c>
      <c r="J465" s="11">
        <v>11</v>
      </c>
      <c r="K465" s="11" t="s">
        <v>6</v>
      </c>
      <c r="L465" s="11">
        <v>133</v>
      </c>
      <c r="M465" t="s">
        <v>6</v>
      </c>
    </row>
    <row r="466" spans="1:13" x14ac:dyDescent="0.2">
      <c r="A466" s="1">
        <v>45431</v>
      </c>
      <c r="B466" s="2">
        <v>0.41666666666666669</v>
      </c>
      <c r="C466" s="3">
        <v>45431.416666666664</v>
      </c>
      <c r="D466">
        <v>56</v>
      </c>
      <c r="E466">
        <v>62.8</v>
      </c>
      <c r="F466">
        <v>50.7</v>
      </c>
      <c r="G466" t="s">
        <v>6</v>
      </c>
      <c r="H466">
        <v>13.5</v>
      </c>
      <c r="I466">
        <v>19.399999999999999</v>
      </c>
      <c r="J466">
        <v>10.8</v>
      </c>
      <c r="K466" t="s">
        <v>6</v>
      </c>
      <c r="L466">
        <v>199</v>
      </c>
      <c r="M466" t="s">
        <v>6</v>
      </c>
    </row>
    <row r="467" spans="1:13" x14ac:dyDescent="0.2">
      <c r="A467" s="1">
        <v>45431</v>
      </c>
      <c r="B467" s="2">
        <v>0.45833333333333331</v>
      </c>
      <c r="C467" s="3">
        <v>45431.458333333336</v>
      </c>
      <c r="D467">
        <v>54.9</v>
      </c>
      <c r="E467">
        <v>56.7</v>
      </c>
      <c r="F467">
        <v>52.9</v>
      </c>
      <c r="G467" t="s">
        <v>6</v>
      </c>
      <c r="H467">
        <v>12</v>
      </c>
      <c r="I467">
        <v>13.1</v>
      </c>
      <c r="J467">
        <v>11.1</v>
      </c>
      <c r="K467" t="s">
        <v>6</v>
      </c>
      <c r="L467">
        <v>48</v>
      </c>
      <c r="M467" t="s">
        <v>6</v>
      </c>
    </row>
    <row r="468" spans="1:13" x14ac:dyDescent="0.2">
      <c r="A468" s="1">
        <v>45431</v>
      </c>
      <c r="B468" s="2">
        <v>0.54166666666666663</v>
      </c>
      <c r="C468" s="3">
        <v>45431.541666666664</v>
      </c>
      <c r="D468">
        <v>66.5</v>
      </c>
      <c r="E468">
        <v>73.599999999999994</v>
      </c>
      <c r="F468">
        <v>60.8</v>
      </c>
      <c r="G468" t="s">
        <v>6</v>
      </c>
      <c r="H468">
        <v>19.600000000000001</v>
      </c>
      <c r="I468">
        <v>21.7</v>
      </c>
      <c r="J468">
        <v>15.9</v>
      </c>
      <c r="K468" t="s">
        <v>6</v>
      </c>
      <c r="L468">
        <v>37</v>
      </c>
      <c r="M468" t="s">
        <v>6</v>
      </c>
    </row>
    <row r="469" spans="1:13" x14ac:dyDescent="0.2">
      <c r="A469" s="1">
        <v>45431</v>
      </c>
      <c r="B469" s="2">
        <v>0.58333333333333337</v>
      </c>
      <c r="C469" s="3">
        <v>45431.583333333336</v>
      </c>
      <c r="D469">
        <v>62.1</v>
      </c>
      <c r="E469">
        <v>72.5</v>
      </c>
      <c r="F469">
        <v>56.6</v>
      </c>
      <c r="G469" t="s">
        <v>6</v>
      </c>
      <c r="H469">
        <v>17</v>
      </c>
      <c r="I469">
        <v>20.5</v>
      </c>
      <c r="J469">
        <v>13.7</v>
      </c>
      <c r="K469" t="s">
        <v>6</v>
      </c>
      <c r="L469">
        <v>73</v>
      </c>
      <c r="M469" t="s">
        <v>6</v>
      </c>
    </row>
    <row r="470" spans="1:13" x14ac:dyDescent="0.2">
      <c r="A470" s="1">
        <v>45431</v>
      </c>
      <c r="B470" s="2">
        <v>0.66666666666666663</v>
      </c>
      <c r="C470" s="3">
        <v>45431.666666666664</v>
      </c>
      <c r="D470">
        <v>55.3</v>
      </c>
      <c r="E470">
        <v>55.9</v>
      </c>
      <c r="F470">
        <v>54.6</v>
      </c>
      <c r="G470" t="s">
        <v>6</v>
      </c>
      <c r="H470">
        <v>12.8</v>
      </c>
      <c r="I470">
        <v>13</v>
      </c>
      <c r="J470">
        <v>12.6</v>
      </c>
      <c r="K470" t="s">
        <v>6</v>
      </c>
      <c r="L470">
        <v>3</v>
      </c>
      <c r="M470" t="s">
        <v>6</v>
      </c>
    </row>
    <row r="471" spans="1:13" x14ac:dyDescent="0.2">
      <c r="A471" s="1">
        <v>45431</v>
      </c>
      <c r="B471" s="2">
        <v>0.75</v>
      </c>
      <c r="C471" s="3">
        <v>45431.75</v>
      </c>
      <c r="D471">
        <v>103</v>
      </c>
      <c r="E471">
        <v>129.19999999999999</v>
      </c>
      <c r="F471">
        <v>54.4</v>
      </c>
      <c r="G471" t="s">
        <v>6</v>
      </c>
      <c r="H471">
        <v>15.9</v>
      </c>
      <c r="I471">
        <v>22.9</v>
      </c>
      <c r="J471">
        <v>11.7</v>
      </c>
      <c r="K471" t="s">
        <v>6</v>
      </c>
      <c r="L471">
        <v>152</v>
      </c>
      <c r="M471" t="s">
        <v>6</v>
      </c>
    </row>
    <row r="472" spans="1:13" x14ac:dyDescent="0.2">
      <c r="A472" s="1">
        <v>45431</v>
      </c>
      <c r="B472" s="2">
        <v>0.79166666666666663</v>
      </c>
      <c r="C472" s="3">
        <v>45431.791666666664</v>
      </c>
      <c r="D472">
        <v>116.4</v>
      </c>
      <c r="E472">
        <v>130</v>
      </c>
      <c r="F472">
        <v>105.2</v>
      </c>
      <c r="G472" t="s">
        <v>6</v>
      </c>
      <c r="H472">
        <v>16</v>
      </c>
      <c r="I472">
        <v>19.8</v>
      </c>
      <c r="J472">
        <v>12.4</v>
      </c>
      <c r="K472" t="s">
        <v>6</v>
      </c>
      <c r="L472">
        <v>225</v>
      </c>
      <c r="M472" t="s">
        <v>6</v>
      </c>
    </row>
    <row r="473" spans="1:13" x14ac:dyDescent="0.2">
      <c r="A473" s="1">
        <v>45431</v>
      </c>
      <c r="B473" s="2">
        <v>0.83333333333333337</v>
      </c>
      <c r="C473" s="3">
        <v>45431.833333333336</v>
      </c>
      <c r="D473">
        <v>92.7</v>
      </c>
      <c r="E473">
        <v>118.9</v>
      </c>
      <c r="F473">
        <v>78.2</v>
      </c>
      <c r="G473" t="s">
        <v>6</v>
      </c>
      <c r="H473">
        <v>16.600000000000001</v>
      </c>
      <c r="I473">
        <v>27</v>
      </c>
      <c r="J473">
        <v>12.1</v>
      </c>
      <c r="K473" t="s">
        <v>6</v>
      </c>
      <c r="L473">
        <v>213</v>
      </c>
      <c r="M473" t="s">
        <v>6</v>
      </c>
    </row>
    <row r="474" spans="1:13" x14ac:dyDescent="0.2">
      <c r="A474" s="1">
        <v>45431</v>
      </c>
      <c r="B474" s="2">
        <v>0.875</v>
      </c>
      <c r="C474" s="3">
        <v>45431.875</v>
      </c>
      <c r="D474">
        <v>62.4</v>
      </c>
      <c r="E474">
        <v>89.5</v>
      </c>
      <c r="F474">
        <v>53.3</v>
      </c>
      <c r="G474" t="s">
        <v>6</v>
      </c>
      <c r="H474">
        <v>13.9</v>
      </c>
      <c r="I474">
        <v>21.8</v>
      </c>
      <c r="J474">
        <v>11.4</v>
      </c>
      <c r="K474" t="s">
        <v>6</v>
      </c>
      <c r="L474">
        <v>210</v>
      </c>
      <c r="M474" t="s">
        <v>6</v>
      </c>
    </row>
    <row r="475" spans="1:13" x14ac:dyDescent="0.2">
      <c r="A475" s="1">
        <v>45431</v>
      </c>
      <c r="B475" s="2">
        <v>0.91666666666666663</v>
      </c>
      <c r="C475" s="3">
        <v>45431.916666666664</v>
      </c>
      <c r="D475">
        <v>57.6</v>
      </c>
      <c r="E475">
        <v>61.7</v>
      </c>
      <c r="F475">
        <v>53.2</v>
      </c>
      <c r="G475" t="s">
        <v>6</v>
      </c>
      <c r="H475">
        <v>13.4</v>
      </c>
      <c r="I475">
        <v>18</v>
      </c>
      <c r="J475">
        <v>11.9</v>
      </c>
      <c r="K475" t="s">
        <v>6</v>
      </c>
      <c r="L475">
        <v>216</v>
      </c>
      <c r="M475" t="s">
        <v>6</v>
      </c>
    </row>
    <row r="476" spans="1:13" x14ac:dyDescent="0.2">
      <c r="A476" s="1">
        <v>45431</v>
      </c>
      <c r="B476" s="2">
        <v>0.95833333333333337</v>
      </c>
      <c r="C476" s="3">
        <v>45431.958333333336</v>
      </c>
      <c r="D476">
        <v>74.5</v>
      </c>
      <c r="E476">
        <v>98.5</v>
      </c>
      <c r="F476">
        <v>52.9</v>
      </c>
      <c r="G476" t="s">
        <v>6</v>
      </c>
      <c r="H476">
        <v>14.6</v>
      </c>
      <c r="I476">
        <v>24.9</v>
      </c>
      <c r="J476">
        <v>11.7</v>
      </c>
      <c r="K476" t="s">
        <v>6</v>
      </c>
      <c r="L476">
        <v>224</v>
      </c>
      <c r="M476" t="s">
        <v>6</v>
      </c>
    </row>
    <row r="477" spans="1:13" x14ac:dyDescent="0.2">
      <c r="A477" s="1">
        <v>45432</v>
      </c>
      <c r="B477" s="2">
        <v>0</v>
      </c>
      <c r="C477" s="3">
        <v>45432</v>
      </c>
      <c r="D477">
        <v>108.2</v>
      </c>
      <c r="E477">
        <v>117</v>
      </c>
      <c r="F477">
        <v>95</v>
      </c>
      <c r="G477" t="s">
        <v>6</v>
      </c>
      <c r="H477">
        <v>13.4</v>
      </c>
      <c r="I477">
        <v>24.2</v>
      </c>
      <c r="J477">
        <v>11.4</v>
      </c>
      <c r="K477" t="s">
        <v>6</v>
      </c>
      <c r="L477">
        <v>214</v>
      </c>
      <c r="M477" t="s">
        <v>6</v>
      </c>
    </row>
    <row r="478" spans="1:13" x14ac:dyDescent="0.2">
      <c r="A478" s="1">
        <v>45432</v>
      </c>
      <c r="B478" s="2">
        <v>4.1666666666666664E-2</v>
      </c>
      <c r="C478" s="3">
        <v>45432.041666666664</v>
      </c>
      <c r="D478">
        <v>109.4</v>
      </c>
      <c r="E478">
        <v>118</v>
      </c>
      <c r="F478">
        <v>102.3</v>
      </c>
      <c r="G478" t="s">
        <v>6</v>
      </c>
      <c r="H478">
        <v>12.8</v>
      </c>
      <c r="I478">
        <v>17.8</v>
      </c>
      <c r="J478">
        <v>10.7</v>
      </c>
      <c r="K478" t="s">
        <v>6</v>
      </c>
      <c r="L478">
        <v>218</v>
      </c>
      <c r="M478" t="s">
        <v>6</v>
      </c>
    </row>
    <row r="479" spans="1:13" x14ac:dyDescent="0.2">
      <c r="A479" s="1">
        <v>45432</v>
      </c>
      <c r="B479" s="2">
        <v>8.3333333333333329E-2</v>
      </c>
      <c r="C479" s="3">
        <v>45432.083333333336</v>
      </c>
      <c r="D479">
        <v>97.1</v>
      </c>
      <c r="E479">
        <v>118.4</v>
      </c>
      <c r="F479">
        <v>53.9</v>
      </c>
      <c r="G479" t="s">
        <v>6</v>
      </c>
      <c r="H479">
        <v>12.8</v>
      </c>
      <c r="I479">
        <v>22.3</v>
      </c>
      <c r="J479">
        <v>10.9</v>
      </c>
      <c r="K479" t="s">
        <v>6</v>
      </c>
      <c r="L479">
        <v>223</v>
      </c>
      <c r="M479" t="s">
        <v>6</v>
      </c>
    </row>
    <row r="480" spans="1:13" x14ac:dyDescent="0.2">
      <c r="A480" s="1">
        <v>45432</v>
      </c>
      <c r="B480" s="2">
        <v>0.125</v>
      </c>
      <c r="C480" s="3">
        <v>45432.125</v>
      </c>
      <c r="D480">
        <v>54.9</v>
      </c>
      <c r="E480">
        <v>59.5</v>
      </c>
      <c r="F480">
        <v>49.7</v>
      </c>
      <c r="G480" t="s">
        <v>6</v>
      </c>
      <c r="H480">
        <v>15.2</v>
      </c>
      <c r="I480">
        <v>23.4</v>
      </c>
      <c r="J480">
        <v>10.7</v>
      </c>
      <c r="K480" t="s">
        <v>6</v>
      </c>
      <c r="L480">
        <v>211</v>
      </c>
      <c r="M480" t="s">
        <v>6</v>
      </c>
    </row>
    <row r="481" spans="1:13" x14ac:dyDescent="0.2">
      <c r="A481" s="13">
        <v>45432</v>
      </c>
      <c r="B481" s="9">
        <v>0.16666666666666666</v>
      </c>
      <c r="C481" s="8">
        <v>45432.166666666664</v>
      </c>
      <c r="D481" s="10">
        <v>52.8</v>
      </c>
      <c r="E481" s="10">
        <v>57</v>
      </c>
      <c r="F481" s="10">
        <v>50.1</v>
      </c>
      <c r="G481" s="10" t="s">
        <v>6</v>
      </c>
      <c r="H481" s="10">
        <v>14.1</v>
      </c>
      <c r="I481" s="10">
        <v>18.399999999999999</v>
      </c>
      <c r="J481" s="10">
        <v>12.6</v>
      </c>
      <c r="K481" s="10" t="s">
        <v>6</v>
      </c>
      <c r="L481" s="10">
        <v>62</v>
      </c>
      <c r="M481" t="s">
        <v>6</v>
      </c>
    </row>
    <row r="482" spans="1:13" x14ac:dyDescent="0.2">
      <c r="A482" s="14">
        <v>45433</v>
      </c>
      <c r="B482" s="12">
        <v>0.75</v>
      </c>
      <c r="C482" s="7">
        <v>45433.75</v>
      </c>
      <c r="D482" s="11">
        <v>71.3</v>
      </c>
      <c r="E482" s="11">
        <v>75.5</v>
      </c>
      <c r="F482" s="11">
        <v>68.400000000000006</v>
      </c>
      <c r="G482" s="11" t="s">
        <v>6</v>
      </c>
      <c r="H482" s="11">
        <v>13.5</v>
      </c>
      <c r="I482" s="11">
        <v>17.8</v>
      </c>
      <c r="J482" s="11">
        <v>10</v>
      </c>
      <c r="K482" s="11" t="s">
        <v>6</v>
      </c>
      <c r="L482" s="11">
        <v>22</v>
      </c>
      <c r="M482" t="s">
        <v>6</v>
      </c>
    </row>
    <row r="483" spans="1:13" x14ac:dyDescent="0.2">
      <c r="A483" s="1">
        <v>45433</v>
      </c>
      <c r="B483" s="2">
        <v>0.79166666666666663</v>
      </c>
      <c r="C483" s="3">
        <v>45433.791666666664</v>
      </c>
      <c r="D483">
        <v>119.2</v>
      </c>
      <c r="E483">
        <v>129.19999999999999</v>
      </c>
      <c r="F483">
        <v>105.1</v>
      </c>
      <c r="G483" t="s">
        <v>6</v>
      </c>
      <c r="H483">
        <v>17.2</v>
      </c>
      <c r="I483">
        <v>25</v>
      </c>
      <c r="J483">
        <v>11.9</v>
      </c>
      <c r="K483" t="s">
        <v>6</v>
      </c>
      <c r="L483">
        <v>185</v>
      </c>
      <c r="M483" t="s">
        <v>6</v>
      </c>
    </row>
    <row r="484" spans="1:13" x14ac:dyDescent="0.2">
      <c r="A484" s="1">
        <v>45433</v>
      </c>
      <c r="B484" s="2">
        <v>0.83333333333333337</v>
      </c>
      <c r="C484" s="3">
        <v>45433.833333333336</v>
      </c>
      <c r="D484">
        <v>96.4</v>
      </c>
      <c r="E484">
        <v>117.4</v>
      </c>
      <c r="F484">
        <v>46.3</v>
      </c>
      <c r="G484" t="s">
        <v>6</v>
      </c>
      <c r="H484">
        <v>21</v>
      </c>
      <c r="I484">
        <v>32.1</v>
      </c>
      <c r="J484">
        <v>13.4</v>
      </c>
      <c r="K484" t="s">
        <v>6</v>
      </c>
      <c r="L484">
        <v>214</v>
      </c>
      <c r="M484" t="s">
        <v>6</v>
      </c>
    </row>
    <row r="485" spans="1:13" x14ac:dyDescent="0.2">
      <c r="A485" s="1">
        <v>45433</v>
      </c>
      <c r="B485" s="2">
        <v>0.875</v>
      </c>
      <c r="C485" s="3">
        <v>45433.875</v>
      </c>
      <c r="D485">
        <v>45.5</v>
      </c>
      <c r="E485">
        <v>50.1</v>
      </c>
      <c r="F485">
        <v>42.5</v>
      </c>
      <c r="G485" t="s">
        <v>6</v>
      </c>
      <c r="H485">
        <v>17.2</v>
      </c>
      <c r="I485">
        <v>36</v>
      </c>
      <c r="J485">
        <v>12.9</v>
      </c>
      <c r="K485" t="s">
        <v>6</v>
      </c>
      <c r="L485">
        <v>221</v>
      </c>
      <c r="M485" t="s">
        <v>6</v>
      </c>
    </row>
    <row r="486" spans="1:13" x14ac:dyDescent="0.2">
      <c r="A486" s="1">
        <v>45433</v>
      </c>
      <c r="B486" s="2">
        <v>0.91666666666666663</v>
      </c>
      <c r="C486" s="3">
        <v>45433.916666666664</v>
      </c>
      <c r="D486">
        <v>42.9</v>
      </c>
      <c r="E486">
        <v>45.5</v>
      </c>
      <c r="F486">
        <v>41.2</v>
      </c>
      <c r="G486" t="s">
        <v>6</v>
      </c>
      <c r="H486">
        <v>16.5</v>
      </c>
      <c r="I486">
        <v>28.8</v>
      </c>
      <c r="J486">
        <v>13</v>
      </c>
      <c r="K486" t="s">
        <v>6</v>
      </c>
      <c r="L486">
        <v>177</v>
      </c>
      <c r="M486" t="s">
        <v>6</v>
      </c>
    </row>
    <row r="487" spans="1:13" x14ac:dyDescent="0.2">
      <c r="A487" s="1">
        <v>45433</v>
      </c>
      <c r="B487" s="2">
        <v>0.95833333333333337</v>
      </c>
      <c r="C487" s="3">
        <v>45433.958333333336</v>
      </c>
      <c r="D487">
        <v>45.9</v>
      </c>
      <c r="E487">
        <v>53.5</v>
      </c>
      <c r="F487">
        <v>40.200000000000003</v>
      </c>
      <c r="G487" t="s">
        <v>6</v>
      </c>
      <c r="H487">
        <v>15</v>
      </c>
      <c r="I487">
        <v>25.7</v>
      </c>
      <c r="J487">
        <v>12.4</v>
      </c>
      <c r="K487" t="s">
        <v>6</v>
      </c>
      <c r="L487">
        <v>226</v>
      </c>
      <c r="M487" t="s">
        <v>6</v>
      </c>
    </row>
    <row r="488" spans="1:13" x14ac:dyDescent="0.2">
      <c r="A488" s="1">
        <v>45434</v>
      </c>
      <c r="B488" s="2">
        <v>0</v>
      </c>
      <c r="C488" s="3">
        <v>45434</v>
      </c>
      <c r="D488">
        <v>49.6</v>
      </c>
      <c r="E488">
        <v>54</v>
      </c>
      <c r="F488">
        <v>44.7</v>
      </c>
      <c r="G488" t="s">
        <v>6</v>
      </c>
      <c r="H488">
        <v>15.1</v>
      </c>
      <c r="I488">
        <v>19.2</v>
      </c>
      <c r="J488">
        <v>12.7</v>
      </c>
      <c r="K488" t="s">
        <v>6</v>
      </c>
      <c r="L488">
        <v>220</v>
      </c>
      <c r="M488" t="s">
        <v>6</v>
      </c>
    </row>
    <row r="489" spans="1:13" x14ac:dyDescent="0.2">
      <c r="A489" s="1">
        <v>45434</v>
      </c>
      <c r="B489" s="2">
        <v>4.1666666666666664E-2</v>
      </c>
      <c r="C489" s="3">
        <v>45434.041666666664</v>
      </c>
      <c r="D489">
        <v>46.6</v>
      </c>
      <c r="E489">
        <v>51.5</v>
      </c>
      <c r="F489">
        <v>42.9</v>
      </c>
      <c r="G489" t="s">
        <v>6</v>
      </c>
      <c r="H489">
        <v>17.600000000000001</v>
      </c>
      <c r="I489">
        <v>28.5</v>
      </c>
      <c r="J489">
        <v>13.2</v>
      </c>
      <c r="K489" t="s">
        <v>6</v>
      </c>
      <c r="L489">
        <v>229</v>
      </c>
      <c r="M489" t="s">
        <v>6</v>
      </c>
    </row>
    <row r="490" spans="1:13" x14ac:dyDescent="0.2">
      <c r="A490" s="1">
        <v>45434</v>
      </c>
      <c r="B490" s="2">
        <v>8.3333333333333329E-2</v>
      </c>
      <c r="C490" s="3">
        <v>45434.083333333336</v>
      </c>
      <c r="D490">
        <v>54.1</v>
      </c>
      <c r="E490">
        <v>67.400000000000006</v>
      </c>
      <c r="F490">
        <v>45.5</v>
      </c>
      <c r="G490" t="s">
        <v>6</v>
      </c>
      <c r="H490">
        <v>19.100000000000001</v>
      </c>
      <c r="I490">
        <v>29.3</v>
      </c>
      <c r="J490">
        <v>12.8</v>
      </c>
      <c r="K490" t="s">
        <v>6</v>
      </c>
      <c r="L490">
        <v>215</v>
      </c>
      <c r="M490" t="s">
        <v>6</v>
      </c>
    </row>
    <row r="491" spans="1:13" x14ac:dyDescent="0.2">
      <c r="A491" s="1">
        <v>45434</v>
      </c>
      <c r="B491" s="2">
        <v>0.125</v>
      </c>
      <c r="C491" s="3">
        <v>45434.125</v>
      </c>
      <c r="D491">
        <v>46.1</v>
      </c>
      <c r="E491">
        <v>55.3</v>
      </c>
      <c r="F491">
        <v>40.9</v>
      </c>
      <c r="G491" t="s">
        <v>6</v>
      </c>
      <c r="H491">
        <v>17.600000000000001</v>
      </c>
      <c r="I491">
        <v>29.7</v>
      </c>
      <c r="J491">
        <v>12.6</v>
      </c>
      <c r="K491" t="s">
        <v>6</v>
      </c>
      <c r="L491">
        <v>215</v>
      </c>
      <c r="M491" t="s">
        <v>6</v>
      </c>
    </row>
    <row r="492" spans="1:13" x14ac:dyDescent="0.2">
      <c r="A492" s="1">
        <v>45434</v>
      </c>
      <c r="B492" s="2">
        <v>0.16666666666666666</v>
      </c>
      <c r="C492" s="3">
        <v>45434.166666666664</v>
      </c>
      <c r="D492">
        <v>43.6</v>
      </c>
      <c r="E492">
        <v>46.9</v>
      </c>
      <c r="F492">
        <v>40.9</v>
      </c>
      <c r="G492" t="s">
        <v>6</v>
      </c>
      <c r="H492">
        <v>17</v>
      </c>
      <c r="I492">
        <v>29.6</v>
      </c>
      <c r="J492">
        <v>12.2</v>
      </c>
      <c r="K492" t="s">
        <v>6</v>
      </c>
      <c r="L492">
        <v>221</v>
      </c>
      <c r="M492" t="s">
        <v>6</v>
      </c>
    </row>
    <row r="493" spans="1:13" x14ac:dyDescent="0.2">
      <c r="A493" s="1">
        <v>45434</v>
      </c>
      <c r="B493" s="2">
        <v>0.20833333333333334</v>
      </c>
      <c r="C493" s="3">
        <v>45434.208333333336</v>
      </c>
      <c r="D493">
        <v>48.2</v>
      </c>
      <c r="E493">
        <v>52.5</v>
      </c>
      <c r="F493">
        <v>46.4</v>
      </c>
      <c r="G493" t="s">
        <v>6</v>
      </c>
      <c r="H493">
        <v>13.5</v>
      </c>
      <c r="I493">
        <v>22.5</v>
      </c>
      <c r="J493">
        <v>11.8</v>
      </c>
      <c r="K493" t="s">
        <v>6</v>
      </c>
      <c r="L493">
        <v>225</v>
      </c>
      <c r="M493" t="s">
        <v>6</v>
      </c>
    </row>
    <row r="494" spans="1:13" x14ac:dyDescent="0.2">
      <c r="A494" s="1">
        <v>45434</v>
      </c>
      <c r="B494" s="2">
        <v>0.25</v>
      </c>
      <c r="C494" s="3">
        <v>45434.25</v>
      </c>
      <c r="D494">
        <v>45.3</v>
      </c>
      <c r="E494">
        <v>47.5</v>
      </c>
      <c r="F494">
        <v>43.6</v>
      </c>
      <c r="G494" t="s">
        <v>6</v>
      </c>
      <c r="H494">
        <v>13.2</v>
      </c>
      <c r="I494">
        <v>19.8</v>
      </c>
      <c r="J494">
        <v>11.6</v>
      </c>
      <c r="K494" t="s">
        <v>6</v>
      </c>
      <c r="L494">
        <v>149</v>
      </c>
      <c r="M494" t="s">
        <v>6</v>
      </c>
    </row>
    <row r="495" spans="1:13" x14ac:dyDescent="0.2">
      <c r="A495" s="1">
        <v>45434</v>
      </c>
      <c r="B495" s="2">
        <v>0.29166666666666669</v>
      </c>
      <c r="C495" s="3">
        <v>45434.291666666664</v>
      </c>
      <c r="D495">
        <v>47.3</v>
      </c>
      <c r="E495">
        <v>47.9</v>
      </c>
      <c r="F495">
        <v>46</v>
      </c>
      <c r="G495" t="s">
        <v>6</v>
      </c>
      <c r="H495">
        <v>16.2</v>
      </c>
      <c r="I495">
        <v>19.5</v>
      </c>
      <c r="J495">
        <v>12.9</v>
      </c>
      <c r="K495" t="s">
        <v>6</v>
      </c>
      <c r="L495">
        <v>53</v>
      </c>
      <c r="M495" t="s">
        <v>6</v>
      </c>
    </row>
    <row r="496" spans="1:13" x14ac:dyDescent="0.2">
      <c r="A496" s="13">
        <v>45434</v>
      </c>
      <c r="B496" s="9">
        <v>0.33333333333333331</v>
      </c>
      <c r="C496" s="8">
        <v>45434.333333333336</v>
      </c>
      <c r="D496" s="10">
        <v>46.2</v>
      </c>
      <c r="E496" s="10">
        <v>46.9</v>
      </c>
      <c r="F496" s="10">
        <v>44.6</v>
      </c>
      <c r="G496" s="10" t="s">
        <v>6</v>
      </c>
      <c r="H496" s="10">
        <v>15.3</v>
      </c>
      <c r="I496" s="10">
        <v>17.5</v>
      </c>
      <c r="J496" s="10">
        <v>12.9</v>
      </c>
      <c r="K496" s="10" t="s">
        <v>6</v>
      </c>
      <c r="L496" s="10">
        <v>17</v>
      </c>
      <c r="M496" t="s">
        <v>6</v>
      </c>
    </row>
    <row r="497" spans="1:13" x14ac:dyDescent="0.2">
      <c r="A497" s="14">
        <v>45434</v>
      </c>
      <c r="B497" s="12">
        <v>0.375</v>
      </c>
      <c r="C497" s="7">
        <v>45434.375</v>
      </c>
      <c r="D497" s="11">
        <v>59.3</v>
      </c>
      <c r="E497" s="11">
        <v>64.099999999999994</v>
      </c>
      <c r="F497" s="11">
        <v>53.2</v>
      </c>
      <c r="G497" s="11" t="s">
        <v>6</v>
      </c>
      <c r="H497" s="11">
        <v>15.3</v>
      </c>
      <c r="I497" s="11">
        <v>19.3</v>
      </c>
      <c r="J497" s="11">
        <v>13</v>
      </c>
      <c r="K497" s="11" t="s">
        <v>6</v>
      </c>
      <c r="L497" s="11">
        <v>112</v>
      </c>
      <c r="M497" t="s">
        <v>6</v>
      </c>
    </row>
    <row r="498" spans="1:13" x14ac:dyDescent="0.2">
      <c r="A498" s="1">
        <v>45434</v>
      </c>
      <c r="B498" s="2">
        <v>0.41666666666666669</v>
      </c>
      <c r="C498" s="3">
        <v>45434.416666666664</v>
      </c>
      <c r="D498">
        <v>61.3</v>
      </c>
      <c r="E498">
        <v>70.099999999999994</v>
      </c>
      <c r="F498">
        <v>57.1</v>
      </c>
      <c r="G498" t="s">
        <v>6</v>
      </c>
      <c r="H498">
        <v>15.7</v>
      </c>
      <c r="I498">
        <v>20.3</v>
      </c>
      <c r="J498">
        <v>12</v>
      </c>
      <c r="K498" t="s">
        <v>6</v>
      </c>
      <c r="L498">
        <v>187</v>
      </c>
      <c r="M498" t="s">
        <v>6</v>
      </c>
    </row>
    <row r="499" spans="1:13" x14ac:dyDescent="0.2">
      <c r="A499" s="1">
        <v>45434</v>
      </c>
      <c r="B499" s="2">
        <v>0.45833333333333331</v>
      </c>
      <c r="C499" s="3">
        <v>45434.458333333336</v>
      </c>
      <c r="D499">
        <v>65.599999999999994</v>
      </c>
      <c r="E499">
        <v>69.2</v>
      </c>
      <c r="F499">
        <v>61.3</v>
      </c>
      <c r="G499" t="s">
        <v>6</v>
      </c>
      <c r="H499">
        <v>17.100000000000001</v>
      </c>
      <c r="I499">
        <v>25.2</v>
      </c>
      <c r="J499">
        <v>12.9</v>
      </c>
      <c r="K499" t="s">
        <v>6</v>
      </c>
      <c r="L499">
        <v>155</v>
      </c>
      <c r="M499" t="s">
        <v>6</v>
      </c>
    </row>
    <row r="500" spans="1:13" x14ac:dyDescent="0.2">
      <c r="A500" s="1">
        <v>45434</v>
      </c>
      <c r="B500" s="2">
        <v>0.5</v>
      </c>
      <c r="C500" s="3">
        <v>45434.5</v>
      </c>
      <c r="D500">
        <v>70.599999999999994</v>
      </c>
      <c r="E500">
        <v>73.8</v>
      </c>
      <c r="F500">
        <v>62.8</v>
      </c>
      <c r="G500" t="s">
        <v>6</v>
      </c>
      <c r="H500">
        <v>15.5</v>
      </c>
      <c r="I500">
        <v>19</v>
      </c>
      <c r="J500">
        <v>13</v>
      </c>
      <c r="K500" t="s">
        <v>6</v>
      </c>
      <c r="L500">
        <v>62</v>
      </c>
      <c r="M500" t="s">
        <v>6</v>
      </c>
    </row>
    <row r="501" spans="1:13" x14ac:dyDescent="0.2">
      <c r="A501" s="1">
        <v>45434</v>
      </c>
      <c r="B501" s="2">
        <v>0.54166666666666663</v>
      </c>
      <c r="C501" s="3">
        <v>45434.541666666664</v>
      </c>
      <c r="D501">
        <v>66.7</v>
      </c>
      <c r="E501">
        <v>71</v>
      </c>
      <c r="F501">
        <v>61.1</v>
      </c>
      <c r="G501" t="s">
        <v>6</v>
      </c>
      <c r="H501">
        <v>12.9</v>
      </c>
      <c r="I501">
        <v>17.8</v>
      </c>
      <c r="J501">
        <v>10.7</v>
      </c>
      <c r="K501" t="s">
        <v>6</v>
      </c>
      <c r="L501">
        <v>174</v>
      </c>
      <c r="M501" t="s">
        <v>6</v>
      </c>
    </row>
    <row r="502" spans="1:13" x14ac:dyDescent="0.2">
      <c r="A502" s="1">
        <v>45434</v>
      </c>
      <c r="B502" s="2">
        <v>0.58333333333333337</v>
      </c>
      <c r="C502" s="3">
        <v>45434.583333333336</v>
      </c>
      <c r="D502">
        <v>62.7</v>
      </c>
      <c r="E502">
        <v>68.8</v>
      </c>
      <c r="F502">
        <v>58.1</v>
      </c>
      <c r="G502" t="s">
        <v>6</v>
      </c>
      <c r="H502">
        <v>13.1</v>
      </c>
      <c r="I502">
        <v>18.7</v>
      </c>
      <c r="J502">
        <v>10.3</v>
      </c>
      <c r="K502" t="s">
        <v>6</v>
      </c>
      <c r="L502">
        <v>229</v>
      </c>
      <c r="M502" t="s">
        <v>6</v>
      </c>
    </row>
    <row r="503" spans="1:13" x14ac:dyDescent="0.2">
      <c r="A503" s="1">
        <v>45434</v>
      </c>
      <c r="B503" s="2">
        <v>0.625</v>
      </c>
      <c r="C503" s="3">
        <v>45434.625</v>
      </c>
      <c r="D503">
        <v>64.7</v>
      </c>
      <c r="E503">
        <v>68.2</v>
      </c>
      <c r="F503">
        <v>60.2</v>
      </c>
      <c r="G503" t="s">
        <v>6</v>
      </c>
      <c r="H503">
        <v>14.7</v>
      </c>
      <c r="I503">
        <v>20.8</v>
      </c>
      <c r="J503">
        <v>11.2</v>
      </c>
      <c r="K503" t="s">
        <v>6</v>
      </c>
      <c r="L503">
        <v>132</v>
      </c>
      <c r="M503" t="s">
        <v>6</v>
      </c>
    </row>
    <row r="504" spans="1:13" x14ac:dyDescent="0.2">
      <c r="A504" s="1">
        <v>45434</v>
      </c>
      <c r="B504" s="2">
        <v>0.66666666666666663</v>
      </c>
      <c r="C504" s="3">
        <v>45434.666666666664</v>
      </c>
      <c r="D504">
        <v>62.8</v>
      </c>
      <c r="E504">
        <v>68.900000000000006</v>
      </c>
      <c r="F504">
        <v>58.2</v>
      </c>
      <c r="G504" t="s">
        <v>6</v>
      </c>
      <c r="H504">
        <v>14.8</v>
      </c>
      <c r="I504">
        <v>17.899999999999999</v>
      </c>
      <c r="J504">
        <v>12.7</v>
      </c>
      <c r="K504" t="s">
        <v>6</v>
      </c>
      <c r="L504">
        <v>120</v>
      </c>
      <c r="M504" t="s">
        <v>6</v>
      </c>
    </row>
    <row r="505" spans="1:13" x14ac:dyDescent="0.2">
      <c r="A505" s="1">
        <v>45434</v>
      </c>
      <c r="B505" s="2">
        <v>0.70833333333333337</v>
      </c>
      <c r="C505" s="3">
        <v>45434.708333333336</v>
      </c>
      <c r="D505">
        <v>64</v>
      </c>
      <c r="E505">
        <v>67.7</v>
      </c>
      <c r="F505">
        <v>60.1</v>
      </c>
      <c r="G505" t="s">
        <v>6</v>
      </c>
      <c r="H505">
        <v>13.6</v>
      </c>
      <c r="I505">
        <v>20.3</v>
      </c>
      <c r="J505">
        <v>10.7</v>
      </c>
      <c r="K505" t="s">
        <v>6</v>
      </c>
      <c r="L505">
        <v>148</v>
      </c>
      <c r="M505" t="s">
        <v>6</v>
      </c>
    </row>
    <row r="506" spans="1:13" x14ac:dyDescent="0.2">
      <c r="A506" s="1">
        <v>45434</v>
      </c>
      <c r="B506" s="2">
        <v>0.75</v>
      </c>
      <c r="C506" s="3">
        <v>45434.75</v>
      </c>
      <c r="D506">
        <v>63</v>
      </c>
      <c r="E506">
        <v>65.7</v>
      </c>
      <c r="F506">
        <v>60</v>
      </c>
      <c r="G506" t="s">
        <v>6</v>
      </c>
      <c r="H506">
        <v>15.7</v>
      </c>
      <c r="I506">
        <v>17.7</v>
      </c>
      <c r="J506">
        <v>13</v>
      </c>
      <c r="K506" t="s">
        <v>6</v>
      </c>
      <c r="L506">
        <v>41</v>
      </c>
      <c r="M506" t="s">
        <v>6</v>
      </c>
    </row>
    <row r="507" spans="1:13" x14ac:dyDescent="0.2">
      <c r="A507" s="1">
        <v>45434</v>
      </c>
      <c r="B507" s="2">
        <v>0.79166666666666663</v>
      </c>
      <c r="C507" s="3">
        <v>45434.791666666664</v>
      </c>
      <c r="D507">
        <v>110.2</v>
      </c>
      <c r="E507">
        <v>124.3</v>
      </c>
      <c r="F507">
        <v>59.3</v>
      </c>
      <c r="G507" t="s">
        <v>6</v>
      </c>
      <c r="H507">
        <v>15</v>
      </c>
      <c r="I507">
        <v>21.3</v>
      </c>
      <c r="J507">
        <v>12.3</v>
      </c>
      <c r="K507" t="s">
        <v>6</v>
      </c>
      <c r="L507">
        <v>194</v>
      </c>
      <c r="M507" t="s">
        <v>6</v>
      </c>
    </row>
    <row r="508" spans="1:13" x14ac:dyDescent="0.2">
      <c r="A508" s="1">
        <v>45434</v>
      </c>
      <c r="B508" s="2">
        <v>0.83333333333333337</v>
      </c>
      <c r="C508" s="3">
        <v>45434.833333333336</v>
      </c>
      <c r="D508">
        <v>111.1</v>
      </c>
      <c r="E508">
        <v>117.3</v>
      </c>
      <c r="F508">
        <v>99.6</v>
      </c>
      <c r="G508" t="s">
        <v>6</v>
      </c>
      <c r="H508">
        <v>18.5</v>
      </c>
      <c r="I508">
        <v>34.4</v>
      </c>
      <c r="J508">
        <v>13.3</v>
      </c>
      <c r="K508" t="s">
        <v>6</v>
      </c>
      <c r="L508">
        <v>214</v>
      </c>
      <c r="M508" t="s">
        <v>6</v>
      </c>
    </row>
    <row r="509" spans="1:13" x14ac:dyDescent="0.2">
      <c r="A509" s="1">
        <v>45434</v>
      </c>
      <c r="B509" s="2">
        <v>0.875</v>
      </c>
      <c r="C509" s="3">
        <v>45434.875</v>
      </c>
      <c r="D509">
        <v>84.1</v>
      </c>
      <c r="E509">
        <v>113.9</v>
      </c>
      <c r="F509">
        <v>49.9</v>
      </c>
      <c r="G509" t="s">
        <v>6</v>
      </c>
      <c r="H509">
        <v>16.8</v>
      </c>
      <c r="I509">
        <v>28.6</v>
      </c>
      <c r="J509">
        <v>13.2</v>
      </c>
      <c r="K509" t="s">
        <v>6</v>
      </c>
      <c r="L509">
        <v>203</v>
      </c>
      <c r="M509" t="s">
        <v>6</v>
      </c>
    </row>
    <row r="510" spans="1:13" x14ac:dyDescent="0.2">
      <c r="A510" s="1">
        <v>45434</v>
      </c>
      <c r="B510" s="2">
        <v>0.91666666666666663</v>
      </c>
      <c r="C510" s="3">
        <v>45434.916666666664</v>
      </c>
      <c r="D510">
        <v>57.8</v>
      </c>
      <c r="E510">
        <v>107.7</v>
      </c>
      <c r="F510">
        <v>48.8</v>
      </c>
      <c r="G510" t="s">
        <v>6</v>
      </c>
      <c r="H510">
        <v>15.7</v>
      </c>
      <c r="I510">
        <v>27.4</v>
      </c>
      <c r="J510">
        <v>12.6</v>
      </c>
      <c r="K510" t="s">
        <v>6</v>
      </c>
      <c r="L510">
        <v>211</v>
      </c>
      <c r="M510" t="s">
        <v>6</v>
      </c>
    </row>
    <row r="511" spans="1:13" x14ac:dyDescent="0.2">
      <c r="A511" s="1">
        <v>45434</v>
      </c>
      <c r="B511" s="2">
        <v>0.95833333333333337</v>
      </c>
      <c r="C511" s="3">
        <v>45434.958333333336</v>
      </c>
      <c r="D511">
        <v>101.3</v>
      </c>
      <c r="E511">
        <v>118.9</v>
      </c>
      <c r="F511">
        <v>72.7</v>
      </c>
      <c r="G511" t="s">
        <v>6</v>
      </c>
      <c r="H511">
        <v>15.9</v>
      </c>
      <c r="I511">
        <v>28.4</v>
      </c>
      <c r="J511">
        <v>12.9</v>
      </c>
      <c r="K511" t="s">
        <v>6</v>
      </c>
      <c r="L511">
        <v>219</v>
      </c>
      <c r="M511" t="s">
        <v>6</v>
      </c>
    </row>
    <row r="512" spans="1:13" x14ac:dyDescent="0.2">
      <c r="A512" s="1">
        <v>45435</v>
      </c>
      <c r="B512" s="2">
        <v>0</v>
      </c>
      <c r="C512" s="3">
        <v>45435</v>
      </c>
      <c r="D512">
        <v>92</v>
      </c>
      <c r="E512">
        <v>104.3</v>
      </c>
      <c r="F512">
        <v>72.3</v>
      </c>
      <c r="G512" t="s">
        <v>6</v>
      </c>
      <c r="H512">
        <v>14.4</v>
      </c>
      <c r="I512">
        <v>18.7</v>
      </c>
      <c r="J512">
        <v>12.3</v>
      </c>
      <c r="K512" t="s">
        <v>6</v>
      </c>
      <c r="L512">
        <v>191</v>
      </c>
      <c r="M512" t="s">
        <v>6</v>
      </c>
    </row>
    <row r="513" spans="1:13" x14ac:dyDescent="0.2">
      <c r="A513" s="1">
        <v>45435</v>
      </c>
      <c r="B513" s="2">
        <v>4.1666666666666664E-2</v>
      </c>
      <c r="C513" s="3">
        <v>45435.041666666664</v>
      </c>
      <c r="D513">
        <v>94</v>
      </c>
      <c r="E513">
        <v>106.1</v>
      </c>
      <c r="F513">
        <v>79.599999999999994</v>
      </c>
      <c r="G513" t="s">
        <v>6</v>
      </c>
      <c r="H513">
        <v>13.4</v>
      </c>
      <c r="I513">
        <v>19.399999999999999</v>
      </c>
      <c r="J513">
        <v>12.1</v>
      </c>
      <c r="K513" t="s">
        <v>6</v>
      </c>
      <c r="L513">
        <v>225</v>
      </c>
      <c r="M513" t="s">
        <v>6</v>
      </c>
    </row>
    <row r="514" spans="1:13" x14ac:dyDescent="0.2">
      <c r="A514" s="1">
        <v>45435</v>
      </c>
      <c r="B514" s="2">
        <v>8.3333333333333329E-2</v>
      </c>
      <c r="C514" s="3">
        <v>45435.083333333336</v>
      </c>
      <c r="D514">
        <v>111.6</v>
      </c>
      <c r="E514">
        <v>121.1</v>
      </c>
      <c r="F514">
        <v>83.1</v>
      </c>
      <c r="G514" t="s">
        <v>6</v>
      </c>
      <c r="H514">
        <v>13.2</v>
      </c>
      <c r="I514">
        <v>16.399999999999999</v>
      </c>
      <c r="J514">
        <v>11.7</v>
      </c>
      <c r="K514" t="s">
        <v>6</v>
      </c>
      <c r="L514">
        <v>226</v>
      </c>
      <c r="M514" t="s">
        <v>6</v>
      </c>
    </row>
    <row r="515" spans="1:13" x14ac:dyDescent="0.2">
      <c r="A515" s="1">
        <v>45435</v>
      </c>
      <c r="B515" s="2">
        <v>0.125</v>
      </c>
      <c r="C515" s="3">
        <v>45435.125</v>
      </c>
      <c r="D515">
        <v>102.7</v>
      </c>
      <c r="E515">
        <v>121.6</v>
      </c>
      <c r="F515">
        <v>68.599999999999994</v>
      </c>
      <c r="G515" t="s">
        <v>6</v>
      </c>
      <c r="H515">
        <v>14.6</v>
      </c>
      <c r="I515">
        <v>24.2</v>
      </c>
      <c r="J515">
        <v>11.9</v>
      </c>
      <c r="K515" t="s">
        <v>6</v>
      </c>
      <c r="L515">
        <v>212</v>
      </c>
      <c r="M515" t="s">
        <v>6</v>
      </c>
    </row>
    <row r="516" spans="1:13" x14ac:dyDescent="0.2">
      <c r="A516" s="1">
        <v>45435</v>
      </c>
      <c r="B516" s="2">
        <v>0.16666666666666666</v>
      </c>
      <c r="C516" s="3">
        <v>45435.166666666664</v>
      </c>
      <c r="D516">
        <v>73.099999999999994</v>
      </c>
      <c r="E516">
        <v>94.8</v>
      </c>
      <c r="F516">
        <v>58.5</v>
      </c>
      <c r="G516" t="s">
        <v>6</v>
      </c>
      <c r="H516">
        <v>14.3</v>
      </c>
      <c r="I516">
        <v>23.6</v>
      </c>
      <c r="J516">
        <v>11.9</v>
      </c>
      <c r="K516" t="s">
        <v>6</v>
      </c>
      <c r="L516">
        <v>213</v>
      </c>
      <c r="M516" t="s">
        <v>6</v>
      </c>
    </row>
    <row r="517" spans="1:13" x14ac:dyDescent="0.2">
      <c r="A517" s="1">
        <v>45435</v>
      </c>
      <c r="B517" s="2">
        <v>0.20833333333333334</v>
      </c>
      <c r="C517" s="3">
        <v>45435.208333333336</v>
      </c>
      <c r="D517">
        <v>59.7</v>
      </c>
      <c r="E517">
        <v>82.1</v>
      </c>
      <c r="F517">
        <v>47.6</v>
      </c>
      <c r="G517" t="s">
        <v>6</v>
      </c>
      <c r="H517">
        <v>15.5</v>
      </c>
      <c r="I517">
        <v>22.3</v>
      </c>
      <c r="J517">
        <v>11.5</v>
      </c>
      <c r="K517" t="s">
        <v>6</v>
      </c>
      <c r="L517">
        <v>174</v>
      </c>
      <c r="M517" t="s">
        <v>6</v>
      </c>
    </row>
    <row r="518" spans="1:13" x14ac:dyDescent="0.2">
      <c r="A518" s="1">
        <v>45435</v>
      </c>
      <c r="B518" s="2">
        <v>0.25</v>
      </c>
      <c r="C518" s="3">
        <v>45435.25</v>
      </c>
      <c r="D518">
        <v>55.7</v>
      </c>
      <c r="E518">
        <v>65.7</v>
      </c>
      <c r="F518">
        <v>47.6</v>
      </c>
      <c r="G518" t="s">
        <v>6</v>
      </c>
      <c r="H518">
        <v>14.8</v>
      </c>
      <c r="I518">
        <v>20.5</v>
      </c>
      <c r="J518">
        <v>9.5</v>
      </c>
      <c r="K518" t="s">
        <v>6</v>
      </c>
      <c r="L518">
        <v>171</v>
      </c>
      <c r="M518" t="s">
        <v>6</v>
      </c>
    </row>
    <row r="519" spans="1:13" x14ac:dyDescent="0.2">
      <c r="A519" s="1">
        <v>45435</v>
      </c>
      <c r="B519" s="2">
        <v>0.29166666666666669</v>
      </c>
      <c r="C519" s="3">
        <v>45435.291666666664</v>
      </c>
      <c r="D519">
        <v>51</v>
      </c>
      <c r="E519">
        <v>54.7</v>
      </c>
      <c r="F519">
        <v>48</v>
      </c>
      <c r="G519" t="s">
        <v>6</v>
      </c>
      <c r="H519">
        <v>14.5</v>
      </c>
      <c r="I519">
        <v>23.1</v>
      </c>
      <c r="J519">
        <v>10.1</v>
      </c>
      <c r="K519" t="s">
        <v>6</v>
      </c>
      <c r="L519">
        <v>198</v>
      </c>
      <c r="M519" t="s">
        <v>6</v>
      </c>
    </row>
    <row r="520" spans="1:13" x14ac:dyDescent="0.2">
      <c r="A520" s="13">
        <v>45435</v>
      </c>
      <c r="B520" s="9">
        <v>0.33333333333333331</v>
      </c>
      <c r="C520" s="8">
        <v>45435.333333333336</v>
      </c>
      <c r="D520" s="10">
        <v>48.7</v>
      </c>
      <c r="E520" s="10">
        <v>51.8</v>
      </c>
      <c r="F520" s="10">
        <v>46.3</v>
      </c>
      <c r="G520" s="10" t="s">
        <v>6</v>
      </c>
      <c r="H520" s="10">
        <v>15.1</v>
      </c>
      <c r="I520" s="10">
        <v>24.6</v>
      </c>
      <c r="J520" s="10">
        <v>8.9</v>
      </c>
      <c r="K520" s="10" t="s">
        <v>6</v>
      </c>
      <c r="L520" s="10">
        <v>195</v>
      </c>
      <c r="M520" t="s">
        <v>6</v>
      </c>
    </row>
    <row r="521" spans="1:13" x14ac:dyDescent="0.2">
      <c r="A521" s="14">
        <v>45435</v>
      </c>
      <c r="B521" s="12">
        <v>0.375</v>
      </c>
      <c r="C521" s="7">
        <v>45435.375</v>
      </c>
      <c r="D521" s="11">
        <v>46.9</v>
      </c>
      <c r="E521" s="11">
        <v>51.9</v>
      </c>
      <c r="F521" s="11">
        <v>43.6</v>
      </c>
      <c r="G521" s="11" t="s">
        <v>6</v>
      </c>
      <c r="H521" s="11">
        <v>13.8</v>
      </c>
      <c r="I521" s="11">
        <v>23.7</v>
      </c>
      <c r="J521" s="11">
        <v>9.6999999999999993</v>
      </c>
      <c r="K521" s="11" t="s">
        <v>6</v>
      </c>
      <c r="L521" s="11">
        <v>221</v>
      </c>
      <c r="M521" t="s">
        <v>6</v>
      </c>
    </row>
    <row r="522" spans="1:13" x14ac:dyDescent="0.2">
      <c r="A522" s="1">
        <v>45435</v>
      </c>
      <c r="B522" s="2">
        <v>0.41666666666666669</v>
      </c>
      <c r="C522" s="3">
        <v>45435.416666666664</v>
      </c>
      <c r="D522">
        <v>46.5</v>
      </c>
      <c r="E522">
        <v>49</v>
      </c>
      <c r="F522">
        <v>43.5</v>
      </c>
      <c r="G522" t="s">
        <v>6</v>
      </c>
      <c r="H522">
        <v>12.3</v>
      </c>
      <c r="I522">
        <v>19.399999999999999</v>
      </c>
      <c r="J522">
        <v>9.9</v>
      </c>
      <c r="K522" t="s">
        <v>6</v>
      </c>
      <c r="L522">
        <v>160</v>
      </c>
      <c r="M522" t="s">
        <v>6</v>
      </c>
    </row>
    <row r="523" spans="1:13" x14ac:dyDescent="0.2">
      <c r="A523" s="1">
        <v>45435</v>
      </c>
      <c r="B523" s="2">
        <v>0.45833333333333331</v>
      </c>
      <c r="C523" s="3">
        <v>45435.458333333336</v>
      </c>
      <c r="D523">
        <v>44.8</v>
      </c>
      <c r="E523">
        <v>46.3</v>
      </c>
      <c r="F523">
        <v>43</v>
      </c>
      <c r="G523" t="s">
        <v>6</v>
      </c>
      <c r="H523">
        <v>14.8</v>
      </c>
      <c r="I523">
        <v>20.399999999999999</v>
      </c>
      <c r="J523">
        <v>11.5</v>
      </c>
      <c r="K523" t="s">
        <v>6</v>
      </c>
      <c r="L523">
        <v>101</v>
      </c>
      <c r="M523" t="s">
        <v>6</v>
      </c>
    </row>
    <row r="524" spans="1:13" x14ac:dyDescent="0.2">
      <c r="A524" s="1">
        <v>45435</v>
      </c>
      <c r="B524" s="2">
        <v>0.5</v>
      </c>
      <c r="C524" s="3">
        <v>45435.5</v>
      </c>
      <c r="D524">
        <v>42.7</v>
      </c>
      <c r="E524">
        <v>43.7</v>
      </c>
      <c r="F524">
        <v>42.2</v>
      </c>
      <c r="G524" t="s">
        <v>6</v>
      </c>
      <c r="H524">
        <v>15.7</v>
      </c>
      <c r="I524">
        <v>23</v>
      </c>
      <c r="J524">
        <v>12</v>
      </c>
      <c r="K524" t="s">
        <v>6</v>
      </c>
      <c r="L524">
        <v>134</v>
      </c>
      <c r="M524" t="s">
        <v>6</v>
      </c>
    </row>
    <row r="525" spans="1:13" x14ac:dyDescent="0.2">
      <c r="A525" s="1">
        <v>45435</v>
      </c>
      <c r="B525" s="2">
        <v>0.54166666666666663</v>
      </c>
      <c r="C525" s="3">
        <v>45435.541666666664</v>
      </c>
      <c r="D525">
        <v>42</v>
      </c>
      <c r="E525">
        <v>43.9</v>
      </c>
      <c r="F525">
        <v>40.5</v>
      </c>
      <c r="G525" t="s">
        <v>6</v>
      </c>
      <c r="H525">
        <v>15.9</v>
      </c>
      <c r="I525">
        <v>21.9</v>
      </c>
      <c r="J525">
        <v>12.2</v>
      </c>
      <c r="K525" t="s">
        <v>6</v>
      </c>
      <c r="L525">
        <v>157</v>
      </c>
      <c r="M525" t="s">
        <v>6</v>
      </c>
    </row>
    <row r="526" spans="1:13" x14ac:dyDescent="0.2">
      <c r="A526" s="1">
        <v>45435</v>
      </c>
      <c r="B526" s="2">
        <v>0.58333333333333337</v>
      </c>
      <c r="C526" s="3">
        <v>45435.583333333336</v>
      </c>
      <c r="D526">
        <v>40.4</v>
      </c>
      <c r="E526">
        <v>40.9</v>
      </c>
      <c r="F526">
        <v>40.1</v>
      </c>
      <c r="G526" t="s">
        <v>6</v>
      </c>
      <c r="H526">
        <v>13.6</v>
      </c>
      <c r="I526">
        <v>20.8</v>
      </c>
      <c r="J526">
        <v>10.4</v>
      </c>
      <c r="K526" t="s">
        <v>6</v>
      </c>
      <c r="L526">
        <v>71</v>
      </c>
      <c r="M526" t="s">
        <v>6</v>
      </c>
    </row>
    <row r="527" spans="1:13" x14ac:dyDescent="0.2">
      <c r="A527" s="1">
        <v>45435</v>
      </c>
      <c r="B527" s="2">
        <v>0.70833333333333337</v>
      </c>
      <c r="C527" s="3">
        <v>45435.708333333336</v>
      </c>
      <c r="D527">
        <v>80.099999999999994</v>
      </c>
      <c r="E527">
        <v>86.1</v>
      </c>
      <c r="F527">
        <v>73.5</v>
      </c>
      <c r="G527" t="s">
        <v>6</v>
      </c>
      <c r="H527">
        <v>14.7</v>
      </c>
      <c r="I527">
        <v>16.8</v>
      </c>
      <c r="J527">
        <v>12.9</v>
      </c>
      <c r="K527" t="s">
        <v>6</v>
      </c>
      <c r="L527">
        <v>27</v>
      </c>
      <c r="M527" t="s">
        <v>6</v>
      </c>
    </row>
    <row r="528" spans="1:13" x14ac:dyDescent="0.2">
      <c r="A528" s="1">
        <v>45435</v>
      </c>
      <c r="B528" s="2">
        <v>0.75</v>
      </c>
      <c r="C528" s="3">
        <v>45435.75</v>
      </c>
      <c r="D528">
        <v>78.3</v>
      </c>
      <c r="E528">
        <v>87.2</v>
      </c>
      <c r="F528">
        <v>71.400000000000006</v>
      </c>
      <c r="G528" t="s">
        <v>6</v>
      </c>
      <c r="H528">
        <v>14.9</v>
      </c>
      <c r="I528">
        <v>19.8</v>
      </c>
      <c r="J528">
        <v>11.9</v>
      </c>
      <c r="K528" t="s">
        <v>6</v>
      </c>
      <c r="L528">
        <v>184</v>
      </c>
      <c r="M528" t="s">
        <v>6</v>
      </c>
    </row>
    <row r="529" spans="1:13" x14ac:dyDescent="0.2">
      <c r="A529" s="1">
        <v>45435</v>
      </c>
      <c r="B529" s="2">
        <v>0.79166666666666663</v>
      </c>
      <c r="C529" s="3">
        <v>45435.791666666664</v>
      </c>
      <c r="D529">
        <v>83</v>
      </c>
      <c r="E529">
        <v>97.6</v>
      </c>
      <c r="F529">
        <v>73</v>
      </c>
      <c r="G529" t="s">
        <v>6</v>
      </c>
      <c r="H529">
        <v>14.5</v>
      </c>
      <c r="I529">
        <v>17.5</v>
      </c>
      <c r="J529">
        <v>12.2</v>
      </c>
      <c r="K529" t="s">
        <v>6</v>
      </c>
      <c r="L529">
        <v>201</v>
      </c>
      <c r="M529" t="s">
        <v>6</v>
      </c>
    </row>
    <row r="530" spans="1:13" x14ac:dyDescent="0.2">
      <c r="A530" s="1">
        <v>45435</v>
      </c>
      <c r="B530" s="2">
        <v>0.83333333333333337</v>
      </c>
      <c r="C530" s="3">
        <v>45435.833333333336</v>
      </c>
      <c r="D530">
        <v>89</v>
      </c>
      <c r="E530">
        <v>104</v>
      </c>
      <c r="F530">
        <v>73.3</v>
      </c>
      <c r="G530" t="s">
        <v>6</v>
      </c>
      <c r="H530">
        <v>15.2</v>
      </c>
      <c r="I530">
        <v>26.3</v>
      </c>
      <c r="J530">
        <v>12.2</v>
      </c>
      <c r="K530" t="s">
        <v>6</v>
      </c>
      <c r="L530">
        <v>221</v>
      </c>
      <c r="M530" t="s">
        <v>6</v>
      </c>
    </row>
    <row r="531" spans="1:13" x14ac:dyDescent="0.2">
      <c r="A531" s="1">
        <v>45435</v>
      </c>
      <c r="B531" s="2">
        <v>0.875</v>
      </c>
      <c r="C531" s="3">
        <v>45435.875</v>
      </c>
      <c r="D531">
        <v>94</v>
      </c>
      <c r="E531">
        <v>107.1</v>
      </c>
      <c r="F531">
        <v>77.900000000000006</v>
      </c>
      <c r="G531" t="s">
        <v>6</v>
      </c>
      <c r="H531">
        <v>16.399999999999999</v>
      </c>
      <c r="I531">
        <v>29.6</v>
      </c>
      <c r="J531">
        <v>12.3</v>
      </c>
      <c r="K531" t="s">
        <v>6</v>
      </c>
      <c r="L531">
        <v>215</v>
      </c>
      <c r="M531" t="s">
        <v>6</v>
      </c>
    </row>
    <row r="532" spans="1:13" x14ac:dyDescent="0.2">
      <c r="A532" s="1">
        <v>45435</v>
      </c>
      <c r="B532" s="2">
        <v>0.91666666666666663</v>
      </c>
      <c r="C532" s="3">
        <v>45435.916666666664</v>
      </c>
      <c r="D532">
        <v>97.2</v>
      </c>
      <c r="E532">
        <v>106.7</v>
      </c>
      <c r="F532">
        <v>89.4</v>
      </c>
      <c r="G532" t="s">
        <v>6</v>
      </c>
      <c r="H532">
        <v>13.9</v>
      </c>
      <c r="I532">
        <v>25</v>
      </c>
      <c r="J532">
        <v>11.9</v>
      </c>
      <c r="K532" t="s">
        <v>6</v>
      </c>
      <c r="L532">
        <v>213</v>
      </c>
      <c r="M532" t="s">
        <v>6</v>
      </c>
    </row>
    <row r="533" spans="1:13" x14ac:dyDescent="0.2">
      <c r="A533" s="1">
        <v>45435</v>
      </c>
      <c r="B533" s="2">
        <v>0.95833333333333337</v>
      </c>
      <c r="C533" s="3">
        <v>45435.958333333336</v>
      </c>
      <c r="D533">
        <v>101.2</v>
      </c>
      <c r="E533">
        <v>108.2</v>
      </c>
      <c r="F533">
        <v>94.2</v>
      </c>
      <c r="G533" t="s">
        <v>6</v>
      </c>
      <c r="H533">
        <v>13.1</v>
      </c>
      <c r="I533">
        <v>19.399999999999999</v>
      </c>
      <c r="J533">
        <v>11.7</v>
      </c>
      <c r="K533" t="s">
        <v>6</v>
      </c>
      <c r="L533">
        <v>221</v>
      </c>
      <c r="M533" t="s">
        <v>6</v>
      </c>
    </row>
    <row r="534" spans="1:13" x14ac:dyDescent="0.2">
      <c r="A534" s="1">
        <v>45436</v>
      </c>
      <c r="B534" s="2">
        <v>0</v>
      </c>
      <c r="C534" s="3">
        <v>45436</v>
      </c>
      <c r="D534">
        <v>98.5</v>
      </c>
      <c r="E534">
        <v>107.2</v>
      </c>
      <c r="F534">
        <v>81</v>
      </c>
      <c r="G534" t="s">
        <v>6</v>
      </c>
      <c r="H534">
        <v>13.7</v>
      </c>
      <c r="I534">
        <v>22</v>
      </c>
      <c r="J534">
        <v>11.8</v>
      </c>
      <c r="K534" t="s">
        <v>6</v>
      </c>
      <c r="L534">
        <v>205</v>
      </c>
      <c r="M534" t="s">
        <v>6</v>
      </c>
    </row>
    <row r="535" spans="1:13" x14ac:dyDescent="0.2">
      <c r="A535" s="1">
        <v>45436</v>
      </c>
      <c r="B535" s="2">
        <v>4.1666666666666664E-2</v>
      </c>
      <c r="C535" s="3">
        <v>45436.041666666664</v>
      </c>
      <c r="D535">
        <v>97.4</v>
      </c>
      <c r="E535">
        <v>109.5</v>
      </c>
      <c r="F535">
        <v>82.5</v>
      </c>
      <c r="G535" t="s">
        <v>6</v>
      </c>
      <c r="H535">
        <v>13</v>
      </c>
      <c r="I535">
        <v>18.899999999999999</v>
      </c>
      <c r="J535">
        <v>11.4</v>
      </c>
      <c r="K535" t="s">
        <v>6</v>
      </c>
      <c r="L535">
        <v>215</v>
      </c>
      <c r="M535" t="s">
        <v>6</v>
      </c>
    </row>
    <row r="536" spans="1:13" x14ac:dyDescent="0.2">
      <c r="A536" s="1">
        <v>45436</v>
      </c>
      <c r="B536" s="2">
        <v>8.3333333333333329E-2</v>
      </c>
      <c r="C536" s="3">
        <v>45436.083333333336</v>
      </c>
      <c r="D536">
        <v>96.3</v>
      </c>
      <c r="E536">
        <v>113.9</v>
      </c>
      <c r="F536">
        <v>81.900000000000006</v>
      </c>
      <c r="G536" t="s">
        <v>6</v>
      </c>
      <c r="H536">
        <v>12.8</v>
      </c>
      <c r="I536">
        <v>15</v>
      </c>
      <c r="J536">
        <v>11</v>
      </c>
      <c r="K536" t="s">
        <v>6</v>
      </c>
      <c r="L536">
        <v>211</v>
      </c>
      <c r="M536" t="s">
        <v>6</v>
      </c>
    </row>
    <row r="537" spans="1:13" x14ac:dyDescent="0.2">
      <c r="A537" s="1">
        <v>45436</v>
      </c>
      <c r="B537" s="2">
        <v>0.125</v>
      </c>
      <c r="C537" s="3">
        <v>45436.125</v>
      </c>
      <c r="D537">
        <v>93</v>
      </c>
      <c r="E537">
        <v>98.7</v>
      </c>
      <c r="F537">
        <v>65.599999999999994</v>
      </c>
      <c r="G537" t="s">
        <v>6</v>
      </c>
      <c r="H537">
        <v>13</v>
      </c>
      <c r="I537">
        <v>17</v>
      </c>
      <c r="J537">
        <v>11.5</v>
      </c>
      <c r="K537" t="s">
        <v>6</v>
      </c>
      <c r="L537">
        <v>209</v>
      </c>
      <c r="M537" t="s">
        <v>6</v>
      </c>
    </row>
    <row r="538" spans="1:13" x14ac:dyDescent="0.2">
      <c r="A538" s="1">
        <v>45436</v>
      </c>
      <c r="B538" s="2">
        <v>0.16666666666666666</v>
      </c>
      <c r="C538" s="3">
        <v>45436.166666666664</v>
      </c>
      <c r="D538">
        <v>96.6</v>
      </c>
      <c r="E538">
        <v>107.4</v>
      </c>
      <c r="F538">
        <v>89.7</v>
      </c>
      <c r="G538" t="s">
        <v>6</v>
      </c>
      <c r="H538">
        <v>12.8</v>
      </c>
      <c r="I538">
        <v>16.100000000000001</v>
      </c>
      <c r="J538">
        <v>11.4</v>
      </c>
      <c r="K538" t="s">
        <v>6</v>
      </c>
      <c r="L538">
        <v>221</v>
      </c>
      <c r="M538" t="s">
        <v>6</v>
      </c>
    </row>
    <row r="539" spans="1:13" x14ac:dyDescent="0.2">
      <c r="A539" s="1">
        <v>45436</v>
      </c>
      <c r="B539" s="2">
        <v>0.20833333333333334</v>
      </c>
      <c r="C539" s="3">
        <v>45436.208333333336</v>
      </c>
      <c r="D539">
        <v>94.5</v>
      </c>
      <c r="E539">
        <v>109.2</v>
      </c>
      <c r="F539">
        <v>75.599999999999994</v>
      </c>
      <c r="G539" t="s">
        <v>6</v>
      </c>
      <c r="H539">
        <v>14.5</v>
      </c>
      <c r="I539">
        <v>26.2</v>
      </c>
      <c r="J539">
        <v>11.5</v>
      </c>
      <c r="K539" t="s">
        <v>6</v>
      </c>
      <c r="L539">
        <v>210</v>
      </c>
      <c r="M539" t="s">
        <v>6</v>
      </c>
    </row>
    <row r="540" spans="1:13" x14ac:dyDescent="0.2">
      <c r="A540" s="1">
        <v>45436</v>
      </c>
      <c r="B540" s="2">
        <v>0.25</v>
      </c>
      <c r="C540" s="3">
        <v>45436.25</v>
      </c>
      <c r="D540">
        <v>94.7</v>
      </c>
      <c r="E540">
        <v>106.5</v>
      </c>
      <c r="F540">
        <v>59.1</v>
      </c>
      <c r="G540" t="s">
        <v>6</v>
      </c>
      <c r="H540">
        <v>21.9</v>
      </c>
      <c r="I540">
        <v>36.9</v>
      </c>
      <c r="J540">
        <v>12.4</v>
      </c>
      <c r="K540" t="s">
        <v>6</v>
      </c>
      <c r="L540">
        <v>143</v>
      </c>
      <c r="M540" t="s">
        <v>6</v>
      </c>
    </row>
    <row r="541" spans="1:13" x14ac:dyDescent="0.2">
      <c r="A541" s="1">
        <v>45436</v>
      </c>
      <c r="B541" s="2">
        <v>0.29166666666666669</v>
      </c>
      <c r="C541" s="3">
        <v>45436.291666666664</v>
      </c>
      <c r="D541">
        <v>64.3</v>
      </c>
      <c r="E541">
        <v>73.599999999999994</v>
      </c>
      <c r="F541">
        <v>56.2</v>
      </c>
      <c r="G541" t="s">
        <v>6</v>
      </c>
      <c r="H541">
        <v>13</v>
      </c>
      <c r="I541">
        <v>24.1</v>
      </c>
      <c r="J541">
        <v>10.1</v>
      </c>
      <c r="K541" t="s">
        <v>6</v>
      </c>
      <c r="L541">
        <v>168</v>
      </c>
      <c r="M541" t="s">
        <v>6</v>
      </c>
    </row>
    <row r="542" spans="1:13" x14ac:dyDescent="0.2">
      <c r="A542" s="13">
        <v>45436</v>
      </c>
      <c r="B542" s="9">
        <v>0.33333333333333331</v>
      </c>
      <c r="C542" s="8">
        <v>45436.333333333336</v>
      </c>
      <c r="D542" s="10">
        <v>62.4</v>
      </c>
      <c r="E542" s="10">
        <v>71.599999999999994</v>
      </c>
      <c r="F542" s="10">
        <v>54.4</v>
      </c>
      <c r="G542" s="10" t="s">
        <v>6</v>
      </c>
      <c r="H542" s="10">
        <v>11.9</v>
      </c>
      <c r="I542" s="10">
        <v>17.8</v>
      </c>
      <c r="J542" s="10">
        <v>9.1999999999999993</v>
      </c>
      <c r="K542" s="10" t="s">
        <v>6</v>
      </c>
      <c r="L542" s="10">
        <v>230</v>
      </c>
      <c r="M542" t="s">
        <v>6</v>
      </c>
    </row>
    <row r="543" spans="1:13" x14ac:dyDescent="0.2">
      <c r="A543" s="14">
        <v>45436</v>
      </c>
      <c r="B543" s="12">
        <v>0.375</v>
      </c>
      <c r="C543" s="7">
        <v>45436.375</v>
      </c>
      <c r="D543" s="11">
        <v>56.5</v>
      </c>
      <c r="E543" s="11">
        <v>57.9</v>
      </c>
      <c r="F543" s="11">
        <v>54.3</v>
      </c>
      <c r="G543" s="11" t="s">
        <v>6</v>
      </c>
      <c r="H543" s="11">
        <v>14.5</v>
      </c>
      <c r="I543" s="11">
        <v>18</v>
      </c>
      <c r="J543" s="11">
        <v>11.5</v>
      </c>
      <c r="K543" s="11" t="s">
        <v>6</v>
      </c>
      <c r="L543" s="11">
        <v>40</v>
      </c>
      <c r="M543" t="s">
        <v>6</v>
      </c>
    </row>
    <row r="544" spans="1:13" x14ac:dyDescent="0.2">
      <c r="A544" s="1">
        <v>45436</v>
      </c>
      <c r="B544" s="2">
        <v>0.625</v>
      </c>
      <c r="C544" s="3">
        <v>45436.625</v>
      </c>
      <c r="D544">
        <v>74.3</v>
      </c>
      <c r="E544">
        <v>78.400000000000006</v>
      </c>
      <c r="F544">
        <v>55.7</v>
      </c>
      <c r="G544" t="s">
        <v>6</v>
      </c>
      <c r="H544">
        <v>14.4</v>
      </c>
      <c r="I544">
        <v>21.8</v>
      </c>
      <c r="J544">
        <v>10.8</v>
      </c>
      <c r="K544" t="s">
        <v>6</v>
      </c>
      <c r="L544">
        <v>90</v>
      </c>
      <c r="M544" t="s">
        <v>6</v>
      </c>
    </row>
    <row r="545" spans="1:13" x14ac:dyDescent="0.2">
      <c r="A545" s="1">
        <v>45436</v>
      </c>
      <c r="B545" s="2">
        <v>0.70833333333333337</v>
      </c>
      <c r="C545" s="3">
        <v>45436.708333333336</v>
      </c>
      <c r="D545">
        <v>65.2</v>
      </c>
      <c r="E545">
        <v>67.8</v>
      </c>
      <c r="F545">
        <v>62.7</v>
      </c>
      <c r="G545" t="s">
        <v>6</v>
      </c>
      <c r="H545">
        <v>17.8</v>
      </c>
      <c r="I545">
        <v>20.7</v>
      </c>
      <c r="J545">
        <v>15.2</v>
      </c>
      <c r="K545" t="s">
        <v>6</v>
      </c>
      <c r="L545">
        <v>41</v>
      </c>
      <c r="M545" t="s">
        <v>6</v>
      </c>
    </row>
    <row r="546" spans="1:13" x14ac:dyDescent="0.2">
      <c r="A546" s="1">
        <v>45436</v>
      </c>
      <c r="B546" s="2">
        <v>0.75</v>
      </c>
      <c r="C546" s="3">
        <v>45436.75</v>
      </c>
      <c r="D546">
        <v>60.5</v>
      </c>
      <c r="E546">
        <v>66.599999999999994</v>
      </c>
      <c r="F546">
        <v>56</v>
      </c>
      <c r="G546" t="s">
        <v>6</v>
      </c>
      <c r="H546">
        <v>17.100000000000001</v>
      </c>
      <c r="I546">
        <v>20.100000000000001</v>
      </c>
      <c r="J546">
        <v>13.4</v>
      </c>
      <c r="K546" t="s">
        <v>6</v>
      </c>
      <c r="L546">
        <v>70</v>
      </c>
      <c r="M546" t="s">
        <v>6</v>
      </c>
    </row>
    <row r="547" spans="1:13" x14ac:dyDescent="0.2">
      <c r="A547" s="1">
        <v>45436</v>
      </c>
      <c r="B547" s="2">
        <v>0.79166666666666663</v>
      </c>
      <c r="C547" s="3">
        <v>45436.791666666664</v>
      </c>
      <c r="D547">
        <v>80.7</v>
      </c>
      <c r="E547">
        <v>123.7</v>
      </c>
      <c r="F547">
        <v>54.5</v>
      </c>
      <c r="G547" t="s">
        <v>6</v>
      </c>
      <c r="H547">
        <v>16.3</v>
      </c>
      <c r="I547">
        <v>21.3</v>
      </c>
      <c r="J547">
        <v>13.8</v>
      </c>
      <c r="K547" t="s">
        <v>6</v>
      </c>
      <c r="L547">
        <v>39</v>
      </c>
      <c r="M547" t="s">
        <v>6</v>
      </c>
    </row>
    <row r="548" spans="1:13" x14ac:dyDescent="0.2">
      <c r="A548" s="1">
        <v>45436</v>
      </c>
      <c r="B548" s="2">
        <v>0.83333333333333337</v>
      </c>
      <c r="C548" s="3">
        <v>45436.833333333336</v>
      </c>
      <c r="D548">
        <v>96.6</v>
      </c>
      <c r="E548">
        <v>113.9</v>
      </c>
      <c r="F548">
        <v>60.9</v>
      </c>
      <c r="G548" t="s">
        <v>6</v>
      </c>
      <c r="H548">
        <v>16.399999999999999</v>
      </c>
      <c r="I548">
        <v>32.299999999999997</v>
      </c>
      <c r="J548">
        <v>13.1</v>
      </c>
      <c r="K548" t="s">
        <v>6</v>
      </c>
      <c r="L548">
        <v>222</v>
      </c>
      <c r="M548" t="s">
        <v>6</v>
      </c>
    </row>
    <row r="549" spans="1:13" x14ac:dyDescent="0.2">
      <c r="A549" s="1">
        <v>45436</v>
      </c>
      <c r="B549" s="2">
        <v>0.875</v>
      </c>
      <c r="C549" s="3">
        <v>45436.875</v>
      </c>
      <c r="D549">
        <v>84.7</v>
      </c>
      <c r="E549">
        <v>100.3</v>
      </c>
      <c r="F549">
        <v>67.099999999999994</v>
      </c>
      <c r="G549" t="s">
        <v>6</v>
      </c>
      <c r="H549">
        <v>16.8</v>
      </c>
      <c r="I549">
        <v>28.3</v>
      </c>
      <c r="J549">
        <v>13</v>
      </c>
      <c r="K549" t="s">
        <v>6</v>
      </c>
      <c r="L549">
        <v>223</v>
      </c>
      <c r="M549" t="s">
        <v>6</v>
      </c>
    </row>
    <row r="550" spans="1:13" x14ac:dyDescent="0.2">
      <c r="A550" s="1">
        <v>45436</v>
      </c>
      <c r="B550" s="2">
        <v>0.91666666666666663</v>
      </c>
      <c r="C550" s="3">
        <v>45436.916666666664</v>
      </c>
      <c r="D550">
        <v>95.6</v>
      </c>
      <c r="E550">
        <v>102.6</v>
      </c>
      <c r="F550">
        <v>87.8</v>
      </c>
      <c r="G550" t="s">
        <v>6</v>
      </c>
      <c r="H550">
        <v>13.8</v>
      </c>
      <c r="I550">
        <v>21.1</v>
      </c>
      <c r="J550">
        <v>12.5</v>
      </c>
      <c r="K550" t="s">
        <v>6</v>
      </c>
      <c r="L550">
        <v>212</v>
      </c>
      <c r="M550" t="s">
        <v>6</v>
      </c>
    </row>
    <row r="551" spans="1:13" x14ac:dyDescent="0.2">
      <c r="A551" s="1">
        <v>45436</v>
      </c>
      <c r="B551" s="2">
        <v>0.95833333333333337</v>
      </c>
      <c r="C551" s="3">
        <v>45436.958333333336</v>
      </c>
      <c r="D551">
        <v>96.2</v>
      </c>
      <c r="E551">
        <v>104</v>
      </c>
      <c r="F551">
        <v>84.7</v>
      </c>
      <c r="G551" t="s">
        <v>6</v>
      </c>
      <c r="H551">
        <v>13.6</v>
      </c>
      <c r="I551">
        <v>24</v>
      </c>
      <c r="J551">
        <v>11.9</v>
      </c>
      <c r="K551" t="s">
        <v>6</v>
      </c>
      <c r="L551">
        <v>220</v>
      </c>
      <c r="M551" t="s">
        <v>6</v>
      </c>
    </row>
    <row r="552" spans="1:13" x14ac:dyDescent="0.2">
      <c r="A552" s="1">
        <v>45437</v>
      </c>
      <c r="B552" s="2">
        <v>0</v>
      </c>
      <c r="C552" s="3">
        <v>45437</v>
      </c>
      <c r="D552">
        <v>93.9</v>
      </c>
      <c r="E552">
        <v>100.6</v>
      </c>
      <c r="F552">
        <v>82.8</v>
      </c>
      <c r="G552" t="s">
        <v>6</v>
      </c>
      <c r="H552">
        <v>14.9</v>
      </c>
      <c r="I552">
        <v>25</v>
      </c>
      <c r="J552">
        <v>11.7</v>
      </c>
      <c r="K552" t="s">
        <v>6</v>
      </c>
      <c r="L552">
        <v>220</v>
      </c>
      <c r="M552" t="s">
        <v>6</v>
      </c>
    </row>
    <row r="553" spans="1:13" x14ac:dyDescent="0.2">
      <c r="A553" s="1">
        <v>45437</v>
      </c>
      <c r="B553" s="2">
        <v>4.1666666666666664E-2</v>
      </c>
      <c r="C553" s="3">
        <v>45437.041666666664</v>
      </c>
      <c r="D553">
        <v>88.4</v>
      </c>
      <c r="E553">
        <v>103.5</v>
      </c>
      <c r="F553">
        <v>65.599999999999994</v>
      </c>
      <c r="G553" t="s">
        <v>6</v>
      </c>
      <c r="H553">
        <v>14.7</v>
      </c>
      <c r="I553">
        <v>26.7</v>
      </c>
      <c r="J553">
        <v>11.6</v>
      </c>
      <c r="K553" t="s">
        <v>6</v>
      </c>
      <c r="L553">
        <v>221</v>
      </c>
      <c r="M553" t="s">
        <v>6</v>
      </c>
    </row>
    <row r="554" spans="1:13" x14ac:dyDescent="0.2">
      <c r="A554" s="1">
        <v>45437</v>
      </c>
      <c r="B554" s="2">
        <v>8.3333333333333329E-2</v>
      </c>
      <c r="C554" s="3">
        <v>45437.083333333336</v>
      </c>
      <c r="D554">
        <v>95.8</v>
      </c>
      <c r="E554">
        <v>107.5</v>
      </c>
      <c r="F554">
        <v>74.7</v>
      </c>
      <c r="G554" t="s">
        <v>6</v>
      </c>
      <c r="H554">
        <v>12.8</v>
      </c>
      <c r="I554">
        <v>25.7</v>
      </c>
      <c r="J554">
        <v>10.4</v>
      </c>
      <c r="K554" t="s">
        <v>6</v>
      </c>
      <c r="L554">
        <v>214</v>
      </c>
      <c r="M554" t="s">
        <v>6</v>
      </c>
    </row>
    <row r="555" spans="1:13" x14ac:dyDescent="0.2">
      <c r="A555" s="1">
        <v>45437</v>
      </c>
      <c r="B555" s="2">
        <v>0.125</v>
      </c>
      <c r="C555" s="3">
        <v>45437.125</v>
      </c>
      <c r="D555">
        <v>90.3</v>
      </c>
      <c r="E555">
        <v>100.4</v>
      </c>
      <c r="F555">
        <v>69.900000000000006</v>
      </c>
      <c r="G555" t="s">
        <v>6</v>
      </c>
      <c r="H555">
        <v>13.1</v>
      </c>
      <c r="I555">
        <v>23.5</v>
      </c>
      <c r="J555">
        <v>11.2</v>
      </c>
      <c r="K555" t="s">
        <v>6</v>
      </c>
      <c r="L555">
        <v>218</v>
      </c>
      <c r="M555" t="s">
        <v>6</v>
      </c>
    </row>
    <row r="556" spans="1:13" x14ac:dyDescent="0.2">
      <c r="A556" s="1">
        <v>45437</v>
      </c>
      <c r="B556" s="2">
        <v>0.16666666666666666</v>
      </c>
      <c r="C556" s="3">
        <v>45437.166666666664</v>
      </c>
      <c r="D556">
        <v>93.1</v>
      </c>
      <c r="E556">
        <v>103.3</v>
      </c>
      <c r="F556">
        <v>72.7</v>
      </c>
      <c r="G556" t="s">
        <v>6</v>
      </c>
      <c r="H556">
        <v>13.6</v>
      </c>
      <c r="I556">
        <v>23.8</v>
      </c>
      <c r="J556">
        <v>11.1</v>
      </c>
      <c r="K556" t="s">
        <v>6</v>
      </c>
      <c r="L556">
        <v>213</v>
      </c>
      <c r="M556" t="s">
        <v>6</v>
      </c>
    </row>
    <row r="557" spans="1:13" x14ac:dyDescent="0.2">
      <c r="A557" s="1">
        <v>45437</v>
      </c>
      <c r="B557" s="2">
        <v>0.20833333333333334</v>
      </c>
      <c r="C557" s="3">
        <v>45437.208333333336</v>
      </c>
      <c r="D557">
        <v>96.8</v>
      </c>
      <c r="E557">
        <v>105.1</v>
      </c>
      <c r="F557">
        <v>83.5</v>
      </c>
      <c r="G557" t="s">
        <v>6</v>
      </c>
      <c r="H557">
        <v>13.1</v>
      </c>
      <c r="I557">
        <v>19.899999999999999</v>
      </c>
      <c r="J557">
        <v>9.8000000000000007</v>
      </c>
      <c r="K557" t="s">
        <v>6</v>
      </c>
      <c r="L557">
        <v>209</v>
      </c>
      <c r="M557" t="s">
        <v>6</v>
      </c>
    </row>
    <row r="558" spans="1:13" x14ac:dyDescent="0.2">
      <c r="A558" s="1">
        <v>45437</v>
      </c>
      <c r="B558" s="2">
        <v>0.25</v>
      </c>
      <c r="C558" s="3">
        <v>45437.25</v>
      </c>
      <c r="D558">
        <v>86.6</v>
      </c>
      <c r="E558">
        <v>105.6</v>
      </c>
      <c r="F558">
        <v>69.8</v>
      </c>
      <c r="G558" t="s">
        <v>6</v>
      </c>
      <c r="H558">
        <v>14.7</v>
      </c>
      <c r="I558">
        <v>23.3</v>
      </c>
      <c r="J558">
        <v>11.2</v>
      </c>
      <c r="K558" t="s">
        <v>6</v>
      </c>
      <c r="L558">
        <v>219</v>
      </c>
      <c r="M558" t="s">
        <v>6</v>
      </c>
    </row>
    <row r="559" spans="1:13" x14ac:dyDescent="0.2">
      <c r="A559" s="13">
        <v>45437</v>
      </c>
      <c r="B559" s="9">
        <v>0.29166666666666669</v>
      </c>
      <c r="C559" s="8">
        <v>45437.291666666664</v>
      </c>
      <c r="D559" s="10">
        <v>91.7</v>
      </c>
      <c r="E559" s="10">
        <v>101.8</v>
      </c>
      <c r="F559" s="10">
        <v>85.8</v>
      </c>
      <c r="G559" s="10" t="s">
        <v>6</v>
      </c>
      <c r="H559" s="10">
        <v>17.399999999999999</v>
      </c>
      <c r="I559" s="10">
        <v>21.2</v>
      </c>
      <c r="J559" s="10">
        <v>12.9</v>
      </c>
      <c r="K559" s="10" t="s">
        <v>6</v>
      </c>
      <c r="L559" s="10">
        <v>69</v>
      </c>
      <c r="M559" t="s">
        <v>6</v>
      </c>
    </row>
    <row r="560" spans="1:13" x14ac:dyDescent="0.2">
      <c r="A560" s="14">
        <v>45437</v>
      </c>
      <c r="B560" s="12">
        <v>0.375</v>
      </c>
      <c r="C560" s="7">
        <v>45437.375</v>
      </c>
      <c r="D560" s="11">
        <v>59.4</v>
      </c>
      <c r="E560" s="11">
        <v>71</v>
      </c>
      <c r="F560" s="11">
        <v>51</v>
      </c>
      <c r="G560" s="11" t="s">
        <v>6</v>
      </c>
      <c r="H560" s="11">
        <v>17.3</v>
      </c>
      <c r="I560" s="11">
        <v>22.5</v>
      </c>
      <c r="J560" s="11">
        <v>13.6</v>
      </c>
      <c r="K560" s="11" t="s">
        <v>6</v>
      </c>
      <c r="L560" s="11">
        <v>140</v>
      </c>
      <c r="M560" t="s">
        <v>6</v>
      </c>
    </row>
    <row r="561" spans="1:13" x14ac:dyDescent="0.2">
      <c r="A561" s="1">
        <v>45437</v>
      </c>
      <c r="B561" s="2">
        <v>0.41666666666666669</v>
      </c>
      <c r="C561" s="3">
        <v>45437.416666666664</v>
      </c>
      <c r="D561">
        <v>58.4</v>
      </c>
      <c r="E561">
        <v>63.8</v>
      </c>
      <c r="F561">
        <v>53.3</v>
      </c>
      <c r="G561" t="s">
        <v>6</v>
      </c>
      <c r="H561">
        <v>14.8</v>
      </c>
      <c r="I561">
        <v>19</v>
      </c>
      <c r="J561">
        <v>11.2</v>
      </c>
      <c r="K561" t="s">
        <v>6</v>
      </c>
      <c r="L561">
        <v>123</v>
      </c>
      <c r="M561" t="s">
        <v>6</v>
      </c>
    </row>
    <row r="562" spans="1:13" x14ac:dyDescent="0.2">
      <c r="A562" s="1">
        <v>45437</v>
      </c>
      <c r="B562" s="2">
        <v>0.58333333333333337</v>
      </c>
      <c r="C562" s="3">
        <v>45437.583333333336</v>
      </c>
      <c r="D562">
        <v>58.6</v>
      </c>
      <c r="E562">
        <v>60.2</v>
      </c>
      <c r="F562">
        <v>57.9</v>
      </c>
      <c r="G562" t="s">
        <v>6</v>
      </c>
      <c r="H562">
        <v>15.9</v>
      </c>
      <c r="I562">
        <v>21.5</v>
      </c>
      <c r="J562">
        <v>12.1</v>
      </c>
      <c r="K562" t="s">
        <v>6</v>
      </c>
      <c r="L562">
        <v>27</v>
      </c>
      <c r="M562" t="s">
        <v>6</v>
      </c>
    </row>
    <row r="563" spans="1:13" x14ac:dyDescent="0.2">
      <c r="A563" s="1">
        <v>45437</v>
      </c>
      <c r="B563" s="2">
        <v>0.625</v>
      </c>
      <c r="C563" s="3">
        <v>45437.625</v>
      </c>
      <c r="D563">
        <v>58.4</v>
      </c>
      <c r="E563">
        <v>61.8</v>
      </c>
      <c r="F563">
        <v>54.1</v>
      </c>
      <c r="G563" t="s">
        <v>6</v>
      </c>
      <c r="H563">
        <v>14.7</v>
      </c>
      <c r="I563">
        <v>21.5</v>
      </c>
      <c r="J563">
        <v>11.1</v>
      </c>
      <c r="K563" t="s">
        <v>6</v>
      </c>
      <c r="L563">
        <v>225</v>
      </c>
      <c r="M563" t="s">
        <v>6</v>
      </c>
    </row>
    <row r="564" spans="1:13" x14ac:dyDescent="0.2">
      <c r="A564" s="1">
        <v>45437</v>
      </c>
      <c r="B564" s="2">
        <v>0.66666666666666663</v>
      </c>
      <c r="C564" s="3">
        <v>45437.666666666664</v>
      </c>
      <c r="D564">
        <v>52.8</v>
      </c>
      <c r="E564">
        <v>56.6</v>
      </c>
      <c r="F564">
        <v>49</v>
      </c>
      <c r="G564" t="s">
        <v>6</v>
      </c>
      <c r="H564">
        <v>15.6</v>
      </c>
      <c r="I564">
        <v>20.2</v>
      </c>
      <c r="J564">
        <v>11.4</v>
      </c>
      <c r="K564" t="s">
        <v>6</v>
      </c>
      <c r="L564">
        <v>203</v>
      </c>
      <c r="M564" t="s">
        <v>6</v>
      </c>
    </row>
    <row r="565" spans="1:13" x14ac:dyDescent="0.2">
      <c r="A565" s="1">
        <v>45437</v>
      </c>
      <c r="B565" s="2">
        <v>0.70833333333333337</v>
      </c>
      <c r="C565" s="3">
        <v>45437.708333333336</v>
      </c>
      <c r="D565">
        <v>46.2</v>
      </c>
      <c r="E565">
        <v>49.7</v>
      </c>
      <c r="F565">
        <v>44.8</v>
      </c>
      <c r="G565" t="s">
        <v>6</v>
      </c>
      <c r="H565">
        <v>14.4</v>
      </c>
      <c r="I565">
        <v>19.899999999999999</v>
      </c>
      <c r="J565">
        <v>11.5</v>
      </c>
      <c r="K565" t="s">
        <v>6</v>
      </c>
      <c r="L565">
        <v>151</v>
      </c>
      <c r="M565" t="s">
        <v>6</v>
      </c>
    </row>
    <row r="566" spans="1:13" x14ac:dyDescent="0.2">
      <c r="A566" s="1">
        <v>45437</v>
      </c>
      <c r="B566" s="2">
        <v>0.75</v>
      </c>
      <c r="C566" s="3">
        <v>45437.75</v>
      </c>
      <c r="D566">
        <v>43.2</v>
      </c>
      <c r="E566">
        <v>45.2</v>
      </c>
      <c r="F566">
        <v>41.5</v>
      </c>
      <c r="G566" t="s">
        <v>6</v>
      </c>
      <c r="H566">
        <v>14.4</v>
      </c>
      <c r="I566">
        <v>17.899999999999999</v>
      </c>
      <c r="J566">
        <v>12.5</v>
      </c>
      <c r="K566" t="s">
        <v>6</v>
      </c>
      <c r="L566">
        <v>36</v>
      </c>
      <c r="M566" t="s">
        <v>6</v>
      </c>
    </row>
    <row r="567" spans="1:13" x14ac:dyDescent="0.2">
      <c r="A567" s="1">
        <v>45437</v>
      </c>
      <c r="B567" s="2">
        <v>0.79166666666666663</v>
      </c>
      <c r="C567" s="3">
        <v>45437.791666666664</v>
      </c>
      <c r="D567">
        <v>41.5</v>
      </c>
      <c r="E567">
        <v>41.5</v>
      </c>
      <c r="F567">
        <v>41.5</v>
      </c>
      <c r="G567" t="s">
        <v>6</v>
      </c>
      <c r="H567">
        <v>16.600000000000001</v>
      </c>
      <c r="I567">
        <v>18.899999999999999</v>
      </c>
      <c r="J567">
        <v>14</v>
      </c>
      <c r="K567" t="s">
        <v>6</v>
      </c>
      <c r="L567">
        <v>25</v>
      </c>
      <c r="M567" t="s">
        <v>6</v>
      </c>
    </row>
    <row r="568" spans="1:13" x14ac:dyDescent="0.2">
      <c r="A568" s="1">
        <v>45437</v>
      </c>
      <c r="B568" s="2">
        <v>0.83333333333333337</v>
      </c>
      <c r="C568" s="3">
        <v>45437.833333333336</v>
      </c>
      <c r="D568">
        <v>43.4</v>
      </c>
      <c r="E568">
        <v>50.1</v>
      </c>
      <c r="F568">
        <v>40.9</v>
      </c>
      <c r="G568" t="s">
        <v>6</v>
      </c>
      <c r="H568">
        <v>17.3</v>
      </c>
      <c r="I568">
        <v>29.8</v>
      </c>
      <c r="J568">
        <v>13.4</v>
      </c>
      <c r="K568" t="s">
        <v>6</v>
      </c>
      <c r="L568">
        <v>85</v>
      </c>
      <c r="M568" t="s">
        <v>6</v>
      </c>
    </row>
    <row r="569" spans="1:13" x14ac:dyDescent="0.2">
      <c r="A569" s="1">
        <v>45437</v>
      </c>
      <c r="B569" s="2">
        <v>0.875</v>
      </c>
      <c r="C569" s="3">
        <v>45437.875</v>
      </c>
      <c r="D569">
        <v>52.3</v>
      </c>
      <c r="E569">
        <v>61.3</v>
      </c>
      <c r="F569">
        <v>46.3</v>
      </c>
      <c r="G569" t="s">
        <v>6</v>
      </c>
      <c r="H569">
        <v>16.399999999999999</v>
      </c>
      <c r="I569">
        <v>27.3</v>
      </c>
      <c r="J569">
        <v>13.5</v>
      </c>
      <c r="K569" t="s">
        <v>6</v>
      </c>
      <c r="L569">
        <v>186</v>
      </c>
      <c r="M569" t="s">
        <v>6</v>
      </c>
    </row>
    <row r="570" spans="1:13" x14ac:dyDescent="0.2">
      <c r="A570" s="1">
        <v>45437</v>
      </c>
      <c r="B570" s="2">
        <v>0.91666666666666663</v>
      </c>
      <c r="C570" s="3">
        <v>45437.916666666664</v>
      </c>
      <c r="D570">
        <v>50.7</v>
      </c>
      <c r="E570">
        <v>58.3</v>
      </c>
      <c r="F570">
        <v>44.8</v>
      </c>
      <c r="G570" t="s">
        <v>6</v>
      </c>
      <c r="H570">
        <v>18</v>
      </c>
      <c r="I570">
        <v>28.5</v>
      </c>
      <c r="J570">
        <v>13</v>
      </c>
      <c r="K570" t="s">
        <v>6</v>
      </c>
      <c r="L570">
        <v>204</v>
      </c>
      <c r="M570" t="s">
        <v>6</v>
      </c>
    </row>
    <row r="571" spans="1:13" x14ac:dyDescent="0.2">
      <c r="A571" s="1">
        <v>45437</v>
      </c>
      <c r="B571" s="2">
        <v>0.95833333333333337</v>
      </c>
      <c r="C571" s="3">
        <v>45437.958333333336</v>
      </c>
      <c r="D571">
        <v>44.1</v>
      </c>
      <c r="E571">
        <v>49</v>
      </c>
      <c r="F571">
        <v>40.4</v>
      </c>
      <c r="G571" t="s">
        <v>6</v>
      </c>
      <c r="H571">
        <v>16.7</v>
      </c>
      <c r="I571">
        <v>29.8</v>
      </c>
      <c r="J571">
        <v>12.9</v>
      </c>
      <c r="K571" t="s">
        <v>6</v>
      </c>
      <c r="L571">
        <v>221</v>
      </c>
      <c r="M571" t="s">
        <v>6</v>
      </c>
    </row>
    <row r="572" spans="1:13" x14ac:dyDescent="0.2">
      <c r="A572" s="1">
        <v>45438</v>
      </c>
      <c r="B572" s="2">
        <v>0</v>
      </c>
      <c r="C572" s="3">
        <v>45438</v>
      </c>
      <c r="D572">
        <v>45</v>
      </c>
      <c r="E572">
        <v>49</v>
      </c>
      <c r="F572">
        <v>42.2</v>
      </c>
      <c r="G572" t="s">
        <v>6</v>
      </c>
      <c r="H572">
        <v>14.3</v>
      </c>
      <c r="I572">
        <v>21.3</v>
      </c>
      <c r="J572">
        <v>12.2</v>
      </c>
      <c r="K572" t="s">
        <v>6</v>
      </c>
      <c r="L572">
        <v>219</v>
      </c>
      <c r="M572" t="s">
        <v>6</v>
      </c>
    </row>
    <row r="573" spans="1:13" x14ac:dyDescent="0.2">
      <c r="A573" s="1">
        <v>45438</v>
      </c>
      <c r="B573" s="2">
        <v>4.1666666666666664E-2</v>
      </c>
      <c r="C573" s="3">
        <v>45438.041666666664</v>
      </c>
      <c r="D573">
        <v>56.4</v>
      </c>
      <c r="E573">
        <v>63.4</v>
      </c>
      <c r="F573">
        <v>46.3</v>
      </c>
      <c r="G573" t="s">
        <v>6</v>
      </c>
      <c r="H573">
        <v>14.3</v>
      </c>
      <c r="I573">
        <v>22</v>
      </c>
      <c r="J573">
        <v>11.8</v>
      </c>
      <c r="K573" t="s">
        <v>6</v>
      </c>
      <c r="L573">
        <v>219</v>
      </c>
      <c r="M573" t="s">
        <v>6</v>
      </c>
    </row>
    <row r="574" spans="1:13" x14ac:dyDescent="0.2">
      <c r="A574" s="1">
        <v>45438</v>
      </c>
      <c r="B574" s="2">
        <v>8.3333333333333329E-2</v>
      </c>
      <c r="C574" s="3">
        <v>45438.083333333336</v>
      </c>
      <c r="D574">
        <v>73.2</v>
      </c>
      <c r="E574">
        <v>89</v>
      </c>
      <c r="F574">
        <v>52.1</v>
      </c>
      <c r="G574" t="s">
        <v>6</v>
      </c>
      <c r="H574">
        <v>14</v>
      </c>
      <c r="I574">
        <v>25.2</v>
      </c>
      <c r="J574">
        <v>11.8</v>
      </c>
      <c r="K574" t="s">
        <v>6</v>
      </c>
      <c r="L574">
        <v>221</v>
      </c>
      <c r="M574" t="s">
        <v>6</v>
      </c>
    </row>
    <row r="575" spans="1:13" x14ac:dyDescent="0.2">
      <c r="A575" s="1">
        <v>45438</v>
      </c>
      <c r="B575" s="2">
        <v>0.125</v>
      </c>
      <c r="C575" s="3">
        <v>45438.125</v>
      </c>
      <c r="D575">
        <v>55.3</v>
      </c>
      <c r="E575">
        <v>61.4</v>
      </c>
      <c r="F575">
        <v>48.3</v>
      </c>
      <c r="G575" t="s">
        <v>6</v>
      </c>
      <c r="H575">
        <v>13.1</v>
      </c>
      <c r="I575">
        <v>21.8</v>
      </c>
      <c r="J575">
        <v>11.5</v>
      </c>
      <c r="K575" t="s">
        <v>6</v>
      </c>
      <c r="L575">
        <v>223</v>
      </c>
      <c r="M575" t="s">
        <v>6</v>
      </c>
    </row>
    <row r="576" spans="1:13" x14ac:dyDescent="0.2">
      <c r="A576" s="1">
        <v>45438</v>
      </c>
      <c r="B576" s="2">
        <v>0.16666666666666666</v>
      </c>
      <c r="C576" s="3">
        <v>45438.166666666664</v>
      </c>
      <c r="D576">
        <v>45.1</v>
      </c>
      <c r="E576">
        <v>51.5</v>
      </c>
      <c r="F576">
        <v>41.7</v>
      </c>
      <c r="G576" t="s">
        <v>6</v>
      </c>
      <c r="H576">
        <v>13.5</v>
      </c>
      <c r="I576">
        <v>24.6</v>
      </c>
      <c r="J576">
        <v>11.6</v>
      </c>
      <c r="K576" t="s">
        <v>6</v>
      </c>
      <c r="L576">
        <v>225</v>
      </c>
      <c r="M576" t="s">
        <v>6</v>
      </c>
    </row>
    <row r="577" spans="1:13" x14ac:dyDescent="0.2">
      <c r="A577" s="1">
        <v>45438</v>
      </c>
      <c r="B577" s="2">
        <v>0.20833333333333334</v>
      </c>
      <c r="C577" s="3">
        <v>45438.208333333336</v>
      </c>
      <c r="D577">
        <v>54.7</v>
      </c>
      <c r="E577">
        <v>102.7</v>
      </c>
      <c r="F577">
        <v>45</v>
      </c>
      <c r="G577" t="s">
        <v>6</v>
      </c>
      <c r="H577">
        <v>14.5</v>
      </c>
      <c r="I577">
        <v>22.7</v>
      </c>
      <c r="J577">
        <v>11.6</v>
      </c>
      <c r="K577" t="s">
        <v>6</v>
      </c>
      <c r="L577">
        <v>215</v>
      </c>
      <c r="M577" t="s">
        <v>6</v>
      </c>
    </row>
    <row r="578" spans="1:13" x14ac:dyDescent="0.2">
      <c r="A578" s="1">
        <v>45438</v>
      </c>
      <c r="B578" s="2">
        <v>0.25</v>
      </c>
      <c r="C578" s="3">
        <v>45438.25</v>
      </c>
      <c r="D578">
        <v>100.2</v>
      </c>
      <c r="E578">
        <v>108.2</v>
      </c>
      <c r="F578">
        <v>90.3</v>
      </c>
      <c r="G578" t="s">
        <v>6</v>
      </c>
      <c r="H578">
        <v>14.9</v>
      </c>
      <c r="I578">
        <v>23.9</v>
      </c>
      <c r="J578">
        <v>11.8</v>
      </c>
      <c r="K578" t="s">
        <v>6</v>
      </c>
      <c r="L578">
        <v>222</v>
      </c>
      <c r="M578" t="s">
        <v>6</v>
      </c>
    </row>
    <row r="579" spans="1:13" x14ac:dyDescent="0.2">
      <c r="A579" s="13">
        <v>45438</v>
      </c>
      <c r="B579" s="9">
        <v>0.29166666666666669</v>
      </c>
      <c r="C579" s="8">
        <v>45438.291666666664</v>
      </c>
      <c r="D579" s="10">
        <v>86.3</v>
      </c>
      <c r="E579" s="10">
        <v>92.7</v>
      </c>
      <c r="F579" s="10">
        <v>75.7</v>
      </c>
      <c r="G579" s="10" t="s">
        <v>6</v>
      </c>
      <c r="H579" s="10">
        <v>13.5</v>
      </c>
      <c r="I579" s="10">
        <v>18.7</v>
      </c>
      <c r="J579" s="10">
        <v>11.6</v>
      </c>
      <c r="K579" s="10" t="s">
        <v>6</v>
      </c>
      <c r="L579" s="10">
        <v>104</v>
      </c>
      <c r="M579" t="s">
        <v>6</v>
      </c>
    </row>
    <row r="580" spans="1:13" x14ac:dyDescent="0.2">
      <c r="A580" s="14">
        <v>45438</v>
      </c>
      <c r="B580" s="12">
        <v>0.375</v>
      </c>
      <c r="C580" s="7">
        <v>45438.375</v>
      </c>
      <c r="D580" s="11">
        <v>66.8</v>
      </c>
      <c r="E580" s="11">
        <v>66.8</v>
      </c>
      <c r="F580" s="11">
        <v>66.7</v>
      </c>
      <c r="G580" s="11" t="s">
        <v>6</v>
      </c>
      <c r="H580" s="11">
        <v>13.9</v>
      </c>
      <c r="I580" s="11">
        <v>16.399999999999999</v>
      </c>
      <c r="J580" s="11">
        <v>12.7</v>
      </c>
      <c r="K580" s="11" t="s">
        <v>6</v>
      </c>
      <c r="L580" s="11">
        <v>6</v>
      </c>
      <c r="M580" t="s">
        <v>6</v>
      </c>
    </row>
    <row r="581" spans="1:13" x14ac:dyDescent="0.2">
      <c r="A581" s="1">
        <v>45438</v>
      </c>
      <c r="B581" s="2">
        <v>0.41666666666666669</v>
      </c>
      <c r="C581" s="3">
        <v>45438.416666666664</v>
      </c>
      <c r="D581">
        <v>59.9</v>
      </c>
      <c r="E581">
        <v>63.9</v>
      </c>
      <c r="F581">
        <v>57</v>
      </c>
      <c r="G581" t="s">
        <v>6</v>
      </c>
      <c r="H581">
        <v>18.399999999999999</v>
      </c>
      <c r="I581">
        <v>34.200000000000003</v>
      </c>
      <c r="J581">
        <v>12.9</v>
      </c>
      <c r="K581" t="s">
        <v>6</v>
      </c>
      <c r="L581">
        <v>68</v>
      </c>
      <c r="M581" t="s">
        <v>6</v>
      </c>
    </row>
    <row r="582" spans="1:13" x14ac:dyDescent="0.2">
      <c r="A582" s="1">
        <v>45438</v>
      </c>
      <c r="B582" s="2">
        <v>0.45833333333333331</v>
      </c>
      <c r="C582" s="3">
        <v>45438.458333333336</v>
      </c>
      <c r="D582">
        <v>60.1</v>
      </c>
      <c r="E582">
        <v>61.5</v>
      </c>
      <c r="F582">
        <v>58.2</v>
      </c>
      <c r="G582" t="s">
        <v>6</v>
      </c>
      <c r="H582">
        <v>13.7</v>
      </c>
      <c r="I582">
        <v>15.6</v>
      </c>
      <c r="J582">
        <v>12</v>
      </c>
      <c r="K582" t="s">
        <v>6</v>
      </c>
      <c r="L582">
        <v>44</v>
      </c>
      <c r="M582" t="s">
        <v>6</v>
      </c>
    </row>
    <row r="583" spans="1:13" x14ac:dyDescent="0.2">
      <c r="A583" s="1">
        <v>45438</v>
      </c>
      <c r="B583" s="2">
        <v>0.5</v>
      </c>
      <c r="C583" s="3">
        <v>45438.5</v>
      </c>
      <c r="D583">
        <v>60.8</v>
      </c>
      <c r="E583">
        <v>63.3</v>
      </c>
      <c r="F583">
        <v>58.9</v>
      </c>
      <c r="G583" t="s">
        <v>6</v>
      </c>
      <c r="H583">
        <v>13.9</v>
      </c>
      <c r="I583">
        <v>16.5</v>
      </c>
      <c r="J583">
        <v>11.2</v>
      </c>
      <c r="K583" t="s">
        <v>6</v>
      </c>
      <c r="L583">
        <v>82</v>
      </c>
      <c r="M583" t="s">
        <v>6</v>
      </c>
    </row>
    <row r="584" spans="1:13" x14ac:dyDescent="0.2">
      <c r="A584" s="1">
        <v>45438</v>
      </c>
      <c r="B584" s="2">
        <v>0.54166666666666663</v>
      </c>
      <c r="C584" s="3">
        <v>45438.541666666664</v>
      </c>
      <c r="D584">
        <v>60.9</v>
      </c>
      <c r="E584">
        <v>62</v>
      </c>
      <c r="F584">
        <v>59.7</v>
      </c>
      <c r="G584" t="s">
        <v>6</v>
      </c>
      <c r="H584">
        <v>13.9</v>
      </c>
      <c r="I584">
        <v>16.7</v>
      </c>
      <c r="J584">
        <v>12.4</v>
      </c>
      <c r="K584" t="s">
        <v>6</v>
      </c>
      <c r="L584">
        <v>12</v>
      </c>
      <c r="M584" t="s">
        <v>6</v>
      </c>
    </row>
    <row r="585" spans="1:13" x14ac:dyDescent="0.2">
      <c r="A585" s="1">
        <v>45438</v>
      </c>
      <c r="B585" s="2">
        <v>0.625</v>
      </c>
      <c r="C585" s="3">
        <v>45438.625</v>
      </c>
      <c r="D585">
        <v>72.400000000000006</v>
      </c>
      <c r="E585">
        <v>75.400000000000006</v>
      </c>
      <c r="F585">
        <v>69.7</v>
      </c>
      <c r="G585" t="s">
        <v>6</v>
      </c>
      <c r="H585">
        <v>18</v>
      </c>
      <c r="I585">
        <v>21</v>
      </c>
      <c r="J585">
        <v>13.9</v>
      </c>
      <c r="K585" t="s">
        <v>6</v>
      </c>
      <c r="L585">
        <v>51</v>
      </c>
      <c r="M585" t="s">
        <v>6</v>
      </c>
    </row>
    <row r="586" spans="1:13" x14ac:dyDescent="0.2">
      <c r="A586" s="1">
        <v>45438</v>
      </c>
      <c r="B586" s="2">
        <v>0.75</v>
      </c>
      <c r="C586" s="3">
        <v>45438.75</v>
      </c>
      <c r="D586">
        <v>63.7</v>
      </c>
      <c r="E586">
        <v>64.7</v>
      </c>
      <c r="F586">
        <v>62.5</v>
      </c>
      <c r="G586" t="s">
        <v>6</v>
      </c>
      <c r="H586">
        <v>18.399999999999999</v>
      </c>
      <c r="I586">
        <v>23.5</v>
      </c>
      <c r="J586">
        <v>14.8</v>
      </c>
      <c r="K586" t="s">
        <v>6</v>
      </c>
      <c r="L586">
        <v>42</v>
      </c>
      <c r="M586" t="s">
        <v>6</v>
      </c>
    </row>
    <row r="587" spans="1:13" x14ac:dyDescent="0.2">
      <c r="A587" s="1">
        <v>45438</v>
      </c>
      <c r="B587" s="2">
        <v>0.79166666666666663</v>
      </c>
      <c r="C587" s="3">
        <v>45438.791666666664</v>
      </c>
      <c r="D587">
        <v>59.1</v>
      </c>
      <c r="E587">
        <v>62.9</v>
      </c>
      <c r="F587">
        <v>55.1</v>
      </c>
      <c r="G587" t="s">
        <v>6</v>
      </c>
      <c r="H587">
        <v>18.5</v>
      </c>
      <c r="I587">
        <v>24.9</v>
      </c>
      <c r="J587">
        <v>12.5</v>
      </c>
      <c r="K587" t="s">
        <v>6</v>
      </c>
      <c r="L587">
        <v>109</v>
      </c>
      <c r="M587" t="s">
        <v>6</v>
      </c>
    </row>
    <row r="588" spans="1:13" x14ac:dyDescent="0.2">
      <c r="A588" s="1">
        <v>45438</v>
      </c>
      <c r="B588" s="2">
        <v>0.83333333333333337</v>
      </c>
      <c r="C588" s="3">
        <v>45438.833333333336</v>
      </c>
      <c r="D588">
        <v>50.8</v>
      </c>
      <c r="E588">
        <v>60.5</v>
      </c>
      <c r="F588">
        <v>45</v>
      </c>
      <c r="G588" t="s">
        <v>6</v>
      </c>
      <c r="H588">
        <v>17.399999999999999</v>
      </c>
      <c r="I588">
        <v>38.1</v>
      </c>
      <c r="J588">
        <v>12.5</v>
      </c>
      <c r="K588" t="s">
        <v>6</v>
      </c>
      <c r="L588">
        <v>217</v>
      </c>
      <c r="M588" t="s">
        <v>6</v>
      </c>
    </row>
    <row r="589" spans="1:13" x14ac:dyDescent="0.2">
      <c r="A589" s="1">
        <v>45438</v>
      </c>
      <c r="B589" s="2">
        <v>0.875</v>
      </c>
      <c r="C589" s="3">
        <v>45438.875</v>
      </c>
      <c r="D589">
        <v>43.9</v>
      </c>
      <c r="E589">
        <v>47.9</v>
      </c>
      <c r="F589">
        <v>40.1</v>
      </c>
      <c r="G589" t="s">
        <v>6</v>
      </c>
      <c r="H589">
        <v>13.2</v>
      </c>
      <c r="I589">
        <v>19.100000000000001</v>
      </c>
      <c r="J589">
        <v>11.7</v>
      </c>
      <c r="K589" t="s">
        <v>6</v>
      </c>
      <c r="L589">
        <v>228</v>
      </c>
      <c r="M589" t="s">
        <v>6</v>
      </c>
    </row>
    <row r="590" spans="1:13" x14ac:dyDescent="0.2">
      <c r="A590" s="1">
        <v>45438</v>
      </c>
      <c r="B590" s="2">
        <v>0.91666666666666663</v>
      </c>
      <c r="C590" s="3">
        <v>45438.916666666664</v>
      </c>
      <c r="D590">
        <v>46.5</v>
      </c>
      <c r="E590">
        <v>53</v>
      </c>
      <c r="F590">
        <v>41.1</v>
      </c>
      <c r="G590" t="s">
        <v>6</v>
      </c>
      <c r="H590">
        <v>13.4</v>
      </c>
      <c r="I590">
        <v>15.9</v>
      </c>
      <c r="J590">
        <v>11.5</v>
      </c>
      <c r="K590" t="s">
        <v>6</v>
      </c>
      <c r="L590">
        <v>160</v>
      </c>
      <c r="M590" t="s">
        <v>6</v>
      </c>
    </row>
    <row r="591" spans="1:13" x14ac:dyDescent="0.2">
      <c r="A591" s="1">
        <v>45438</v>
      </c>
      <c r="B591" s="2">
        <v>0.95833333333333337</v>
      </c>
      <c r="C591" s="3">
        <v>45438.958333333336</v>
      </c>
      <c r="D591">
        <v>70.099999999999994</v>
      </c>
      <c r="E591">
        <v>90.3</v>
      </c>
      <c r="F591">
        <v>47</v>
      </c>
      <c r="G591" t="s">
        <v>6</v>
      </c>
      <c r="H591">
        <v>14.9</v>
      </c>
      <c r="I591">
        <v>25.3</v>
      </c>
      <c r="J591">
        <v>11.9</v>
      </c>
      <c r="K591" t="s">
        <v>6</v>
      </c>
      <c r="L591">
        <v>211</v>
      </c>
      <c r="M591" t="s">
        <v>6</v>
      </c>
    </row>
    <row r="592" spans="1:13" x14ac:dyDescent="0.2">
      <c r="A592" s="1">
        <v>45439</v>
      </c>
      <c r="B592" s="2">
        <v>0</v>
      </c>
      <c r="C592" s="3">
        <v>45439</v>
      </c>
      <c r="D592">
        <v>52</v>
      </c>
      <c r="E592">
        <v>71.5</v>
      </c>
      <c r="F592">
        <v>47.9</v>
      </c>
      <c r="G592" t="s">
        <v>6</v>
      </c>
      <c r="H592">
        <v>15.2</v>
      </c>
      <c r="I592">
        <v>26.4</v>
      </c>
      <c r="J592">
        <v>11.8</v>
      </c>
      <c r="K592" t="s">
        <v>6</v>
      </c>
      <c r="L592">
        <v>226</v>
      </c>
      <c r="M592" t="s">
        <v>6</v>
      </c>
    </row>
    <row r="593" spans="1:13" x14ac:dyDescent="0.2">
      <c r="A593" s="1">
        <v>45439</v>
      </c>
      <c r="B593" s="2">
        <v>4.1666666666666664E-2</v>
      </c>
      <c r="C593" s="3">
        <v>45439.041666666664</v>
      </c>
      <c r="D593">
        <v>78.099999999999994</v>
      </c>
      <c r="E593">
        <v>88.4</v>
      </c>
      <c r="F593">
        <v>57.5</v>
      </c>
      <c r="G593" t="s">
        <v>6</v>
      </c>
      <c r="H593">
        <v>13.1</v>
      </c>
      <c r="I593">
        <v>22</v>
      </c>
      <c r="J593">
        <v>11.4</v>
      </c>
      <c r="K593" t="s">
        <v>6</v>
      </c>
      <c r="L593">
        <v>219</v>
      </c>
      <c r="M593" t="s">
        <v>6</v>
      </c>
    </row>
    <row r="594" spans="1:13" x14ac:dyDescent="0.2">
      <c r="A594" s="1">
        <v>45439</v>
      </c>
      <c r="B594" s="2">
        <v>8.3333333333333329E-2</v>
      </c>
      <c r="C594" s="3">
        <v>45439.083333333336</v>
      </c>
      <c r="D594">
        <v>94.9</v>
      </c>
      <c r="E594">
        <v>101</v>
      </c>
      <c r="F594">
        <v>58.1</v>
      </c>
      <c r="G594" t="s">
        <v>6</v>
      </c>
      <c r="H594">
        <v>13.6</v>
      </c>
      <c r="I594">
        <v>24.9</v>
      </c>
      <c r="J594">
        <v>11.6</v>
      </c>
      <c r="K594" t="s">
        <v>6</v>
      </c>
      <c r="L594">
        <v>219</v>
      </c>
      <c r="M594" t="s">
        <v>6</v>
      </c>
    </row>
    <row r="595" spans="1:13" x14ac:dyDescent="0.2">
      <c r="A595" s="1">
        <v>45439</v>
      </c>
      <c r="B595" s="2">
        <v>0.125</v>
      </c>
      <c r="C595" s="3">
        <v>45439.125</v>
      </c>
      <c r="D595">
        <v>83.8</v>
      </c>
      <c r="E595">
        <v>102.5</v>
      </c>
      <c r="F595">
        <v>60.3</v>
      </c>
      <c r="G595" t="s">
        <v>6</v>
      </c>
      <c r="H595">
        <v>13.6</v>
      </c>
      <c r="I595">
        <v>30.1</v>
      </c>
      <c r="J595">
        <v>11.4</v>
      </c>
      <c r="K595" t="s">
        <v>6</v>
      </c>
      <c r="L595">
        <v>219</v>
      </c>
      <c r="M595" t="s">
        <v>6</v>
      </c>
    </row>
    <row r="596" spans="1:13" x14ac:dyDescent="0.2">
      <c r="A596" s="1">
        <v>45439</v>
      </c>
      <c r="B596" s="2">
        <v>0.16666666666666666</v>
      </c>
      <c r="C596" s="3">
        <v>45439.166666666664</v>
      </c>
      <c r="D596">
        <v>80.3</v>
      </c>
      <c r="E596">
        <v>109.4</v>
      </c>
      <c r="F596">
        <v>56.5</v>
      </c>
      <c r="G596" t="s">
        <v>6</v>
      </c>
      <c r="H596">
        <v>12.6</v>
      </c>
      <c r="I596">
        <v>21.1</v>
      </c>
      <c r="J596">
        <v>11.3</v>
      </c>
      <c r="K596" t="s">
        <v>6</v>
      </c>
      <c r="L596">
        <v>223</v>
      </c>
      <c r="M596" t="s">
        <v>6</v>
      </c>
    </row>
    <row r="597" spans="1:13" x14ac:dyDescent="0.2">
      <c r="A597" s="1">
        <v>45439</v>
      </c>
      <c r="B597" s="2">
        <v>0.20833333333333334</v>
      </c>
      <c r="C597" s="3">
        <v>45439.208333333336</v>
      </c>
      <c r="D597">
        <v>84.9</v>
      </c>
      <c r="E597">
        <v>108.9</v>
      </c>
      <c r="F597">
        <v>46.4</v>
      </c>
      <c r="G597" t="s">
        <v>6</v>
      </c>
      <c r="H597">
        <v>14.3</v>
      </c>
      <c r="I597">
        <v>23.2</v>
      </c>
      <c r="J597">
        <v>11</v>
      </c>
      <c r="K597" t="s">
        <v>6</v>
      </c>
      <c r="L597">
        <v>223</v>
      </c>
      <c r="M597" t="s">
        <v>6</v>
      </c>
    </row>
    <row r="598" spans="1:13" x14ac:dyDescent="0.2">
      <c r="A598" s="1">
        <v>45439</v>
      </c>
      <c r="B598" s="2">
        <v>0.25</v>
      </c>
      <c r="C598" s="3">
        <v>45439.25</v>
      </c>
      <c r="D598">
        <v>65.8</v>
      </c>
      <c r="E598">
        <v>97.8</v>
      </c>
      <c r="F598">
        <v>48.3</v>
      </c>
      <c r="G598" t="s">
        <v>6</v>
      </c>
      <c r="H598">
        <v>14.6</v>
      </c>
      <c r="I598">
        <v>25</v>
      </c>
      <c r="J598">
        <v>11.5</v>
      </c>
      <c r="K598" t="s">
        <v>6</v>
      </c>
      <c r="L598">
        <v>227</v>
      </c>
      <c r="M598" t="s">
        <v>6</v>
      </c>
    </row>
    <row r="599" spans="1:13" x14ac:dyDescent="0.2">
      <c r="A599" s="13">
        <v>45439</v>
      </c>
      <c r="B599" s="9">
        <v>0.29166666666666669</v>
      </c>
      <c r="C599" s="8">
        <v>45439.291666666664</v>
      </c>
      <c r="D599" s="10">
        <v>90.8</v>
      </c>
      <c r="E599" s="10">
        <v>105.5</v>
      </c>
      <c r="F599" s="10">
        <v>73.400000000000006</v>
      </c>
      <c r="G599" s="10" t="s">
        <v>6</v>
      </c>
      <c r="H599" s="10">
        <v>17</v>
      </c>
      <c r="I599" s="10">
        <v>26.1</v>
      </c>
      <c r="J599" s="10">
        <v>12.1</v>
      </c>
      <c r="K599" s="10" t="s">
        <v>6</v>
      </c>
      <c r="L599" s="10">
        <v>82</v>
      </c>
      <c r="M599" t="s">
        <v>6</v>
      </c>
    </row>
    <row r="600" spans="1:13" x14ac:dyDescent="0.2">
      <c r="A600" s="14">
        <v>45439</v>
      </c>
      <c r="B600" s="12">
        <v>0.41666666666666669</v>
      </c>
      <c r="C600" s="7">
        <v>45439.416666666664</v>
      </c>
      <c r="D600" s="11">
        <v>63.1</v>
      </c>
      <c r="E600" s="11">
        <v>66.099999999999994</v>
      </c>
      <c r="F600" s="11">
        <v>60.2</v>
      </c>
      <c r="G600" s="11" t="s">
        <v>6</v>
      </c>
      <c r="H600" s="11">
        <v>12.8</v>
      </c>
      <c r="I600" s="11">
        <v>15.3</v>
      </c>
      <c r="J600" s="11">
        <v>11.5</v>
      </c>
      <c r="K600" s="11" t="s">
        <v>6</v>
      </c>
      <c r="L600" s="11">
        <v>55</v>
      </c>
      <c r="M600" t="s">
        <v>6</v>
      </c>
    </row>
    <row r="601" spans="1:13" x14ac:dyDescent="0.2">
      <c r="A601" s="1">
        <v>45439</v>
      </c>
      <c r="B601" s="2">
        <v>0.5</v>
      </c>
      <c r="C601" s="3">
        <v>45439.5</v>
      </c>
      <c r="D601">
        <v>64.599999999999994</v>
      </c>
      <c r="E601">
        <v>64.8</v>
      </c>
      <c r="F601">
        <v>64.400000000000006</v>
      </c>
      <c r="G601" t="s">
        <v>6</v>
      </c>
      <c r="H601">
        <v>15</v>
      </c>
      <c r="I601">
        <v>15.1</v>
      </c>
      <c r="J601">
        <v>14.9</v>
      </c>
      <c r="K601" t="s">
        <v>6</v>
      </c>
      <c r="L601">
        <v>2</v>
      </c>
      <c r="M601" t="s">
        <v>6</v>
      </c>
    </row>
    <row r="602" spans="1:13" x14ac:dyDescent="0.2">
      <c r="A602" s="1">
        <v>45439</v>
      </c>
      <c r="B602" s="2">
        <v>0.54166666666666663</v>
      </c>
      <c r="C602" s="3">
        <v>45439.541666666664</v>
      </c>
      <c r="D602">
        <v>68.900000000000006</v>
      </c>
      <c r="E602">
        <v>76.8</v>
      </c>
      <c r="F602">
        <v>61.4</v>
      </c>
      <c r="G602" t="s">
        <v>6</v>
      </c>
      <c r="H602">
        <v>16.2</v>
      </c>
      <c r="I602">
        <v>22.9</v>
      </c>
      <c r="J602">
        <v>12.7</v>
      </c>
      <c r="K602" t="s">
        <v>6</v>
      </c>
      <c r="L602">
        <v>157</v>
      </c>
      <c r="M602" t="s">
        <v>6</v>
      </c>
    </row>
    <row r="603" spans="1:13" x14ac:dyDescent="0.2">
      <c r="A603" s="1">
        <v>45439</v>
      </c>
      <c r="B603" s="2">
        <v>0.58333333333333337</v>
      </c>
      <c r="C603" s="3">
        <v>45439.583333333336</v>
      </c>
      <c r="D603">
        <v>63.9</v>
      </c>
      <c r="E603">
        <v>72.599999999999994</v>
      </c>
      <c r="F603">
        <v>58.9</v>
      </c>
      <c r="G603" t="s">
        <v>6</v>
      </c>
      <c r="H603">
        <v>14.3</v>
      </c>
      <c r="I603">
        <v>16.7</v>
      </c>
      <c r="J603">
        <v>12.6</v>
      </c>
      <c r="K603" t="s">
        <v>6</v>
      </c>
      <c r="L603">
        <v>54</v>
      </c>
      <c r="M603" t="s">
        <v>6</v>
      </c>
    </row>
    <row r="604" spans="1:13" x14ac:dyDescent="0.2">
      <c r="A604" s="1">
        <v>45439</v>
      </c>
      <c r="B604" s="2">
        <v>0.66666666666666663</v>
      </c>
      <c r="C604" s="3">
        <v>45439.666666666664</v>
      </c>
      <c r="D604">
        <v>58.3</v>
      </c>
      <c r="E604">
        <v>61.1</v>
      </c>
      <c r="F604">
        <v>55</v>
      </c>
      <c r="G604" t="s">
        <v>6</v>
      </c>
      <c r="H604">
        <v>13.5</v>
      </c>
      <c r="I604">
        <v>15.1</v>
      </c>
      <c r="J604">
        <v>11</v>
      </c>
      <c r="K604" t="s">
        <v>6</v>
      </c>
      <c r="L604">
        <v>33</v>
      </c>
      <c r="M604" t="s">
        <v>6</v>
      </c>
    </row>
    <row r="605" spans="1:13" x14ac:dyDescent="0.2">
      <c r="A605" s="1">
        <v>45439</v>
      </c>
      <c r="B605" s="2">
        <v>0.70833333333333337</v>
      </c>
      <c r="C605" s="3">
        <v>45439.708333333336</v>
      </c>
      <c r="D605">
        <v>59.1</v>
      </c>
      <c r="E605">
        <v>62.9</v>
      </c>
      <c r="F605">
        <v>54.3</v>
      </c>
      <c r="G605" t="s">
        <v>6</v>
      </c>
      <c r="H605">
        <v>15.6</v>
      </c>
      <c r="I605">
        <v>22.5</v>
      </c>
      <c r="J605">
        <v>12.5</v>
      </c>
      <c r="K605" t="s">
        <v>6</v>
      </c>
      <c r="L605">
        <v>51</v>
      </c>
      <c r="M605" t="s">
        <v>6</v>
      </c>
    </row>
    <row r="606" spans="1:13" x14ac:dyDescent="0.2">
      <c r="A606" s="1">
        <v>45439</v>
      </c>
      <c r="B606" s="2">
        <v>0.75</v>
      </c>
      <c r="C606" s="3">
        <v>45439.75</v>
      </c>
      <c r="D606">
        <v>70.3</v>
      </c>
      <c r="E606">
        <v>107.6</v>
      </c>
      <c r="F606">
        <v>53.2</v>
      </c>
      <c r="G606" t="s">
        <v>6</v>
      </c>
      <c r="H606">
        <v>17</v>
      </c>
      <c r="I606">
        <v>19.7</v>
      </c>
      <c r="J606">
        <v>14.3</v>
      </c>
      <c r="K606" t="s">
        <v>6</v>
      </c>
      <c r="L606">
        <v>47</v>
      </c>
      <c r="M606" t="s">
        <v>6</v>
      </c>
    </row>
    <row r="607" spans="1:13" x14ac:dyDescent="0.2">
      <c r="A607" s="1">
        <v>45439</v>
      </c>
      <c r="B607" s="2">
        <v>0.79166666666666663</v>
      </c>
      <c r="C607" s="3">
        <v>45439.791666666664</v>
      </c>
      <c r="D607">
        <v>93.7</v>
      </c>
      <c r="E607">
        <v>111.9</v>
      </c>
      <c r="F607">
        <v>77.8</v>
      </c>
      <c r="G607" t="s">
        <v>6</v>
      </c>
      <c r="H607">
        <v>16.399999999999999</v>
      </c>
      <c r="I607">
        <v>21.4</v>
      </c>
      <c r="J607">
        <v>12.5</v>
      </c>
      <c r="K607" t="s">
        <v>6</v>
      </c>
      <c r="L607">
        <v>203</v>
      </c>
      <c r="M607" t="s">
        <v>6</v>
      </c>
    </row>
    <row r="608" spans="1:13" x14ac:dyDescent="0.2">
      <c r="A608" s="1">
        <v>45439</v>
      </c>
      <c r="B608" s="2">
        <v>0.83333333333333337</v>
      </c>
      <c r="C608" s="3">
        <v>45439.833333333336</v>
      </c>
      <c r="D608">
        <v>84.1</v>
      </c>
      <c r="E608">
        <v>104.1</v>
      </c>
      <c r="F608">
        <v>71.099999999999994</v>
      </c>
      <c r="G608" t="s">
        <v>6</v>
      </c>
      <c r="H608">
        <v>17.2</v>
      </c>
      <c r="I608">
        <v>33.1</v>
      </c>
      <c r="J608">
        <v>13.2</v>
      </c>
      <c r="K608" t="s">
        <v>6</v>
      </c>
      <c r="L608">
        <v>220</v>
      </c>
      <c r="M608" t="s">
        <v>6</v>
      </c>
    </row>
    <row r="609" spans="1:13" x14ac:dyDescent="0.2">
      <c r="A609" s="1">
        <v>45439</v>
      </c>
      <c r="B609" s="2">
        <v>0.875</v>
      </c>
      <c r="C609" s="3">
        <v>45439.875</v>
      </c>
      <c r="D609">
        <v>98.8</v>
      </c>
      <c r="E609">
        <v>112.4</v>
      </c>
      <c r="F609">
        <v>63.1</v>
      </c>
      <c r="G609" t="s">
        <v>6</v>
      </c>
      <c r="H609">
        <v>18.2</v>
      </c>
      <c r="I609">
        <v>30.4</v>
      </c>
      <c r="J609">
        <v>13.2</v>
      </c>
      <c r="K609" t="s">
        <v>6</v>
      </c>
      <c r="L609">
        <v>226</v>
      </c>
      <c r="M609" t="s">
        <v>6</v>
      </c>
    </row>
    <row r="610" spans="1:13" x14ac:dyDescent="0.2">
      <c r="A610" s="1">
        <v>45439</v>
      </c>
      <c r="B610" s="2">
        <v>0.91666666666666663</v>
      </c>
      <c r="C610" s="3">
        <v>45439.916666666664</v>
      </c>
      <c r="D610">
        <v>108.5</v>
      </c>
      <c r="E610">
        <v>114.5</v>
      </c>
      <c r="F610">
        <v>100.5</v>
      </c>
      <c r="G610" t="s">
        <v>6</v>
      </c>
      <c r="H610">
        <v>20.7</v>
      </c>
      <c r="I610">
        <v>34.4</v>
      </c>
      <c r="J610">
        <v>12.5</v>
      </c>
      <c r="K610" t="s">
        <v>6</v>
      </c>
      <c r="L610">
        <v>215</v>
      </c>
      <c r="M610" t="s">
        <v>6</v>
      </c>
    </row>
    <row r="611" spans="1:13" x14ac:dyDescent="0.2">
      <c r="A611" s="1">
        <v>45439</v>
      </c>
      <c r="B611" s="2">
        <v>0.95833333333333337</v>
      </c>
      <c r="C611" s="3">
        <v>45439.958333333336</v>
      </c>
      <c r="D611">
        <v>90.1</v>
      </c>
      <c r="E611">
        <v>112.7</v>
      </c>
      <c r="F611">
        <v>53.8</v>
      </c>
      <c r="G611" t="s">
        <v>6</v>
      </c>
      <c r="H611">
        <v>15.1</v>
      </c>
      <c r="I611">
        <v>26.1</v>
      </c>
      <c r="J611">
        <v>11.7</v>
      </c>
      <c r="K611" t="s">
        <v>6</v>
      </c>
      <c r="L611">
        <v>227</v>
      </c>
      <c r="M611" t="s">
        <v>6</v>
      </c>
    </row>
    <row r="612" spans="1:13" x14ac:dyDescent="0.2">
      <c r="A612" s="1">
        <v>45440</v>
      </c>
      <c r="B612" s="2">
        <v>0</v>
      </c>
      <c r="C612" s="3">
        <v>45440</v>
      </c>
      <c r="D612">
        <v>71.5</v>
      </c>
      <c r="E612">
        <v>116</v>
      </c>
      <c r="F612">
        <v>51.8</v>
      </c>
      <c r="G612" t="s">
        <v>6</v>
      </c>
      <c r="H612">
        <v>13.6</v>
      </c>
      <c r="I612">
        <v>22.3</v>
      </c>
      <c r="J612">
        <v>11.4</v>
      </c>
      <c r="K612" t="s">
        <v>6</v>
      </c>
      <c r="L612">
        <v>199</v>
      </c>
      <c r="M612" t="s">
        <v>6</v>
      </c>
    </row>
    <row r="613" spans="1:13" x14ac:dyDescent="0.2">
      <c r="A613" s="1">
        <v>45440</v>
      </c>
      <c r="B613" s="2">
        <v>4.1666666666666664E-2</v>
      </c>
      <c r="C613" s="3">
        <v>45440.041666666664</v>
      </c>
      <c r="D613">
        <v>96.2</v>
      </c>
      <c r="E613">
        <v>108.3</v>
      </c>
      <c r="F613">
        <v>76</v>
      </c>
      <c r="G613" t="s">
        <v>6</v>
      </c>
      <c r="H613">
        <v>14.7</v>
      </c>
      <c r="I613">
        <v>25.1</v>
      </c>
      <c r="J613">
        <v>11.3</v>
      </c>
      <c r="K613" t="s">
        <v>6</v>
      </c>
      <c r="L613">
        <v>218</v>
      </c>
      <c r="M613" t="s">
        <v>6</v>
      </c>
    </row>
    <row r="614" spans="1:13" x14ac:dyDescent="0.2">
      <c r="A614" s="1">
        <v>45440</v>
      </c>
      <c r="B614" s="2">
        <v>8.3333333333333329E-2</v>
      </c>
      <c r="C614" s="3">
        <v>45440.083333333336</v>
      </c>
      <c r="D614">
        <v>100.4</v>
      </c>
      <c r="E614">
        <v>115.4</v>
      </c>
      <c r="F614">
        <v>73.5</v>
      </c>
      <c r="G614" t="s">
        <v>6</v>
      </c>
      <c r="H614">
        <v>15</v>
      </c>
      <c r="I614">
        <v>25.6</v>
      </c>
      <c r="J614">
        <v>11.3</v>
      </c>
      <c r="K614" t="s">
        <v>6</v>
      </c>
      <c r="L614">
        <v>222</v>
      </c>
      <c r="M614" t="s">
        <v>6</v>
      </c>
    </row>
    <row r="615" spans="1:13" x14ac:dyDescent="0.2">
      <c r="A615" s="1">
        <v>45440</v>
      </c>
      <c r="B615" s="2">
        <v>0.125</v>
      </c>
      <c r="C615" s="3">
        <v>45440.125</v>
      </c>
      <c r="D615">
        <v>79.5</v>
      </c>
      <c r="E615">
        <v>98.3</v>
      </c>
      <c r="F615">
        <v>57.6</v>
      </c>
      <c r="G615" t="s">
        <v>6</v>
      </c>
      <c r="H615">
        <v>15.7</v>
      </c>
      <c r="I615">
        <v>24.9</v>
      </c>
      <c r="J615">
        <v>11.1</v>
      </c>
      <c r="K615" t="s">
        <v>6</v>
      </c>
      <c r="L615">
        <v>221</v>
      </c>
      <c r="M615" t="s">
        <v>6</v>
      </c>
    </row>
    <row r="616" spans="1:13" x14ac:dyDescent="0.2">
      <c r="A616" s="1">
        <v>45440</v>
      </c>
      <c r="B616" s="2">
        <v>0.16666666666666666</v>
      </c>
      <c r="C616" s="3">
        <v>45440.166666666664</v>
      </c>
      <c r="D616">
        <v>83.3</v>
      </c>
      <c r="E616">
        <v>98</v>
      </c>
      <c r="F616">
        <v>72.900000000000006</v>
      </c>
      <c r="G616" t="s">
        <v>6</v>
      </c>
      <c r="H616">
        <v>14.6</v>
      </c>
      <c r="I616">
        <v>24</v>
      </c>
      <c r="J616">
        <v>11.9</v>
      </c>
      <c r="K616" t="s">
        <v>6</v>
      </c>
      <c r="L616">
        <v>217</v>
      </c>
      <c r="M616" t="s">
        <v>6</v>
      </c>
    </row>
    <row r="617" spans="1:13" x14ac:dyDescent="0.2">
      <c r="A617" s="1">
        <v>45440</v>
      </c>
      <c r="B617" s="2">
        <v>0.20833333333333334</v>
      </c>
      <c r="C617" s="3">
        <v>45440.208333333336</v>
      </c>
      <c r="D617">
        <v>57.3</v>
      </c>
      <c r="E617">
        <v>76.400000000000006</v>
      </c>
      <c r="F617">
        <v>48.6</v>
      </c>
      <c r="G617" t="s">
        <v>6</v>
      </c>
      <c r="H617">
        <v>15.2</v>
      </c>
      <c r="I617">
        <v>24.5</v>
      </c>
      <c r="J617">
        <v>11.3</v>
      </c>
      <c r="K617" t="s">
        <v>6</v>
      </c>
      <c r="L617">
        <v>193</v>
      </c>
      <c r="M617" t="s">
        <v>6</v>
      </c>
    </row>
    <row r="618" spans="1:13" x14ac:dyDescent="0.2">
      <c r="A618" s="1">
        <v>45440</v>
      </c>
      <c r="B618" s="2">
        <v>0.25</v>
      </c>
      <c r="C618" s="3">
        <v>45440.25</v>
      </c>
      <c r="D618">
        <v>49.4</v>
      </c>
      <c r="E618">
        <v>56.5</v>
      </c>
      <c r="F618">
        <v>44.5</v>
      </c>
      <c r="G618" t="s">
        <v>6</v>
      </c>
      <c r="H618">
        <v>13.4</v>
      </c>
      <c r="I618">
        <v>18.399999999999999</v>
      </c>
      <c r="J618">
        <v>11.3</v>
      </c>
      <c r="K618" t="s">
        <v>6</v>
      </c>
      <c r="L618">
        <v>224</v>
      </c>
      <c r="M618" t="s">
        <v>6</v>
      </c>
    </row>
    <row r="619" spans="1:13" x14ac:dyDescent="0.2">
      <c r="A619" s="1">
        <v>45440</v>
      </c>
      <c r="B619" s="2">
        <v>0.29166666666666669</v>
      </c>
      <c r="C619" s="3">
        <v>45440.291666666664</v>
      </c>
      <c r="D619">
        <v>46.2</v>
      </c>
      <c r="E619">
        <v>55.3</v>
      </c>
      <c r="F619">
        <v>42.8</v>
      </c>
      <c r="G619" t="s">
        <v>6</v>
      </c>
      <c r="H619">
        <v>13.8</v>
      </c>
      <c r="I619">
        <v>17.100000000000001</v>
      </c>
      <c r="J619">
        <v>11.1</v>
      </c>
      <c r="K619" t="s">
        <v>6</v>
      </c>
      <c r="L619">
        <v>81</v>
      </c>
      <c r="M619" t="s">
        <v>6</v>
      </c>
    </row>
    <row r="620" spans="1:13" x14ac:dyDescent="0.2">
      <c r="A620" s="13">
        <v>45440</v>
      </c>
      <c r="B620" s="9">
        <v>0.33333333333333331</v>
      </c>
      <c r="C620" s="8">
        <v>45440.333333333336</v>
      </c>
      <c r="D620" s="10">
        <v>60.6</v>
      </c>
      <c r="E620" s="10">
        <v>68.8</v>
      </c>
      <c r="F620" s="10">
        <v>53.6</v>
      </c>
      <c r="G620" s="10" t="s">
        <v>6</v>
      </c>
      <c r="H620" s="10">
        <v>16</v>
      </c>
      <c r="I620" s="10">
        <v>20.2</v>
      </c>
      <c r="J620" s="10">
        <v>12</v>
      </c>
      <c r="K620" s="10" t="s">
        <v>6</v>
      </c>
      <c r="L620" s="10">
        <v>48</v>
      </c>
      <c r="M620" t="s">
        <v>6</v>
      </c>
    </row>
    <row r="621" spans="1:13" x14ac:dyDescent="0.2">
      <c r="A621" s="14">
        <v>45440</v>
      </c>
      <c r="B621" s="12">
        <v>0.375</v>
      </c>
      <c r="C621" s="7">
        <v>45440.375</v>
      </c>
      <c r="D621" s="11">
        <v>67.3</v>
      </c>
      <c r="E621" s="11">
        <v>70.400000000000006</v>
      </c>
      <c r="F621" s="11">
        <v>61.8</v>
      </c>
      <c r="G621" s="11" t="s">
        <v>6</v>
      </c>
      <c r="H621" s="11">
        <v>15.7</v>
      </c>
      <c r="I621" s="11">
        <v>22.1</v>
      </c>
      <c r="J621" s="11">
        <v>13</v>
      </c>
      <c r="K621" s="11" t="s">
        <v>6</v>
      </c>
      <c r="L621" s="11">
        <v>43</v>
      </c>
      <c r="M621" t="s">
        <v>6</v>
      </c>
    </row>
    <row r="622" spans="1:13" x14ac:dyDescent="0.2">
      <c r="A622" s="1">
        <v>45440</v>
      </c>
      <c r="B622" s="2">
        <v>0.41666666666666669</v>
      </c>
      <c r="C622" s="3">
        <v>45440.416666666664</v>
      </c>
      <c r="D622">
        <v>65.3</v>
      </c>
      <c r="E622">
        <v>68.3</v>
      </c>
      <c r="F622">
        <v>64.400000000000006</v>
      </c>
      <c r="G622" t="s">
        <v>6</v>
      </c>
      <c r="H622">
        <v>15.7</v>
      </c>
      <c r="I622">
        <v>20</v>
      </c>
      <c r="J622">
        <v>12.5</v>
      </c>
      <c r="K622" t="s">
        <v>6</v>
      </c>
      <c r="L622">
        <v>42</v>
      </c>
      <c r="M622" t="s">
        <v>6</v>
      </c>
    </row>
    <row r="623" spans="1:13" x14ac:dyDescent="0.2">
      <c r="A623" s="1">
        <v>45440</v>
      </c>
      <c r="B623" s="2">
        <v>0.45833333333333331</v>
      </c>
      <c r="C623" s="3">
        <v>45440.458333333336</v>
      </c>
      <c r="D623">
        <v>66.3</v>
      </c>
      <c r="E623">
        <v>70.400000000000006</v>
      </c>
      <c r="F623">
        <v>62.7</v>
      </c>
      <c r="G623" t="s">
        <v>6</v>
      </c>
      <c r="H623">
        <v>13.8</v>
      </c>
      <c r="I623">
        <v>19.3</v>
      </c>
      <c r="J623">
        <v>11.4</v>
      </c>
      <c r="K623" t="s">
        <v>6</v>
      </c>
      <c r="L623">
        <v>129</v>
      </c>
      <c r="M623" t="s">
        <v>6</v>
      </c>
    </row>
    <row r="624" spans="1:13" x14ac:dyDescent="0.2">
      <c r="A624" s="1">
        <v>45440</v>
      </c>
      <c r="B624" s="2">
        <v>0.5</v>
      </c>
      <c r="C624" s="3">
        <v>45440.5</v>
      </c>
      <c r="D624">
        <v>62.8</v>
      </c>
      <c r="E624">
        <v>69.3</v>
      </c>
      <c r="F624">
        <v>56.2</v>
      </c>
      <c r="G624" t="s">
        <v>6</v>
      </c>
      <c r="H624">
        <v>13.4</v>
      </c>
      <c r="I624">
        <v>20.7</v>
      </c>
      <c r="J624">
        <v>11</v>
      </c>
      <c r="K624" t="s">
        <v>6</v>
      </c>
      <c r="L624">
        <v>160</v>
      </c>
      <c r="M624" t="s">
        <v>6</v>
      </c>
    </row>
    <row r="625" spans="1:13" x14ac:dyDescent="0.2">
      <c r="A625" s="1">
        <v>45440</v>
      </c>
      <c r="B625" s="2">
        <v>0.54166666666666663</v>
      </c>
      <c r="C625" s="3">
        <v>45440.541666666664</v>
      </c>
      <c r="D625">
        <v>58.5</v>
      </c>
      <c r="E625">
        <v>60.6</v>
      </c>
      <c r="F625">
        <v>55.1</v>
      </c>
      <c r="G625" t="s">
        <v>6</v>
      </c>
      <c r="H625">
        <v>14.8</v>
      </c>
      <c r="I625">
        <v>20.8</v>
      </c>
      <c r="J625">
        <v>11.2</v>
      </c>
      <c r="K625" t="s">
        <v>6</v>
      </c>
      <c r="L625">
        <v>99</v>
      </c>
      <c r="M625" t="s">
        <v>6</v>
      </c>
    </row>
    <row r="626" spans="1:13" x14ac:dyDescent="0.2">
      <c r="A626" s="1">
        <v>45440</v>
      </c>
      <c r="B626" s="2">
        <v>0.58333333333333337</v>
      </c>
      <c r="C626" s="3">
        <v>45440.583333333336</v>
      </c>
      <c r="D626">
        <v>70.599999999999994</v>
      </c>
      <c r="E626">
        <v>104.2</v>
      </c>
      <c r="F626">
        <v>55</v>
      </c>
      <c r="G626" t="s">
        <v>6</v>
      </c>
      <c r="H626">
        <v>13.5</v>
      </c>
      <c r="I626">
        <v>19.100000000000001</v>
      </c>
      <c r="J626">
        <v>11.3</v>
      </c>
      <c r="K626" t="s">
        <v>6</v>
      </c>
      <c r="L626">
        <v>85</v>
      </c>
      <c r="M626" t="s">
        <v>6</v>
      </c>
    </row>
    <row r="627" spans="1:13" x14ac:dyDescent="0.2">
      <c r="A627" s="1">
        <v>45440</v>
      </c>
      <c r="B627" s="2">
        <v>0.625</v>
      </c>
      <c r="C627" s="3">
        <v>45440.625</v>
      </c>
      <c r="D627">
        <v>62.8</v>
      </c>
      <c r="E627">
        <v>75.599999999999994</v>
      </c>
      <c r="F627">
        <v>60.2</v>
      </c>
      <c r="G627" t="s">
        <v>6</v>
      </c>
      <c r="H627">
        <v>14.6</v>
      </c>
      <c r="I627">
        <v>19.100000000000001</v>
      </c>
      <c r="J627">
        <v>9.6999999999999993</v>
      </c>
      <c r="K627" t="s">
        <v>6</v>
      </c>
      <c r="L627">
        <v>177</v>
      </c>
      <c r="M627" t="s">
        <v>6</v>
      </c>
    </row>
    <row r="628" spans="1:13" x14ac:dyDescent="0.2">
      <c r="A628" s="1">
        <v>45440</v>
      </c>
      <c r="B628" s="2">
        <v>0.66666666666666663</v>
      </c>
      <c r="C628" s="3">
        <v>45440.666666666664</v>
      </c>
      <c r="D628">
        <v>62.2</v>
      </c>
      <c r="E628">
        <v>68.099999999999994</v>
      </c>
      <c r="F628">
        <v>56.4</v>
      </c>
      <c r="G628" t="s">
        <v>6</v>
      </c>
      <c r="H628">
        <v>12.8</v>
      </c>
      <c r="I628">
        <v>15.9</v>
      </c>
      <c r="J628">
        <v>10.7</v>
      </c>
      <c r="K628" t="s">
        <v>6</v>
      </c>
      <c r="L628">
        <v>220</v>
      </c>
      <c r="M628" t="s">
        <v>6</v>
      </c>
    </row>
    <row r="629" spans="1:13" x14ac:dyDescent="0.2">
      <c r="A629" s="1">
        <v>45440</v>
      </c>
      <c r="B629" s="2">
        <v>0.70833333333333337</v>
      </c>
      <c r="C629" s="3">
        <v>45440.708333333336</v>
      </c>
      <c r="D629">
        <v>60.3</v>
      </c>
      <c r="E629">
        <v>65.099999999999994</v>
      </c>
      <c r="F629">
        <v>54.3</v>
      </c>
      <c r="G629" t="s">
        <v>6</v>
      </c>
      <c r="H629">
        <v>12.7</v>
      </c>
      <c r="I629">
        <v>19</v>
      </c>
      <c r="J629">
        <v>10</v>
      </c>
      <c r="K629" t="s">
        <v>6</v>
      </c>
      <c r="L629">
        <v>230</v>
      </c>
      <c r="M629" t="s">
        <v>6</v>
      </c>
    </row>
    <row r="630" spans="1:13" x14ac:dyDescent="0.2">
      <c r="A630" s="1">
        <v>45440</v>
      </c>
      <c r="B630" s="2">
        <v>0.75</v>
      </c>
      <c r="C630" s="3">
        <v>45440.75</v>
      </c>
      <c r="D630">
        <v>59.7</v>
      </c>
      <c r="E630">
        <v>68</v>
      </c>
      <c r="F630">
        <v>51.6</v>
      </c>
      <c r="G630" t="s">
        <v>6</v>
      </c>
      <c r="H630">
        <v>11.9</v>
      </c>
      <c r="I630">
        <v>19.3</v>
      </c>
      <c r="J630">
        <v>9.1</v>
      </c>
      <c r="K630" t="s">
        <v>6</v>
      </c>
      <c r="L630">
        <v>225</v>
      </c>
      <c r="M630" t="s">
        <v>6</v>
      </c>
    </row>
    <row r="631" spans="1:13" x14ac:dyDescent="0.2">
      <c r="A631" s="1">
        <v>45440</v>
      </c>
      <c r="B631" s="2">
        <v>0.79166666666666663</v>
      </c>
      <c r="C631" s="3">
        <v>45440.791666666664</v>
      </c>
      <c r="D631">
        <v>61.4</v>
      </c>
      <c r="E631">
        <v>64.400000000000006</v>
      </c>
      <c r="F631">
        <v>57.7</v>
      </c>
      <c r="G631" t="s">
        <v>6</v>
      </c>
      <c r="H631">
        <v>11.6</v>
      </c>
      <c r="I631">
        <v>21.2</v>
      </c>
      <c r="J631">
        <v>8.9</v>
      </c>
      <c r="K631" t="s">
        <v>6</v>
      </c>
      <c r="L631">
        <v>219</v>
      </c>
      <c r="M631" t="s">
        <v>6</v>
      </c>
    </row>
    <row r="632" spans="1:13" x14ac:dyDescent="0.2">
      <c r="A632" s="1">
        <v>45440</v>
      </c>
      <c r="B632" s="2">
        <v>0.83333333333333337</v>
      </c>
      <c r="C632" s="3">
        <v>45440.833333333336</v>
      </c>
      <c r="D632">
        <v>56.4</v>
      </c>
      <c r="E632">
        <v>67.400000000000006</v>
      </c>
      <c r="F632">
        <v>51.4</v>
      </c>
      <c r="G632" t="s">
        <v>6</v>
      </c>
      <c r="H632">
        <v>13.9</v>
      </c>
      <c r="I632">
        <v>17.600000000000001</v>
      </c>
      <c r="J632">
        <v>10</v>
      </c>
      <c r="K632" t="s">
        <v>6</v>
      </c>
      <c r="L632">
        <v>145</v>
      </c>
      <c r="M632" t="s">
        <v>6</v>
      </c>
    </row>
    <row r="633" spans="1:13" x14ac:dyDescent="0.2">
      <c r="A633" s="1">
        <v>45440</v>
      </c>
      <c r="B633" s="2">
        <v>0.875</v>
      </c>
      <c r="C633" s="3">
        <v>45440.875</v>
      </c>
      <c r="D633">
        <v>65.099999999999994</v>
      </c>
      <c r="E633">
        <v>67.099999999999994</v>
      </c>
      <c r="F633">
        <v>62.5</v>
      </c>
      <c r="G633" t="s">
        <v>6</v>
      </c>
      <c r="H633">
        <v>11.7</v>
      </c>
      <c r="I633">
        <v>14.6</v>
      </c>
      <c r="J633">
        <v>9.4</v>
      </c>
      <c r="K633" t="s">
        <v>6</v>
      </c>
      <c r="L633">
        <v>32</v>
      </c>
      <c r="M633" t="s">
        <v>6</v>
      </c>
    </row>
    <row r="634" spans="1:13" x14ac:dyDescent="0.2">
      <c r="A634" s="1">
        <v>45440</v>
      </c>
      <c r="B634" s="2">
        <v>0.91666666666666663</v>
      </c>
      <c r="C634" s="3">
        <v>45440.916666666664</v>
      </c>
      <c r="D634">
        <v>56.9</v>
      </c>
      <c r="E634">
        <v>57.5</v>
      </c>
      <c r="F634">
        <v>55.6</v>
      </c>
      <c r="G634" t="s">
        <v>6</v>
      </c>
      <c r="H634">
        <v>12.8</v>
      </c>
      <c r="I634">
        <v>16.3</v>
      </c>
      <c r="J634">
        <v>10.6</v>
      </c>
      <c r="K634" t="s">
        <v>6</v>
      </c>
      <c r="L634">
        <v>19</v>
      </c>
      <c r="M634" t="s">
        <v>6</v>
      </c>
    </row>
    <row r="635" spans="1:13" x14ac:dyDescent="0.2">
      <c r="A635" s="1">
        <v>45440</v>
      </c>
      <c r="B635" s="2">
        <v>0.95833333333333337</v>
      </c>
      <c r="C635" s="3">
        <v>45440.958333333336</v>
      </c>
      <c r="D635">
        <v>47.2</v>
      </c>
      <c r="E635">
        <v>48.6</v>
      </c>
      <c r="F635">
        <v>45.3</v>
      </c>
      <c r="G635" t="s">
        <v>6</v>
      </c>
      <c r="H635">
        <v>13.9</v>
      </c>
      <c r="I635">
        <v>21.2</v>
      </c>
      <c r="J635">
        <v>9.5</v>
      </c>
      <c r="K635" t="s">
        <v>6</v>
      </c>
      <c r="L635">
        <v>163</v>
      </c>
      <c r="M635" t="s">
        <v>6</v>
      </c>
    </row>
    <row r="636" spans="1:13" x14ac:dyDescent="0.2">
      <c r="A636" s="1">
        <v>45441</v>
      </c>
      <c r="B636" s="2">
        <v>0</v>
      </c>
      <c r="C636" s="3">
        <v>45441</v>
      </c>
      <c r="D636">
        <v>47.9</v>
      </c>
      <c r="E636">
        <v>61.7</v>
      </c>
      <c r="F636">
        <v>42.8</v>
      </c>
      <c r="G636" t="s">
        <v>6</v>
      </c>
      <c r="H636">
        <v>13.6</v>
      </c>
      <c r="I636">
        <v>19.600000000000001</v>
      </c>
      <c r="J636">
        <v>10.8</v>
      </c>
      <c r="K636" t="s">
        <v>6</v>
      </c>
      <c r="L636">
        <v>125</v>
      </c>
      <c r="M636" t="s">
        <v>6</v>
      </c>
    </row>
    <row r="637" spans="1:13" x14ac:dyDescent="0.2">
      <c r="A637" s="1">
        <v>45441</v>
      </c>
      <c r="B637" s="2">
        <v>4.1666666666666664E-2</v>
      </c>
      <c r="C637" s="3">
        <v>45441.041666666664</v>
      </c>
      <c r="D637">
        <v>59.6</v>
      </c>
      <c r="E637">
        <v>64.599999999999994</v>
      </c>
      <c r="F637">
        <v>55.9</v>
      </c>
      <c r="G637" t="s">
        <v>6</v>
      </c>
      <c r="H637">
        <v>15.8</v>
      </c>
      <c r="I637">
        <v>21.1</v>
      </c>
      <c r="J637">
        <v>11.4</v>
      </c>
      <c r="K637" t="s">
        <v>6</v>
      </c>
      <c r="L637">
        <v>38</v>
      </c>
      <c r="M637" t="s">
        <v>6</v>
      </c>
    </row>
    <row r="638" spans="1:13" x14ac:dyDescent="0.2">
      <c r="A638" s="1">
        <v>45441</v>
      </c>
      <c r="B638" s="2">
        <v>8.3333333333333329E-2</v>
      </c>
      <c r="C638" s="3">
        <v>45441.083333333336</v>
      </c>
      <c r="D638">
        <v>60.5</v>
      </c>
      <c r="E638">
        <v>64.900000000000006</v>
      </c>
      <c r="F638">
        <v>57.1</v>
      </c>
      <c r="G638" t="s">
        <v>6</v>
      </c>
      <c r="H638">
        <v>14.3</v>
      </c>
      <c r="I638">
        <v>19.399999999999999</v>
      </c>
      <c r="J638">
        <v>11.5</v>
      </c>
      <c r="K638" t="s">
        <v>6</v>
      </c>
      <c r="L638">
        <v>51</v>
      </c>
      <c r="M638" t="s">
        <v>6</v>
      </c>
    </row>
    <row r="639" spans="1:13" x14ac:dyDescent="0.2">
      <c r="A639" s="1">
        <v>45441</v>
      </c>
      <c r="B639" s="2">
        <v>0.125</v>
      </c>
      <c r="C639" s="3">
        <v>45441.125</v>
      </c>
      <c r="D639">
        <v>62.2</v>
      </c>
      <c r="E639">
        <v>66.5</v>
      </c>
      <c r="F639">
        <v>56</v>
      </c>
      <c r="G639" t="s">
        <v>6</v>
      </c>
      <c r="H639">
        <v>17.8</v>
      </c>
      <c r="I639">
        <v>21.6</v>
      </c>
      <c r="J639">
        <v>14.5</v>
      </c>
      <c r="K639" t="s">
        <v>6</v>
      </c>
      <c r="L639">
        <v>76</v>
      </c>
      <c r="M639" t="s">
        <v>6</v>
      </c>
    </row>
    <row r="640" spans="1:13" x14ac:dyDescent="0.2">
      <c r="A640" s="1">
        <v>45441</v>
      </c>
      <c r="B640" s="2">
        <v>0.16666666666666666</v>
      </c>
      <c r="C640" s="3">
        <v>45441.166666666664</v>
      </c>
      <c r="D640">
        <v>65.5</v>
      </c>
      <c r="E640">
        <v>71.599999999999994</v>
      </c>
      <c r="F640">
        <v>58.3</v>
      </c>
      <c r="G640" t="s">
        <v>6</v>
      </c>
      <c r="H640">
        <v>15.4</v>
      </c>
      <c r="I640">
        <v>20.3</v>
      </c>
      <c r="J640">
        <v>10.6</v>
      </c>
      <c r="K640" t="s">
        <v>6</v>
      </c>
      <c r="L640">
        <v>56</v>
      </c>
      <c r="M640" t="s">
        <v>6</v>
      </c>
    </row>
    <row r="641" spans="1:13" x14ac:dyDescent="0.2">
      <c r="A641" s="1">
        <v>45441</v>
      </c>
      <c r="B641" s="2">
        <v>0.20833333333333334</v>
      </c>
      <c r="C641" s="3">
        <v>45441.208333333336</v>
      </c>
      <c r="D641">
        <v>64.099999999999994</v>
      </c>
      <c r="E641">
        <v>68.900000000000006</v>
      </c>
      <c r="F641">
        <v>58.4</v>
      </c>
      <c r="G641" t="s">
        <v>6</v>
      </c>
      <c r="H641">
        <v>13.6</v>
      </c>
      <c r="I641">
        <v>22.1</v>
      </c>
      <c r="J641">
        <v>10.8</v>
      </c>
      <c r="K641" t="s">
        <v>6</v>
      </c>
      <c r="L641">
        <v>129</v>
      </c>
      <c r="M641" t="s">
        <v>6</v>
      </c>
    </row>
    <row r="642" spans="1:13" x14ac:dyDescent="0.2">
      <c r="A642" s="1">
        <v>45441</v>
      </c>
      <c r="B642" s="2">
        <v>0.25</v>
      </c>
      <c r="C642" s="3">
        <v>45441.25</v>
      </c>
      <c r="D642">
        <v>62.7</v>
      </c>
      <c r="E642">
        <v>67.5</v>
      </c>
      <c r="F642">
        <v>56.9</v>
      </c>
      <c r="G642" t="s">
        <v>6</v>
      </c>
      <c r="H642">
        <v>12.5</v>
      </c>
      <c r="I642">
        <v>21.4</v>
      </c>
      <c r="J642">
        <v>9.8000000000000007</v>
      </c>
      <c r="K642" t="s">
        <v>6</v>
      </c>
      <c r="L642">
        <v>211</v>
      </c>
      <c r="M642" t="s">
        <v>6</v>
      </c>
    </row>
    <row r="643" spans="1:13" x14ac:dyDescent="0.2">
      <c r="A643" s="1">
        <v>45441</v>
      </c>
      <c r="B643" s="2">
        <v>0.29166666666666669</v>
      </c>
      <c r="C643" s="3">
        <v>45441.291666666664</v>
      </c>
      <c r="D643">
        <v>67</v>
      </c>
      <c r="E643">
        <v>68.400000000000006</v>
      </c>
      <c r="F643">
        <v>64.900000000000006</v>
      </c>
      <c r="G643" t="s">
        <v>6</v>
      </c>
      <c r="H643">
        <v>12</v>
      </c>
      <c r="I643">
        <v>15.9</v>
      </c>
      <c r="J643">
        <v>10</v>
      </c>
      <c r="K643" t="s">
        <v>6</v>
      </c>
      <c r="L643">
        <v>50</v>
      </c>
      <c r="M643" t="s">
        <v>6</v>
      </c>
    </row>
    <row r="644" spans="1:13" x14ac:dyDescent="0.2">
      <c r="A644" s="13">
        <v>45441</v>
      </c>
      <c r="B644" s="9">
        <v>0.33333333333333331</v>
      </c>
      <c r="C644" s="8">
        <v>45441.333333333336</v>
      </c>
      <c r="D644" s="10">
        <v>52.5</v>
      </c>
      <c r="E644" s="10">
        <v>57.7</v>
      </c>
      <c r="F644" s="10">
        <v>48.8</v>
      </c>
      <c r="G644" s="10" t="s">
        <v>6</v>
      </c>
      <c r="H644" s="10">
        <v>13.6</v>
      </c>
      <c r="I644" s="10">
        <v>19.899999999999999</v>
      </c>
      <c r="J644" s="10">
        <v>9.6999999999999993</v>
      </c>
      <c r="K644" s="10" t="s">
        <v>6</v>
      </c>
      <c r="L644" s="10">
        <v>137</v>
      </c>
      <c r="M644" t="s">
        <v>6</v>
      </c>
    </row>
    <row r="645" spans="1:13" x14ac:dyDescent="0.2">
      <c r="A645" s="14">
        <v>45441</v>
      </c>
      <c r="B645" s="12">
        <v>0.375</v>
      </c>
      <c r="C645" s="7">
        <v>45441.375</v>
      </c>
      <c r="D645" s="11">
        <v>49.2</v>
      </c>
      <c r="E645" s="11">
        <v>54.2</v>
      </c>
      <c r="F645" s="11">
        <v>46.5</v>
      </c>
      <c r="G645" s="11" t="s">
        <v>6</v>
      </c>
      <c r="H645" s="11">
        <v>16.600000000000001</v>
      </c>
      <c r="I645" s="11">
        <v>23.2</v>
      </c>
      <c r="J645" s="11">
        <v>12.3</v>
      </c>
      <c r="K645" s="11" t="s">
        <v>6</v>
      </c>
      <c r="L645" s="11">
        <v>79</v>
      </c>
      <c r="M645" t="s">
        <v>6</v>
      </c>
    </row>
    <row r="646" spans="1:13" x14ac:dyDescent="0.2">
      <c r="A646" s="1">
        <v>45441</v>
      </c>
      <c r="B646" s="2">
        <v>0.41666666666666669</v>
      </c>
      <c r="C646" s="3">
        <v>45441.416666666664</v>
      </c>
      <c r="D646">
        <v>46.4</v>
      </c>
      <c r="E646">
        <v>48.1</v>
      </c>
      <c r="F646">
        <v>45.1</v>
      </c>
      <c r="G646" t="s">
        <v>6</v>
      </c>
      <c r="H646">
        <v>17</v>
      </c>
      <c r="I646">
        <v>21.2</v>
      </c>
      <c r="J646">
        <v>12.8</v>
      </c>
      <c r="K646" t="s">
        <v>6</v>
      </c>
      <c r="L646">
        <v>40</v>
      </c>
      <c r="M646" t="s">
        <v>6</v>
      </c>
    </row>
    <row r="647" spans="1:13" x14ac:dyDescent="0.2">
      <c r="A647" s="1">
        <v>45441</v>
      </c>
      <c r="B647" s="2">
        <v>0.45833333333333331</v>
      </c>
      <c r="C647" s="3">
        <v>45441.458333333336</v>
      </c>
      <c r="D647">
        <v>47.5</v>
      </c>
      <c r="E647">
        <v>48</v>
      </c>
      <c r="F647">
        <v>46.4</v>
      </c>
      <c r="G647" t="s">
        <v>6</v>
      </c>
      <c r="H647">
        <v>16.2</v>
      </c>
      <c r="I647">
        <v>18.8</v>
      </c>
      <c r="J647">
        <v>14.8</v>
      </c>
      <c r="K647" t="s">
        <v>6</v>
      </c>
      <c r="L647">
        <v>6</v>
      </c>
      <c r="M647" t="s">
        <v>6</v>
      </c>
    </row>
    <row r="648" spans="1:13" x14ac:dyDescent="0.2">
      <c r="A648" s="1">
        <v>45441</v>
      </c>
      <c r="B648" s="2">
        <v>0.5</v>
      </c>
      <c r="C648" s="3">
        <v>45441.5</v>
      </c>
      <c r="D648">
        <v>59.7</v>
      </c>
      <c r="E648">
        <v>62.3</v>
      </c>
      <c r="F648">
        <v>54.7</v>
      </c>
      <c r="G648" t="s">
        <v>6</v>
      </c>
      <c r="H648">
        <v>17.5</v>
      </c>
      <c r="I648">
        <v>26.4</v>
      </c>
      <c r="J648">
        <v>13.6</v>
      </c>
      <c r="K648" t="s">
        <v>6</v>
      </c>
      <c r="L648">
        <v>30</v>
      </c>
      <c r="M648" t="s">
        <v>6</v>
      </c>
    </row>
    <row r="649" spans="1:13" x14ac:dyDescent="0.2">
      <c r="A649" s="1">
        <v>45441</v>
      </c>
      <c r="B649" s="2">
        <v>0.54166666666666663</v>
      </c>
      <c r="C649" s="3">
        <v>45441.541666666664</v>
      </c>
      <c r="D649">
        <v>69.7</v>
      </c>
      <c r="E649">
        <v>86.5</v>
      </c>
      <c r="F649">
        <v>59.1</v>
      </c>
      <c r="G649" t="s">
        <v>6</v>
      </c>
      <c r="H649">
        <v>14.9</v>
      </c>
      <c r="I649">
        <v>18.2</v>
      </c>
      <c r="J649">
        <v>11.7</v>
      </c>
      <c r="K649" t="s">
        <v>6</v>
      </c>
      <c r="L649">
        <v>30</v>
      </c>
      <c r="M649" t="s">
        <v>6</v>
      </c>
    </row>
    <row r="650" spans="1:13" x14ac:dyDescent="0.2">
      <c r="A650" s="1">
        <v>45441</v>
      </c>
      <c r="B650" s="2">
        <v>0.66666666666666663</v>
      </c>
      <c r="C650" s="3">
        <v>45441.666666666664</v>
      </c>
      <c r="D650">
        <v>59.7</v>
      </c>
      <c r="E650">
        <v>62.6</v>
      </c>
      <c r="F650">
        <v>57.6</v>
      </c>
      <c r="G650" t="s">
        <v>6</v>
      </c>
      <c r="H650">
        <v>13.6</v>
      </c>
      <c r="I650">
        <v>17.600000000000001</v>
      </c>
      <c r="J650">
        <v>11.3</v>
      </c>
      <c r="K650" t="s">
        <v>6</v>
      </c>
      <c r="L650">
        <v>134</v>
      </c>
      <c r="M650" t="s">
        <v>6</v>
      </c>
    </row>
    <row r="651" spans="1:13" x14ac:dyDescent="0.2">
      <c r="A651" s="1">
        <v>45441</v>
      </c>
      <c r="B651" s="2">
        <v>0.70833333333333337</v>
      </c>
      <c r="C651" s="3">
        <v>45441.708333333336</v>
      </c>
      <c r="D651">
        <v>52.4</v>
      </c>
      <c r="E651">
        <v>57.6</v>
      </c>
      <c r="F651">
        <v>46.5</v>
      </c>
      <c r="G651" t="s">
        <v>6</v>
      </c>
      <c r="H651">
        <v>13.9</v>
      </c>
      <c r="I651">
        <v>25.6</v>
      </c>
      <c r="J651">
        <v>9.5</v>
      </c>
      <c r="K651" t="s">
        <v>6</v>
      </c>
      <c r="L651">
        <v>223</v>
      </c>
      <c r="M651" t="s">
        <v>6</v>
      </c>
    </row>
    <row r="652" spans="1:13" x14ac:dyDescent="0.2">
      <c r="A652" s="1">
        <v>45441</v>
      </c>
      <c r="B652" s="2">
        <v>0.75</v>
      </c>
      <c r="C652" s="3">
        <v>45441.75</v>
      </c>
      <c r="D652">
        <v>50.6</v>
      </c>
      <c r="E652">
        <v>69.099999999999994</v>
      </c>
      <c r="F652">
        <v>44.3</v>
      </c>
      <c r="G652" t="s">
        <v>6</v>
      </c>
      <c r="H652">
        <v>14.6</v>
      </c>
      <c r="I652">
        <v>21.2</v>
      </c>
      <c r="J652">
        <v>10.9</v>
      </c>
      <c r="K652" t="s">
        <v>6</v>
      </c>
      <c r="L652">
        <v>137</v>
      </c>
      <c r="M652" t="s">
        <v>6</v>
      </c>
    </row>
    <row r="653" spans="1:13" x14ac:dyDescent="0.2">
      <c r="A653" s="1">
        <v>45441</v>
      </c>
      <c r="B653" s="2">
        <v>0.79166666666666663</v>
      </c>
      <c r="C653" s="3">
        <v>45441.791666666664</v>
      </c>
      <c r="D653">
        <v>57.8</v>
      </c>
      <c r="E653">
        <v>60.7</v>
      </c>
      <c r="F653">
        <v>52.9</v>
      </c>
      <c r="G653" t="s">
        <v>6</v>
      </c>
      <c r="H653">
        <v>14.6</v>
      </c>
      <c r="I653">
        <v>22.1</v>
      </c>
      <c r="J653">
        <v>10.9</v>
      </c>
      <c r="K653" t="s">
        <v>6</v>
      </c>
      <c r="L653">
        <v>133</v>
      </c>
      <c r="M653" t="s">
        <v>6</v>
      </c>
    </row>
    <row r="654" spans="1:13" x14ac:dyDescent="0.2">
      <c r="A654" s="1">
        <v>45441</v>
      </c>
      <c r="B654" s="2">
        <v>0.83333333333333337</v>
      </c>
      <c r="C654" s="3">
        <v>45441.833333333336</v>
      </c>
      <c r="D654">
        <v>49.3</v>
      </c>
      <c r="E654">
        <v>58.5</v>
      </c>
      <c r="F654">
        <v>43.8</v>
      </c>
      <c r="G654" t="s">
        <v>6</v>
      </c>
      <c r="H654">
        <v>15.5</v>
      </c>
      <c r="I654">
        <v>22.8</v>
      </c>
      <c r="J654">
        <v>11.4</v>
      </c>
      <c r="K654" t="s">
        <v>6</v>
      </c>
      <c r="L654">
        <v>178</v>
      </c>
      <c r="M654" t="s">
        <v>6</v>
      </c>
    </row>
    <row r="655" spans="1:13" x14ac:dyDescent="0.2">
      <c r="A655" s="1">
        <v>45441</v>
      </c>
      <c r="B655" s="2">
        <v>0.875</v>
      </c>
      <c r="C655" s="3">
        <v>45441.875</v>
      </c>
      <c r="D655">
        <v>54.4</v>
      </c>
      <c r="E655">
        <v>57.7</v>
      </c>
      <c r="F655">
        <v>51.6</v>
      </c>
      <c r="G655" t="s">
        <v>6</v>
      </c>
      <c r="H655">
        <v>16.8</v>
      </c>
      <c r="I655">
        <v>23.6</v>
      </c>
      <c r="J655">
        <v>12.2</v>
      </c>
      <c r="K655" t="s">
        <v>6</v>
      </c>
      <c r="L655">
        <v>116</v>
      </c>
      <c r="M655" t="s">
        <v>6</v>
      </c>
    </row>
    <row r="656" spans="1:13" x14ac:dyDescent="0.2">
      <c r="A656" s="1">
        <v>45441</v>
      </c>
      <c r="B656" s="2">
        <v>0.91666666666666663</v>
      </c>
      <c r="C656" s="3">
        <v>45441.916666666664</v>
      </c>
      <c r="D656">
        <v>54</v>
      </c>
      <c r="E656">
        <v>56.7</v>
      </c>
      <c r="F656">
        <v>51.9</v>
      </c>
      <c r="G656" t="s">
        <v>6</v>
      </c>
      <c r="H656">
        <v>18.600000000000001</v>
      </c>
      <c r="I656">
        <v>25.2</v>
      </c>
      <c r="J656">
        <v>13.3</v>
      </c>
      <c r="K656" t="s">
        <v>6</v>
      </c>
      <c r="L656">
        <v>141</v>
      </c>
      <c r="M656" t="s">
        <v>6</v>
      </c>
    </row>
    <row r="657" spans="1:13" x14ac:dyDescent="0.2">
      <c r="A657" s="1">
        <v>45441</v>
      </c>
      <c r="B657" s="2">
        <v>0.95833333333333337</v>
      </c>
      <c r="C657" s="3">
        <v>45441.958333333336</v>
      </c>
      <c r="D657">
        <v>54</v>
      </c>
      <c r="E657">
        <v>57.4</v>
      </c>
      <c r="F657">
        <v>51.4</v>
      </c>
      <c r="G657" t="s">
        <v>6</v>
      </c>
      <c r="H657">
        <v>16.600000000000001</v>
      </c>
      <c r="I657">
        <v>24.1</v>
      </c>
      <c r="J657">
        <v>12.7</v>
      </c>
      <c r="K657" t="s">
        <v>6</v>
      </c>
      <c r="L657">
        <v>186</v>
      </c>
      <c r="M657" t="s">
        <v>6</v>
      </c>
    </row>
    <row r="658" spans="1:13" x14ac:dyDescent="0.2">
      <c r="A658" s="1">
        <v>45442</v>
      </c>
      <c r="B658" s="2">
        <v>0</v>
      </c>
      <c r="C658" s="3">
        <v>45442</v>
      </c>
      <c r="D658">
        <v>50.4</v>
      </c>
      <c r="E658">
        <v>53.8</v>
      </c>
      <c r="F658">
        <v>47.4</v>
      </c>
      <c r="G658" t="s">
        <v>6</v>
      </c>
      <c r="H658">
        <v>14.3</v>
      </c>
      <c r="I658">
        <v>22</v>
      </c>
      <c r="J658">
        <v>10.3</v>
      </c>
      <c r="K658" t="s">
        <v>6</v>
      </c>
      <c r="L658">
        <v>211</v>
      </c>
      <c r="M658" t="s">
        <v>6</v>
      </c>
    </row>
    <row r="659" spans="1:13" x14ac:dyDescent="0.2">
      <c r="A659" s="1">
        <v>45442</v>
      </c>
      <c r="B659" s="2">
        <v>4.1666666666666664E-2</v>
      </c>
      <c r="C659" s="3">
        <v>45442.041666666664</v>
      </c>
      <c r="D659">
        <v>52.2</v>
      </c>
      <c r="E659">
        <v>54.8</v>
      </c>
      <c r="F659">
        <v>48.3</v>
      </c>
      <c r="G659" t="s">
        <v>6</v>
      </c>
      <c r="H659">
        <v>19</v>
      </c>
      <c r="I659">
        <v>29.7</v>
      </c>
      <c r="J659">
        <v>12.7</v>
      </c>
      <c r="K659" t="s">
        <v>6</v>
      </c>
      <c r="L659">
        <v>174</v>
      </c>
      <c r="M659" t="s">
        <v>6</v>
      </c>
    </row>
    <row r="660" spans="1:13" x14ac:dyDescent="0.2">
      <c r="A660" s="1">
        <v>45442</v>
      </c>
      <c r="B660" s="2">
        <v>8.3333333333333329E-2</v>
      </c>
      <c r="C660" s="3">
        <v>45442.083333333336</v>
      </c>
      <c r="D660">
        <v>52.9</v>
      </c>
      <c r="E660">
        <v>53.9</v>
      </c>
      <c r="F660">
        <v>52.1</v>
      </c>
      <c r="G660" t="s">
        <v>6</v>
      </c>
      <c r="H660">
        <v>17.5</v>
      </c>
      <c r="I660">
        <v>19.100000000000001</v>
      </c>
      <c r="J660">
        <v>15.3</v>
      </c>
      <c r="K660" t="s">
        <v>6</v>
      </c>
      <c r="L660">
        <v>17</v>
      </c>
      <c r="M660" t="s">
        <v>6</v>
      </c>
    </row>
    <row r="661" spans="1:13" x14ac:dyDescent="0.2">
      <c r="A661" s="1">
        <v>45442</v>
      </c>
      <c r="B661" s="2">
        <v>0.125</v>
      </c>
      <c r="C661" s="3">
        <v>45442.125</v>
      </c>
      <c r="D661">
        <v>50.1</v>
      </c>
      <c r="E661">
        <v>52.4</v>
      </c>
      <c r="F661">
        <v>48.4</v>
      </c>
      <c r="G661" t="s">
        <v>6</v>
      </c>
      <c r="H661">
        <v>16.3</v>
      </c>
      <c r="I661">
        <v>19.8</v>
      </c>
      <c r="J661">
        <v>12.2</v>
      </c>
      <c r="K661" t="s">
        <v>6</v>
      </c>
      <c r="L661">
        <v>83</v>
      </c>
      <c r="M661" t="s">
        <v>6</v>
      </c>
    </row>
    <row r="662" spans="1:13" x14ac:dyDescent="0.2">
      <c r="A662" s="1">
        <v>45442</v>
      </c>
      <c r="B662" s="2">
        <v>0.16666666666666666</v>
      </c>
      <c r="C662" s="3">
        <v>45442.166666666664</v>
      </c>
      <c r="D662">
        <v>47.9</v>
      </c>
      <c r="E662">
        <v>48.9</v>
      </c>
      <c r="F662">
        <v>46.9</v>
      </c>
      <c r="G662" t="s">
        <v>6</v>
      </c>
      <c r="H662">
        <v>17.8</v>
      </c>
      <c r="I662">
        <v>23.3</v>
      </c>
      <c r="J662">
        <v>14.2</v>
      </c>
      <c r="K662" t="s">
        <v>6</v>
      </c>
      <c r="L662">
        <v>76</v>
      </c>
      <c r="M662" t="s">
        <v>6</v>
      </c>
    </row>
    <row r="663" spans="1:13" x14ac:dyDescent="0.2">
      <c r="A663" s="1">
        <v>45442</v>
      </c>
      <c r="B663" s="2">
        <v>0.20833333333333334</v>
      </c>
      <c r="C663" s="3">
        <v>45442.208333333336</v>
      </c>
      <c r="D663">
        <v>47.3</v>
      </c>
      <c r="E663">
        <v>48.4</v>
      </c>
      <c r="F663">
        <v>46.4</v>
      </c>
      <c r="G663" t="s">
        <v>6</v>
      </c>
      <c r="H663">
        <v>17.2</v>
      </c>
      <c r="I663">
        <v>22</v>
      </c>
      <c r="J663">
        <v>13.7</v>
      </c>
      <c r="K663" t="s">
        <v>6</v>
      </c>
      <c r="L663">
        <v>102</v>
      </c>
      <c r="M663" t="s">
        <v>6</v>
      </c>
    </row>
    <row r="664" spans="1:13" x14ac:dyDescent="0.2">
      <c r="A664" s="1">
        <v>45442</v>
      </c>
      <c r="B664" s="2">
        <v>0.25</v>
      </c>
      <c r="C664" s="3">
        <v>45442.25</v>
      </c>
      <c r="D664">
        <v>47.2</v>
      </c>
      <c r="E664">
        <v>48.3</v>
      </c>
      <c r="F664">
        <v>46.4</v>
      </c>
      <c r="G664" t="s">
        <v>6</v>
      </c>
      <c r="H664">
        <v>16.100000000000001</v>
      </c>
      <c r="I664">
        <v>20.399999999999999</v>
      </c>
      <c r="J664">
        <v>12.4</v>
      </c>
      <c r="K664" t="s">
        <v>6</v>
      </c>
      <c r="L664">
        <v>82</v>
      </c>
      <c r="M664" t="s">
        <v>6</v>
      </c>
    </row>
    <row r="665" spans="1:13" x14ac:dyDescent="0.2">
      <c r="A665" s="1">
        <v>45442</v>
      </c>
      <c r="B665" s="2">
        <v>0.29166666666666669</v>
      </c>
      <c r="C665" s="3">
        <v>45442.291666666664</v>
      </c>
      <c r="D665">
        <v>45.9</v>
      </c>
      <c r="E665">
        <v>47.4</v>
      </c>
      <c r="F665">
        <v>45.1</v>
      </c>
      <c r="G665" t="s">
        <v>6</v>
      </c>
      <c r="H665">
        <v>15.9</v>
      </c>
      <c r="I665">
        <v>23.1</v>
      </c>
      <c r="J665">
        <v>12.1</v>
      </c>
      <c r="K665" t="s">
        <v>6</v>
      </c>
      <c r="L665">
        <v>80</v>
      </c>
      <c r="M665" t="s">
        <v>6</v>
      </c>
    </row>
    <row r="666" spans="1:13" x14ac:dyDescent="0.2">
      <c r="A666" s="13">
        <v>45442</v>
      </c>
      <c r="B666" s="9">
        <v>0.33333333333333331</v>
      </c>
      <c r="C666" s="8">
        <v>45442.333333333336</v>
      </c>
      <c r="D666" s="10">
        <v>48.5</v>
      </c>
      <c r="E666" s="10">
        <v>50</v>
      </c>
      <c r="F666" s="10">
        <v>45</v>
      </c>
      <c r="G666" s="10" t="s">
        <v>6</v>
      </c>
      <c r="H666" s="10">
        <v>16.7</v>
      </c>
      <c r="I666" s="10">
        <v>23.6</v>
      </c>
      <c r="J666" s="10">
        <v>13.1</v>
      </c>
      <c r="K666" s="10" t="s">
        <v>6</v>
      </c>
      <c r="L666" s="10">
        <v>67</v>
      </c>
      <c r="M666" t="s">
        <v>6</v>
      </c>
    </row>
    <row r="667" spans="1:13" x14ac:dyDescent="0.2">
      <c r="A667" s="14">
        <v>45442</v>
      </c>
      <c r="B667" s="12">
        <v>0.375</v>
      </c>
      <c r="C667" s="7">
        <v>45442.375</v>
      </c>
      <c r="D667" s="11">
        <v>47.6</v>
      </c>
      <c r="E667" s="11">
        <v>48.7</v>
      </c>
      <c r="F667" s="11">
        <v>45.8</v>
      </c>
      <c r="G667" s="11" t="s">
        <v>6</v>
      </c>
      <c r="H667" s="11">
        <v>14.7</v>
      </c>
      <c r="I667" s="11">
        <v>19.7</v>
      </c>
      <c r="J667" s="11">
        <v>12.2</v>
      </c>
      <c r="K667" s="11" t="s">
        <v>6</v>
      </c>
      <c r="L667" s="11">
        <v>51</v>
      </c>
      <c r="M667" t="s">
        <v>6</v>
      </c>
    </row>
    <row r="668" spans="1:13" x14ac:dyDescent="0.2">
      <c r="A668" s="1">
        <v>45442</v>
      </c>
      <c r="B668" s="2">
        <v>0.41666666666666669</v>
      </c>
      <c r="C668" s="3">
        <v>45442.416666666664</v>
      </c>
      <c r="D668">
        <v>46.6</v>
      </c>
      <c r="E668">
        <v>47.4</v>
      </c>
      <c r="F668">
        <v>45.2</v>
      </c>
      <c r="G668" t="s">
        <v>6</v>
      </c>
      <c r="H668">
        <v>17.2</v>
      </c>
      <c r="I668">
        <v>23.4</v>
      </c>
      <c r="J668">
        <v>13.4</v>
      </c>
      <c r="K668" t="s">
        <v>6</v>
      </c>
      <c r="L668">
        <v>40</v>
      </c>
      <c r="M668" t="s">
        <v>6</v>
      </c>
    </row>
    <row r="669" spans="1:13" x14ac:dyDescent="0.2">
      <c r="A669" s="1">
        <v>45442</v>
      </c>
      <c r="B669" s="2">
        <v>0.45833333333333331</v>
      </c>
      <c r="C669" s="3">
        <v>45442.458333333336</v>
      </c>
      <c r="D669">
        <v>45.8</v>
      </c>
      <c r="E669">
        <v>46.3</v>
      </c>
      <c r="F669">
        <v>44.7</v>
      </c>
      <c r="G669" t="s">
        <v>6</v>
      </c>
      <c r="H669">
        <v>14.7</v>
      </c>
      <c r="I669">
        <v>16.7</v>
      </c>
      <c r="J669">
        <v>13.4</v>
      </c>
      <c r="K669" t="s">
        <v>6</v>
      </c>
      <c r="L669">
        <v>25</v>
      </c>
      <c r="M669" t="s">
        <v>6</v>
      </c>
    </row>
    <row r="670" spans="1:13" x14ac:dyDescent="0.2">
      <c r="A670" s="1">
        <v>45442</v>
      </c>
      <c r="B670" s="2">
        <v>0.5</v>
      </c>
      <c r="C670" s="3">
        <v>45442.5</v>
      </c>
      <c r="D670">
        <v>45.6</v>
      </c>
      <c r="E670">
        <v>45.6</v>
      </c>
      <c r="F670">
        <v>45.2</v>
      </c>
      <c r="G670" t="s">
        <v>6</v>
      </c>
      <c r="H670">
        <v>14.5</v>
      </c>
      <c r="I670">
        <v>17.2</v>
      </c>
      <c r="J670">
        <v>13.2</v>
      </c>
      <c r="K670" t="s">
        <v>6</v>
      </c>
      <c r="L670">
        <v>10</v>
      </c>
      <c r="M670" t="s">
        <v>6</v>
      </c>
    </row>
    <row r="671" spans="1:13" x14ac:dyDescent="0.2">
      <c r="A671" s="1">
        <v>45442</v>
      </c>
      <c r="B671" s="2">
        <v>0.54166666666666663</v>
      </c>
      <c r="C671" s="3">
        <v>45442.541666666664</v>
      </c>
      <c r="D671">
        <v>44.2</v>
      </c>
      <c r="E671">
        <v>44.9</v>
      </c>
      <c r="F671">
        <v>42.7</v>
      </c>
      <c r="G671" t="s">
        <v>6</v>
      </c>
      <c r="H671">
        <v>13.6</v>
      </c>
      <c r="I671">
        <v>17.600000000000001</v>
      </c>
      <c r="J671">
        <v>11.5</v>
      </c>
      <c r="K671" t="s">
        <v>6</v>
      </c>
      <c r="L671">
        <v>22</v>
      </c>
      <c r="M671" t="s">
        <v>6</v>
      </c>
    </row>
    <row r="672" spans="1:13" x14ac:dyDescent="0.2">
      <c r="A672" s="1">
        <v>45442</v>
      </c>
      <c r="B672" s="2">
        <v>0.58333333333333337</v>
      </c>
      <c r="C672" s="3">
        <v>45442.583333333336</v>
      </c>
      <c r="D672">
        <v>42.1</v>
      </c>
      <c r="E672">
        <v>43.7</v>
      </c>
      <c r="F672">
        <v>41.4</v>
      </c>
      <c r="G672" t="s">
        <v>6</v>
      </c>
      <c r="H672">
        <v>14.6</v>
      </c>
      <c r="I672">
        <v>17.600000000000001</v>
      </c>
      <c r="J672">
        <v>12.1</v>
      </c>
      <c r="K672" t="s">
        <v>6</v>
      </c>
      <c r="L672">
        <v>67</v>
      </c>
      <c r="M672" t="s">
        <v>6</v>
      </c>
    </row>
    <row r="673" spans="1:13" x14ac:dyDescent="0.2">
      <c r="A673" s="1">
        <v>45442</v>
      </c>
      <c r="B673" s="2">
        <v>0.625</v>
      </c>
      <c r="C673" s="3">
        <v>45442.625</v>
      </c>
      <c r="D673">
        <v>41.4</v>
      </c>
      <c r="E673">
        <v>41.9</v>
      </c>
      <c r="F673">
        <v>40.1</v>
      </c>
      <c r="G673" t="s">
        <v>6</v>
      </c>
      <c r="H673">
        <v>13.8</v>
      </c>
      <c r="I673">
        <v>19.399999999999999</v>
      </c>
      <c r="J673">
        <v>11.6</v>
      </c>
      <c r="K673" t="s">
        <v>6</v>
      </c>
      <c r="L673">
        <v>68</v>
      </c>
      <c r="M673" t="s">
        <v>6</v>
      </c>
    </row>
    <row r="674" spans="1:13" x14ac:dyDescent="0.2">
      <c r="A674" s="1">
        <v>45442</v>
      </c>
      <c r="B674" s="2">
        <v>0.70833333333333337</v>
      </c>
      <c r="C674" s="3">
        <v>45442.708333333336</v>
      </c>
      <c r="D674">
        <v>86.1</v>
      </c>
      <c r="E674">
        <v>101.4</v>
      </c>
      <c r="F674">
        <v>64.5</v>
      </c>
      <c r="G674" t="s">
        <v>6</v>
      </c>
      <c r="H674">
        <v>17.2</v>
      </c>
      <c r="I674">
        <v>24.3</v>
      </c>
      <c r="J674">
        <v>13.1</v>
      </c>
      <c r="K674" t="s">
        <v>6</v>
      </c>
      <c r="L674">
        <v>87</v>
      </c>
      <c r="M674" t="s">
        <v>6</v>
      </c>
    </row>
    <row r="675" spans="1:13" x14ac:dyDescent="0.2">
      <c r="A675" s="1">
        <v>45442</v>
      </c>
      <c r="B675" s="2">
        <v>0.75</v>
      </c>
      <c r="C675" s="3">
        <v>45442.75</v>
      </c>
      <c r="D675">
        <v>88</v>
      </c>
      <c r="E675">
        <v>93.1</v>
      </c>
      <c r="F675">
        <v>79.7</v>
      </c>
      <c r="G675" t="s">
        <v>6</v>
      </c>
      <c r="H675">
        <v>17.7</v>
      </c>
      <c r="I675">
        <v>25.9</v>
      </c>
      <c r="J675">
        <v>14.1</v>
      </c>
      <c r="K675" t="s">
        <v>6</v>
      </c>
      <c r="L675">
        <v>61</v>
      </c>
      <c r="M675" t="s">
        <v>6</v>
      </c>
    </row>
    <row r="676" spans="1:13" x14ac:dyDescent="0.2">
      <c r="A676" s="1">
        <v>45442</v>
      </c>
      <c r="B676" s="2">
        <v>0.83333333333333337</v>
      </c>
      <c r="C676" s="3">
        <v>45442.833333333336</v>
      </c>
      <c r="D676">
        <v>84</v>
      </c>
      <c r="E676">
        <v>111.4</v>
      </c>
      <c r="F676">
        <v>70.400000000000006</v>
      </c>
      <c r="G676" t="s">
        <v>6</v>
      </c>
      <c r="H676">
        <v>16.2</v>
      </c>
      <c r="I676">
        <v>25</v>
      </c>
      <c r="J676">
        <v>12.3</v>
      </c>
      <c r="K676" t="s">
        <v>6</v>
      </c>
      <c r="L676">
        <v>175</v>
      </c>
      <c r="M676" t="s">
        <v>6</v>
      </c>
    </row>
    <row r="677" spans="1:13" x14ac:dyDescent="0.2">
      <c r="A677" s="1">
        <v>45442</v>
      </c>
      <c r="B677" s="2">
        <v>0.875</v>
      </c>
      <c r="C677" s="3">
        <v>45442.875</v>
      </c>
      <c r="D677">
        <v>74.400000000000006</v>
      </c>
      <c r="E677">
        <v>87.4</v>
      </c>
      <c r="F677">
        <v>62.3</v>
      </c>
      <c r="G677" t="s">
        <v>6</v>
      </c>
      <c r="H677">
        <v>14.7</v>
      </c>
      <c r="I677">
        <v>24.9</v>
      </c>
      <c r="J677">
        <v>11.6</v>
      </c>
      <c r="K677" t="s">
        <v>6</v>
      </c>
      <c r="L677">
        <v>214</v>
      </c>
      <c r="M677" t="s">
        <v>6</v>
      </c>
    </row>
    <row r="678" spans="1:13" x14ac:dyDescent="0.2">
      <c r="A678" s="1">
        <v>45442</v>
      </c>
      <c r="B678" s="2">
        <v>0.91666666666666663</v>
      </c>
      <c r="C678" s="3">
        <v>45442.916666666664</v>
      </c>
      <c r="D678">
        <v>68.5</v>
      </c>
      <c r="E678">
        <v>91.6</v>
      </c>
      <c r="F678">
        <v>59.2</v>
      </c>
      <c r="G678" t="s">
        <v>6</v>
      </c>
      <c r="H678">
        <v>13.5</v>
      </c>
      <c r="I678">
        <v>21.6</v>
      </c>
      <c r="J678">
        <v>11.5</v>
      </c>
      <c r="K678" t="s">
        <v>6</v>
      </c>
      <c r="L678">
        <v>218</v>
      </c>
      <c r="M678" t="s">
        <v>6</v>
      </c>
    </row>
    <row r="679" spans="1:13" x14ac:dyDescent="0.2">
      <c r="A679" s="1">
        <v>45442</v>
      </c>
      <c r="B679" s="2">
        <v>0.95833333333333337</v>
      </c>
      <c r="C679" s="3">
        <v>45442.958333333336</v>
      </c>
      <c r="D679">
        <v>88.2</v>
      </c>
      <c r="E679">
        <v>101.7</v>
      </c>
      <c r="F679">
        <v>67.8</v>
      </c>
      <c r="G679" t="s">
        <v>6</v>
      </c>
      <c r="H679">
        <v>15</v>
      </c>
      <c r="I679">
        <v>26.8</v>
      </c>
      <c r="J679">
        <v>12.5</v>
      </c>
      <c r="K679" t="s">
        <v>6</v>
      </c>
      <c r="L679">
        <v>195</v>
      </c>
      <c r="M679" t="s">
        <v>6</v>
      </c>
    </row>
    <row r="680" spans="1:13" x14ac:dyDescent="0.2">
      <c r="A680" s="1">
        <v>45443</v>
      </c>
      <c r="B680" s="2">
        <v>0</v>
      </c>
      <c r="C680" s="3">
        <v>45443</v>
      </c>
      <c r="D680">
        <v>95.4</v>
      </c>
      <c r="E680">
        <v>104.3</v>
      </c>
      <c r="F680">
        <v>79.400000000000006</v>
      </c>
      <c r="G680" t="s">
        <v>6</v>
      </c>
      <c r="H680">
        <v>16</v>
      </c>
      <c r="I680">
        <v>23.2</v>
      </c>
      <c r="J680">
        <v>11.4</v>
      </c>
      <c r="K680" t="s">
        <v>6</v>
      </c>
      <c r="L680">
        <v>208</v>
      </c>
      <c r="M680" t="s">
        <v>6</v>
      </c>
    </row>
    <row r="681" spans="1:13" x14ac:dyDescent="0.2">
      <c r="A681" s="1">
        <v>45443</v>
      </c>
      <c r="B681" s="2">
        <v>4.1666666666666664E-2</v>
      </c>
      <c r="C681" s="3">
        <v>45443.041666666664</v>
      </c>
      <c r="D681">
        <v>89.9</v>
      </c>
      <c r="E681">
        <v>95</v>
      </c>
      <c r="F681">
        <v>76.2</v>
      </c>
      <c r="G681" t="s">
        <v>6</v>
      </c>
      <c r="H681">
        <v>15.5</v>
      </c>
      <c r="I681">
        <v>23</v>
      </c>
      <c r="J681">
        <v>10.9</v>
      </c>
      <c r="K681" t="s">
        <v>6</v>
      </c>
      <c r="L681">
        <v>216</v>
      </c>
      <c r="M681" t="s">
        <v>6</v>
      </c>
    </row>
    <row r="682" spans="1:13" x14ac:dyDescent="0.2">
      <c r="A682" s="1">
        <v>45443</v>
      </c>
      <c r="B682" s="2">
        <v>8.3333333333333329E-2</v>
      </c>
      <c r="C682" s="3">
        <v>45443.083333333336</v>
      </c>
      <c r="D682">
        <v>84</v>
      </c>
      <c r="E682">
        <v>101.4</v>
      </c>
      <c r="F682">
        <v>70.900000000000006</v>
      </c>
      <c r="G682" t="s">
        <v>6</v>
      </c>
      <c r="H682">
        <v>16.7</v>
      </c>
      <c r="I682">
        <v>24.2</v>
      </c>
      <c r="J682">
        <v>11</v>
      </c>
      <c r="K682" t="s">
        <v>6</v>
      </c>
      <c r="L682">
        <v>226</v>
      </c>
      <c r="M682" t="s">
        <v>6</v>
      </c>
    </row>
    <row r="683" spans="1:13" x14ac:dyDescent="0.2">
      <c r="A683" s="1">
        <v>45443</v>
      </c>
      <c r="B683" s="2">
        <v>0.125</v>
      </c>
      <c r="C683" s="3">
        <v>45443.125</v>
      </c>
      <c r="D683">
        <v>95.1</v>
      </c>
      <c r="E683">
        <v>105</v>
      </c>
      <c r="F683">
        <v>83.1</v>
      </c>
      <c r="G683" t="s">
        <v>6</v>
      </c>
      <c r="H683">
        <v>12.5</v>
      </c>
      <c r="I683">
        <v>18.100000000000001</v>
      </c>
      <c r="J683">
        <v>11.1</v>
      </c>
      <c r="K683" t="s">
        <v>6</v>
      </c>
      <c r="L683">
        <v>229</v>
      </c>
      <c r="M683" t="s">
        <v>6</v>
      </c>
    </row>
    <row r="684" spans="1:13" x14ac:dyDescent="0.2">
      <c r="A684" s="1">
        <v>45443</v>
      </c>
      <c r="B684" s="2">
        <v>0.16666666666666666</v>
      </c>
      <c r="C684" s="3">
        <v>45443.166666666664</v>
      </c>
      <c r="D684">
        <v>86.2</v>
      </c>
      <c r="E684">
        <v>97.3</v>
      </c>
      <c r="F684">
        <v>70.7</v>
      </c>
      <c r="G684" t="s">
        <v>6</v>
      </c>
      <c r="H684">
        <v>12.4</v>
      </c>
      <c r="I684">
        <v>15.8</v>
      </c>
      <c r="J684">
        <v>11</v>
      </c>
      <c r="K684" t="s">
        <v>6</v>
      </c>
      <c r="L684">
        <v>208</v>
      </c>
      <c r="M684" t="s">
        <v>6</v>
      </c>
    </row>
    <row r="685" spans="1:13" x14ac:dyDescent="0.2">
      <c r="A685" s="1">
        <v>45443</v>
      </c>
      <c r="B685" s="2">
        <v>0.20833333333333334</v>
      </c>
      <c r="C685" s="3">
        <v>45443.208333333336</v>
      </c>
      <c r="D685">
        <v>90</v>
      </c>
      <c r="E685">
        <v>99.2</v>
      </c>
      <c r="F685">
        <v>63.4</v>
      </c>
      <c r="G685" t="s">
        <v>6</v>
      </c>
      <c r="H685">
        <v>13.7</v>
      </c>
      <c r="I685">
        <v>21</v>
      </c>
      <c r="J685">
        <v>10.9</v>
      </c>
      <c r="K685" t="s">
        <v>6</v>
      </c>
      <c r="L685">
        <v>205</v>
      </c>
      <c r="M685" t="s">
        <v>6</v>
      </c>
    </row>
    <row r="686" spans="1:13" x14ac:dyDescent="0.2">
      <c r="A686" s="1">
        <v>45443</v>
      </c>
      <c r="B686" s="2">
        <v>0.25</v>
      </c>
      <c r="C686" s="3">
        <v>45443.25</v>
      </c>
      <c r="D686">
        <v>76.5</v>
      </c>
      <c r="E686">
        <v>106.2</v>
      </c>
      <c r="F686">
        <v>62.4</v>
      </c>
      <c r="G686" t="s">
        <v>6</v>
      </c>
      <c r="H686">
        <v>12.9</v>
      </c>
      <c r="I686">
        <v>16.899999999999999</v>
      </c>
      <c r="J686">
        <v>10.8</v>
      </c>
      <c r="K686" t="s">
        <v>6</v>
      </c>
      <c r="L686">
        <v>208</v>
      </c>
      <c r="M686" t="s">
        <v>6</v>
      </c>
    </row>
    <row r="687" spans="1:13" x14ac:dyDescent="0.2">
      <c r="A687" s="1">
        <v>45443</v>
      </c>
      <c r="B687" s="2">
        <v>0.29166666666666669</v>
      </c>
      <c r="C687" s="3">
        <v>45443.291666666664</v>
      </c>
      <c r="D687">
        <v>84.5</v>
      </c>
      <c r="E687">
        <v>105.1</v>
      </c>
      <c r="F687">
        <v>61.6</v>
      </c>
      <c r="G687" t="s">
        <v>6</v>
      </c>
      <c r="H687">
        <v>13.1</v>
      </c>
      <c r="I687">
        <v>17.600000000000001</v>
      </c>
      <c r="J687">
        <v>11.3</v>
      </c>
      <c r="K687" t="s">
        <v>6</v>
      </c>
      <c r="L687">
        <v>196</v>
      </c>
      <c r="M687" t="s">
        <v>6</v>
      </c>
    </row>
    <row r="688" spans="1:13" x14ac:dyDescent="0.2">
      <c r="A688" s="13">
        <v>45443</v>
      </c>
      <c r="B688" s="9">
        <v>0.33333333333333331</v>
      </c>
      <c r="C688" s="8">
        <v>45443.333333333336</v>
      </c>
      <c r="D688" s="10">
        <v>105.5</v>
      </c>
      <c r="E688" s="10">
        <v>120.2</v>
      </c>
      <c r="F688" s="10">
        <v>92.4</v>
      </c>
      <c r="G688" s="10" t="s">
        <v>6</v>
      </c>
      <c r="H688" s="10">
        <v>14.5</v>
      </c>
      <c r="I688" s="10">
        <v>23.3</v>
      </c>
      <c r="J688" s="10">
        <v>11.1</v>
      </c>
      <c r="K688" s="10" t="s">
        <v>6</v>
      </c>
      <c r="L688" s="10">
        <v>172</v>
      </c>
      <c r="M688" t="s">
        <v>6</v>
      </c>
    </row>
    <row r="689" spans="1:13" x14ac:dyDescent="0.2">
      <c r="A689" s="14">
        <v>45443</v>
      </c>
      <c r="B689" s="12">
        <v>0.375</v>
      </c>
      <c r="C689" s="7">
        <v>45443.375</v>
      </c>
      <c r="D689" s="11">
        <v>119.4</v>
      </c>
      <c r="E689" s="11">
        <v>125.2</v>
      </c>
      <c r="F689" s="11">
        <v>109.9</v>
      </c>
      <c r="G689" s="11" t="s">
        <v>6</v>
      </c>
      <c r="H689" s="11">
        <v>18.899999999999999</v>
      </c>
      <c r="I689" s="11">
        <v>23.9</v>
      </c>
      <c r="J689" s="11">
        <v>15.3</v>
      </c>
      <c r="K689" s="11" t="s">
        <v>6</v>
      </c>
      <c r="L689" s="11">
        <v>44</v>
      </c>
      <c r="M689" t="s">
        <v>6</v>
      </c>
    </row>
    <row r="690" spans="1:13" x14ac:dyDescent="0.2">
      <c r="A690" s="1">
        <v>45443</v>
      </c>
      <c r="B690" s="2">
        <v>0.625</v>
      </c>
      <c r="C690" s="3">
        <v>45443.625</v>
      </c>
      <c r="D690">
        <v>62</v>
      </c>
      <c r="E690">
        <v>70.099999999999994</v>
      </c>
      <c r="F690">
        <v>57.5</v>
      </c>
      <c r="G690" t="s">
        <v>6</v>
      </c>
      <c r="H690">
        <v>15.8</v>
      </c>
      <c r="I690">
        <v>20.2</v>
      </c>
      <c r="J690">
        <v>11.2</v>
      </c>
      <c r="K690" t="s">
        <v>6</v>
      </c>
      <c r="L690">
        <v>30</v>
      </c>
      <c r="M690" t="s">
        <v>6</v>
      </c>
    </row>
    <row r="691" spans="1:13" x14ac:dyDescent="0.2">
      <c r="A691" s="1">
        <v>45443</v>
      </c>
      <c r="B691" s="2">
        <v>0.66666666666666663</v>
      </c>
      <c r="C691" s="3">
        <v>45443.666666666664</v>
      </c>
      <c r="D691">
        <v>58</v>
      </c>
      <c r="E691">
        <v>58</v>
      </c>
      <c r="F691">
        <v>58</v>
      </c>
      <c r="G691" t="s">
        <v>6</v>
      </c>
      <c r="H691">
        <v>13.9</v>
      </c>
      <c r="I691">
        <v>13.9</v>
      </c>
      <c r="J691">
        <v>13.9</v>
      </c>
      <c r="K691" t="s">
        <v>6</v>
      </c>
      <c r="L691">
        <v>1</v>
      </c>
      <c r="M691" t="s">
        <v>6</v>
      </c>
    </row>
    <row r="692" spans="1:13" x14ac:dyDescent="0.2">
      <c r="A692" s="1">
        <v>45443</v>
      </c>
      <c r="B692" s="2">
        <v>0.83333333333333337</v>
      </c>
      <c r="C692" s="3">
        <v>45443.833333333336</v>
      </c>
      <c r="D692">
        <v>49.9</v>
      </c>
      <c r="E692">
        <v>62.9</v>
      </c>
      <c r="F692">
        <v>42.4</v>
      </c>
      <c r="G692" t="s">
        <v>6</v>
      </c>
      <c r="H692">
        <v>17.8</v>
      </c>
      <c r="I692">
        <v>35.299999999999997</v>
      </c>
      <c r="J692">
        <v>11.5</v>
      </c>
      <c r="K692" t="s">
        <v>6</v>
      </c>
      <c r="L692">
        <v>175</v>
      </c>
      <c r="M692" t="s">
        <v>6</v>
      </c>
    </row>
    <row r="693" spans="1:13" x14ac:dyDescent="0.2">
      <c r="A693" s="1">
        <v>45443</v>
      </c>
      <c r="B693" s="2">
        <v>0.875</v>
      </c>
      <c r="C693" s="3">
        <v>45443.875</v>
      </c>
      <c r="D693">
        <v>53</v>
      </c>
      <c r="E693">
        <v>58.7</v>
      </c>
      <c r="F693">
        <v>47.5</v>
      </c>
      <c r="G693" t="s">
        <v>6</v>
      </c>
      <c r="H693">
        <v>12.1</v>
      </c>
      <c r="I693">
        <v>18.2</v>
      </c>
      <c r="J693">
        <v>10.7</v>
      </c>
      <c r="K693" t="s">
        <v>6</v>
      </c>
      <c r="L693">
        <v>224</v>
      </c>
      <c r="M693" t="s">
        <v>6</v>
      </c>
    </row>
    <row r="694" spans="1:13" x14ac:dyDescent="0.2">
      <c r="A694" s="1">
        <v>45443</v>
      </c>
      <c r="B694" s="2">
        <v>0.91666666666666663</v>
      </c>
      <c r="C694" s="3">
        <v>45443.916666666664</v>
      </c>
      <c r="D694">
        <v>45.3</v>
      </c>
      <c r="E694">
        <v>49.3</v>
      </c>
      <c r="F694">
        <v>43.3</v>
      </c>
      <c r="G694" t="s">
        <v>6</v>
      </c>
      <c r="H694">
        <v>12.9</v>
      </c>
      <c r="I694">
        <v>18.3</v>
      </c>
      <c r="J694">
        <v>11.1</v>
      </c>
      <c r="K694" t="s">
        <v>6</v>
      </c>
      <c r="L694">
        <v>221</v>
      </c>
      <c r="M694" t="s">
        <v>6</v>
      </c>
    </row>
    <row r="695" spans="1:13" x14ac:dyDescent="0.2">
      <c r="A695" s="1">
        <v>45443</v>
      </c>
      <c r="B695" s="2">
        <v>0.95833333333333337</v>
      </c>
      <c r="C695" s="3">
        <v>45443.958333333336</v>
      </c>
      <c r="D695">
        <v>51.1</v>
      </c>
      <c r="E695">
        <v>62.6</v>
      </c>
      <c r="F695">
        <v>42.8</v>
      </c>
      <c r="G695" t="s">
        <v>6</v>
      </c>
      <c r="H695">
        <v>13.1</v>
      </c>
      <c r="I695">
        <v>18.899999999999999</v>
      </c>
      <c r="J695">
        <v>11.6</v>
      </c>
      <c r="K695" t="s">
        <v>6</v>
      </c>
      <c r="L695">
        <v>224</v>
      </c>
      <c r="M695" t="s">
        <v>6</v>
      </c>
    </row>
    <row r="696" spans="1:13" x14ac:dyDescent="0.2">
      <c r="A696" s="1">
        <v>45444</v>
      </c>
      <c r="B696" s="2">
        <v>0</v>
      </c>
      <c r="C696" s="3">
        <v>45444</v>
      </c>
      <c r="D696">
        <v>53</v>
      </c>
      <c r="E696">
        <v>61.5</v>
      </c>
      <c r="F696">
        <v>48.6</v>
      </c>
      <c r="G696" t="s">
        <v>6</v>
      </c>
      <c r="H696">
        <v>13.4</v>
      </c>
      <c r="I696">
        <v>16.8</v>
      </c>
      <c r="J696">
        <v>11.5</v>
      </c>
      <c r="K696" t="s">
        <v>6</v>
      </c>
      <c r="L696">
        <v>219</v>
      </c>
      <c r="M696" t="s">
        <v>6</v>
      </c>
    </row>
    <row r="697" spans="1:13" x14ac:dyDescent="0.2">
      <c r="A697" s="1">
        <v>45444</v>
      </c>
      <c r="B697" s="2">
        <v>4.1666666666666664E-2</v>
      </c>
      <c r="C697" s="3">
        <v>45444.041666666664</v>
      </c>
      <c r="D697">
        <v>59.6</v>
      </c>
      <c r="E697">
        <v>70.5</v>
      </c>
      <c r="F697">
        <v>52.7</v>
      </c>
      <c r="G697" t="s">
        <v>6</v>
      </c>
      <c r="H697">
        <v>13.2</v>
      </c>
      <c r="I697">
        <v>21.3</v>
      </c>
      <c r="J697">
        <v>11.5</v>
      </c>
      <c r="K697" t="s">
        <v>6</v>
      </c>
      <c r="L697">
        <v>210</v>
      </c>
      <c r="M697" t="s">
        <v>6</v>
      </c>
    </row>
    <row r="698" spans="1:13" x14ac:dyDescent="0.2">
      <c r="A698" s="1">
        <v>45444</v>
      </c>
      <c r="B698" s="2">
        <v>8.3333333333333329E-2</v>
      </c>
      <c r="C698" s="3">
        <v>45444.083333333336</v>
      </c>
      <c r="D698">
        <v>56.1</v>
      </c>
      <c r="E698">
        <v>71.2</v>
      </c>
      <c r="F698">
        <v>50.9</v>
      </c>
      <c r="G698" t="s">
        <v>6</v>
      </c>
      <c r="H698">
        <v>15.3</v>
      </c>
      <c r="I698">
        <v>25.4</v>
      </c>
      <c r="J698">
        <v>11.5</v>
      </c>
      <c r="K698" t="s">
        <v>6</v>
      </c>
      <c r="L698">
        <v>214</v>
      </c>
      <c r="M698" t="s">
        <v>6</v>
      </c>
    </row>
    <row r="699" spans="1:13" x14ac:dyDescent="0.2">
      <c r="A699" s="1">
        <v>45444</v>
      </c>
      <c r="B699" s="2">
        <v>0.125</v>
      </c>
      <c r="C699" s="3">
        <v>45444.125</v>
      </c>
      <c r="D699">
        <v>57</v>
      </c>
      <c r="E699">
        <v>76.099999999999994</v>
      </c>
      <c r="F699">
        <v>43.4</v>
      </c>
      <c r="G699" t="s">
        <v>6</v>
      </c>
      <c r="H699">
        <v>13.1</v>
      </c>
      <c r="I699">
        <v>18.899999999999999</v>
      </c>
      <c r="J699">
        <v>11.3</v>
      </c>
      <c r="K699" t="s">
        <v>6</v>
      </c>
      <c r="L699">
        <v>219</v>
      </c>
      <c r="M699" t="s">
        <v>6</v>
      </c>
    </row>
    <row r="700" spans="1:13" x14ac:dyDescent="0.2">
      <c r="A700" s="1">
        <v>45444</v>
      </c>
      <c r="B700" s="2">
        <v>0.16666666666666666</v>
      </c>
      <c r="C700" s="3">
        <v>45444.166666666664</v>
      </c>
      <c r="D700">
        <v>43.6</v>
      </c>
      <c r="E700">
        <v>49.4</v>
      </c>
      <c r="F700">
        <v>41.2</v>
      </c>
      <c r="G700" t="s">
        <v>6</v>
      </c>
      <c r="H700">
        <v>13.2</v>
      </c>
      <c r="I700">
        <v>17.2</v>
      </c>
      <c r="J700">
        <v>11.3</v>
      </c>
      <c r="K700" t="s">
        <v>6</v>
      </c>
      <c r="L700">
        <v>220</v>
      </c>
      <c r="M700" t="s">
        <v>6</v>
      </c>
    </row>
    <row r="701" spans="1:13" x14ac:dyDescent="0.2">
      <c r="A701" s="1">
        <v>45444</v>
      </c>
      <c r="B701" s="2">
        <v>0.20833333333333334</v>
      </c>
      <c r="C701" s="3">
        <v>45444.208333333336</v>
      </c>
      <c r="D701">
        <v>63.3</v>
      </c>
      <c r="E701">
        <v>83.2</v>
      </c>
      <c r="F701">
        <v>46.8</v>
      </c>
      <c r="G701" t="s">
        <v>6</v>
      </c>
      <c r="H701">
        <v>13.2</v>
      </c>
      <c r="I701">
        <v>18.2</v>
      </c>
      <c r="J701">
        <v>10.8</v>
      </c>
      <c r="K701" t="s">
        <v>6</v>
      </c>
      <c r="L701">
        <v>197</v>
      </c>
      <c r="M701" t="s">
        <v>6</v>
      </c>
    </row>
    <row r="702" spans="1:13" x14ac:dyDescent="0.2">
      <c r="A702" s="1">
        <v>45444</v>
      </c>
      <c r="B702" s="2">
        <v>0.25</v>
      </c>
      <c r="C702" s="3">
        <v>45444.25</v>
      </c>
      <c r="D702">
        <v>64</v>
      </c>
      <c r="E702">
        <v>73.5</v>
      </c>
      <c r="F702">
        <v>57.3</v>
      </c>
      <c r="G702" t="s">
        <v>6</v>
      </c>
      <c r="H702">
        <v>15</v>
      </c>
      <c r="I702">
        <v>24</v>
      </c>
      <c r="J702">
        <v>11.1</v>
      </c>
      <c r="K702" t="s">
        <v>6</v>
      </c>
      <c r="L702">
        <v>225</v>
      </c>
      <c r="M702" t="s">
        <v>6</v>
      </c>
    </row>
    <row r="703" spans="1:13" x14ac:dyDescent="0.2">
      <c r="A703" s="1">
        <v>45444</v>
      </c>
      <c r="B703" s="2">
        <v>0.29166666666666669</v>
      </c>
      <c r="C703" s="3">
        <v>45444.291666666664</v>
      </c>
      <c r="D703">
        <v>75</v>
      </c>
      <c r="E703">
        <v>88.2</v>
      </c>
      <c r="F703">
        <v>61.6</v>
      </c>
      <c r="G703" t="s">
        <v>6</v>
      </c>
      <c r="H703">
        <v>15.5</v>
      </c>
      <c r="I703">
        <v>26.3</v>
      </c>
      <c r="J703">
        <v>11.6</v>
      </c>
      <c r="K703" t="s">
        <v>6</v>
      </c>
      <c r="L703">
        <v>216</v>
      </c>
      <c r="M703" t="s">
        <v>6</v>
      </c>
    </row>
    <row r="704" spans="1:13" x14ac:dyDescent="0.2">
      <c r="A704" s="13">
        <v>45444</v>
      </c>
      <c r="B704" s="9">
        <v>0.33333333333333331</v>
      </c>
      <c r="C704" s="8">
        <v>45444.333333333336</v>
      </c>
      <c r="D704" s="10">
        <v>80.599999999999994</v>
      </c>
      <c r="E704" s="10">
        <v>92.4</v>
      </c>
      <c r="F704" s="10">
        <v>66.3</v>
      </c>
      <c r="G704" s="10" t="s">
        <v>6</v>
      </c>
      <c r="H704" s="10">
        <v>16.2</v>
      </c>
      <c r="I704" s="10">
        <v>20</v>
      </c>
      <c r="J704" s="10">
        <v>13.7</v>
      </c>
      <c r="K704" s="10" t="s">
        <v>6</v>
      </c>
      <c r="L704" s="10">
        <v>95</v>
      </c>
      <c r="M704" t="s">
        <v>6</v>
      </c>
    </row>
    <row r="705" spans="1:13" x14ac:dyDescent="0.2">
      <c r="A705" s="14">
        <v>45444</v>
      </c>
      <c r="B705" s="12">
        <v>0.58333333333333337</v>
      </c>
      <c r="C705" s="7">
        <v>45444.583333333336</v>
      </c>
      <c r="D705" s="11">
        <v>69.3</v>
      </c>
      <c r="E705" s="11">
        <v>72.099999999999994</v>
      </c>
      <c r="F705" s="11">
        <v>66</v>
      </c>
      <c r="G705" s="11" t="s">
        <v>6</v>
      </c>
      <c r="H705" s="11">
        <v>15.9</v>
      </c>
      <c r="I705" s="11">
        <v>18.899999999999999</v>
      </c>
      <c r="J705" s="11">
        <v>13.6</v>
      </c>
      <c r="K705" s="11" t="s">
        <v>6</v>
      </c>
      <c r="L705" s="11">
        <v>20</v>
      </c>
      <c r="M705" t="s">
        <v>6</v>
      </c>
    </row>
    <row r="706" spans="1:13" x14ac:dyDescent="0.2">
      <c r="A706" s="1">
        <v>45444</v>
      </c>
      <c r="B706" s="2">
        <v>0.66666666666666663</v>
      </c>
      <c r="C706" s="3">
        <v>45444.666666666664</v>
      </c>
      <c r="D706">
        <v>67.099999999999994</v>
      </c>
      <c r="E706">
        <v>68.2</v>
      </c>
      <c r="F706">
        <v>66.5</v>
      </c>
      <c r="G706" t="s">
        <v>6</v>
      </c>
      <c r="H706">
        <v>16.100000000000001</v>
      </c>
      <c r="I706">
        <v>19</v>
      </c>
      <c r="J706">
        <v>14</v>
      </c>
      <c r="K706" t="s">
        <v>6</v>
      </c>
      <c r="L706">
        <v>12</v>
      </c>
      <c r="M706" t="s">
        <v>6</v>
      </c>
    </row>
    <row r="707" spans="1:13" x14ac:dyDescent="0.2">
      <c r="A707" s="1">
        <v>45444</v>
      </c>
      <c r="B707" s="2">
        <v>0.75</v>
      </c>
      <c r="C707" s="3">
        <v>45444.75</v>
      </c>
      <c r="D707">
        <v>67.3</v>
      </c>
      <c r="E707">
        <v>68.2</v>
      </c>
      <c r="F707">
        <v>66.7</v>
      </c>
      <c r="G707" t="s">
        <v>6</v>
      </c>
      <c r="H707">
        <v>14.1</v>
      </c>
      <c r="I707">
        <v>15.2</v>
      </c>
      <c r="J707">
        <v>13.4</v>
      </c>
      <c r="K707" t="s">
        <v>6</v>
      </c>
      <c r="L707">
        <v>3</v>
      </c>
      <c r="M707" t="s">
        <v>6</v>
      </c>
    </row>
    <row r="708" spans="1:13" x14ac:dyDescent="0.2">
      <c r="A708" s="1">
        <v>45444</v>
      </c>
      <c r="B708" s="2">
        <v>0.83333333333333337</v>
      </c>
      <c r="C708" s="3">
        <v>45444.833333333336</v>
      </c>
      <c r="D708">
        <v>63.2</v>
      </c>
      <c r="E708">
        <v>79.599999999999994</v>
      </c>
      <c r="F708">
        <v>51.6</v>
      </c>
      <c r="G708" t="s">
        <v>6</v>
      </c>
      <c r="H708">
        <v>16.100000000000001</v>
      </c>
      <c r="I708">
        <v>29.4</v>
      </c>
      <c r="J708">
        <v>12.6</v>
      </c>
      <c r="K708" t="s">
        <v>6</v>
      </c>
      <c r="L708">
        <v>152</v>
      </c>
      <c r="M708" t="s">
        <v>6</v>
      </c>
    </row>
    <row r="709" spans="1:13" x14ac:dyDescent="0.2">
      <c r="A709" s="1">
        <v>45444</v>
      </c>
      <c r="B709" s="2">
        <v>0.875</v>
      </c>
      <c r="C709" s="3">
        <v>45444.875</v>
      </c>
      <c r="D709">
        <v>51.7</v>
      </c>
      <c r="E709">
        <v>55.6</v>
      </c>
      <c r="F709">
        <v>47.5</v>
      </c>
      <c r="G709" t="s">
        <v>6</v>
      </c>
      <c r="H709">
        <v>13.7</v>
      </c>
      <c r="I709">
        <v>29.2</v>
      </c>
      <c r="J709">
        <v>12</v>
      </c>
      <c r="K709" t="s">
        <v>6</v>
      </c>
      <c r="L709">
        <v>206</v>
      </c>
      <c r="M709" t="s">
        <v>6</v>
      </c>
    </row>
    <row r="710" spans="1:13" x14ac:dyDescent="0.2">
      <c r="A710" s="1">
        <v>45444</v>
      </c>
      <c r="B710" s="2">
        <v>0.91666666666666663</v>
      </c>
      <c r="C710" s="3">
        <v>45444.916666666664</v>
      </c>
      <c r="D710">
        <v>50.5</v>
      </c>
      <c r="E710">
        <v>56.2</v>
      </c>
      <c r="F710">
        <v>47.3</v>
      </c>
      <c r="G710" t="s">
        <v>6</v>
      </c>
      <c r="H710">
        <v>15.9</v>
      </c>
      <c r="I710">
        <v>26.7</v>
      </c>
      <c r="J710">
        <v>11.9</v>
      </c>
      <c r="K710" t="s">
        <v>6</v>
      </c>
      <c r="L710">
        <v>221</v>
      </c>
      <c r="M710" t="s">
        <v>6</v>
      </c>
    </row>
    <row r="711" spans="1:13" x14ac:dyDescent="0.2">
      <c r="A711" s="1">
        <v>45444</v>
      </c>
      <c r="B711" s="2">
        <v>0.95833333333333337</v>
      </c>
      <c r="C711" s="3">
        <v>45444.958333333336</v>
      </c>
      <c r="D711">
        <v>50.7</v>
      </c>
      <c r="E711">
        <v>55.6</v>
      </c>
      <c r="F711">
        <v>46.9</v>
      </c>
      <c r="G711" t="s">
        <v>6</v>
      </c>
      <c r="H711">
        <v>15.4</v>
      </c>
      <c r="I711">
        <v>26</v>
      </c>
      <c r="J711">
        <v>11.4</v>
      </c>
      <c r="K711" t="s">
        <v>6</v>
      </c>
      <c r="L711">
        <v>212</v>
      </c>
      <c r="M711" t="s">
        <v>6</v>
      </c>
    </row>
    <row r="712" spans="1:13" x14ac:dyDescent="0.2">
      <c r="A712" s="1">
        <v>45445</v>
      </c>
      <c r="B712" s="2">
        <v>0</v>
      </c>
      <c r="C712" s="3">
        <v>45445</v>
      </c>
      <c r="D712">
        <v>45.8</v>
      </c>
      <c r="E712">
        <v>54.6</v>
      </c>
      <c r="F712">
        <v>40.799999999999997</v>
      </c>
      <c r="G712" t="s">
        <v>6</v>
      </c>
      <c r="H712">
        <v>13.9</v>
      </c>
      <c r="I712">
        <v>22.8</v>
      </c>
      <c r="J712">
        <v>12.3</v>
      </c>
      <c r="K712" t="s">
        <v>6</v>
      </c>
      <c r="L712">
        <v>227</v>
      </c>
      <c r="M712" t="s">
        <v>6</v>
      </c>
    </row>
    <row r="713" spans="1:13" x14ac:dyDescent="0.2">
      <c r="A713" s="1">
        <v>45445</v>
      </c>
      <c r="B713" s="2">
        <v>4.1666666666666664E-2</v>
      </c>
      <c r="C713" s="3">
        <v>45445.041666666664</v>
      </c>
      <c r="D713">
        <v>46.7</v>
      </c>
      <c r="E713">
        <v>51.2</v>
      </c>
      <c r="F713">
        <v>41.8</v>
      </c>
      <c r="G713" t="s">
        <v>6</v>
      </c>
      <c r="H713">
        <v>13.4</v>
      </c>
      <c r="I713">
        <v>16.899999999999999</v>
      </c>
      <c r="J713">
        <v>12.3</v>
      </c>
      <c r="K713" t="s">
        <v>6</v>
      </c>
      <c r="L713">
        <v>230</v>
      </c>
      <c r="M713" t="s">
        <v>6</v>
      </c>
    </row>
    <row r="714" spans="1:13" x14ac:dyDescent="0.2">
      <c r="A714" s="1">
        <v>45445</v>
      </c>
      <c r="B714" s="2">
        <v>8.3333333333333329E-2</v>
      </c>
      <c r="C714" s="3">
        <v>45445.083333333336</v>
      </c>
      <c r="D714">
        <v>46.8</v>
      </c>
      <c r="E714">
        <v>54.2</v>
      </c>
      <c r="F714">
        <v>43.7</v>
      </c>
      <c r="G714" t="s">
        <v>6</v>
      </c>
      <c r="H714">
        <v>13.2</v>
      </c>
      <c r="I714">
        <v>25.7</v>
      </c>
      <c r="J714">
        <v>11.3</v>
      </c>
      <c r="K714" t="s">
        <v>6</v>
      </c>
      <c r="L714">
        <v>221</v>
      </c>
      <c r="M714" t="s">
        <v>6</v>
      </c>
    </row>
    <row r="715" spans="1:13" x14ac:dyDescent="0.2">
      <c r="A715" s="1">
        <v>45445</v>
      </c>
      <c r="B715" s="2">
        <v>0.125</v>
      </c>
      <c r="C715" s="3">
        <v>45445.125</v>
      </c>
      <c r="D715">
        <v>46.7</v>
      </c>
      <c r="E715">
        <v>53.2</v>
      </c>
      <c r="F715">
        <v>41.6</v>
      </c>
      <c r="G715" t="s">
        <v>6</v>
      </c>
      <c r="H715">
        <v>13.5</v>
      </c>
      <c r="I715">
        <v>27.5</v>
      </c>
      <c r="J715">
        <v>11.9</v>
      </c>
      <c r="K715" t="s">
        <v>6</v>
      </c>
      <c r="L715">
        <v>184</v>
      </c>
      <c r="M715" t="s">
        <v>6</v>
      </c>
    </row>
    <row r="716" spans="1:13" x14ac:dyDescent="0.2">
      <c r="A716" s="1">
        <v>45445</v>
      </c>
      <c r="B716" s="2">
        <v>0.16666666666666666</v>
      </c>
      <c r="C716" s="3">
        <v>45445.166666666664</v>
      </c>
      <c r="D716">
        <v>47.8</v>
      </c>
      <c r="E716">
        <v>88.5</v>
      </c>
      <c r="F716">
        <v>41.9</v>
      </c>
      <c r="G716" t="s">
        <v>6</v>
      </c>
      <c r="H716">
        <v>13.1</v>
      </c>
      <c r="I716">
        <v>23.9</v>
      </c>
      <c r="J716">
        <v>11.6</v>
      </c>
      <c r="K716" t="s">
        <v>6</v>
      </c>
      <c r="L716">
        <v>222</v>
      </c>
      <c r="M716" t="s">
        <v>6</v>
      </c>
    </row>
    <row r="717" spans="1:13" x14ac:dyDescent="0.2">
      <c r="A717" s="1">
        <v>45445</v>
      </c>
      <c r="B717" s="2">
        <v>0.20833333333333334</v>
      </c>
      <c r="C717" s="3">
        <v>45445.208333333336</v>
      </c>
      <c r="D717">
        <v>70.400000000000006</v>
      </c>
      <c r="E717">
        <v>87</v>
      </c>
      <c r="F717">
        <v>45.9</v>
      </c>
      <c r="G717" t="s">
        <v>6</v>
      </c>
      <c r="H717">
        <v>13.2</v>
      </c>
      <c r="I717">
        <v>23.8</v>
      </c>
      <c r="J717">
        <v>10.4</v>
      </c>
      <c r="K717" t="s">
        <v>6</v>
      </c>
      <c r="L717">
        <v>215</v>
      </c>
      <c r="M717" t="s">
        <v>6</v>
      </c>
    </row>
    <row r="718" spans="1:13" x14ac:dyDescent="0.2">
      <c r="A718" s="1">
        <v>45445</v>
      </c>
      <c r="B718" s="2">
        <v>0.25</v>
      </c>
      <c r="C718" s="3">
        <v>45445.25</v>
      </c>
      <c r="D718">
        <v>48</v>
      </c>
      <c r="E718">
        <v>53.7</v>
      </c>
      <c r="F718">
        <v>43</v>
      </c>
      <c r="G718" t="s">
        <v>6</v>
      </c>
      <c r="H718">
        <v>14.1</v>
      </c>
      <c r="I718">
        <v>27.4</v>
      </c>
      <c r="J718">
        <v>11.3</v>
      </c>
      <c r="K718" t="s">
        <v>6</v>
      </c>
      <c r="L718">
        <v>218</v>
      </c>
      <c r="M718" t="s">
        <v>6</v>
      </c>
    </row>
    <row r="719" spans="1:13" x14ac:dyDescent="0.2">
      <c r="A719" s="1">
        <v>45445</v>
      </c>
      <c r="B719" s="2">
        <v>0.29166666666666669</v>
      </c>
      <c r="C719" s="3">
        <v>45445.291666666664</v>
      </c>
      <c r="D719">
        <v>48.9</v>
      </c>
      <c r="E719">
        <v>52.2</v>
      </c>
      <c r="F719">
        <v>46.5</v>
      </c>
      <c r="G719" t="s">
        <v>6</v>
      </c>
      <c r="H719">
        <v>14.3</v>
      </c>
      <c r="I719">
        <v>17.100000000000001</v>
      </c>
      <c r="J719">
        <v>11.9</v>
      </c>
      <c r="K719" t="s">
        <v>6</v>
      </c>
      <c r="L719">
        <v>64</v>
      </c>
      <c r="M719" t="s">
        <v>6</v>
      </c>
    </row>
    <row r="720" spans="1:13" x14ac:dyDescent="0.2">
      <c r="A720" s="13">
        <v>45445</v>
      </c>
      <c r="B720" s="9">
        <v>0.33333333333333331</v>
      </c>
      <c r="C720" s="8">
        <v>45445.333333333336</v>
      </c>
      <c r="D720" s="10">
        <v>56.1</v>
      </c>
      <c r="E720" s="10">
        <v>57</v>
      </c>
      <c r="F720" s="10">
        <v>55.1</v>
      </c>
      <c r="G720" s="10" t="s">
        <v>6</v>
      </c>
      <c r="H720" s="10">
        <v>14.2</v>
      </c>
      <c r="I720" s="10">
        <v>15.3</v>
      </c>
      <c r="J720" s="10">
        <v>13.1</v>
      </c>
      <c r="K720" s="10" t="s">
        <v>6</v>
      </c>
      <c r="L720" s="10">
        <v>10</v>
      </c>
      <c r="M720" t="s">
        <v>6</v>
      </c>
    </row>
    <row r="721" spans="1:13" x14ac:dyDescent="0.2">
      <c r="A721" s="14">
        <v>45445</v>
      </c>
      <c r="B721" s="12">
        <v>0.375</v>
      </c>
      <c r="C721" s="7">
        <v>45445.375</v>
      </c>
      <c r="D721" s="11">
        <v>67.5</v>
      </c>
      <c r="E721" s="11">
        <v>70.8</v>
      </c>
      <c r="F721" s="11">
        <v>62</v>
      </c>
      <c r="G721" s="11" t="s">
        <v>6</v>
      </c>
      <c r="H721" s="11">
        <v>17.3</v>
      </c>
      <c r="I721" s="11">
        <v>21.3</v>
      </c>
      <c r="J721" s="11">
        <v>12.8</v>
      </c>
      <c r="K721" s="11" t="s">
        <v>6</v>
      </c>
      <c r="L721" s="11">
        <v>44</v>
      </c>
      <c r="M721" t="s">
        <v>6</v>
      </c>
    </row>
    <row r="722" spans="1:13" x14ac:dyDescent="0.2">
      <c r="A722" s="1">
        <v>45445</v>
      </c>
      <c r="B722" s="2">
        <v>0.41666666666666669</v>
      </c>
      <c r="C722" s="3">
        <v>45445.416666666664</v>
      </c>
      <c r="D722">
        <v>64</v>
      </c>
      <c r="E722">
        <v>66.5</v>
      </c>
      <c r="F722">
        <v>60.1</v>
      </c>
      <c r="G722" t="s">
        <v>6</v>
      </c>
      <c r="H722">
        <v>16.5</v>
      </c>
      <c r="I722">
        <v>20.5</v>
      </c>
      <c r="J722">
        <v>12.6</v>
      </c>
      <c r="K722" t="s">
        <v>6</v>
      </c>
      <c r="L722">
        <v>31</v>
      </c>
      <c r="M722" t="s">
        <v>6</v>
      </c>
    </row>
    <row r="723" spans="1:13" x14ac:dyDescent="0.2">
      <c r="A723" s="1">
        <v>45445</v>
      </c>
      <c r="B723" s="2">
        <v>0.66666666666666663</v>
      </c>
      <c r="C723" s="3">
        <v>45445.666666666664</v>
      </c>
      <c r="D723">
        <v>62.6</v>
      </c>
      <c r="E723">
        <v>67.3</v>
      </c>
      <c r="F723">
        <v>57.9</v>
      </c>
      <c r="G723" t="s">
        <v>6</v>
      </c>
      <c r="H723">
        <v>17.2</v>
      </c>
      <c r="I723">
        <v>25.4</v>
      </c>
      <c r="J723">
        <v>12.7</v>
      </c>
      <c r="K723" t="s">
        <v>6</v>
      </c>
      <c r="L723">
        <v>58</v>
      </c>
      <c r="M723" t="s">
        <v>6</v>
      </c>
    </row>
    <row r="724" spans="1:13" x14ac:dyDescent="0.2">
      <c r="A724" s="1">
        <v>45445</v>
      </c>
      <c r="B724" s="2">
        <v>0.75</v>
      </c>
      <c r="C724" s="3">
        <v>45445.75</v>
      </c>
      <c r="D724">
        <v>60.7</v>
      </c>
      <c r="E724">
        <v>62.2</v>
      </c>
      <c r="F724">
        <v>60</v>
      </c>
      <c r="G724" t="s">
        <v>6</v>
      </c>
      <c r="H724">
        <v>14.1</v>
      </c>
      <c r="I724">
        <v>14.8</v>
      </c>
      <c r="J724">
        <v>13.3</v>
      </c>
      <c r="K724" t="s">
        <v>6</v>
      </c>
      <c r="L724">
        <v>3</v>
      </c>
      <c r="M724" t="s">
        <v>6</v>
      </c>
    </row>
    <row r="725" spans="1:13" x14ac:dyDescent="0.2">
      <c r="A725" s="1">
        <v>45445</v>
      </c>
      <c r="B725" s="2">
        <v>0.79166666666666663</v>
      </c>
      <c r="C725" s="3">
        <v>45445.791666666664</v>
      </c>
      <c r="D725">
        <v>59.8</v>
      </c>
      <c r="E725">
        <v>62.3</v>
      </c>
      <c r="F725">
        <v>54.8</v>
      </c>
      <c r="G725" t="s">
        <v>6</v>
      </c>
      <c r="H725">
        <v>15.3</v>
      </c>
      <c r="I725">
        <v>18.7</v>
      </c>
      <c r="J725">
        <v>12</v>
      </c>
      <c r="K725" t="s">
        <v>6</v>
      </c>
      <c r="L725">
        <v>68</v>
      </c>
      <c r="M725" t="s">
        <v>6</v>
      </c>
    </row>
    <row r="726" spans="1:13" x14ac:dyDescent="0.2">
      <c r="A726" s="1">
        <v>45445</v>
      </c>
      <c r="B726" s="2">
        <v>0.83333333333333337</v>
      </c>
      <c r="C726" s="3">
        <v>45445.833333333336</v>
      </c>
      <c r="D726">
        <v>47.3</v>
      </c>
      <c r="E726">
        <v>55.8</v>
      </c>
      <c r="F726">
        <v>43.7</v>
      </c>
      <c r="G726" t="s">
        <v>6</v>
      </c>
      <c r="H726">
        <v>14.9</v>
      </c>
      <c r="I726">
        <v>30.3</v>
      </c>
      <c r="J726">
        <v>12</v>
      </c>
      <c r="K726" t="s">
        <v>6</v>
      </c>
      <c r="L726">
        <v>219</v>
      </c>
      <c r="M726" t="s">
        <v>6</v>
      </c>
    </row>
    <row r="727" spans="1:13" x14ac:dyDescent="0.2">
      <c r="A727" s="1">
        <v>45445</v>
      </c>
      <c r="B727" s="2">
        <v>0.875</v>
      </c>
      <c r="C727" s="3">
        <v>45445.875</v>
      </c>
      <c r="D727">
        <v>70.3</v>
      </c>
      <c r="E727">
        <v>83.6</v>
      </c>
      <c r="F727">
        <v>43.8</v>
      </c>
      <c r="G727" t="s">
        <v>6</v>
      </c>
      <c r="H727">
        <v>15.3</v>
      </c>
      <c r="I727">
        <v>27.9</v>
      </c>
      <c r="J727">
        <v>12.6</v>
      </c>
      <c r="K727" t="s">
        <v>6</v>
      </c>
      <c r="L727">
        <v>226</v>
      </c>
      <c r="M727" t="s">
        <v>6</v>
      </c>
    </row>
    <row r="728" spans="1:13" x14ac:dyDescent="0.2">
      <c r="A728" s="1">
        <v>45445</v>
      </c>
      <c r="B728" s="2">
        <v>0.91666666666666663</v>
      </c>
      <c r="C728" s="3">
        <v>45445.916666666664</v>
      </c>
      <c r="D728">
        <v>75</v>
      </c>
      <c r="E728">
        <v>92.9</v>
      </c>
      <c r="F728">
        <v>51</v>
      </c>
      <c r="G728" t="s">
        <v>6</v>
      </c>
      <c r="H728">
        <v>16.600000000000001</v>
      </c>
      <c r="I728">
        <v>29.6</v>
      </c>
      <c r="J728">
        <v>13.2</v>
      </c>
      <c r="K728" t="s">
        <v>6</v>
      </c>
      <c r="L728">
        <v>197</v>
      </c>
      <c r="M728" t="s">
        <v>6</v>
      </c>
    </row>
    <row r="729" spans="1:13" x14ac:dyDescent="0.2">
      <c r="A729" s="1">
        <v>45445</v>
      </c>
      <c r="B729" s="2">
        <v>0.95833333333333337</v>
      </c>
      <c r="C729" s="3">
        <v>45445.958333333336</v>
      </c>
      <c r="D729">
        <v>84.5</v>
      </c>
      <c r="E729">
        <v>95</v>
      </c>
      <c r="F729">
        <v>55.4</v>
      </c>
      <c r="G729" t="s">
        <v>6</v>
      </c>
      <c r="H729">
        <v>14.4</v>
      </c>
      <c r="I729">
        <v>21</v>
      </c>
      <c r="J729">
        <v>12.9</v>
      </c>
      <c r="K729" t="s">
        <v>6</v>
      </c>
      <c r="L729">
        <v>220</v>
      </c>
      <c r="M729" t="s">
        <v>6</v>
      </c>
    </row>
    <row r="730" spans="1:13" x14ac:dyDescent="0.2">
      <c r="A730" s="1">
        <v>45446</v>
      </c>
      <c r="B730" s="2">
        <v>0</v>
      </c>
      <c r="C730" s="3">
        <v>45446</v>
      </c>
      <c r="D730">
        <v>72.3</v>
      </c>
      <c r="E730">
        <v>92.8</v>
      </c>
      <c r="F730">
        <v>55.5</v>
      </c>
      <c r="G730" t="s">
        <v>6</v>
      </c>
      <c r="H730">
        <v>14.3</v>
      </c>
      <c r="I730">
        <v>23.6</v>
      </c>
      <c r="J730">
        <v>12.4</v>
      </c>
      <c r="K730" t="s">
        <v>6</v>
      </c>
      <c r="L730">
        <v>220</v>
      </c>
      <c r="M730" t="s">
        <v>6</v>
      </c>
    </row>
    <row r="731" spans="1:13" x14ac:dyDescent="0.2">
      <c r="A731" s="1">
        <v>45446</v>
      </c>
      <c r="B731" s="2">
        <v>4.1666666666666664E-2</v>
      </c>
      <c r="C731" s="3">
        <v>45446.041666666664</v>
      </c>
      <c r="D731">
        <v>73.900000000000006</v>
      </c>
      <c r="E731">
        <v>89.6</v>
      </c>
      <c r="F731">
        <v>54.1</v>
      </c>
      <c r="G731" t="s">
        <v>6</v>
      </c>
      <c r="H731">
        <v>13.6</v>
      </c>
      <c r="I731">
        <v>21.2</v>
      </c>
      <c r="J731">
        <v>11.9</v>
      </c>
      <c r="K731" t="s">
        <v>6</v>
      </c>
      <c r="L731">
        <v>221</v>
      </c>
      <c r="M731" t="s">
        <v>6</v>
      </c>
    </row>
    <row r="732" spans="1:13" x14ac:dyDescent="0.2">
      <c r="A732" s="1">
        <v>45446</v>
      </c>
      <c r="B732" s="2">
        <v>8.3333333333333329E-2</v>
      </c>
      <c r="C732" s="3">
        <v>45446.083333333336</v>
      </c>
      <c r="D732">
        <v>73</v>
      </c>
      <c r="E732">
        <v>93.4</v>
      </c>
      <c r="F732">
        <v>55.8</v>
      </c>
      <c r="G732" t="s">
        <v>6</v>
      </c>
      <c r="H732">
        <v>14.2</v>
      </c>
      <c r="I732">
        <v>26.6</v>
      </c>
      <c r="J732">
        <v>11.6</v>
      </c>
      <c r="K732" t="s">
        <v>6</v>
      </c>
      <c r="L732">
        <v>219</v>
      </c>
      <c r="M732" t="s">
        <v>6</v>
      </c>
    </row>
    <row r="733" spans="1:13" x14ac:dyDescent="0.2">
      <c r="A733" s="1">
        <v>45446</v>
      </c>
      <c r="B733" s="2">
        <v>0.125</v>
      </c>
      <c r="C733" s="3">
        <v>45446.125</v>
      </c>
      <c r="D733">
        <v>84.2</v>
      </c>
      <c r="E733">
        <v>93.4</v>
      </c>
      <c r="F733">
        <v>51.7</v>
      </c>
      <c r="G733" t="s">
        <v>6</v>
      </c>
      <c r="H733">
        <v>14.6</v>
      </c>
      <c r="I733">
        <v>24.3</v>
      </c>
      <c r="J733">
        <v>11.8</v>
      </c>
      <c r="K733" t="s">
        <v>6</v>
      </c>
      <c r="L733">
        <v>224</v>
      </c>
      <c r="M733" t="s">
        <v>6</v>
      </c>
    </row>
    <row r="734" spans="1:13" x14ac:dyDescent="0.2">
      <c r="A734" s="1">
        <v>45446</v>
      </c>
      <c r="B734" s="2">
        <v>0.16666666666666666</v>
      </c>
      <c r="C734" s="3">
        <v>45446.166666666664</v>
      </c>
      <c r="D734">
        <v>66.900000000000006</v>
      </c>
      <c r="E734">
        <v>99</v>
      </c>
      <c r="F734">
        <v>50.4</v>
      </c>
      <c r="G734" t="s">
        <v>6</v>
      </c>
      <c r="H734">
        <v>15.6</v>
      </c>
      <c r="I734">
        <v>24.8</v>
      </c>
      <c r="J734">
        <v>11.5</v>
      </c>
      <c r="K734" t="s">
        <v>6</v>
      </c>
      <c r="L734">
        <v>220</v>
      </c>
      <c r="M734" t="s">
        <v>6</v>
      </c>
    </row>
    <row r="735" spans="1:13" x14ac:dyDescent="0.2">
      <c r="A735" s="1">
        <v>45446</v>
      </c>
      <c r="B735" s="2">
        <v>0.20833333333333334</v>
      </c>
      <c r="C735" s="3">
        <v>45446.208333333336</v>
      </c>
      <c r="D735">
        <v>50.1</v>
      </c>
      <c r="E735">
        <v>53.9</v>
      </c>
      <c r="F735">
        <v>47.3</v>
      </c>
      <c r="G735" t="s">
        <v>6</v>
      </c>
      <c r="H735">
        <v>13.2</v>
      </c>
      <c r="I735">
        <v>18.8</v>
      </c>
      <c r="J735">
        <v>10.5</v>
      </c>
      <c r="K735" t="s">
        <v>6</v>
      </c>
      <c r="L735">
        <v>213</v>
      </c>
      <c r="M735" t="s">
        <v>6</v>
      </c>
    </row>
    <row r="736" spans="1:13" x14ac:dyDescent="0.2">
      <c r="A736" s="1">
        <v>45446</v>
      </c>
      <c r="B736" s="2">
        <v>0.25</v>
      </c>
      <c r="C736" s="3">
        <v>45446.25</v>
      </c>
      <c r="D736">
        <v>53.3</v>
      </c>
      <c r="E736">
        <v>57.4</v>
      </c>
      <c r="F736">
        <v>50.2</v>
      </c>
      <c r="G736" t="s">
        <v>6</v>
      </c>
      <c r="H736">
        <v>15.6</v>
      </c>
      <c r="I736">
        <v>22.9</v>
      </c>
      <c r="J736">
        <v>11.3</v>
      </c>
      <c r="K736" t="s">
        <v>6</v>
      </c>
      <c r="L736">
        <v>135</v>
      </c>
      <c r="M736" t="s">
        <v>6</v>
      </c>
    </row>
    <row r="737" spans="1:13" x14ac:dyDescent="0.2">
      <c r="A737" s="1">
        <v>45446</v>
      </c>
      <c r="B737" s="2">
        <v>0.29166666666666669</v>
      </c>
      <c r="C737" s="3">
        <v>45446.291666666664</v>
      </c>
      <c r="D737">
        <v>65</v>
      </c>
      <c r="E737">
        <v>68.2</v>
      </c>
      <c r="F737">
        <v>58.1</v>
      </c>
      <c r="G737" t="s">
        <v>6</v>
      </c>
      <c r="H737">
        <v>18.399999999999999</v>
      </c>
      <c r="I737">
        <v>21.7</v>
      </c>
      <c r="J737">
        <v>15.6</v>
      </c>
      <c r="K737" t="s">
        <v>6</v>
      </c>
      <c r="L737">
        <v>13</v>
      </c>
      <c r="M737" t="s">
        <v>6</v>
      </c>
    </row>
    <row r="738" spans="1:13" x14ac:dyDescent="0.2">
      <c r="A738" s="13">
        <v>45446</v>
      </c>
      <c r="B738" s="9">
        <v>0.33333333333333331</v>
      </c>
      <c r="C738" s="8">
        <v>45446.333333333336</v>
      </c>
      <c r="D738" s="10">
        <v>57.4</v>
      </c>
      <c r="E738" s="10">
        <v>60.9</v>
      </c>
      <c r="F738" s="10">
        <v>55.9</v>
      </c>
      <c r="G738" s="10" t="s">
        <v>6</v>
      </c>
      <c r="H738" s="10">
        <v>23.5</v>
      </c>
      <c r="I738" s="10">
        <v>24.3</v>
      </c>
      <c r="J738" s="10">
        <v>22.7</v>
      </c>
      <c r="K738" s="10" t="s">
        <v>6</v>
      </c>
      <c r="L738" s="10">
        <v>4</v>
      </c>
      <c r="M738" t="s">
        <v>6</v>
      </c>
    </row>
    <row r="739" spans="1:13" x14ac:dyDescent="0.2">
      <c r="A739" s="14">
        <v>45446</v>
      </c>
      <c r="B739" s="12">
        <v>0.375</v>
      </c>
      <c r="C739" s="7">
        <v>45446.375</v>
      </c>
      <c r="D739" s="11">
        <v>56.2</v>
      </c>
      <c r="E739" s="11">
        <v>57.3</v>
      </c>
      <c r="F739" s="11">
        <v>54.3</v>
      </c>
      <c r="G739" s="11" t="s">
        <v>6</v>
      </c>
      <c r="H739" s="11">
        <v>17.7</v>
      </c>
      <c r="I739" s="11">
        <v>27.4</v>
      </c>
      <c r="J739" s="11">
        <v>12.4</v>
      </c>
      <c r="K739" s="11" t="s">
        <v>6</v>
      </c>
      <c r="L739" s="11">
        <v>57</v>
      </c>
      <c r="M739" t="s">
        <v>6</v>
      </c>
    </row>
    <row r="740" spans="1:13" x14ac:dyDescent="0.2">
      <c r="A740" s="1">
        <v>45446</v>
      </c>
      <c r="B740" s="2">
        <v>0.41666666666666669</v>
      </c>
      <c r="C740" s="3">
        <v>45446.416666666664</v>
      </c>
      <c r="D740">
        <v>63.3</v>
      </c>
      <c r="E740">
        <v>65.400000000000006</v>
      </c>
      <c r="F740">
        <v>59.8</v>
      </c>
      <c r="G740" t="s">
        <v>6</v>
      </c>
      <c r="H740">
        <v>15.4</v>
      </c>
      <c r="I740">
        <v>20.9</v>
      </c>
      <c r="J740">
        <v>11.5</v>
      </c>
      <c r="K740" t="s">
        <v>6</v>
      </c>
      <c r="L740">
        <v>57</v>
      </c>
      <c r="M740" t="s">
        <v>6</v>
      </c>
    </row>
    <row r="741" spans="1:13" x14ac:dyDescent="0.2">
      <c r="A741" s="1">
        <v>45446</v>
      </c>
      <c r="B741" s="2">
        <v>0.45833333333333331</v>
      </c>
      <c r="C741" s="3">
        <v>45446.458333333336</v>
      </c>
      <c r="D741">
        <v>63.2</v>
      </c>
      <c r="E741">
        <v>67.400000000000006</v>
      </c>
      <c r="F741">
        <v>59.9</v>
      </c>
      <c r="G741" t="s">
        <v>6</v>
      </c>
      <c r="H741">
        <v>15.9</v>
      </c>
      <c r="I741">
        <v>19.3</v>
      </c>
      <c r="J741">
        <v>12.4</v>
      </c>
      <c r="K741" t="s">
        <v>6</v>
      </c>
      <c r="L741">
        <v>78</v>
      </c>
      <c r="M741" t="s">
        <v>6</v>
      </c>
    </row>
    <row r="742" spans="1:13" x14ac:dyDescent="0.2">
      <c r="A742" s="1">
        <v>45446</v>
      </c>
      <c r="B742" s="2">
        <v>0.5</v>
      </c>
      <c r="C742" s="3">
        <v>45446.5</v>
      </c>
      <c r="D742">
        <v>63</v>
      </c>
      <c r="E742">
        <v>65.8</v>
      </c>
      <c r="F742">
        <v>61.2</v>
      </c>
      <c r="G742" t="s">
        <v>6</v>
      </c>
      <c r="H742">
        <v>18</v>
      </c>
      <c r="I742">
        <v>26.7</v>
      </c>
      <c r="J742">
        <v>12.9</v>
      </c>
      <c r="K742" t="s">
        <v>6</v>
      </c>
      <c r="L742">
        <v>59</v>
      </c>
      <c r="M742" t="s">
        <v>6</v>
      </c>
    </row>
    <row r="743" spans="1:13" x14ac:dyDescent="0.2">
      <c r="A743" s="1">
        <v>45446</v>
      </c>
      <c r="B743" s="2">
        <v>0.54166666666666663</v>
      </c>
      <c r="C743" s="3">
        <v>45446.541666666664</v>
      </c>
      <c r="D743">
        <v>64.900000000000006</v>
      </c>
      <c r="E743">
        <v>68.2</v>
      </c>
      <c r="F743">
        <v>62.5</v>
      </c>
      <c r="G743" t="s">
        <v>6</v>
      </c>
      <c r="H743">
        <v>17.600000000000001</v>
      </c>
      <c r="I743">
        <v>30.8</v>
      </c>
      <c r="J743">
        <v>12.5</v>
      </c>
      <c r="K743" t="s">
        <v>6</v>
      </c>
      <c r="L743">
        <v>36</v>
      </c>
      <c r="M743" t="s">
        <v>6</v>
      </c>
    </row>
    <row r="744" spans="1:13" x14ac:dyDescent="0.2">
      <c r="A744" s="1">
        <v>45446</v>
      </c>
      <c r="B744" s="2">
        <v>0.58333333333333337</v>
      </c>
      <c r="C744" s="3">
        <v>45446.583333333336</v>
      </c>
      <c r="D744">
        <v>64.7</v>
      </c>
      <c r="E744">
        <v>68</v>
      </c>
      <c r="F744">
        <v>63.3</v>
      </c>
      <c r="G744" t="s">
        <v>6</v>
      </c>
      <c r="H744">
        <v>19.100000000000001</v>
      </c>
      <c r="I744">
        <v>25.8</v>
      </c>
      <c r="J744">
        <v>14</v>
      </c>
      <c r="K744" t="s">
        <v>6</v>
      </c>
      <c r="L744">
        <v>21</v>
      </c>
      <c r="M744" t="s">
        <v>6</v>
      </c>
    </row>
    <row r="745" spans="1:13" x14ac:dyDescent="0.2">
      <c r="A745" s="1">
        <v>45446</v>
      </c>
      <c r="B745" s="2">
        <v>0.625</v>
      </c>
      <c r="C745" s="3">
        <v>45446.625</v>
      </c>
      <c r="D745">
        <v>66</v>
      </c>
      <c r="E745">
        <v>68.7</v>
      </c>
      <c r="F745">
        <v>63.6</v>
      </c>
      <c r="G745" t="s">
        <v>6</v>
      </c>
      <c r="H745">
        <v>18.399999999999999</v>
      </c>
      <c r="I745">
        <v>24.7</v>
      </c>
      <c r="J745">
        <v>13.4</v>
      </c>
      <c r="K745" t="s">
        <v>6</v>
      </c>
      <c r="L745">
        <v>59</v>
      </c>
      <c r="M745" t="s">
        <v>6</v>
      </c>
    </row>
    <row r="746" spans="1:13" x14ac:dyDescent="0.2">
      <c r="A746" s="1">
        <v>45446</v>
      </c>
      <c r="B746" s="2">
        <v>0.66666666666666663</v>
      </c>
      <c r="C746" s="3">
        <v>45446.666666666664</v>
      </c>
      <c r="D746">
        <v>57.8</v>
      </c>
      <c r="E746">
        <v>63.5</v>
      </c>
      <c r="F746">
        <v>53.5</v>
      </c>
      <c r="G746" t="s">
        <v>6</v>
      </c>
      <c r="H746">
        <v>12.5</v>
      </c>
      <c r="I746">
        <v>23.3</v>
      </c>
      <c r="J746">
        <v>10.199999999999999</v>
      </c>
      <c r="K746" t="s">
        <v>6</v>
      </c>
      <c r="L746">
        <v>200</v>
      </c>
      <c r="M746" t="s">
        <v>6</v>
      </c>
    </row>
    <row r="747" spans="1:13" x14ac:dyDescent="0.2">
      <c r="A747" s="1">
        <v>45446</v>
      </c>
      <c r="B747" s="2">
        <v>0.70833333333333337</v>
      </c>
      <c r="C747" s="3">
        <v>45446.708333333336</v>
      </c>
      <c r="D747">
        <v>58</v>
      </c>
      <c r="E747">
        <v>65</v>
      </c>
      <c r="F747">
        <v>52.8</v>
      </c>
      <c r="G747" t="s">
        <v>6</v>
      </c>
      <c r="H747">
        <v>16.7</v>
      </c>
      <c r="I747">
        <v>23</v>
      </c>
      <c r="J747">
        <v>12.2</v>
      </c>
      <c r="K747" t="s">
        <v>6</v>
      </c>
      <c r="L747">
        <v>38</v>
      </c>
      <c r="M747" t="s">
        <v>6</v>
      </c>
    </row>
    <row r="748" spans="1:13" x14ac:dyDescent="0.2">
      <c r="A748" s="1">
        <v>45446</v>
      </c>
      <c r="B748" s="2">
        <v>0.75</v>
      </c>
      <c r="C748" s="3">
        <v>45446.75</v>
      </c>
      <c r="D748">
        <v>80.900000000000006</v>
      </c>
      <c r="E748">
        <v>93.2</v>
      </c>
      <c r="F748">
        <v>63.8</v>
      </c>
      <c r="G748" t="s">
        <v>6</v>
      </c>
      <c r="H748">
        <v>17.899999999999999</v>
      </c>
      <c r="I748">
        <v>25.5</v>
      </c>
      <c r="J748">
        <v>11.4</v>
      </c>
      <c r="K748" t="s">
        <v>6</v>
      </c>
      <c r="L748">
        <v>89</v>
      </c>
      <c r="M748" t="s">
        <v>6</v>
      </c>
    </row>
    <row r="749" spans="1:13" x14ac:dyDescent="0.2">
      <c r="A749" s="1">
        <v>45446</v>
      </c>
      <c r="B749" s="2">
        <v>0.79166666666666663</v>
      </c>
      <c r="C749" s="3">
        <v>45446.791666666664</v>
      </c>
      <c r="D749">
        <v>83.6</v>
      </c>
      <c r="E749">
        <v>92.3</v>
      </c>
      <c r="F749">
        <v>75.8</v>
      </c>
      <c r="G749" t="s">
        <v>6</v>
      </c>
      <c r="H749">
        <v>17</v>
      </c>
      <c r="I749">
        <v>28.3</v>
      </c>
      <c r="J749">
        <v>13</v>
      </c>
      <c r="K749" t="s">
        <v>6</v>
      </c>
      <c r="L749">
        <v>92</v>
      </c>
      <c r="M749" t="s">
        <v>6</v>
      </c>
    </row>
    <row r="750" spans="1:13" x14ac:dyDescent="0.2">
      <c r="A750" s="1">
        <v>45446</v>
      </c>
      <c r="B750" s="2">
        <v>0.83333333333333337</v>
      </c>
      <c r="C750" s="3">
        <v>45446.833333333336</v>
      </c>
      <c r="D750">
        <v>80.099999999999994</v>
      </c>
      <c r="E750">
        <v>96.8</v>
      </c>
      <c r="F750">
        <v>68.2</v>
      </c>
      <c r="G750" t="s">
        <v>6</v>
      </c>
      <c r="H750">
        <v>16.399999999999999</v>
      </c>
      <c r="I750">
        <v>35.1</v>
      </c>
      <c r="J750">
        <v>12.8</v>
      </c>
      <c r="K750" t="s">
        <v>6</v>
      </c>
      <c r="L750">
        <v>220</v>
      </c>
      <c r="M750" t="s">
        <v>6</v>
      </c>
    </row>
    <row r="751" spans="1:13" x14ac:dyDescent="0.2">
      <c r="A751" s="1">
        <v>45446</v>
      </c>
      <c r="B751" s="2">
        <v>0.875</v>
      </c>
      <c r="C751" s="3">
        <v>45446.875</v>
      </c>
      <c r="D751">
        <v>48.2</v>
      </c>
      <c r="E751">
        <v>68.2</v>
      </c>
      <c r="F751">
        <v>44.1</v>
      </c>
      <c r="G751" t="s">
        <v>6</v>
      </c>
      <c r="H751">
        <v>15.1</v>
      </c>
      <c r="I751">
        <v>22.8</v>
      </c>
      <c r="J751">
        <v>12.8</v>
      </c>
      <c r="K751" t="s">
        <v>6</v>
      </c>
      <c r="L751">
        <v>223</v>
      </c>
      <c r="M751" t="s">
        <v>6</v>
      </c>
    </row>
    <row r="752" spans="1:13" x14ac:dyDescent="0.2">
      <c r="A752" s="1">
        <v>45446</v>
      </c>
      <c r="B752" s="2">
        <v>0.91666666666666663</v>
      </c>
      <c r="C752" s="3">
        <v>45446.916666666664</v>
      </c>
      <c r="D752">
        <v>62</v>
      </c>
      <c r="E752">
        <v>95.5</v>
      </c>
      <c r="F752">
        <v>44.7</v>
      </c>
      <c r="G752" t="s">
        <v>6</v>
      </c>
      <c r="H752">
        <v>17.3</v>
      </c>
      <c r="I752">
        <v>29.6</v>
      </c>
      <c r="J752">
        <v>13.1</v>
      </c>
      <c r="K752" t="s">
        <v>6</v>
      </c>
      <c r="L752">
        <v>223</v>
      </c>
      <c r="M752" t="s">
        <v>6</v>
      </c>
    </row>
    <row r="753" spans="1:13" x14ac:dyDescent="0.2">
      <c r="A753" s="1">
        <v>45446</v>
      </c>
      <c r="B753" s="2">
        <v>0.95833333333333337</v>
      </c>
      <c r="C753" s="3">
        <v>45446.958333333336</v>
      </c>
      <c r="D753">
        <v>84.3</v>
      </c>
      <c r="E753">
        <v>90.7</v>
      </c>
      <c r="F753">
        <v>73.3</v>
      </c>
      <c r="G753" t="s">
        <v>6</v>
      </c>
      <c r="H753">
        <v>14.3</v>
      </c>
      <c r="I753">
        <v>18.7</v>
      </c>
      <c r="J753">
        <v>12.3</v>
      </c>
      <c r="K753" t="s">
        <v>6</v>
      </c>
      <c r="L753">
        <v>214</v>
      </c>
      <c r="M753" t="s">
        <v>6</v>
      </c>
    </row>
    <row r="754" spans="1:13" x14ac:dyDescent="0.2">
      <c r="A754" s="1">
        <v>45447</v>
      </c>
      <c r="B754" s="2">
        <v>0</v>
      </c>
      <c r="C754" s="3">
        <v>45447</v>
      </c>
      <c r="D754">
        <v>67.3</v>
      </c>
      <c r="E754">
        <v>81.599999999999994</v>
      </c>
      <c r="F754">
        <v>44.4</v>
      </c>
      <c r="G754" t="s">
        <v>6</v>
      </c>
      <c r="H754">
        <v>16.2</v>
      </c>
      <c r="I754">
        <v>28.1</v>
      </c>
      <c r="J754">
        <v>13</v>
      </c>
      <c r="K754" t="s">
        <v>6</v>
      </c>
      <c r="L754">
        <v>217</v>
      </c>
      <c r="M754" t="s">
        <v>6</v>
      </c>
    </row>
    <row r="755" spans="1:13" x14ac:dyDescent="0.2">
      <c r="A755" s="1">
        <v>45447</v>
      </c>
      <c r="B755" s="2">
        <v>4.1666666666666664E-2</v>
      </c>
      <c r="C755" s="3">
        <v>45447.041666666664</v>
      </c>
      <c r="D755">
        <v>45.5</v>
      </c>
      <c r="E755">
        <v>47.4</v>
      </c>
      <c r="F755">
        <v>44.7</v>
      </c>
      <c r="G755" t="s">
        <v>6</v>
      </c>
      <c r="H755">
        <v>14</v>
      </c>
      <c r="I755">
        <v>22.4</v>
      </c>
      <c r="J755">
        <v>12.4</v>
      </c>
      <c r="K755" t="s">
        <v>6</v>
      </c>
      <c r="L755">
        <v>176</v>
      </c>
      <c r="M755" t="s">
        <v>6</v>
      </c>
    </row>
    <row r="756" spans="1:13" x14ac:dyDescent="0.2">
      <c r="A756" s="1">
        <v>45447</v>
      </c>
      <c r="B756" s="2">
        <v>8.3333333333333329E-2</v>
      </c>
      <c r="C756" s="3">
        <v>45447.083333333336</v>
      </c>
      <c r="D756">
        <v>49.8</v>
      </c>
      <c r="E756">
        <v>57.8</v>
      </c>
      <c r="F756">
        <v>44.8</v>
      </c>
      <c r="G756" t="s">
        <v>6</v>
      </c>
      <c r="H756">
        <v>14.6</v>
      </c>
      <c r="I756">
        <v>26.2</v>
      </c>
      <c r="J756">
        <v>11.9</v>
      </c>
      <c r="K756" t="s">
        <v>6</v>
      </c>
      <c r="L756">
        <v>220</v>
      </c>
      <c r="M756" t="s">
        <v>6</v>
      </c>
    </row>
    <row r="757" spans="1:13" x14ac:dyDescent="0.2">
      <c r="A757" s="1">
        <v>45447</v>
      </c>
      <c r="B757" s="2">
        <v>0.125</v>
      </c>
      <c r="C757" s="3">
        <v>45447.125</v>
      </c>
      <c r="D757">
        <v>55.5</v>
      </c>
      <c r="E757">
        <v>85.1</v>
      </c>
      <c r="F757">
        <v>51.2</v>
      </c>
      <c r="G757" t="s">
        <v>6</v>
      </c>
      <c r="H757">
        <v>14.4</v>
      </c>
      <c r="I757">
        <v>25.8</v>
      </c>
      <c r="J757">
        <v>11.8</v>
      </c>
      <c r="K757" t="s">
        <v>6</v>
      </c>
      <c r="L757">
        <v>224</v>
      </c>
      <c r="M757" t="s">
        <v>6</v>
      </c>
    </row>
    <row r="758" spans="1:13" x14ac:dyDescent="0.2">
      <c r="A758" s="1">
        <v>45447</v>
      </c>
      <c r="B758" s="2">
        <v>0.16666666666666666</v>
      </c>
      <c r="C758" s="3">
        <v>45447.166666666664</v>
      </c>
      <c r="D758">
        <v>88.7</v>
      </c>
      <c r="E758">
        <v>109.8</v>
      </c>
      <c r="F758">
        <v>68.900000000000006</v>
      </c>
      <c r="G758" t="s">
        <v>6</v>
      </c>
      <c r="H758">
        <v>13</v>
      </c>
      <c r="I758">
        <v>15.6</v>
      </c>
      <c r="J758">
        <v>11.4</v>
      </c>
      <c r="K758" t="s">
        <v>6</v>
      </c>
      <c r="L758">
        <v>220</v>
      </c>
      <c r="M758" t="s">
        <v>6</v>
      </c>
    </row>
    <row r="759" spans="1:13" x14ac:dyDescent="0.2">
      <c r="A759" s="1">
        <v>45447</v>
      </c>
      <c r="B759" s="2">
        <v>0.20833333333333334</v>
      </c>
      <c r="C759" s="3">
        <v>45447.208333333336</v>
      </c>
      <c r="D759">
        <v>60.6</v>
      </c>
      <c r="E759">
        <v>83.3</v>
      </c>
      <c r="F759">
        <v>44</v>
      </c>
      <c r="G759" t="s">
        <v>6</v>
      </c>
      <c r="H759">
        <v>14.1</v>
      </c>
      <c r="I759">
        <v>21.6</v>
      </c>
      <c r="J759">
        <v>11.7</v>
      </c>
      <c r="K759" t="s">
        <v>6</v>
      </c>
      <c r="L759">
        <v>211</v>
      </c>
      <c r="M759" t="s">
        <v>6</v>
      </c>
    </row>
    <row r="760" spans="1:13" x14ac:dyDescent="0.2">
      <c r="A760" s="1">
        <v>45447</v>
      </c>
      <c r="B760" s="2">
        <v>0.25</v>
      </c>
      <c r="C760" s="3">
        <v>45447.25</v>
      </c>
      <c r="D760">
        <v>45.5</v>
      </c>
      <c r="E760">
        <v>45.5</v>
      </c>
      <c r="F760">
        <v>45.5</v>
      </c>
      <c r="G760" t="s">
        <v>6</v>
      </c>
      <c r="H760">
        <v>17.7</v>
      </c>
      <c r="I760">
        <v>19.3</v>
      </c>
      <c r="J760">
        <v>15.2</v>
      </c>
      <c r="K760" t="s">
        <v>6</v>
      </c>
      <c r="L760">
        <v>3</v>
      </c>
      <c r="M760" t="s">
        <v>6</v>
      </c>
    </row>
    <row r="761" spans="1:13" x14ac:dyDescent="0.2">
      <c r="A761" s="13">
        <v>45447</v>
      </c>
      <c r="B761" s="9">
        <v>0.33333333333333331</v>
      </c>
      <c r="C761" s="8">
        <v>45447.333333333336</v>
      </c>
      <c r="D761" s="10">
        <v>66.599999999999994</v>
      </c>
      <c r="E761" s="10">
        <v>68.8</v>
      </c>
      <c r="F761" s="10">
        <v>62.9</v>
      </c>
      <c r="G761" s="10" t="s">
        <v>6</v>
      </c>
      <c r="H761" s="10">
        <v>18.2</v>
      </c>
      <c r="I761" s="10">
        <v>25.1</v>
      </c>
      <c r="J761" s="10">
        <v>15.3</v>
      </c>
      <c r="K761" s="10" t="s">
        <v>6</v>
      </c>
      <c r="L761" s="10">
        <v>37</v>
      </c>
      <c r="M761" t="s">
        <v>6</v>
      </c>
    </row>
    <row r="762" spans="1:13" x14ac:dyDescent="0.2">
      <c r="A762" s="14">
        <v>45447</v>
      </c>
      <c r="B762" s="12">
        <v>0.375</v>
      </c>
      <c r="C762" s="7">
        <v>45447.375</v>
      </c>
      <c r="D762" s="11">
        <v>61.8</v>
      </c>
      <c r="E762" s="11">
        <v>63.3</v>
      </c>
      <c r="F762" s="11">
        <v>60.7</v>
      </c>
      <c r="G762" s="11" t="s">
        <v>6</v>
      </c>
      <c r="H762" s="11">
        <v>16</v>
      </c>
      <c r="I762" s="11">
        <v>22.7</v>
      </c>
      <c r="J762" s="11">
        <v>11.9</v>
      </c>
      <c r="K762" s="11" t="s">
        <v>6</v>
      </c>
      <c r="L762" s="11">
        <v>30</v>
      </c>
      <c r="M762" t="s">
        <v>6</v>
      </c>
    </row>
    <row r="763" spans="1:13" x14ac:dyDescent="0.2">
      <c r="A763" s="1">
        <v>45447</v>
      </c>
      <c r="B763" s="2">
        <v>0.41666666666666669</v>
      </c>
      <c r="C763" s="3">
        <v>45447.416666666664</v>
      </c>
      <c r="D763">
        <v>60.2</v>
      </c>
      <c r="E763">
        <v>63.6</v>
      </c>
      <c r="F763">
        <v>58.1</v>
      </c>
      <c r="G763" t="s">
        <v>6</v>
      </c>
      <c r="H763">
        <v>18.7</v>
      </c>
      <c r="I763">
        <v>31.8</v>
      </c>
      <c r="J763">
        <v>12.2</v>
      </c>
      <c r="K763" t="s">
        <v>6</v>
      </c>
      <c r="L763">
        <v>113</v>
      </c>
      <c r="M763" t="s">
        <v>6</v>
      </c>
    </row>
    <row r="764" spans="1:13" x14ac:dyDescent="0.2">
      <c r="A764" s="1">
        <v>45447</v>
      </c>
      <c r="B764" s="2">
        <v>0.45833333333333331</v>
      </c>
      <c r="C764" s="3">
        <v>45447.458333333336</v>
      </c>
      <c r="D764">
        <v>61.2</v>
      </c>
      <c r="E764">
        <v>67.400000000000006</v>
      </c>
      <c r="F764">
        <v>56.7</v>
      </c>
      <c r="G764" t="s">
        <v>6</v>
      </c>
      <c r="H764">
        <v>14.6</v>
      </c>
      <c r="I764">
        <v>21.1</v>
      </c>
      <c r="J764">
        <v>10.8</v>
      </c>
      <c r="K764" t="s">
        <v>6</v>
      </c>
      <c r="L764">
        <v>179</v>
      </c>
      <c r="M764" t="s">
        <v>6</v>
      </c>
    </row>
    <row r="765" spans="1:13" x14ac:dyDescent="0.2">
      <c r="A765" s="1">
        <v>45447</v>
      </c>
      <c r="B765" s="2">
        <v>0.5</v>
      </c>
      <c r="C765" s="3">
        <v>45447.5</v>
      </c>
      <c r="D765">
        <v>66.099999999999994</v>
      </c>
      <c r="E765">
        <v>70.599999999999994</v>
      </c>
      <c r="F765">
        <v>60.3</v>
      </c>
      <c r="G765" t="s">
        <v>6</v>
      </c>
      <c r="H765">
        <v>15.5</v>
      </c>
      <c r="I765">
        <v>21.2</v>
      </c>
      <c r="J765">
        <v>11.7</v>
      </c>
      <c r="K765" t="s">
        <v>6</v>
      </c>
      <c r="L765">
        <v>186</v>
      </c>
      <c r="M765" t="s">
        <v>6</v>
      </c>
    </row>
    <row r="766" spans="1:13" x14ac:dyDescent="0.2">
      <c r="A766" s="1">
        <v>45447</v>
      </c>
      <c r="B766" s="2">
        <v>0.54166666666666663</v>
      </c>
      <c r="C766" s="3">
        <v>45447.541666666664</v>
      </c>
      <c r="D766">
        <v>66.7</v>
      </c>
      <c r="E766">
        <v>70.599999999999994</v>
      </c>
      <c r="F766">
        <v>56.2</v>
      </c>
      <c r="G766" t="s">
        <v>6</v>
      </c>
      <c r="H766">
        <v>14.2</v>
      </c>
      <c r="I766">
        <v>21.1</v>
      </c>
      <c r="J766">
        <v>10.9</v>
      </c>
      <c r="K766" t="s">
        <v>6</v>
      </c>
      <c r="L766">
        <v>210</v>
      </c>
      <c r="M766" t="s">
        <v>6</v>
      </c>
    </row>
    <row r="767" spans="1:13" x14ac:dyDescent="0.2">
      <c r="A767" s="1">
        <v>45447</v>
      </c>
      <c r="B767" s="2">
        <v>0.58333333333333337</v>
      </c>
      <c r="C767" s="3">
        <v>45447.583333333336</v>
      </c>
      <c r="D767">
        <v>64.8</v>
      </c>
      <c r="E767">
        <v>69.7</v>
      </c>
      <c r="F767">
        <v>56.5</v>
      </c>
      <c r="G767" t="s">
        <v>6</v>
      </c>
      <c r="H767">
        <v>14.2</v>
      </c>
      <c r="I767">
        <v>19.100000000000001</v>
      </c>
      <c r="J767">
        <v>11.3</v>
      </c>
      <c r="K767" t="s">
        <v>6</v>
      </c>
      <c r="L767">
        <v>228</v>
      </c>
      <c r="M767" t="s">
        <v>6</v>
      </c>
    </row>
    <row r="768" spans="1:13" x14ac:dyDescent="0.2">
      <c r="A768" s="1">
        <v>45447</v>
      </c>
      <c r="B768" s="2">
        <v>0.625</v>
      </c>
      <c r="C768" s="3">
        <v>45447.625</v>
      </c>
      <c r="D768">
        <v>63.1</v>
      </c>
      <c r="E768">
        <v>70</v>
      </c>
      <c r="F768">
        <v>54.7</v>
      </c>
      <c r="G768" t="s">
        <v>6</v>
      </c>
      <c r="H768">
        <v>15.7</v>
      </c>
      <c r="I768">
        <v>31.5</v>
      </c>
      <c r="J768">
        <v>10.3</v>
      </c>
      <c r="K768" t="s">
        <v>6</v>
      </c>
      <c r="L768">
        <v>196</v>
      </c>
      <c r="M768" t="s">
        <v>6</v>
      </c>
    </row>
    <row r="769" spans="1:13" x14ac:dyDescent="0.2">
      <c r="A769" s="1">
        <v>45447</v>
      </c>
      <c r="B769" s="2">
        <v>0.66666666666666663</v>
      </c>
      <c r="C769" s="3">
        <v>45447.666666666664</v>
      </c>
      <c r="D769">
        <v>56</v>
      </c>
      <c r="E769">
        <v>63.5</v>
      </c>
      <c r="F769">
        <v>50</v>
      </c>
      <c r="G769" t="s">
        <v>6</v>
      </c>
      <c r="H769">
        <v>13.6</v>
      </c>
      <c r="I769">
        <v>21.4</v>
      </c>
      <c r="J769">
        <v>10.199999999999999</v>
      </c>
      <c r="K769" t="s">
        <v>6</v>
      </c>
      <c r="L769">
        <v>194</v>
      </c>
      <c r="M769" t="s">
        <v>6</v>
      </c>
    </row>
    <row r="770" spans="1:13" x14ac:dyDescent="0.2">
      <c r="A770" s="1">
        <v>45447</v>
      </c>
      <c r="B770" s="2">
        <v>0.70833333333333337</v>
      </c>
      <c r="C770" s="3">
        <v>45447.708333333336</v>
      </c>
      <c r="D770">
        <v>62.2</v>
      </c>
      <c r="E770">
        <v>65.900000000000006</v>
      </c>
      <c r="F770">
        <v>57.2</v>
      </c>
      <c r="G770" t="s">
        <v>6</v>
      </c>
      <c r="H770">
        <v>32.1</v>
      </c>
      <c r="I770">
        <v>35.9</v>
      </c>
      <c r="J770">
        <v>22.8</v>
      </c>
      <c r="K770" t="s">
        <v>6</v>
      </c>
      <c r="L770">
        <v>87</v>
      </c>
      <c r="M770" t="s">
        <v>6</v>
      </c>
    </row>
    <row r="771" spans="1:13" x14ac:dyDescent="0.2">
      <c r="A771" s="1">
        <v>45447</v>
      </c>
      <c r="B771" s="2">
        <v>0.75</v>
      </c>
      <c r="C771" s="3">
        <v>45447.75</v>
      </c>
      <c r="D771">
        <v>63.8</v>
      </c>
      <c r="E771">
        <v>73.599999999999994</v>
      </c>
      <c r="F771">
        <v>59.1</v>
      </c>
      <c r="G771" t="s">
        <v>6</v>
      </c>
      <c r="H771">
        <v>28.6</v>
      </c>
      <c r="I771">
        <v>34.9</v>
      </c>
      <c r="J771">
        <v>18.399999999999999</v>
      </c>
      <c r="K771" t="s">
        <v>6</v>
      </c>
      <c r="L771">
        <v>32</v>
      </c>
      <c r="M771" t="s">
        <v>6</v>
      </c>
    </row>
    <row r="772" spans="1:13" x14ac:dyDescent="0.2">
      <c r="A772" s="1">
        <v>45447</v>
      </c>
      <c r="B772" s="2">
        <v>0.79166666666666663</v>
      </c>
      <c r="C772" s="3">
        <v>45447.791666666664</v>
      </c>
      <c r="D772">
        <v>102.8</v>
      </c>
      <c r="E772">
        <v>113.4</v>
      </c>
      <c r="F772">
        <v>70.7</v>
      </c>
      <c r="G772" t="s">
        <v>6</v>
      </c>
      <c r="H772">
        <v>17.600000000000001</v>
      </c>
      <c r="I772">
        <v>30.1</v>
      </c>
      <c r="J772">
        <v>12</v>
      </c>
      <c r="K772" t="s">
        <v>6</v>
      </c>
      <c r="L772">
        <v>82</v>
      </c>
      <c r="M772" t="s">
        <v>6</v>
      </c>
    </row>
    <row r="773" spans="1:13" x14ac:dyDescent="0.2">
      <c r="A773" s="1">
        <v>45447</v>
      </c>
      <c r="B773" s="2">
        <v>0.83333333333333337</v>
      </c>
      <c r="C773" s="3">
        <v>45447.833333333336</v>
      </c>
      <c r="D773">
        <v>79.7</v>
      </c>
      <c r="E773">
        <v>116.1</v>
      </c>
      <c r="F773">
        <v>45</v>
      </c>
      <c r="G773" t="s">
        <v>6</v>
      </c>
      <c r="H773">
        <v>16.899999999999999</v>
      </c>
      <c r="I773">
        <v>29.3</v>
      </c>
      <c r="J773">
        <v>12</v>
      </c>
      <c r="K773" t="s">
        <v>6</v>
      </c>
      <c r="L773">
        <v>214</v>
      </c>
      <c r="M773" t="s">
        <v>6</v>
      </c>
    </row>
    <row r="774" spans="1:13" x14ac:dyDescent="0.2">
      <c r="A774" s="1">
        <v>45447</v>
      </c>
      <c r="B774" s="2">
        <v>0.875</v>
      </c>
      <c r="C774" s="3">
        <v>45447.875</v>
      </c>
      <c r="D774">
        <v>82.8</v>
      </c>
      <c r="E774">
        <v>108.9</v>
      </c>
      <c r="F774">
        <v>48.5</v>
      </c>
      <c r="G774" t="s">
        <v>6</v>
      </c>
      <c r="H774">
        <v>14.7</v>
      </c>
      <c r="I774">
        <v>17.7</v>
      </c>
      <c r="J774">
        <v>13.1</v>
      </c>
      <c r="K774" t="s">
        <v>6</v>
      </c>
      <c r="L774">
        <v>227</v>
      </c>
      <c r="M774" t="s">
        <v>6</v>
      </c>
    </row>
    <row r="775" spans="1:13" x14ac:dyDescent="0.2">
      <c r="A775" s="1">
        <v>45447</v>
      </c>
      <c r="B775" s="2">
        <v>0.91666666666666663</v>
      </c>
      <c r="C775" s="3">
        <v>45447.916666666664</v>
      </c>
      <c r="D775">
        <v>97.9</v>
      </c>
      <c r="E775">
        <v>101.2</v>
      </c>
      <c r="F775">
        <v>97.5</v>
      </c>
      <c r="G775" t="s">
        <v>6</v>
      </c>
      <c r="H775">
        <v>15.2</v>
      </c>
      <c r="I775">
        <v>28.6</v>
      </c>
      <c r="J775">
        <v>12.7</v>
      </c>
      <c r="K775" t="s">
        <v>6</v>
      </c>
      <c r="L775">
        <v>212</v>
      </c>
      <c r="M775" t="s">
        <v>6</v>
      </c>
    </row>
    <row r="776" spans="1:13" x14ac:dyDescent="0.2">
      <c r="A776" s="1">
        <v>45447</v>
      </c>
      <c r="B776" s="2">
        <v>0.95833333333333337</v>
      </c>
      <c r="C776" s="3">
        <v>45447.958333333336</v>
      </c>
      <c r="D776">
        <v>59.4</v>
      </c>
      <c r="E776">
        <v>97.5</v>
      </c>
      <c r="F776">
        <v>51.2</v>
      </c>
      <c r="G776" t="s">
        <v>6</v>
      </c>
      <c r="H776">
        <v>16.3</v>
      </c>
      <c r="I776">
        <v>29.8</v>
      </c>
      <c r="J776">
        <v>12.5</v>
      </c>
      <c r="K776" t="s">
        <v>6</v>
      </c>
      <c r="L776">
        <v>215</v>
      </c>
      <c r="M776" t="s">
        <v>6</v>
      </c>
    </row>
    <row r="777" spans="1:13" x14ac:dyDescent="0.2">
      <c r="A777" s="1">
        <v>45448</v>
      </c>
      <c r="B777" s="2">
        <v>0</v>
      </c>
      <c r="C777" s="3">
        <v>45448</v>
      </c>
      <c r="D777">
        <v>68.099999999999994</v>
      </c>
      <c r="E777">
        <v>92.4</v>
      </c>
      <c r="F777">
        <v>52</v>
      </c>
      <c r="G777" t="s">
        <v>6</v>
      </c>
      <c r="H777">
        <v>14.6</v>
      </c>
      <c r="I777">
        <v>23.4</v>
      </c>
      <c r="J777">
        <v>11.8</v>
      </c>
      <c r="K777" t="s">
        <v>6</v>
      </c>
      <c r="L777">
        <v>217</v>
      </c>
      <c r="M777" t="s">
        <v>6</v>
      </c>
    </row>
    <row r="778" spans="1:13" x14ac:dyDescent="0.2">
      <c r="A778" s="1">
        <v>45448</v>
      </c>
      <c r="B778" s="2">
        <v>4.1666666666666664E-2</v>
      </c>
      <c r="C778" s="3">
        <v>45448.041666666664</v>
      </c>
      <c r="D778">
        <v>44.1</v>
      </c>
      <c r="E778">
        <v>61.6</v>
      </c>
      <c r="F778">
        <v>40.200000000000003</v>
      </c>
      <c r="G778" t="s">
        <v>6</v>
      </c>
      <c r="H778">
        <v>13.4</v>
      </c>
      <c r="I778">
        <v>17.399999999999999</v>
      </c>
      <c r="J778">
        <v>11.8</v>
      </c>
      <c r="K778" t="s">
        <v>6</v>
      </c>
      <c r="L778">
        <v>220</v>
      </c>
      <c r="M778" t="s">
        <v>6</v>
      </c>
    </row>
    <row r="779" spans="1:13" x14ac:dyDescent="0.2">
      <c r="A779" s="1">
        <v>45448</v>
      </c>
      <c r="B779" s="2">
        <v>8.3333333333333329E-2</v>
      </c>
      <c r="C779" s="3">
        <v>45448.083333333336</v>
      </c>
      <c r="D779">
        <v>45.8</v>
      </c>
      <c r="E779">
        <v>51.4</v>
      </c>
      <c r="F779">
        <v>42.5</v>
      </c>
      <c r="G779" t="s">
        <v>6</v>
      </c>
      <c r="H779">
        <v>18.3</v>
      </c>
      <c r="I779">
        <v>26.9</v>
      </c>
      <c r="J779">
        <v>12.1</v>
      </c>
      <c r="K779" t="s">
        <v>6</v>
      </c>
      <c r="L779">
        <v>214</v>
      </c>
      <c r="M779" t="s">
        <v>6</v>
      </c>
    </row>
    <row r="780" spans="1:13" x14ac:dyDescent="0.2">
      <c r="A780" s="1">
        <v>45448</v>
      </c>
      <c r="B780" s="2">
        <v>0.125</v>
      </c>
      <c r="C780" s="3">
        <v>45448.125</v>
      </c>
      <c r="D780">
        <v>48</v>
      </c>
      <c r="E780">
        <v>54.7</v>
      </c>
      <c r="F780">
        <v>41.7</v>
      </c>
      <c r="G780" t="s">
        <v>6</v>
      </c>
      <c r="H780">
        <v>15.2</v>
      </c>
      <c r="I780">
        <v>25.4</v>
      </c>
      <c r="J780">
        <v>12.3</v>
      </c>
      <c r="K780" t="s">
        <v>6</v>
      </c>
      <c r="L780">
        <v>218</v>
      </c>
      <c r="M780" t="s">
        <v>6</v>
      </c>
    </row>
    <row r="781" spans="1:13" x14ac:dyDescent="0.2">
      <c r="A781" s="1">
        <v>45448</v>
      </c>
      <c r="B781" s="2">
        <v>0.16666666666666666</v>
      </c>
      <c r="C781" s="3">
        <v>45448.166666666664</v>
      </c>
      <c r="D781">
        <v>47.1</v>
      </c>
      <c r="E781">
        <v>55.7</v>
      </c>
      <c r="F781">
        <v>41.3</v>
      </c>
      <c r="G781" t="s">
        <v>6</v>
      </c>
      <c r="H781">
        <v>16.5</v>
      </c>
      <c r="I781">
        <v>26.9</v>
      </c>
      <c r="J781">
        <v>12</v>
      </c>
      <c r="K781" t="s">
        <v>6</v>
      </c>
      <c r="L781">
        <v>223</v>
      </c>
      <c r="M781" t="s">
        <v>6</v>
      </c>
    </row>
    <row r="782" spans="1:13" x14ac:dyDescent="0.2">
      <c r="A782" s="1">
        <v>45448</v>
      </c>
      <c r="B782" s="2">
        <v>0.20833333333333334</v>
      </c>
      <c r="C782" s="3">
        <v>45448.208333333336</v>
      </c>
      <c r="D782">
        <v>50.9</v>
      </c>
      <c r="E782">
        <v>63.2</v>
      </c>
      <c r="F782">
        <v>42.1</v>
      </c>
      <c r="G782" t="s">
        <v>6</v>
      </c>
      <c r="H782">
        <v>16.7</v>
      </c>
      <c r="I782">
        <v>24.3</v>
      </c>
      <c r="J782">
        <v>12.4</v>
      </c>
      <c r="K782" t="s">
        <v>6</v>
      </c>
      <c r="L782">
        <v>48</v>
      </c>
      <c r="M782" t="s">
        <v>6</v>
      </c>
    </row>
    <row r="783" spans="1:13" x14ac:dyDescent="0.2">
      <c r="A783" s="1">
        <v>45448</v>
      </c>
      <c r="B783" s="2">
        <v>0.25</v>
      </c>
      <c r="C783" s="3">
        <v>45448.25</v>
      </c>
      <c r="D783">
        <v>62.3</v>
      </c>
      <c r="E783">
        <v>68.5</v>
      </c>
      <c r="F783">
        <v>59.4</v>
      </c>
      <c r="G783" t="s">
        <v>6</v>
      </c>
      <c r="H783">
        <v>17.7</v>
      </c>
      <c r="I783">
        <v>23.7</v>
      </c>
      <c r="J783">
        <v>12.8</v>
      </c>
      <c r="K783" t="s">
        <v>6</v>
      </c>
      <c r="L783">
        <v>95</v>
      </c>
      <c r="M783" t="s">
        <v>6</v>
      </c>
    </row>
    <row r="784" spans="1:13" x14ac:dyDescent="0.2">
      <c r="A784" s="1">
        <v>45448</v>
      </c>
      <c r="B784" s="2">
        <v>0.29166666666666669</v>
      </c>
      <c r="C784" s="3">
        <v>45448.291666666664</v>
      </c>
      <c r="D784">
        <v>65.7</v>
      </c>
      <c r="E784">
        <v>69.2</v>
      </c>
      <c r="F784">
        <v>63.3</v>
      </c>
      <c r="G784" t="s">
        <v>6</v>
      </c>
      <c r="H784">
        <v>16.399999999999999</v>
      </c>
      <c r="I784">
        <v>19.100000000000001</v>
      </c>
      <c r="J784">
        <v>14.4</v>
      </c>
      <c r="K784" t="s">
        <v>6</v>
      </c>
      <c r="L784">
        <v>34</v>
      </c>
      <c r="M784" t="s">
        <v>6</v>
      </c>
    </row>
    <row r="785" spans="1:13" x14ac:dyDescent="0.2">
      <c r="A785" s="13">
        <v>45448</v>
      </c>
      <c r="B785" s="9">
        <v>0.33333333333333331</v>
      </c>
      <c r="C785" s="8">
        <v>45448.333333333336</v>
      </c>
      <c r="D785" s="10">
        <v>68.7</v>
      </c>
      <c r="E785" s="10">
        <v>69.7</v>
      </c>
      <c r="F785" s="10">
        <v>68.400000000000006</v>
      </c>
      <c r="G785" s="10" t="s">
        <v>6</v>
      </c>
      <c r="H785" s="10">
        <v>15.2</v>
      </c>
      <c r="I785" s="10">
        <v>16.600000000000001</v>
      </c>
      <c r="J785" s="10">
        <v>12.8</v>
      </c>
      <c r="K785" s="10" t="s">
        <v>6</v>
      </c>
      <c r="L785" s="10">
        <v>8</v>
      </c>
      <c r="M785" t="s">
        <v>6</v>
      </c>
    </row>
    <row r="786" spans="1:13" x14ac:dyDescent="0.2">
      <c r="A786" s="14">
        <v>45448</v>
      </c>
      <c r="B786" s="12">
        <v>0.41666666666666669</v>
      </c>
      <c r="C786" s="7">
        <v>45448.416666666664</v>
      </c>
      <c r="D786" s="11">
        <v>54.8</v>
      </c>
      <c r="E786" s="11">
        <v>55.9</v>
      </c>
      <c r="F786" s="11">
        <v>54.1</v>
      </c>
      <c r="G786" s="11" t="s">
        <v>6</v>
      </c>
      <c r="H786" s="11">
        <v>19</v>
      </c>
      <c r="I786" s="11">
        <v>21.4</v>
      </c>
      <c r="J786" s="11">
        <v>16.399999999999999</v>
      </c>
      <c r="K786" s="11" t="s">
        <v>6</v>
      </c>
      <c r="L786" s="11">
        <v>15</v>
      </c>
      <c r="M786" t="s">
        <v>6</v>
      </c>
    </row>
    <row r="787" spans="1:13" x14ac:dyDescent="0.2">
      <c r="A787" s="1">
        <v>45448</v>
      </c>
      <c r="B787" s="2">
        <v>0.45833333333333331</v>
      </c>
      <c r="C787" s="3">
        <v>45448.458333333336</v>
      </c>
      <c r="D787">
        <v>57.6</v>
      </c>
      <c r="E787">
        <v>60.1</v>
      </c>
      <c r="F787">
        <v>53.8</v>
      </c>
      <c r="G787" t="s">
        <v>6</v>
      </c>
      <c r="H787">
        <v>19.5</v>
      </c>
      <c r="I787">
        <v>24.3</v>
      </c>
      <c r="J787">
        <v>15.9</v>
      </c>
      <c r="K787" t="s">
        <v>6</v>
      </c>
      <c r="L787">
        <v>58</v>
      </c>
      <c r="M787" t="s">
        <v>6</v>
      </c>
    </row>
    <row r="788" spans="1:13" x14ac:dyDescent="0.2">
      <c r="A788" s="1">
        <v>45448</v>
      </c>
      <c r="B788" s="2">
        <v>0.5</v>
      </c>
      <c r="C788" s="3">
        <v>45448.5</v>
      </c>
      <c r="D788">
        <v>64.7</v>
      </c>
      <c r="E788">
        <v>70.900000000000006</v>
      </c>
      <c r="F788">
        <v>56.2</v>
      </c>
      <c r="G788" t="s">
        <v>6</v>
      </c>
      <c r="H788">
        <v>15.1</v>
      </c>
      <c r="I788">
        <v>21.9</v>
      </c>
      <c r="J788">
        <v>10.7</v>
      </c>
      <c r="K788" t="s">
        <v>6</v>
      </c>
      <c r="L788">
        <v>198</v>
      </c>
      <c r="M788" t="s">
        <v>6</v>
      </c>
    </row>
    <row r="789" spans="1:13" x14ac:dyDescent="0.2">
      <c r="A789" s="1">
        <v>45448</v>
      </c>
      <c r="B789" s="2">
        <v>0.54166666666666663</v>
      </c>
      <c r="C789" s="3">
        <v>45448.541666666664</v>
      </c>
      <c r="D789">
        <v>67.400000000000006</v>
      </c>
      <c r="E789">
        <v>71</v>
      </c>
      <c r="F789">
        <v>63.1</v>
      </c>
      <c r="G789" t="s">
        <v>6</v>
      </c>
      <c r="H789">
        <v>14.4</v>
      </c>
      <c r="I789">
        <v>19.3</v>
      </c>
      <c r="J789">
        <v>11.2</v>
      </c>
      <c r="K789" t="s">
        <v>6</v>
      </c>
      <c r="L789">
        <v>203</v>
      </c>
      <c r="M789" t="s">
        <v>6</v>
      </c>
    </row>
    <row r="790" spans="1:13" x14ac:dyDescent="0.2">
      <c r="A790" s="1">
        <v>45448</v>
      </c>
      <c r="B790" s="2">
        <v>0.58333333333333337</v>
      </c>
      <c r="C790" s="3">
        <v>45448.583333333336</v>
      </c>
      <c r="D790">
        <v>64.5</v>
      </c>
      <c r="E790">
        <v>71.099999999999994</v>
      </c>
      <c r="F790">
        <v>59.1</v>
      </c>
      <c r="G790" t="s">
        <v>6</v>
      </c>
      <c r="H790">
        <v>12.8</v>
      </c>
      <c r="I790">
        <v>18.100000000000001</v>
      </c>
      <c r="J790">
        <v>10.199999999999999</v>
      </c>
      <c r="K790" t="s">
        <v>6</v>
      </c>
      <c r="L790">
        <v>188</v>
      </c>
      <c r="M790" t="s">
        <v>6</v>
      </c>
    </row>
    <row r="791" spans="1:13" x14ac:dyDescent="0.2">
      <c r="A791" s="1">
        <v>45448</v>
      </c>
      <c r="B791" s="2">
        <v>0.625</v>
      </c>
      <c r="C791" s="3">
        <v>45448.625</v>
      </c>
      <c r="D791">
        <v>62.2</v>
      </c>
      <c r="E791">
        <v>70.2</v>
      </c>
      <c r="F791">
        <v>55.1</v>
      </c>
      <c r="G791" t="s">
        <v>6</v>
      </c>
      <c r="H791">
        <v>12.9</v>
      </c>
      <c r="I791">
        <v>18.2</v>
      </c>
      <c r="J791">
        <v>9.8000000000000007</v>
      </c>
      <c r="K791" t="s">
        <v>6</v>
      </c>
      <c r="L791">
        <v>194</v>
      </c>
      <c r="M791" t="s">
        <v>6</v>
      </c>
    </row>
    <row r="792" spans="1:13" x14ac:dyDescent="0.2">
      <c r="A792" s="1">
        <v>45448</v>
      </c>
      <c r="B792" s="2">
        <v>0.66666666666666663</v>
      </c>
      <c r="C792" s="3">
        <v>45448.666666666664</v>
      </c>
      <c r="D792">
        <v>63.4</v>
      </c>
      <c r="E792">
        <v>68.599999999999994</v>
      </c>
      <c r="F792">
        <v>54.2</v>
      </c>
      <c r="G792" t="s">
        <v>6</v>
      </c>
      <c r="H792">
        <v>13.8</v>
      </c>
      <c r="I792">
        <v>20.6</v>
      </c>
      <c r="J792">
        <v>10.7</v>
      </c>
      <c r="K792" t="s">
        <v>6</v>
      </c>
      <c r="L792">
        <v>162</v>
      </c>
      <c r="M792" t="s">
        <v>6</v>
      </c>
    </row>
    <row r="793" spans="1:13" x14ac:dyDescent="0.2">
      <c r="A793" s="1">
        <v>45448</v>
      </c>
      <c r="B793" s="2">
        <v>0.70833333333333337</v>
      </c>
      <c r="C793" s="3">
        <v>45448.708333333336</v>
      </c>
      <c r="D793">
        <v>53.9</v>
      </c>
      <c r="E793">
        <v>55.3</v>
      </c>
      <c r="F793">
        <v>53.4</v>
      </c>
      <c r="G793" t="s">
        <v>6</v>
      </c>
      <c r="H793">
        <v>13.3</v>
      </c>
      <c r="I793">
        <v>16.399999999999999</v>
      </c>
      <c r="J793">
        <v>11.1</v>
      </c>
      <c r="K793" t="s">
        <v>6</v>
      </c>
      <c r="L793">
        <v>11</v>
      </c>
      <c r="M793" t="s">
        <v>6</v>
      </c>
    </row>
    <row r="794" spans="1:13" x14ac:dyDescent="0.2">
      <c r="A794" s="1">
        <v>45448</v>
      </c>
      <c r="B794" s="2">
        <v>0.75</v>
      </c>
      <c r="C794" s="3">
        <v>45448.75</v>
      </c>
      <c r="D794">
        <v>64.5</v>
      </c>
      <c r="E794">
        <v>68.400000000000006</v>
      </c>
      <c r="F794">
        <v>53.8</v>
      </c>
      <c r="G794" t="s">
        <v>6</v>
      </c>
      <c r="H794">
        <v>15.6</v>
      </c>
      <c r="I794">
        <v>20.7</v>
      </c>
      <c r="J794">
        <v>11.7</v>
      </c>
      <c r="K794" t="s">
        <v>6</v>
      </c>
      <c r="L794">
        <v>50</v>
      </c>
      <c r="M794" t="s">
        <v>6</v>
      </c>
    </row>
    <row r="795" spans="1:13" x14ac:dyDescent="0.2">
      <c r="A795" s="1">
        <v>45448</v>
      </c>
      <c r="B795" s="2">
        <v>0.79166666666666663</v>
      </c>
      <c r="C795" s="3">
        <v>45448.791666666664</v>
      </c>
      <c r="D795">
        <v>80.900000000000006</v>
      </c>
      <c r="E795">
        <v>120.5</v>
      </c>
      <c r="F795">
        <v>58.2</v>
      </c>
      <c r="G795" t="s">
        <v>6</v>
      </c>
      <c r="H795">
        <v>15.6</v>
      </c>
      <c r="I795">
        <v>21.1</v>
      </c>
      <c r="J795">
        <v>12.7</v>
      </c>
      <c r="K795" t="s">
        <v>6</v>
      </c>
      <c r="L795">
        <v>102</v>
      </c>
      <c r="M795" t="s">
        <v>6</v>
      </c>
    </row>
    <row r="796" spans="1:13" x14ac:dyDescent="0.2">
      <c r="A796" s="1">
        <v>45448</v>
      </c>
      <c r="B796" s="2">
        <v>0.83333333333333337</v>
      </c>
      <c r="C796" s="3">
        <v>45448.833333333336</v>
      </c>
      <c r="D796">
        <v>98.4</v>
      </c>
      <c r="E796">
        <v>115.8</v>
      </c>
      <c r="F796">
        <v>88.4</v>
      </c>
      <c r="G796" t="s">
        <v>6</v>
      </c>
      <c r="H796">
        <v>15.6</v>
      </c>
      <c r="I796">
        <v>27.3</v>
      </c>
      <c r="J796">
        <v>12.3</v>
      </c>
      <c r="K796" t="s">
        <v>6</v>
      </c>
      <c r="L796">
        <v>221</v>
      </c>
      <c r="M796" t="s">
        <v>6</v>
      </c>
    </row>
    <row r="797" spans="1:13" x14ac:dyDescent="0.2">
      <c r="A797" s="1">
        <v>45448</v>
      </c>
      <c r="B797" s="2">
        <v>0.875</v>
      </c>
      <c r="C797" s="3">
        <v>45448.875</v>
      </c>
      <c r="D797">
        <v>84.7</v>
      </c>
      <c r="E797">
        <v>96.5</v>
      </c>
      <c r="F797">
        <v>59.1</v>
      </c>
      <c r="G797" t="s">
        <v>6</v>
      </c>
      <c r="H797">
        <v>13.2</v>
      </c>
      <c r="I797">
        <v>15.5</v>
      </c>
      <c r="J797">
        <v>12.2</v>
      </c>
      <c r="K797" t="s">
        <v>6</v>
      </c>
      <c r="L797">
        <v>229</v>
      </c>
      <c r="M797" t="s">
        <v>6</v>
      </c>
    </row>
    <row r="798" spans="1:13" x14ac:dyDescent="0.2">
      <c r="A798" s="1">
        <v>45448</v>
      </c>
      <c r="B798" s="2">
        <v>0.91666666666666663</v>
      </c>
      <c r="C798" s="3">
        <v>45448.916666666664</v>
      </c>
      <c r="D798">
        <v>65.8</v>
      </c>
      <c r="E798">
        <v>80.5</v>
      </c>
      <c r="F798">
        <v>48.7</v>
      </c>
      <c r="G798" t="s">
        <v>6</v>
      </c>
      <c r="H798">
        <v>14.4</v>
      </c>
      <c r="I798">
        <v>26.6</v>
      </c>
      <c r="J798">
        <v>12.2</v>
      </c>
      <c r="K798" t="s">
        <v>6</v>
      </c>
      <c r="L798">
        <v>221</v>
      </c>
      <c r="M798" t="s">
        <v>6</v>
      </c>
    </row>
    <row r="799" spans="1:13" x14ac:dyDescent="0.2">
      <c r="A799" s="1">
        <v>45448</v>
      </c>
      <c r="B799" s="2">
        <v>0.95833333333333337</v>
      </c>
      <c r="C799" s="3">
        <v>45448.958333333336</v>
      </c>
      <c r="D799">
        <v>84.7</v>
      </c>
      <c r="E799">
        <v>98.9</v>
      </c>
      <c r="F799">
        <v>53.6</v>
      </c>
      <c r="G799" t="s">
        <v>6</v>
      </c>
      <c r="H799">
        <v>13.9</v>
      </c>
      <c r="I799">
        <v>19.8</v>
      </c>
      <c r="J799">
        <v>12.1</v>
      </c>
      <c r="K799" t="s">
        <v>6</v>
      </c>
      <c r="L799">
        <v>220</v>
      </c>
      <c r="M799" t="s">
        <v>6</v>
      </c>
    </row>
    <row r="800" spans="1:13" x14ac:dyDescent="0.2">
      <c r="A800" s="1">
        <v>45449</v>
      </c>
      <c r="B800" s="2">
        <v>0</v>
      </c>
      <c r="C800" s="3">
        <v>45449</v>
      </c>
      <c r="D800">
        <v>88.5</v>
      </c>
      <c r="E800">
        <v>102.9</v>
      </c>
      <c r="F800">
        <v>45</v>
      </c>
      <c r="G800" t="s">
        <v>6</v>
      </c>
      <c r="H800">
        <v>14.7</v>
      </c>
      <c r="I800">
        <v>34</v>
      </c>
      <c r="J800">
        <v>12.1</v>
      </c>
      <c r="K800" t="s">
        <v>6</v>
      </c>
      <c r="L800">
        <v>219</v>
      </c>
      <c r="M800" t="s">
        <v>6</v>
      </c>
    </row>
    <row r="801" spans="1:13" x14ac:dyDescent="0.2">
      <c r="A801" s="1">
        <v>45449</v>
      </c>
      <c r="B801" s="2">
        <v>4.1666666666666664E-2</v>
      </c>
      <c r="C801" s="3">
        <v>45449.041666666664</v>
      </c>
      <c r="D801">
        <v>59.9</v>
      </c>
      <c r="E801">
        <v>104.3</v>
      </c>
      <c r="F801">
        <v>45.6</v>
      </c>
      <c r="G801" t="s">
        <v>6</v>
      </c>
      <c r="H801">
        <v>13.6</v>
      </c>
      <c r="I801">
        <v>18.8</v>
      </c>
      <c r="J801">
        <v>12</v>
      </c>
      <c r="K801" t="s">
        <v>6</v>
      </c>
      <c r="L801">
        <v>224</v>
      </c>
      <c r="M801" t="s">
        <v>6</v>
      </c>
    </row>
    <row r="802" spans="1:13" x14ac:dyDescent="0.2">
      <c r="A802" s="1">
        <v>45449</v>
      </c>
      <c r="B802" s="2">
        <v>8.3333333333333329E-2</v>
      </c>
      <c r="C802" s="3">
        <v>45449.083333333336</v>
      </c>
      <c r="D802">
        <v>90.4</v>
      </c>
      <c r="E802">
        <v>103.4</v>
      </c>
      <c r="F802">
        <v>73.400000000000006</v>
      </c>
      <c r="G802" t="s">
        <v>6</v>
      </c>
      <c r="H802">
        <v>13</v>
      </c>
      <c r="I802">
        <v>15.7</v>
      </c>
      <c r="J802">
        <v>11.7</v>
      </c>
      <c r="K802" t="s">
        <v>6</v>
      </c>
      <c r="L802">
        <v>226</v>
      </c>
      <c r="M802" t="s">
        <v>6</v>
      </c>
    </row>
    <row r="803" spans="1:13" x14ac:dyDescent="0.2">
      <c r="A803" s="1">
        <v>45449</v>
      </c>
      <c r="B803" s="2">
        <v>0.125</v>
      </c>
      <c r="C803" s="3">
        <v>45449.125</v>
      </c>
      <c r="D803">
        <v>89</v>
      </c>
      <c r="E803">
        <v>100.6</v>
      </c>
      <c r="F803">
        <v>67.8</v>
      </c>
      <c r="G803" t="s">
        <v>6</v>
      </c>
      <c r="H803">
        <v>12.9</v>
      </c>
      <c r="I803">
        <v>22.9</v>
      </c>
      <c r="J803">
        <v>10.5</v>
      </c>
      <c r="K803" t="s">
        <v>6</v>
      </c>
      <c r="L803">
        <v>224</v>
      </c>
      <c r="M803" t="s">
        <v>6</v>
      </c>
    </row>
    <row r="804" spans="1:13" x14ac:dyDescent="0.2">
      <c r="A804" s="1">
        <v>45449</v>
      </c>
      <c r="B804" s="2">
        <v>0.16666666666666666</v>
      </c>
      <c r="C804" s="3">
        <v>45449.166666666664</v>
      </c>
      <c r="D804">
        <v>93.1</v>
      </c>
      <c r="E804">
        <v>104.4</v>
      </c>
      <c r="F804">
        <v>86.2</v>
      </c>
      <c r="G804" t="s">
        <v>6</v>
      </c>
      <c r="H804">
        <v>13.5</v>
      </c>
      <c r="I804">
        <v>19.5</v>
      </c>
      <c r="J804">
        <v>11.1</v>
      </c>
      <c r="K804" t="s">
        <v>6</v>
      </c>
      <c r="L804">
        <v>217</v>
      </c>
      <c r="M804" t="s">
        <v>6</v>
      </c>
    </row>
    <row r="805" spans="1:13" x14ac:dyDescent="0.2">
      <c r="A805" s="1">
        <v>45449</v>
      </c>
      <c r="B805" s="2">
        <v>0.20833333333333334</v>
      </c>
      <c r="C805" s="3">
        <v>45449.208333333336</v>
      </c>
      <c r="D805">
        <v>86.7</v>
      </c>
      <c r="E805">
        <v>86.7</v>
      </c>
      <c r="F805">
        <v>86.7</v>
      </c>
      <c r="G805" t="s">
        <v>6</v>
      </c>
      <c r="H805">
        <v>14.6</v>
      </c>
      <c r="I805">
        <v>16.600000000000001</v>
      </c>
      <c r="J805">
        <v>13.2</v>
      </c>
      <c r="K805" t="s">
        <v>6</v>
      </c>
      <c r="L805">
        <v>15</v>
      </c>
      <c r="M805" t="s">
        <v>6</v>
      </c>
    </row>
    <row r="806" spans="1:13" x14ac:dyDescent="0.2">
      <c r="A806" s="1">
        <v>45449</v>
      </c>
      <c r="B806" s="2">
        <v>0.29166666666666669</v>
      </c>
      <c r="C806" s="3">
        <v>45449.291666666664</v>
      </c>
      <c r="D806">
        <v>50.6</v>
      </c>
      <c r="E806">
        <v>62.2</v>
      </c>
      <c r="F806">
        <v>49.2</v>
      </c>
      <c r="G806" t="s">
        <v>6</v>
      </c>
      <c r="H806">
        <v>16.100000000000001</v>
      </c>
      <c r="I806">
        <v>20.9</v>
      </c>
      <c r="J806">
        <v>13.6</v>
      </c>
      <c r="K806" t="s">
        <v>6</v>
      </c>
      <c r="L806">
        <v>21</v>
      </c>
      <c r="M806" t="s">
        <v>6</v>
      </c>
    </row>
    <row r="807" spans="1:13" x14ac:dyDescent="0.2">
      <c r="A807" s="13">
        <v>45449</v>
      </c>
      <c r="B807" s="9">
        <v>0.33333333333333331</v>
      </c>
      <c r="C807" s="8">
        <v>45449.333333333336</v>
      </c>
      <c r="D807" s="10">
        <v>49.5</v>
      </c>
      <c r="E807" s="10">
        <v>51.1</v>
      </c>
      <c r="F807" s="10">
        <v>47.8</v>
      </c>
      <c r="G807" s="10" t="s">
        <v>6</v>
      </c>
      <c r="H807" s="10">
        <v>18.3</v>
      </c>
      <c r="I807" s="10">
        <v>29.3</v>
      </c>
      <c r="J807" s="10">
        <v>12.6</v>
      </c>
      <c r="K807" s="10" t="s">
        <v>6</v>
      </c>
      <c r="L807" s="10">
        <v>209</v>
      </c>
      <c r="M807" t="s">
        <v>6</v>
      </c>
    </row>
    <row r="808" spans="1:13" x14ac:dyDescent="0.2">
      <c r="A808" s="14">
        <v>45449</v>
      </c>
      <c r="B808" s="12">
        <v>0.375</v>
      </c>
      <c r="C808" s="7">
        <v>45449.375</v>
      </c>
      <c r="D808" s="11">
        <v>53</v>
      </c>
      <c r="E808" s="11">
        <v>71</v>
      </c>
      <c r="F808" s="11">
        <v>47.4</v>
      </c>
      <c r="G808" s="11" t="s">
        <v>6</v>
      </c>
      <c r="H808" s="11">
        <v>15.9</v>
      </c>
      <c r="I808" s="11">
        <v>21.2</v>
      </c>
      <c r="J808" s="11">
        <v>12.6</v>
      </c>
      <c r="K808" s="11" t="s">
        <v>6</v>
      </c>
      <c r="L808" s="11">
        <v>222</v>
      </c>
      <c r="M808" t="s">
        <v>6</v>
      </c>
    </row>
    <row r="809" spans="1:13" x14ac:dyDescent="0.2">
      <c r="A809" s="1">
        <v>45449</v>
      </c>
      <c r="B809" s="2">
        <v>0.41666666666666669</v>
      </c>
      <c r="C809" s="3">
        <v>45449.416666666664</v>
      </c>
      <c r="D809">
        <v>62</v>
      </c>
      <c r="E809">
        <v>71.900000000000006</v>
      </c>
      <c r="F809">
        <v>57.6</v>
      </c>
      <c r="G809" t="s">
        <v>6</v>
      </c>
      <c r="H809">
        <v>16.2</v>
      </c>
      <c r="I809">
        <v>27.5</v>
      </c>
      <c r="J809">
        <v>13.4</v>
      </c>
      <c r="K809" t="s">
        <v>6</v>
      </c>
      <c r="L809">
        <v>127</v>
      </c>
      <c r="M809" t="s">
        <v>6</v>
      </c>
    </row>
    <row r="810" spans="1:13" x14ac:dyDescent="0.2">
      <c r="A810" s="1">
        <v>45449</v>
      </c>
      <c r="B810" s="2">
        <v>0.45833333333333331</v>
      </c>
      <c r="C810" s="3">
        <v>45449.458333333336</v>
      </c>
      <c r="D810">
        <v>67.900000000000006</v>
      </c>
      <c r="E810">
        <v>69.900000000000006</v>
      </c>
      <c r="F810">
        <v>65</v>
      </c>
      <c r="G810" t="s">
        <v>6</v>
      </c>
      <c r="H810">
        <v>17.399999999999999</v>
      </c>
      <c r="I810">
        <v>25</v>
      </c>
      <c r="J810">
        <v>13.6</v>
      </c>
      <c r="K810" t="s">
        <v>6</v>
      </c>
      <c r="L810">
        <v>60</v>
      </c>
      <c r="M810" t="s">
        <v>6</v>
      </c>
    </row>
    <row r="811" spans="1:13" x14ac:dyDescent="0.2">
      <c r="A811" s="1">
        <v>45449</v>
      </c>
      <c r="B811" s="2">
        <v>0.5</v>
      </c>
      <c r="C811" s="3">
        <v>45449.5</v>
      </c>
      <c r="D811">
        <v>65</v>
      </c>
      <c r="E811">
        <v>67.599999999999994</v>
      </c>
      <c r="F811">
        <v>58.4</v>
      </c>
      <c r="G811" t="s">
        <v>6</v>
      </c>
      <c r="H811">
        <v>15</v>
      </c>
      <c r="I811">
        <v>21.2</v>
      </c>
      <c r="J811">
        <v>12</v>
      </c>
      <c r="K811" t="s">
        <v>6</v>
      </c>
      <c r="L811">
        <v>121</v>
      </c>
      <c r="M811" t="s">
        <v>6</v>
      </c>
    </row>
    <row r="812" spans="1:13" x14ac:dyDescent="0.2">
      <c r="A812" s="1">
        <v>45449</v>
      </c>
      <c r="B812" s="2">
        <v>0.54166666666666663</v>
      </c>
      <c r="C812" s="3">
        <v>45449.541666666664</v>
      </c>
      <c r="D812">
        <v>65.400000000000006</v>
      </c>
      <c r="E812">
        <v>75.3</v>
      </c>
      <c r="F812">
        <v>58.8</v>
      </c>
      <c r="G812" t="s">
        <v>6</v>
      </c>
      <c r="H812">
        <v>17.399999999999999</v>
      </c>
      <c r="I812">
        <v>23.8</v>
      </c>
      <c r="J812">
        <v>11.1</v>
      </c>
      <c r="K812" t="s">
        <v>6</v>
      </c>
      <c r="L812">
        <v>153</v>
      </c>
      <c r="M812" t="s">
        <v>6</v>
      </c>
    </row>
    <row r="813" spans="1:13" x14ac:dyDescent="0.2">
      <c r="A813" s="1">
        <v>45449</v>
      </c>
      <c r="B813" s="2">
        <v>0.58333333333333337</v>
      </c>
      <c r="C813" s="3">
        <v>45449.583333333336</v>
      </c>
      <c r="D813">
        <v>64.599999999999994</v>
      </c>
      <c r="E813">
        <v>68</v>
      </c>
      <c r="F813">
        <v>59.6</v>
      </c>
      <c r="G813" t="s">
        <v>6</v>
      </c>
      <c r="H813">
        <v>16.100000000000001</v>
      </c>
      <c r="I813">
        <v>22.4</v>
      </c>
      <c r="J813">
        <v>12.8</v>
      </c>
      <c r="K813" t="s">
        <v>6</v>
      </c>
      <c r="L813">
        <v>167</v>
      </c>
      <c r="M813" t="s">
        <v>6</v>
      </c>
    </row>
    <row r="814" spans="1:13" x14ac:dyDescent="0.2">
      <c r="A814" s="1">
        <v>45449</v>
      </c>
      <c r="B814" s="2">
        <v>0.625</v>
      </c>
      <c r="C814" s="3">
        <v>45449.625</v>
      </c>
      <c r="D814">
        <v>59.4</v>
      </c>
      <c r="E814">
        <v>70</v>
      </c>
      <c r="F814">
        <v>50.9</v>
      </c>
      <c r="G814" t="s">
        <v>6</v>
      </c>
      <c r="H814">
        <v>19</v>
      </c>
      <c r="I814">
        <v>36</v>
      </c>
      <c r="J814">
        <v>11.7</v>
      </c>
      <c r="K814" t="s">
        <v>6</v>
      </c>
      <c r="L814">
        <v>201</v>
      </c>
      <c r="M814" t="s">
        <v>6</v>
      </c>
    </row>
    <row r="815" spans="1:13" x14ac:dyDescent="0.2">
      <c r="A815" s="1">
        <v>45449</v>
      </c>
      <c r="B815" s="2">
        <v>0.66666666666666663</v>
      </c>
      <c r="C815" s="3">
        <v>45449.666666666664</v>
      </c>
      <c r="D815">
        <v>60.5</v>
      </c>
      <c r="E815">
        <v>73.2</v>
      </c>
      <c r="F815">
        <v>50.4</v>
      </c>
      <c r="G815" t="s">
        <v>6</v>
      </c>
      <c r="H815">
        <v>19.5</v>
      </c>
      <c r="I815">
        <v>26.1</v>
      </c>
      <c r="J815">
        <v>12.4</v>
      </c>
      <c r="K815" t="s">
        <v>6</v>
      </c>
      <c r="L815">
        <v>191</v>
      </c>
      <c r="M815" t="s">
        <v>6</v>
      </c>
    </row>
    <row r="816" spans="1:13" x14ac:dyDescent="0.2">
      <c r="A816" s="1">
        <v>45449</v>
      </c>
      <c r="B816" s="2">
        <v>0.70833333333333337</v>
      </c>
      <c r="C816" s="3">
        <v>45449.708333333336</v>
      </c>
      <c r="D816">
        <v>61.7</v>
      </c>
      <c r="E816">
        <v>67.8</v>
      </c>
      <c r="F816">
        <v>59.2</v>
      </c>
      <c r="G816" t="s">
        <v>6</v>
      </c>
      <c r="H816">
        <v>14.4</v>
      </c>
      <c r="I816">
        <v>18.600000000000001</v>
      </c>
      <c r="J816">
        <v>11.2</v>
      </c>
      <c r="K816" t="s">
        <v>6</v>
      </c>
      <c r="L816">
        <v>95</v>
      </c>
      <c r="M816" t="s">
        <v>6</v>
      </c>
    </row>
    <row r="817" spans="1:13" x14ac:dyDescent="0.2">
      <c r="A817" s="1">
        <v>45449</v>
      </c>
      <c r="B817" s="2">
        <v>0.75</v>
      </c>
      <c r="C817" s="3">
        <v>45449.75</v>
      </c>
      <c r="D817">
        <v>65.7</v>
      </c>
      <c r="E817">
        <v>105.5</v>
      </c>
      <c r="F817">
        <v>54.8</v>
      </c>
      <c r="G817" t="s">
        <v>6</v>
      </c>
      <c r="H817">
        <v>15.9</v>
      </c>
      <c r="I817">
        <v>25.5</v>
      </c>
      <c r="J817">
        <v>11.8</v>
      </c>
      <c r="K817" t="s">
        <v>6</v>
      </c>
      <c r="L817">
        <v>139</v>
      </c>
      <c r="M817" t="s">
        <v>6</v>
      </c>
    </row>
    <row r="818" spans="1:13" x14ac:dyDescent="0.2">
      <c r="A818" s="1">
        <v>45449</v>
      </c>
      <c r="B818" s="2">
        <v>0.79166666666666663</v>
      </c>
      <c r="C818" s="3">
        <v>45449.791666666664</v>
      </c>
      <c r="D818">
        <v>99.7</v>
      </c>
      <c r="E818">
        <v>115.5</v>
      </c>
      <c r="F818">
        <v>88.9</v>
      </c>
      <c r="G818" t="s">
        <v>6</v>
      </c>
      <c r="H818">
        <v>14.3</v>
      </c>
      <c r="I818">
        <v>20.399999999999999</v>
      </c>
      <c r="J818">
        <v>10.7</v>
      </c>
      <c r="K818" t="s">
        <v>6</v>
      </c>
      <c r="L818">
        <v>151</v>
      </c>
      <c r="M818" t="s">
        <v>6</v>
      </c>
    </row>
    <row r="819" spans="1:13" x14ac:dyDescent="0.2">
      <c r="A819" s="1">
        <v>45449</v>
      </c>
      <c r="B819" s="2">
        <v>0.83333333333333337</v>
      </c>
      <c r="C819" s="3">
        <v>45449.833333333336</v>
      </c>
      <c r="D819">
        <v>98.2</v>
      </c>
      <c r="E819">
        <v>111.3</v>
      </c>
      <c r="F819">
        <v>90.6</v>
      </c>
      <c r="G819" t="s">
        <v>6</v>
      </c>
      <c r="H819">
        <v>18.2</v>
      </c>
      <c r="I819">
        <v>32.5</v>
      </c>
      <c r="J819">
        <v>12.6</v>
      </c>
      <c r="K819" t="s">
        <v>6</v>
      </c>
      <c r="L819">
        <v>210</v>
      </c>
      <c r="M819" t="s">
        <v>6</v>
      </c>
    </row>
    <row r="820" spans="1:13" x14ac:dyDescent="0.2">
      <c r="A820" s="1">
        <v>45449</v>
      </c>
      <c r="B820" s="2">
        <v>0.875</v>
      </c>
      <c r="C820" s="3">
        <v>45449.875</v>
      </c>
      <c r="D820">
        <v>94.7</v>
      </c>
      <c r="E820">
        <v>105.3</v>
      </c>
      <c r="F820">
        <v>73.7</v>
      </c>
      <c r="G820" t="s">
        <v>6</v>
      </c>
      <c r="H820">
        <v>14.9</v>
      </c>
      <c r="I820">
        <v>25.9</v>
      </c>
      <c r="J820">
        <v>12.8</v>
      </c>
      <c r="K820" t="s">
        <v>6</v>
      </c>
      <c r="L820">
        <v>220</v>
      </c>
      <c r="M820" t="s">
        <v>6</v>
      </c>
    </row>
    <row r="821" spans="1:13" x14ac:dyDescent="0.2">
      <c r="A821" s="1">
        <v>45449</v>
      </c>
      <c r="B821" s="2">
        <v>0.91666666666666663</v>
      </c>
      <c r="C821" s="3">
        <v>45449.916666666664</v>
      </c>
      <c r="D821">
        <v>66.7</v>
      </c>
      <c r="E821">
        <v>92.9</v>
      </c>
      <c r="F821">
        <v>48.2</v>
      </c>
      <c r="G821" t="s">
        <v>6</v>
      </c>
      <c r="H821">
        <v>15.1</v>
      </c>
      <c r="I821">
        <v>29</v>
      </c>
      <c r="J821">
        <v>12.3</v>
      </c>
      <c r="K821" t="s">
        <v>6</v>
      </c>
      <c r="L821">
        <v>225</v>
      </c>
      <c r="M821" t="s">
        <v>6</v>
      </c>
    </row>
    <row r="822" spans="1:13" x14ac:dyDescent="0.2">
      <c r="A822" s="1">
        <v>45449</v>
      </c>
      <c r="B822" s="2">
        <v>0.95833333333333337</v>
      </c>
      <c r="C822" s="3">
        <v>45449.958333333336</v>
      </c>
      <c r="D822">
        <v>50.2</v>
      </c>
      <c r="E822">
        <v>62.8</v>
      </c>
      <c r="F822">
        <v>46.9</v>
      </c>
      <c r="G822" t="s">
        <v>6</v>
      </c>
      <c r="H822">
        <v>14.8</v>
      </c>
      <c r="I822">
        <v>26.3</v>
      </c>
      <c r="J822">
        <v>12.5</v>
      </c>
      <c r="K822" t="s">
        <v>6</v>
      </c>
      <c r="L822">
        <v>212</v>
      </c>
      <c r="M822" t="s">
        <v>6</v>
      </c>
    </row>
    <row r="823" spans="1:13" x14ac:dyDescent="0.2">
      <c r="A823" s="1">
        <v>45450</v>
      </c>
      <c r="B823" s="2">
        <v>0</v>
      </c>
      <c r="C823" s="3">
        <v>45450</v>
      </c>
      <c r="D823">
        <v>69.2</v>
      </c>
      <c r="E823">
        <v>110.6</v>
      </c>
      <c r="F823">
        <v>51.4</v>
      </c>
      <c r="G823" t="s">
        <v>6</v>
      </c>
      <c r="H823">
        <v>14.5</v>
      </c>
      <c r="I823">
        <v>25.1</v>
      </c>
      <c r="J823">
        <v>11.9</v>
      </c>
      <c r="K823" t="s">
        <v>6</v>
      </c>
      <c r="L823">
        <v>221</v>
      </c>
      <c r="M823" t="s">
        <v>6</v>
      </c>
    </row>
    <row r="824" spans="1:13" x14ac:dyDescent="0.2">
      <c r="A824" s="1">
        <v>45450</v>
      </c>
      <c r="B824" s="2">
        <v>4.1666666666666664E-2</v>
      </c>
      <c r="C824" s="3">
        <v>45450.041666666664</v>
      </c>
      <c r="D824">
        <v>103.3</v>
      </c>
      <c r="E824">
        <v>119.9</v>
      </c>
      <c r="F824">
        <v>40.4</v>
      </c>
      <c r="G824" t="s">
        <v>6</v>
      </c>
      <c r="H824">
        <v>15.3</v>
      </c>
      <c r="I824">
        <v>25.5</v>
      </c>
      <c r="J824">
        <v>12.3</v>
      </c>
      <c r="K824" t="s">
        <v>6</v>
      </c>
      <c r="L824">
        <v>212</v>
      </c>
      <c r="M824" t="s">
        <v>6</v>
      </c>
    </row>
    <row r="825" spans="1:13" x14ac:dyDescent="0.2">
      <c r="A825" s="1">
        <v>45450</v>
      </c>
      <c r="B825" s="2">
        <v>8.3333333333333329E-2</v>
      </c>
      <c r="C825" s="3">
        <v>45450.083333333336</v>
      </c>
      <c r="D825">
        <v>46.2</v>
      </c>
      <c r="E825">
        <v>52.8</v>
      </c>
      <c r="F825">
        <v>42.3</v>
      </c>
      <c r="G825" t="s">
        <v>6</v>
      </c>
      <c r="H825">
        <v>14.8</v>
      </c>
      <c r="I825">
        <v>27.2</v>
      </c>
      <c r="J825">
        <v>12</v>
      </c>
      <c r="K825" t="s">
        <v>6</v>
      </c>
      <c r="L825">
        <v>222</v>
      </c>
      <c r="M825" t="s">
        <v>6</v>
      </c>
    </row>
    <row r="826" spans="1:13" x14ac:dyDescent="0.2">
      <c r="A826" s="1">
        <v>45450</v>
      </c>
      <c r="B826" s="2">
        <v>0.125</v>
      </c>
      <c r="C826" s="3">
        <v>45450.125</v>
      </c>
      <c r="D826">
        <v>52.5</v>
      </c>
      <c r="E826">
        <v>63.2</v>
      </c>
      <c r="F826">
        <v>44.3</v>
      </c>
      <c r="G826" t="s">
        <v>6</v>
      </c>
      <c r="H826">
        <v>14.9</v>
      </c>
      <c r="I826">
        <v>25.9</v>
      </c>
      <c r="J826">
        <v>11.9</v>
      </c>
      <c r="K826" t="s">
        <v>6</v>
      </c>
      <c r="L826">
        <v>213</v>
      </c>
      <c r="M826" t="s">
        <v>6</v>
      </c>
    </row>
    <row r="827" spans="1:13" x14ac:dyDescent="0.2">
      <c r="A827" s="1">
        <v>45450</v>
      </c>
      <c r="B827" s="2">
        <v>0.16666666666666666</v>
      </c>
      <c r="C827" s="3">
        <v>45450.166666666664</v>
      </c>
      <c r="D827">
        <v>61.6</v>
      </c>
      <c r="E827">
        <v>106.8</v>
      </c>
      <c r="F827">
        <v>48.9</v>
      </c>
      <c r="G827" t="s">
        <v>6</v>
      </c>
      <c r="H827">
        <v>13.1</v>
      </c>
      <c r="I827">
        <v>15.2</v>
      </c>
      <c r="J827">
        <v>11.7</v>
      </c>
      <c r="K827" t="s">
        <v>6</v>
      </c>
      <c r="L827">
        <v>220</v>
      </c>
      <c r="M827" t="s">
        <v>6</v>
      </c>
    </row>
    <row r="828" spans="1:13" x14ac:dyDescent="0.2">
      <c r="A828" s="1">
        <v>45450</v>
      </c>
      <c r="B828" s="2">
        <v>0.20833333333333334</v>
      </c>
      <c r="C828" s="3">
        <v>45450.208333333336</v>
      </c>
      <c r="D828">
        <v>89.8</v>
      </c>
      <c r="E828">
        <v>125</v>
      </c>
      <c r="F828">
        <v>54.2</v>
      </c>
      <c r="G828" t="s">
        <v>6</v>
      </c>
      <c r="H828">
        <v>15.1</v>
      </c>
      <c r="I828">
        <v>24.6</v>
      </c>
      <c r="J828">
        <v>11.3</v>
      </c>
      <c r="K828" t="s">
        <v>6</v>
      </c>
      <c r="L828">
        <v>226</v>
      </c>
      <c r="M828" t="s">
        <v>6</v>
      </c>
    </row>
    <row r="829" spans="1:13" x14ac:dyDescent="0.2">
      <c r="A829" s="1">
        <v>45450</v>
      </c>
      <c r="B829" s="2">
        <v>0.25</v>
      </c>
      <c r="C829" s="3">
        <v>45450.25</v>
      </c>
      <c r="D829">
        <v>57.6</v>
      </c>
      <c r="E829">
        <v>66.900000000000006</v>
      </c>
      <c r="F829">
        <v>51.6</v>
      </c>
      <c r="G829" t="s">
        <v>6</v>
      </c>
      <c r="H829">
        <v>15.4</v>
      </c>
      <c r="I829">
        <v>22.5</v>
      </c>
      <c r="J829">
        <v>11.4</v>
      </c>
      <c r="K829" t="s">
        <v>6</v>
      </c>
      <c r="L829">
        <v>223</v>
      </c>
      <c r="M829" t="s">
        <v>6</v>
      </c>
    </row>
    <row r="830" spans="1:13" x14ac:dyDescent="0.2">
      <c r="A830" s="13">
        <v>45450</v>
      </c>
      <c r="B830" s="9">
        <v>0.29166666666666669</v>
      </c>
      <c r="C830" s="8">
        <v>45450.291666666664</v>
      </c>
      <c r="D830" s="10">
        <v>79.3</v>
      </c>
      <c r="E830" s="10">
        <v>81.3</v>
      </c>
      <c r="F830" s="10">
        <v>74.900000000000006</v>
      </c>
      <c r="G830" s="10" t="s">
        <v>6</v>
      </c>
      <c r="H830" s="10">
        <v>19</v>
      </c>
      <c r="I830" s="10">
        <v>26.2</v>
      </c>
      <c r="J830" s="10">
        <v>14.8</v>
      </c>
      <c r="K830" s="10" t="s">
        <v>6</v>
      </c>
      <c r="L830" s="10">
        <v>81</v>
      </c>
      <c r="M830" t="s">
        <v>6</v>
      </c>
    </row>
    <row r="831" spans="1:13" x14ac:dyDescent="0.2">
      <c r="A831" s="14">
        <v>45450</v>
      </c>
      <c r="B831" s="12">
        <v>0.45833333333333331</v>
      </c>
      <c r="C831" s="7">
        <v>45450.458333333336</v>
      </c>
      <c r="D831" s="11">
        <v>63.1</v>
      </c>
      <c r="E831" s="11">
        <v>65.900000000000006</v>
      </c>
      <c r="F831" s="11">
        <v>62.1</v>
      </c>
      <c r="G831" s="11" t="s">
        <v>6</v>
      </c>
      <c r="H831" s="11">
        <v>17.3</v>
      </c>
      <c r="I831" s="11">
        <v>21.8</v>
      </c>
      <c r="J831" s="11">
        <v>13.2</v>
      </c>
      <c r="K831" s="11" t="s">
        <v>6</v>
      </c>
      <c r="L831" s="11">
        <v>30</v>
      </c>
      <c r="M831" t="s">
        <v>6</v>
      </c>
    </row>
    <row r="832" spans="1:13" x14ac:dyDescent="0.2">
      <c r="A832" s="1">
        <v>45450</v>
      </c>
      <c r="B832" s="2">
        <v>0.5</v>
      </c>
      <c r="C832" s="3">
        <v>45450.5</v>
      </c>
      <c r="D832">
        <v>61</v>
      </c>
      <c r="E832">
        <v>64.7</v>
      </c>
      <c r="F832">
        <v>58.5</v>
      </c>
      <c r="G832" t="s">
        <v>6</v>
      </c>
      <c r="H832">
        <v>13.4</v>
      </c>
      <c r="I832">
        <v>18.399999999999999</v>
      </c>
      <c r="J832">
        <v>10.6</v>
      </c>
      <c r="K832" t="s">
        <v>6</v>
      </c>
      <c r="L832">
        <v>51</v>
      </c>
      <c r="M832" t="s">
        <v>6</v>
      </c>
    </row>
    <row r="833" spans="1:13" x14ac:dyDescent="0.2">
      <c r="A833" s="1">
        <v>45450</v>
      </c>
      <c r="B833" s="2">
        <v>0.54166666666666663</v>
      </c>
      <c r="C833" s="3">
        <v>45450.541666666664</v>
      </c>
      <c r="D833">
        <v>54.9</v>
      </c>
      <c r="E833">
        <v>60.6</v>
      </c>
      <c r="F833">
        <v>50.8</v>
      </c>
      <c r="G833" t="s">
        <v>6</v>
      </c>
      <c r="H833">
        <v>12.6</v>
      </c>
      <c r="I833">
        <v>15.7</v>
      </c>
      <c r="J833">
        <v>11.4</v>
      </c>
      <c r="K833" t="s">
        <v>6</v>
      </c>
      <c r="L833">
        <v>122</v>
      </c>
      <c r="M833" t="s">
        <v>6</v>
      </c>
    </row>
    <row r="834" spans="1:13" x14ac:dyDescent="0.2">
      <c r="A834" s="1">
        <v>45450</v>
      </c>
      <c r="B834" s="2">
        <v>0.58333333333333337</v>
      </c>
      <c r="C834" s="3">
        <v>45450.583333333336</v>
      </c>
      <c r="D834">
        <v>60.1</v>
      </c>
      <c r="E834">
        <v>73.3</v>
      </c>
      <c r="F834">
        <v>52.9</v>
      </c>
      <c r="G834" t="s">
        <v>6</v>
      </c>
      <c r="H834">
        <v>15</v>
      </c>
      <c r="I834">
        <v>23</v>
      </c>
      <c r="J834">
        <v>11.5</v>
      </c>
      <c r="K834" t="s">
        <v>6</v>
      </c>
      <c r="L834">
        <v>130</v>
      </c>
      <c r="M834" t="s">
        <v>6</v>
      </c>
    </row>
    <row r="835" spans="1:13" x14ac:dyDescent="0.2">
      <c r="A835" s="1">
        <v>45450</v>
      </c>
      <c r="B835" s="2">
        <v>0.625</v>
      </c>
      <c r="C835" s="3">
        <v>45450.625</v>
      </c>
      <c r="D835">
        <v>55.6</v>
      </c>
      <c r="E835">
        <v>65.900000000000006</v>
      </c>
      <c r="F835">
        <v>51</v>
      </c>
      <c r="G835" t="s">
        <v>6</v>
      </c>
      <c r="H835">
        <v>13.1</v>
      </c>
      <c r="I835">
        <v>20.9</v>
      </c>
      <c r="J835">
        <v>9.9</v>
      </c>
      <c r="K835" t="s">
        <v>6</v>
      </c>
      <c r="L835">
        <v>227</v>
      </c>
      <c r="M835" t="s">
        <v>6</v>
      </c>
    </row>
    <row r="836" spans="1:13" x14ac:dyDescent="0.2">
      <c r="A836" s="1">
        <v>45450</v>
      </c>
      <c r="B836" s="2">
        <v>0.66666666666666663</v>
      </c>
      <c r="C836" s="3">
        <v>45450.666666666664</v>
      </c>
      <c r="D836">
        <v>55.2</v>
      </c>
      <c r="E836">
        <v>60.8</v>
      </c>
      <c r="F836">
        <v>50.9</v>
      </c>
      <c r="G836" t="s">
        <v>6</v>
      </c>
      <c r="H836">
        <v>15.2</v>
      </c>
      <c r="I836">
        <v>23.3</v>
      </c>
      <c r="J836">
        <v>10.7</v>
      </c>
      <c r="K836" t="s">
        <v>6</v>
      </c>
      <c r="L836">
        <v>171</v>
      </c>
      <c r="M836" t="s">
        <v>6</v>
      </c>
    </row>
    <row r="837" spans="1:13" x14ac:dyDescent="0.2">
      <c r="A837" s="1">
        <v>45450</v>
      </c>
      <c r="B837" s="2">
        <v>0.79166666666666663</v>
      </c>
      <c r="C837" s="3">
        <v>45450.791666666664</v>
      </c>
      <c r="D837">
        <v>64.7</v>
      </c>
      <c r="E837">
        <v>77.599999999999994</v>
      </c>
      <c r="F837">
        <v>55.8</v>
      </c>
      <c r="G837" t="s">
        <v>6</v>
      </c>
      <c r="H837">
        <v>16.7</v>
      </c>
      <c r="I837">
        <v>27.4</v>
      </c>
      <c r="J837">
        <v>14.5</v>
      </c>
      <c r="K837" t="s">
        <v>6</v>
      </c>
      <c r="L837">
        <v>23</v>
      </c>
      <c r="M837" t="s">
        <v>6</v>
      </c>
    </row>
    <row r="838" spans="1:13" x14ac:dyDescent="0.2">
      <c r="A838" s="1">
        <v>45450</v>
      </c>
      <c r="B838" s="2">
        <v>0.83333333333333337</v>
      </c>
      <c r="C838" s="3">
        <v>45450.833333333336</v>
      </c>
      <c r="D838">
        <v>57.6</v>
      </c>
      <c r="E838">
        <v>75.400000000000006</v>
      </c>
      <c r="F838">
        <v>43.3</v>
      </c>
      <c r="G838" t="s">
        <v>6</v>
      </c>
      <c r="H838">
        <v>19.100000000000001</v>
      </c>
      <c r="I838">
        <v>31.4</v>
      </c>
      <c r="J838">
        <v>13.2</v>
      </c>
      <c r="K838" t="s">
        <v>6</v>
      </c>
      <c r="L838">
        <v>175</v>
      </c>
      <c r="M838" t="s">
        <v>6</v>
      </c>
    </row>
    <row r="839" spans="1:13" x14ac:dyDescent="0.2">
      <c r="A839" s="1">
        <v>45450</v>
      </c>
      <c r="B839" s="2">
        <v>0.875</v>
      </c>
      <c r="C839" s="3">
        <v>45450.875</v>
      </c>
      <c r="D839">
        <v>50.9</v>
      </c>
      <c r="E839">
        <v>67.2</v>
      </c>
      <c r="F839">
        <v>40.700000000000003</v>
      </c>
      <c r="G839" t="s">
        <v>6</v>
      </c>
      <c r="H839">
        <v>17.3</v>
      </c>
      <c r="I839">
        <v>33</v>
      </c>
      <c r="J839">
        <v>12.4</v>
      </c>
      <c r="K839" t="s">
        <v>6</v>
      </c>
      <c r="L839">
        <v>198</v>
      </c>
      <c r="M839" t="s">
        <v>6</v>
      </c>
    </row>
    <row r="840" spans="1:13" x14ac:dyDescent="0.2">
      <c r="A840" s="1">
        <v>45450</v>
      </c>
      <c r="B840" s="2">
        <v>0.91666666666666663</v>
      </c>
      <c r="C840" s="3">
        <v>45450.916666666664</v>
      </c>
      <c r="D840">
        <v>68.3</v>
      </c>
      <c r="E840">
        <v>85.1</v>
      </c>
      <c r="F840">
        <v>49.9</v>
      </c>
      <c r="G840" t="s">
        <v>6</v>
      </c>
      <c r="H840">
        <v>14</v>
      </c>
      <c r="I840">
        <v>18.5</v>
      </c>
      <c r="J840">
        <v>12.2</v>
      </c>
      <c r="K840" t="s">
        <v>6</v>
      </c>
      <c r="L840">
        <v>221</v>
      </c>
      <c r="M840" t="s">
        <v>6</v>
      </c>
    </row>
    <row r="841" spans="1:13" x14ac:dyDescent="0.2">
      <c r="A841" s="1">
        <v>45450</v>
      </c>
      <c r="B841" s="2">
        <v>0.95833333333333337</v>
      </c>
      <c r="C841" s="3">
        <v>45450.958333333336</v>
      </c>
      <c r="D841">
        <v>84.5</v>
      </c>
      <c r="E841">
        <v>95.9</v>
      </c>
      <c r="F841">
        <v>72.2</v>
      </c>
      <c r="G841" t="s">
        <v>6</v>
      </c>
      <c r="H841">
        <v>15</v>
      </c>
      <c r="I841">
        <v>27</v>
      </c>
      <c r="J841">
        <v>12.1</v>
      </c>
      <c r="K841" t="s">
        <v>6</v>
      </c>
      <c r="L841">
        <v>218</v>
      </c>
      <c r="M841" t="s">
        <v>6</v>
      </c>
    </row>
    <row r="842" spans="1:13" x14ac:dyDescent="0.2">
      <c r="A842" s="1">
        <v>45451</v>
      </c>
      <c r="B842" s="2">
        <v>0</v>
      </c>
      <c r="C842" s="3">
        <v>45451</v>
      </c>
      <c r="D842">
        <v>51.4</v>
      </c>
      <c r="E842">
        <v>89.7</v>
      </c>
      <c r="F842">
        <v>46.5</v>
      </c>
      <c r="G842" t="s">
        <v>6</v>
      </c>
      <c r="H842">
        <v>14.2</v>
      </c>
      <c r="I842">
        <v>19.899999999999999</v>
      </c>
      <c r="J842">
        <v>11.6</v>
      </c>
      <c r="K842" t="s">
        <v>6</v>
      </c>
      <c r="L842">
        <v>222</v>
      </c>
      <c r="M842" t="s">
        <v>6</v>
      </c>
    </row>
    <row r="843" spans="1:13" x14ac:dyDescent="0.2">
      <c r="A843" s="1">
        <v>45451</v>
      </c>
      <c r="B843" s="2">
        <v>4.1666666666666664E-2</v>
      </c>
      <c r="C843" s="3">
        <v>45451.041666666664</v>
      </c>
      <c r="D843">
        <v>47.4</v>
      </c>
      <c r="E843">
        <v>57.1</v>
      </c>
      <c r="F843">
        <v>42</v>
      </c>
      <c r="G843" t="s">
        <v>6</v>
      </c>
      <c r="H843">
        <v>14.6</v>
      </c>
      <c r="I843">
        <v>25.1</v>
      </c>
      <c r="J843">
        <v>12</v>
      </c>
      <c r="K843" t="s">
        <v>6</v>
      </c>
      <c r="L843">
        <v>218</v>
      </c>
      <c r="M843" t="s">
        <v>6</v>
      </c>
    </row>
    <row r="844" spans="1:13" x14ac:dyDescent="0.2">
      <c r="A844" s="1">
        <v>45451</v>
      </c>
      <c r="B844" s="2">
        <v>8.3333333333333329E-2</v>
      </c>
      <c r="C844" s="3">
        <v>45451.083333333336</v>
      </c>
      <c r="D844">
        <v>49</v>
      </c>
      <c r="E844">
        <v>57.4</v>
      </c>
      <c r="F844">
        <v>45.6</v>
      </c>
      <c r="G844" t="s">
        <v>6</v>
      </c>
      <c r="H844">
        <v>15.5</v>
      </c>
      <c r="I844">
        <v>25.9</v>
      </c>
      <c r="J844">
        <v>12.4</v>
      </c>
      <c r="K844" t="s">
        <v>6</v>
      </c>
      <c r="L844">
        <v>216</v>
      </c>
      <c r="M844" t="s">
        <v>6</v>
      </c>
    </row>
    <row r="845" spans="1:13" x14ac:dyDescent="0.2">
      <c r="A845" s="1">
        <v>45451</v>
      </c>
      <c r="B845" s="2">
        <v>0.125</v>
      </c>
      <c r="C845" s="3">
        <v>45451.125</v>
      </c>
      <c r="D845">
        <v>51</v>
      </c>
      <c r="E845">
        <v>54.2</v>
      </c>
      <c r="F845">
        <v>47.5</v>
      </c>
      <c r="G845" t="s">
        <v>6</v>
      </c>
      <c r="H845">
        <v>14</v>
      </c>
      <c r="I845">
        <v>21.9</v>
      </c>
      <c r="J845">
        <v>12.3</v>
      </c>
      <c r="K845" t="s">
        <v>6</v>
      </c>
      <c r="L845">
        <v>220</v>
      </c>
      <c r="M845" t="s">
        <v>6</v>
      </c>
    </row>
    <row r="846" spans="1:13" x14ac:dyDescent="0.2">
      <c r="A846" s="1">
        <v>45451</v>
      </c>
      <c r="B846" s="2">
        <v>0.16666666666666666</v>
      </c>
      <c r="C846" s="3">
        <v>45451.166666666664</v>
      </c>
      <c r="D846">
        <v>50</v>
      </c>
      <c r="E846">
        <v>53.9</v>
      </c>
      <c r="F846">
        <v>46.1</v>
      </c>
      <c r="G846" t="s">
        <v>6</v>
      </c>
      <c r="H846">
        <v>13.6</v>
      </c>
      <c r="I846">
        <v>18.3</v>
      </c>
      <c r="J846">
        <v>11.9</v>
      </c>
      <c r="K846" t="s">
        <v>6</v>
      </c>
      <c r="L846">
        <v>205</v>
      </c>
      <c r="M846" t="s">
        <v>6</v>
      </c>
    </row>
    <row r="847" spans="1:13" x14ac:dyDescent="0.2">
      <c r="A847" s="1">
        <v>45451</v>
      </c>
      <c r="B847" s="2">
        <v>0.20833333333333334</v>
      </c>
      <c r="C847" s="3">
        <v>45451.208333333336</v>
      </c>
      <c r="D847">
        <v>95.9</v>
      </c>
      <c r="E847">
        <v>108.8</v>
      </c>
      <c r="F847">
        <v>50.5</v>
      </c>
      <c r="G847" t="s">
        <v>6</v>
      </c>
      <c r="H847">
        <v>14.7</v>
      </c>
      <c r="I847">
        <v>20.3</v>
      </c>
      <c r="J847">
        <v>12.3</v>
      </c>
      <c r="K847" t="s">
        <v>6</v>
      </c>
      <c r="L847">
        <v>218</v>
      </c>
      <c r="M847" t="s">
        <v>6</v>
      </c>
    </row>
    <row r="848" spans="1:13" x14ac:dyDescent="0.2">
      <c r="A848" s="1">
        <v>45451</v>
      </c>
      <c r="B848" s="2">
        <v>0.25</v>
      </c>
      <c r="C848" s="3">
        <v>45451.25</v>
      </c>
      <c r="D848">
        <v>50.9</v>
      </c>
      <c r="E848">
        <v>106.5</v>
      </c>
      <c r="F848">
        <v>43.8</v>
      </c>
      <c r="G848" t="s">
        <v>6</v>
      </c>
      <c r="H848">
        <v>14.1</v>
      </c>
      <c r="I848">
        <v>27</v>
      </c>
      <c r="J848">
        <v>11.6</v>
      </c>
      <c r="K848" t="s">
        <v>6</v>
      </c>
      <c r="L848">
        <v>228</v>
      </c>
      <c r="M848" t="s">
        <v>6</v>
      </c>
    </row>
    <row r="849" spans="1:13" x14ac:dyDescent="0.2">
      <c r="A849" s="13">
        <v>45451</v>
      </c>
      <c r="B849" s="9">
        <v>0.29166666666666669</v>
      </c>
      <c r="C849" s="8">
        <v>45451.291666666664</v>
      </c>
      <c r="D849" s="10">
        <v>69.099999999999994</v>
      </c>
      <c r="E849" s="10">
        <v>101.6</v>
      </c>
      <c r="F849" s="10">
        <v>44</v>
      </c>
      <c r="G849" s="10" t="s">
        <v>6</v>
      </c>
      <c r="H849" s="10">
        <v>15.3</v>
      </c>
      <c r="I849" s="10">
        <v>19.100000000000001</v>
      </c>
      <c r="J849" s="10">
        <v>12.1</v>
      </c>
      <c r="K849" s="10" t="s">
        <v>6</v>
      </c>
      <c r="L849" s="10">
        <v>142</v>
      </c>
      <c r="M849" t="s">
        <v>6</v>
      </c>
    </row>
    <row r="850" spans="1:13" x14ac:dyDescent="0.2">
      <c r="A850" s="14">
        <v>45451</v>
      </c>
      <c r="B850" s="12">
        <v>0.375</v>
      </c>
      <c r="C850" s="7">
        <v>45451.375</v>
      </c>
      <c r="D850" s="11">
        <v>67</v>
      </c>
      <c r="E850" s="11">
        <v>71.5</v>
      </c>
      <c r="F850" s="11">
        <v>60.9</v>
      </c>
      <c r="G850" s="11" t="s">
        <v>6</v>
      </c>
      <c r="H850" s="11">
        <v>16.8</v>
      </c>
      <c r="I850" s="11">
        <v>19.5</v>
      </c>
      <c r="J850" s="11">
        <v>14</v>
      </c>
      <c r="K850" s="11" t="s">
        <v>6</v>
      </c>
      <c r="L850" s="11">
        <v>48</v>
      </c>
      <c r="M850" t="s">
        <v>6</v>
      </c>
    </row>
    <row r="851" spans="1:13" x14ac:dyDescent="0.2">
      <c r="A851" s="1">
        <v>45451</v>
      </c>
      <c r="B851" s="2">
        <v>0.41666666666666669</v>
      </c>
      <c r="C851" s="3">
        <v>45451.416666666664</v>
      </c>
      <c r="D851">
        <v>58.9</v>
      </c>
      <c r="E851">
        <v>63.1</v>
      </c>
      <c r="F851">
        <v>53.3</v>
      </c>
      <c r="G851" t="s">
        <v>6</v>
      </c>
      <c r="H851">
        <v>17.100000000000001</v>
      </c>
      <c r="I851">
        <v>23.6</v>
      </c>
      <c r="J851">
        <v>13.9</v>
      </c>
      <c r="K851" t="s">
        <v>6</v>
      </c>
      <c r="L851">
        <v>159</v>
      </c>
      <c r="M851" t="s">
        <v>6</v>
      </c>
    </row>
    <row r="852" spans="1:13" x14ac:dyDescent="0.2">
      <c r="A852" s="1">
        <v>45451</v>
      </c>
      <c r="B852" s="2">
        <v>0.625</v>
      </c>
      <c r="C852" s="3">
        <v>45451.625</v>
      </c>
      <c r="D852">
        <v>56.1</v>
      </c>
      <c r="E852">
        <v>57.8</v>
      </c>
      <c r="F852">
        <v>55.4</v>
      </c>
      <c r="G852" t="s">
        <v>6</v>
      </c>
      <c r="H852">
        <v>13.9</v>
      </c>
      <c r="I852">
        <v>16</v>
      </c>
      <c r="J852">
        <v>11.7</v>
      </c>
      <c r="K852" t="s">
        <v>6</v>
      </c>
      <c r="L852">
        <v>18</v>
      </c>
      <c r="M852" t="s">
        <v>6</v>
      </c>
    </row>
    <row r="853" spans="1:13" x14ac:dyDescent="0.2">
      <c r="A853" s="1">
        <v>45451</v>
      </c>
      <c r="B853" s="2">
        <v>0.70833333333333337</v>
      </c>
      <c r="C853" s="3">
        <v>45451.708333333336</v>
      </c>
      <c r="D853">
        <v>48.1</v>
      </c>
      <c r="E853">
        <v>49.1</v>
      </c>
      <c r="F853">
        <v>47.5</v>
      </c>
      <c r="G853" t="s">
        <v>6</v>
      </c>
      <c r="H853">
        <v>19.7</v>
      </c>
      <c r="I853">
        <v>24.2</v>
      </c>
      <c r="J853">
        <v>16.2</v>
      </c>
      <c r="K853" t="s">
        <v>6</v>
      </c>
      <c r="L853">
        <v>64</v>
      </c>
      <c r="M853" t="s">
        <v>6</v>
      </c>
    </row>
    <row r="854" spans="1:13" x14ac:dyDescent="0.2">
      <c r="A854" s="1">
        <v>45451</v>
      </c>
      <c r="B854" s="2">
        <v>0.75</v>
      </c>
      <c r="C854" s="3">
        <v>45451.75</v>
      </c>
      <c r="D854">
        <v>48.3</v>
      </c>
      <c r="E854">
        <v>51.5</v>
      </c>
      <c r="F854">
        <v>45.2</v>
      </c>
      <c r="G854" t="s">
        <v>6</v>
      </c>
      <c r="H854">
        <v>16.7</v>
      </c>
      <c r="I854">
        <v>21.8</v>
      </c>
      <c r="J854">
        <v>11.3</v>
      </c>
      <c r="K854" t="s">
        <v>6</v>
      </c>
      <c r="L854">
        <v>117</v>
      </c>
      <c r="M854" t="s">
        <v>6</v>
      </c>
    </row>
    <row r="855" spans="1:13" x14ac:dyDescent="0.2">
      <c r="A855" s="1">
        <v>45451</v>
      </c>
      <c r="B855" s="2">
        <v>0.79166666666666663</v>
      </c>
      <c r="C855" s="3">
        <v>45451.791666666664</v>
      </c>
      <c r="D855">
        <v>47.4</v>
      </c>
      <c r="E855">
        <v>47.4</v>
      </c>
      <c r="F855">
        <v>47.4</v>
      </c>
      <c r="G855" t="s">
        <v>6</v>
      </c>
      <c r="H855">
        <v>12.9</v>
      </c>
      <c r="I855">
        <v>13</v>
      </c>
      <c r="J855">
        <v>12.8</v>
      </c>
      <c r="K855" t="s">
        <v>6</v>
      </c>
      <c r="L855">
        <v>3</v>
      </c>
      <c r="M855" t="s">
        <v>6</v>
      </c>
    </row>
    <row r="856" spans="1:13" x14ac:dyDescent="0.2">
      <c r="A856" s="1">
        <v>45451</v>
      </c>
      <c r="B856" s="2">
        <v>0.83333333333333337</v>
      </c>
      <c r="C856" s="3">
        <v>45451.833333333336</v>
      </c>
      <c r="D856">
        <v>45.8</v>
      </c>
      <c r="E856">
        <v>54.2</v>
      </c>
      <c r="F856">
        <v>40.9</v>
      </c>
      <c r="G856" t="s">
        <v>6</v>
      </c>
      <c r="H856">
        <v>16.5</v>
      </c>
      <c r="I856">
        <v>28.2</v>
      </c>
      <c r="J856">
        <v>11.9</v>
      </c>
      <c r="K856" t="s">
        <v>6</v>
      </c>
      <c r="L856">
        <v>179</v>
      </c>
      <c r="M856" t="s">
        <v>6</v>
      </c>
    </row>
    <row r="857" spans="1:13" x14ac:dyDescent="0.2">
      <c r="A857" s="1">
        <v>45451</v>
      </c>
      <c r="B857" s="2">
        <v>0.875</v>
      </c>
      <c r="C857" s="3">
        <v>45451.875</v>
      </c>
      <c r="D857">
        <v>43.9</v>
      </c>
      <c r="E857">
        <v>49.2</v>
      </c>
      <c r="F857">
        <v>40.4</v>
      </c>
      <c r="G857" t="s">
        <v>6</v>
      </c>
      <c r="H857">
        <v>15.5</v>
      </c>
      <c r="I857">
        <v>25.6</v>
      </c>
      <c r="J857">
        <v>11.7</v>
      </c>
      <c r="K857" t="s">
        <v>6</v>
      </c>
      <c r="L857">
        <v>224</v>
      </c>
      <c r="M857" t="s">
        <v>6</v>
      </c>
    </row>
    <row r="858" spans="1:13" x14ac:dyDescent="0.2">
      <c r="A858" s="1">
        <v>45451</v>
      </c>
      <c r="B858" s="2">
        <v>0.91666666666666663</v>
      </c>
      <c r="C858" s="3">
        <v>45451.916666666664</v>
      </c>
      <c r="D858">
        <v>44</v>
      </c>
      <c r="E858">
        <v>47.7</v>
      </c>
      <c r="F858">
        <v>41.1</v>
      </c>
      <c r="G858" t="s">
        <v>6</v>
      </c>
      <c r="H858">
        <v>15.6</v>
      </c>
      <c r="I858">
        <v>29.4</v>
      </c>
      <c r="J858">
        <v>11.5</v>
      </c>
      <c r="K858" t="s">
        <v>6</v>
      </c>
      <c r="L858">
        <v>223</v>
      </c>
      <c r="M858" t="s">
        <v>6</v>
      </c>
    </row>
    <row r="859" spans="1:13" x14ac:dyDescent="0.2">
      <c r="A859" s="1">
        <v>45451</v>
      </c>
      <c r="B859" s="2">
        <v>0.95833333333333337</v>
      </c>
      <c r="C859" s="3">
        <v>45451.958333333336</v>
      </c>
      <c r="D859">
        <v>44.5</v>
      </c>
      <c r="E859">
        <v>48.7</v>
      </c>
      <c r="F859">
        <v>40.200000000000003</v>
      </c>
      <c r="G859" t="s">
        <v>6</v>
      </c>
      <c r="H859">
        <v>15.2</v>
      </c>
      <c r="I859">
        <v>24.4</v>
      </c>
      <c r="J859">
        <v>11.6</v>
      </c>
      <c r="K859" t="s">
        <v>6</v>
      </c>
      <c r="L859">
        <v>226</v>
      </c>
      <c r="M859" t="s">
        <v>6</v>
      </c>
    </row>
    <row r="860" spans="1:13" x14ac:dyDescent="0.2">
      <c r="A860" s="1">
        <v>45452</v>
      </c>
      <c r="B860" s="2">
        <v>0</v>
      </c>
      <c r="C860" s="3">
        <v>45452</v>
      </c>
      <c r="D860">
        <v>72.7</v>
      </c>
      <c r="E860">
        <v>89.5</v>
      </c>
      <c r="F860">
        <v>46.4</v>
      </c>
      <c r="G860" t="s">
        <v>6</v>
      </c>
      <c r="H860">
        <v>13.7</v>
      </c>
      <c r="I860">
        <v>23.9</v>
      </c>
      <c r="J860">
        <v>11.6</v>
      </c>
      <c r="K860" t="s">
        <v>6</v>
      </c>
      <c r="L860">
        <v>224</v>
      </c>
      <c r="M860" t="s">
        <v>6</v>
      </c>
    </row>
    <row r="861" spans="1:13" x14ac:dyDescent="0.2">
      <c r="A861" s="1">
        <v>45452</v>
      </c>
      <c r="B861" s="2">
        <v>4.1666666666666664E-2</v>
      </c>
      <c r="C861" s="3">
        <v>45452.041666666664</v>
      </c>
      <c r="D861">
        <v>63.9</v>
      </c>
      <c r="E861">
        <v>79.7</v>
      </c>
      <c r="F861">
        <v>52.2</v>
      </c>
      <c r="G861" t="s">
        <v>6</v>
      </c>
      <c r="H861">
        <v>13.4</v>
      </c>
      <c r="I861">
        <v>16.899999999999999</v>
      </c>
      <c r="J861">
        <v>11.8</v>
      </c>
      <c r="K861" t="s">
        <v>6</v>
      </c>
      <c r="L861">
        <v>219</v>
      </c>
      <c r="M861" t="s">
        <v>6</v>
      </c>
    </row>
    <row r="862" spans="1:13" x14ac:dyDescent="0.2">
      <c r="A862" s="1">
        <v>45452</v>
      </c>
      <c r="B862" s="2">
        <v>8.3333333333333329E-2</v>
      </c>
      <c r="C862" s="3">
        <v>45452.083333333336</v>
      </c>
      <c r="D862">
        <v>79.599999999999994</v>
      </c>
      <c r="E862">
        <v>91</v>
      </c>
      <c r="F862">
        <v>65.599999999999994</v>
      </c>
      <c r="G862" t="s">
        <v>6</v>
      </c>
      <c r="H862">
        <v>13.3</v>
      </c>
      <c r="I862">
        <v>17.899999999999999</v>
      </c>
      <c r="J862">
        <v>11.5</v>
      </c>
      <c r="K862" t="s">
        <v>6</v>
      </c>
      <c r="L862">
        <v>173</v>
      </c>
      <c r="M862" t="s">
        <v>6</v>
      </c>
    </row>
    <row r="863" spans="1:13" x14ac:dyDescent="0.2">
      <c r="A863" s="1">
        <v>45452</v>
      </c>
      <c r="B863" s="2">
        <v>0.125</v>
      </c>
      <c r="C863" s="3">
        <v>45452.125</v>
      </c>
      <c r="D863">
        <v>45.2</v>
      </c>
      <c r="E863">
        <v>65.599999999999994</v>
      </c>
      <c r="F863">
        <v>42.1</v>
      </c>
      <c r="G863" t="s">
        <v>6</v>
      </c>
      <c r="H863">
        <v>13.9</v>
      </c>
      <c r="I863">
        <v>22.9</v>
      </c>
      <c r="J863">
        <v>11.8</v>
      </c>
      <c r="K863" t="s">
        <v>6</v>
      </c>
      <c r="L863">
        <v>184</v>
      </c>
      <c r="M863" t="s">
        <v>6</v>
      </c>
    </row>
    <row r="864" spans="1:13" x14ac:dyDescent="0.2">
      <c r="A864" s="1">
        <v>45452</v>
      </c>
      <c r="B864" s="2">
        <v>0.16666666666666666</v>
      </c>
      <c r="C864" s="3">
        <v>45452.166666666664</v>
      </c>
      <c r="D864">
        <v>71.3</v>
      </c>
      <c r="E864">
        <v>91.3</v>
      </c>
      <c r="F864">
        <v>47.4</v>
      </c>
      <c r="G864" t="s">
        <v>6</v>
      </c>
      <c r="H864">
        <v>14.7</v>
      </c>
      <c r="I864">
        <v>25</v>
      </c>
      <c r="J864">
        <v>11.8</v>
      </c>
      <c r="K864" t="s">
        <v>6</v>
      </c>
      <c r="L864">
        <v>226</v>
      </c>
      <c r="M864" t="s">
        <v>6</v>
      </c>
    </row>
    <row r="865" spans="1:13" x14ac:dyDescent="0.2">
      <c r="A865" s="1">
        <v>45452</v>
      </c>
      <c r="B865" s="2">
        <v>0.20833333333333334</v>
      </c>
      <c r="C865" s="3">
        <v>45452.208333333336</v>
      </c>
      <c r="D865">
        <v>58.1</v>
      </c>
      <c r="E865">
        <v>77.599999999999994</v>
      </c>
      <c r="F865">
        <v>42.8</v>
      </c>
      <c r="G865" t="s">
        <v>6</v>
      </c>
      <c r="H865">
        <v>12.9</v>
      </c>
      <c r="I865">
        <v>16.8</v>
      </c>
      <c r="J865">
        <v>11.4</v>
      </c>
      <c r="K865" t="s">
        <v>6</v>
      </c>
      <c r="L865">
        <v>222</v>
      </c>
      <c r="M865" t="s">
        <v>6</v>
      </c>
    </row>
    <row r="866" spans="1:13" x14ac:dyDescent="0.2">
      <c r="A866" s="1">
        <v>45452</v>
      </c>
      <c r="B866" s="2">
        <v>0.25</v>
      </c>
      <c r="C866" s="3">
        <v>45452.25</v>
      </c>
      <c r="D866">
        <v>62.9</v>
      </c>
      <c r="E866">
        <v>90.9</v>
      </c>
      <c r="F866">
        <v>43.1</v>
      </c>
      <c r="G866" t="s">
        <v>6</v>
      </c>
      <c r="H866">
        <v>15.8</v>
      </c>
      <c r="I866">
        <v>21.1</v>
      </c>
      <c r="J866">
        <v>11.8</v>
      </c>
      <c r="K866" t="s">
        <v>6</v>
      </c>
      <c r="L866">
        <v>166</v>
      </c>
      <c r="M866" t="s">
        <v>6</v>
      </c>
    </row>
    <row r="867" spans="1:13" x14ac:dyDescent="0.2">
      <c r="A867" s="13">
        <v>45452</v>
      </c>
      <c r="B867" s="9">
        <v>0.33333333333333331</v>
      </c>
      <c r="C867" s="8">
        <v>45452.333333333336</v>
      </c>
      <c r="D867" s="10">
        <v>67.8</v>
      </c>
      <c r="E867" s="10">
        <v>68.8</v>
      </c>
      <c r="F867" s="10">
        <v>66.900000000000006</v>
      </c>
      <c r="G867" s="10" t="s">
        <v>6</v>
      </c>
      <c r="H867" s="10">
        <v>14.3</v>
      </c>
      <c r="I867" s="10">
        <v>16.8</v>
      </c>
      <c r="J867" s="10">
        <v>13.6</v>
      </c>
      <c r="K867" s="10" t="s">
        <v>6</v>
      </c>
      <c r="L867" s="10">
        <v>7</v>
      </c>
      <c r="M867" t="s">
        <v>6</v>
      </c>
    </row>
    <row r="868" spans="1:13" x14ac:dyDescent="0.2">
      <c r="A868" s="14">
        <v>45452</v>
      </c>
      <c r="B868" s="12">
        <v>0.5</v>
      </c>
      <c r="C868" s="7">
        <v>45452.5</v>
      </c>
      <c r="D868" s="11">
        <v>64.3</v>
      </c>
      <c r="E868" s="11">
        <v>68.400000000000006</v>
      </c>
      <c r="F868" s="11">
        <v>59.7</v>
      </c>
      <c r="G868" s="11" t="s">
        <v>6</v>
      </c>
      <c r="H868" s="11">
        <v>19.2</v>
      </c>
      <c r="I868" s="11">
        <v>22</v>
      </c>
      <c r="J868" s="11">
        <v>17.7</v>
      </c>
      <c r="K868" s="11" t="s">
        <v>6</v>
      </c>
      <c r="L868" s="11">
        <v>10</v>
      </c>
      <c r="M868" t="s">
        <v>6</v>
      </c>
    </row>
    <row r="869" spans="1:13" x14ac:dyDescent="0.2">
      <c r="A869" s="1">
        <v>45452</v>
      </c>
      <c r="B869" s="2">
        <v>0.54166666666666663</v>
      </c>
      <c r="C869" s="3">
        <v>45452.541666666664</v>
      </c>
      <c r="D869">
        <v>60.9</v>
      </c>
      <c r="E869">
        <v>66.599999999999994</v>
      </c>
      <c r="F869">
        <v>55.4</v>
      </c>
      <c r="G869" t="s">
        <v>6</v>
      </c>
      <c r="H869">
        <v>24</v>
      </c>
      <c r="I869">
        <v>53</v>
      </c>
      <c r="J869">
        <v>13.3</v>
      </c>
      <c r="K869" t="s">
        <v>6</v>
      </c>
      <c r="L869">
        <v>99</v>
      </c>
      <c r="M869" t="s">
        <v>6</v>
      </c>
    </row>
    <row r="870" spans="1:13" x14ac:dyDescent="0.2">
      <c r="A870" s="1">
        <v>45452</v>
      </c>
      <c r="B870" s="2">
        <v>0.625</v>
      </c>
      <c r="C870" s="3">
        <v>45452.625</v>
      </c>
      <c r="D870">
        <v>66.5</v>
      </c>
      <c r="E870">
        <v>71</v>
      </c>
      <c r="F870">
        <v>63.4</v>
      </c>
      <c r="G870" t="s">
        <v>6</v>
      </c>
      <c r="H870">
        <v>18.3</v>
      </c>
      <c r="I870">
        <v>19.899999999999999</v>
      </c>
      <c r="J870">
        <v>16.7</v>
      </c>
      <c r="K870" t="s">
        <v>6</v>
      </c>
      <c r="L870">
        <v>20</v>
      </c>
      <c r="M870" t="s">
        <v>6</v>
      </c>
    </row>
    <row r="871" spans="1:13" x14ac:dyDescent="0.2">
      <c r="A871" s="1">
        <v>45452</v>
      </c>
      <c r="B871" s="2">
        <v>0.75</v>
      </c>
      <c r="C871" s="3">
        <v>45452.75</v>
      </c>
      <c r="D871">
        <v>62</v>
      </c>
      <c r="E871">
        <v>65.3</v>
      </c>
      <c r="F871">
        <v>58.8</v>
      </c>
      <c r="G871" t="s">
        <v>6</v>
      </c>
      <c r="H871">
        <v>15.4</v>
      </c>
      <c r="I871">
        <v>19.600000000000001</v>
      </c>
      <c r="J871">
        <v>13.7</v>
      </c>
      <c r="K871" t="s">
        <v>6</v>
      </c>
      <c r="L871">
        <v>56</v>
      </c>
      <c r="M871" t="s">
        <v>6</v>
      </c>
    </row>
    <row r="872" spans="1:13" x14ac:dyDescent="0.2">
      <c r="A872" s="1">
        <v>45452</v>
      </c>
      <c r="B872" s="2">
        <v>0.79166666666666663</v>
      </c>
      <c r="C872" s="3">
        <v>45452.791666666664</v>
      </c>
      <c r="D872">
        <v>54.9</v>
      </c>
      <c r="E872">
        <v>60.3</v>
      </c>
      <c r="F872">
        <v>47.2</v>
      </c>
      <c r="G872" t="s">
        <v>6</v>
      </c>
      <c r="H872">
        <v>20.100000000000001</v>
      </c>
      <c r="I872">
        <v>32.6</v>
      </c>
      <c r="J872">
        <v>11.6</v>
      </c>
      <c r="K872" t="s">
        <v>6</v>
      </c>
      <c r="L872">
        <v>96</v>
      </c>
      <c r="M872" t="s">
        <v>6</v>
      </c>
    </row>
    <row r="873" spans="1:13" x14ac:dyDescent="0.2">
      <c r="A873" s="1">
        <v>45452</v>
      </c>
      <c r="B873" s="2">
        <v>0.83333333333333337</v>
      </c>
      <c r="C873" s="3">
        <v>45452.833333333336</v>
      </c>
      <c r="D873">
        <v>60.2</v>
      </c>
      <c r="E873">
        <v>83.8</v>
      </c>
      <c r="F873">
        <v>47</v>
      </c>
      <c r="G873" t="s">
        <v>6</v>
      </c>
      <c r="H873">
        <v>15.7</v>
      </c>
      <c r="I873">
        <v>28.6</v>
      </c>
      <c r="J873">
        <v>12.6</v>
      </c>
      <c r="K873" t="s">
        <v>6</v>
      </c>
      <c r="L873">
        <v>221</v>
      </c>
      <c r="M873" t="s">
        <v>6</v>
      </c>
    </row>
    <row r="874" spans="1:13" x14ac:dyDescent="0.2">
      <c r="A874" s="1">
        <v>45452</v>
      </c>
      <c r="B874" s="2">
        <v>0.875</v>
      </c>
      <c r="C874" s="3">
        <v>45452.875</v>
      </c>
      <c r="D874">
        <v>61.6</v>
      </c>
      <c r="E874">
        <v>81</v>
      </c>
      <c r="F874">
        <v>44.1</v>
      </c>
      <c r="G874" t="s">
        <v>6</v>
      </c>
      <c r="H874">
        <v>13.7</v>
      </c>
      <c r="I874">
        <v>24.5</v>
      </c>
      <c r="J874">
        <v>12</v>
      </c>
      <c r="K874" t="s">
        <v>6</v>
      </c>
      <c r="L874">
        <v>220</v>
      </c>
      <c r="M874" t="s">
        <v>6</v>
      </c>
    </row>
    <row r="875" spans="1:13" x14ac:dyDescent="0.2">
      <c r="A875" s="1">
        <v>45452</v>
      </c>
      <c r="B875" s="2">
        <v>0.91666666666666663</v>
      </c>
      <c r="C875" s="3">
        <v>45452.916666666664</v>
      </c>
      <c r="D875">
        <v>51</v>
      </c>
      <c r="E875">
        <v>69</v>
      </c>
      <c r="F875">
        <v>43.6</v>
      </c>
      <c r="G875" t="s">
        <v>6</v>
      </c>
      <c r="H875">
        <v>13.9</v>
      </c>
      <c r="I875">
        <v>21.9</v>
      </c>
      <c r="J875">
        <v>11.7</v>
      </c>
      <c r="K875" t="s">
        <v>6</v>
      </c>
      <c r="L875">
        <v>225</v>
      </c>
      <c r="M875" t="s">
        <v>6</v>
      </c>
    </row>
    <row r="876" spans="1:13" x14ac:dyDescent="0.2">
      <c r="A876" s="1">
        <v>45452</v>
      </c>
      <c r="B876" s="2">
        <v>0.95833333333333337</v>
      </c>
      <c r="C876" s="3">
        <v>45452.958333333336</v>
      </c>
      <c r="D876">
        <v>55</v>
      </c>
      <c r="E876">
        <v>69.2</v>
      </c>
      <c r="F876">
        <v>45.9</v>
      </c>
      <c r="G876" t="s">
        <v>6</v>
      </c>
      <c r="H876">
        <v>14.3</v>
      </c>
      <c r="I876">
        <v>28.6</v>
      </c>
      <c r="J876">
        <v>12.2</v>
      </c>
      <c r="K876" t="s">
        <v>6</v>
      </c>
      <c r="L876">
        <v>219</v>
      </c>
      <c r="M876" t="s">
        <v>6</v>
      </c>
    </row>
    <row r="877" spans="1:13" x14ac:dyDescent="0.2">
      <c r="A877" s="1">
        <v>45453</v>
      </c>
      <c r="B877" s="2">
        <v>0</v>
      </c>
      <c r="C877" s="3">
        <v>45453</v>
      </c>
      <c r="D877">
        <v>49.2</v>
      </c>
      <c r="E877">
        <v>54.6</v>
      </c>
      <c r="F877">
        <v>45.7</v>
      </c>
      <c r="G877" t="s">
        <v>6</v>
      </c>
      <c r="H877">
        <v>13.1</v>
      </c>
      <c r="I877">
        <v>21.6</v>
      </c>
      <c r="J877">
        <v>11.8</v>
      </c>
      <c r="K877" t="s">
        <v>6</v>
      </c>
      <c r="L877">
        <v>225</v>
      </c>
      <c r="M877" t="s">
        <v>6</v>
      </c>
    </row>
    <row r="878" spans="1:13" x14ac:dyDescent="0.2">
      <c r="A878" s="1">
        <v>45453</v>
      </c>
      <c r="B878" s="2">
        <v>4.1666666666666664E-2</v>
      </c>
      <c r="C878" s="3">
        <v>45453.041666666664</v>
      </c>
      <c r="D878">
        <v>66.2</v>
      </c>
      <c r="E878">
        <v>87.9</v>
      </c>
      <c r="F878">
        <v>45.7</v>
      </c>
      <c r="G878" t="s">
        <v>6</v>
      </c>
      <c r="H878">
        <v>14.8</v>
      </c>
      <c r="I878">
        <v>24.6</v>
      </c>
      <c r="J878">
        <v>11.3</v>
      </c>
      <c r="K878" t="s">
        <v>6</v>
      </c>
      <c r="L878">
        <v>223</v>
      </c>
      <c r="M878" t="s">
        <v>6</v>
      </c>
    </row>
    <row r="879" spans="1:13" x14ac:dyDescent="0.2">
      <c r="A879" s="1">
        <v>45453</v>
      </c>
      <c r="B879" s="2">
        <v>8.3333333333333329E-2</v>
      </c>
      <c r="C879" s="3">
        <v>45453.083333333336</v>
      </c>
      <c r="D879">
        <v>80.7</v>
      </c>
      <c r="E879">
        <v>102.9</v>
      </c>
      <c r="F879">
        <v>44.9</v>
      </c>
      <c r="G879" t="s">
        <v>6</v>
      </c>
      <c r="H879">
        <v>13</v>
      </c>
      <c r="I879">
        <v>20.399999999999999</v>
      </c>
      <c r="J879">
        <v>10.9</v>
      </c>
      <c r="K879" t="s">
        <v>6</v>
      </c>
      <c r="L879">
        <v>227</v>
      </c>
      <c r="M879" t="s">
        <v>6</v>
      </c>
    </row>
    <row r="880" spans="1:13" x14ac:dyDescent="0.2">
      <c r="A880" s="1">
        <v>45453</v>
      </c>
      <c r="B880" s="2">
        <v>0.125</v>
      </c>
      <c r="C880" s="3">
        <v>45453.125</v>
      </c>
      <c r="D880">
        <v>80.900000000000006</v>
      </c>
      <c r="E880">
        <v>107</v>
      </c>
      <c r="F880">
        <v>44.5</v>
      </c>
      <c r="G880" t="s">
        <v>6</v>
      </c>
      <c r="H880">
        <v>12.7</v>
      </c>
      <c r="I880">
        <v>15.9</v>
      </c>
      <c r="J880">
        <v>11</v>
      </c>
      <c r="K880" t="s">
        <v>6</v>
      </c>
      <c r="L880">
        <v>223</v>
      </c>
      <c r="M880" t="s">
        <v>6</v>
      </c>
    </row>
    <row r="881" spans="1:13" x14ac:dyDescent="0.2">
      <c r="A881" s="1">
        <v>45453</v>
      </c>
      <c r="B881" s="2">
        <v>0.16666666666666666</v>
      </c>
      <c r="C881" s="3">
        <v>45453.166666666664</v>
      </c>
      <c r="D881">
        <v>86.4</v>
      </c>
      <c r="E881">
        <v>99.6</v>
      </c>
      <c r="F881">
        <v>77.3</v>
      </c>
      <c r="G881" t="s">
        <v>6</v>
      </c>
      <c r="H881">
        <v>14.1</v>
      </c>
      <c r="I881">
        <v>30</v>
      </c>
      <c r="J881">
        <v>11.6</v>
      </c>
      <c r="K881" t="s">
        <v>6</v>
      </c>
      <c r="L881">
        <v>219</v>
      </c>
      <c r="M881" t="s">
        <v>6</v>
      </c>
    </row>
    <row r="882" spans="1:13" x14ac:dyDescent="0.2">
      <c r="A882" s="13">
        <v>45453</v>
      </c>
      <c r="B882" s="9">
        <v>0.20833333333333334</v>
      </c>
      <c r="C882" s="8">
        <v>45453.208333333336</v>
      </c>
      <c r="D882" s="10">
        <v>77.3</v>
      </c>
      <c r="E882" s="10">
        <v>77.3</v>
      </c>
      <c r="F882" s="10">
        <v>77.3</v>
      </c>
      <c r="G882" s="10" t="s">
        <v>6</v>
      </c>
      <c r="H882" s="10">
        <v>17.100000000000001</v>
      </c>
      <c r="I882" s="10">
        <v>20.2</v>
      </c>
      <c r="J882" s="10">
        <v>14.1</v>
      </c>
      <c r="K882" s="10" t="s">
        <v>6</v>
      </c>
      <c r="L882" s="10">
        <v>17</v>
      </c>
      <c r="M882" t="s">
        <v>6</v>
      </c>
    </row>
    <row r="883" spans="1:13" x14ac:dyDescent="0.2">
      <c r="A883" s="14">
        <v>45453</v>
      </c>
      <c r="B883" s="12">
        <v>0.45833333333333331</v>
      </c>
      <c r="C883" s="7">
        <v>45453.458333333336</v>
      </c>
      <c r="D883" s="11">
        <v>46.6</v>
      </c>
      <c r="E883" s="11">
        <v>48.2</v>
      </c>
      <c r="F883" s="11">
        <v>46.5</v>
      </c>
      <c r="G883" s="11" t="s">
        <v>6</v>
      </c>
      <c r="H883" s="11">
        <v>17.100000000000001</v>
      </c>
      <c r="I883" s="11">
        <v>18.7</v>
      </c>
      <c r="J883" s="11">
        <v>15.2</v>
      </c>
      <c r="K883" s="11" t="s">
        <v>6</v>
      </c>
      <c r="L883" s="11">
        <v>12</v>
      </c>
      <c r="M883" t="s">
        <v>6</v>
      </c>
    </row>
    <row r="884" spans="1:13" x14ac:dyDescent="0.2">
      <c r="A884" s="1">
        <v>45453</v>
      </c>
      <c r="B884" s="2">
        <v>0.5</v>
      </c>
      <c r="C884" s="3">
        <v>45453.5</v>
      </c>
      <c r="D884">
        <v>46.5</v>
      </c>
      <c r="E884">
        <v>46.6</v>
      </c>
      <c r="F884">
        <v>46.4</v>
      </c>
      <c r="G884" t="s">
        <v>6</v>
      </c>
      <c r="H884">
        <v>16.7</v>
      </c>
      <c r="I884">
        <v>17</v>
      </c>
      <c r="J884">
        <v>16.600000000000001</v>
      </c>
      <c r="K884" t="s">
        <v>6</v>
      </c>
      <c r="L884">
        <v>5</v>
      </c>
      <c r="M884" t="s">
        <v>6</v>
      </c>
    </row>
    <row r="885" spans="1:13" x14ac:dyDescent="0.2">
      <c r="A885" s="1">
        <v>45453</v>
      </c>
      <c r="B885" s="2">
        <v>0.54166666666666663</v>
      </c>
      <c r="C885" s="3">
        <v>45453.541666666664</v>
      </c>
      <c r="D885">
        <v>43.5</v>
      </c>
      <c r="E885">
        <v>44.7</v>
      </c>
      <c r="F885">
        <v>43.1</v>
      </c>
      <c r="G885" t="s">
        <v>6</v>
      </c>
      <c r="H885">
        <v>14.6</v>
      </c>
      <c r="I885">
        <v>17.7</v>
      </c>
      <c r="J885">
        <v>12.9</v>
      </c>
      <c r="K885" t="s">
        <v>6</v>
      </c>
      <c r="L885">
        <v>13</v>
      </c>
      <c r="M885" t="s">
        <v>6</v>
      </c>
    </row>
    <row r="886" spans="1:13" x14ac:dyDescent="0.2">
      <c r="A886" s="1">
        <v>45453</v>
      </c>
      <c r="B886" s="2">
        <v>0.58333333333333337</v>
      </c>
      <c r="C886" s="3">
        <v>45453.583333333336</v>
      </c>
      <c r="D886">
        <v>42.4</v>
      </c>
      <c r="E886">
        <v>44</v>
      </c>
      <c r="F886">
        <v>40.700000000000003</v>
      </c>
      <c r="G886" t="s">
        <v>6</v>
      </c>
      <c r="H886">
        <v>16.8</v>
      </c>
      <c r="I886">
        <v>29.2</v>
      </c>
      <c r="J886">
        <v>12.9</v>
      </c>
      <c r="K886" t="s">
        <v>6</v>
      </c>
      <c r="L886">
        <v>136</v>
      </c>
      <c r="M886" t="s">
        <v>6</v>
      </c>
    </row>
    <row r="887" spans="1:13" x14ac:dyDescent="0.2">
      <c r="A887" s="1">
        <v>45453</v>
      </c>
      <c r="B887" s="2">
        <v>0.75</v>
      </c>
      <c r="C887" s="3">
        <v>45453.75</v>
      </c>
      <c r="D887">
        <v>105.2</v>
      </c>
      <c r="E887">
        <v>116.1</v>
      </c>
      <c r="F887">
        <v>83.4</v>
      </c>
      <c r="G887" t="s">
        <v>6</v>
      </c>
      <c r="H887">
        <v>16.8</v>
      </c>
      <c r="I887">
        <v>22.2</v>
      </c>
      <c r="J887">
        <v>12.8</v>
      </c>
      <c r="K887" t="s">
        <v>6</v>
      </c>
      <c r="L887">
        <v>144</v>
      </c>
      <c r="M887" t="s">
        <v>6</v>
      </c>
    </row>
    <row r="888" spans="1:13" x14ac:dyDescent="0.2">
      <c r="A888" s="1">
        <v>45453</v>
      </c>
      <c r="B888" s="2">
        <v>0.79166666666666663</v>
      </c>
      <c r="C888" s="3">
        <v>45453.791666666664</v>
      </c>
      <c r="D888">
        <v>84.2</v>
      </c>
      <c r="E888">
        <v>94.7</v>
      </c>
      <c r="F888">
        <v>72.5</v>
      </c>
      <c r="G888" t="s">
        <v>6</v>
      </c>
      <c r="H888">
        <v>17.399999999999999</v>
      </c>
      <c r="I888">
        <v>23.1</v>
      </c>
      <c r="J888">
        <v>12.4</v>
      </c>
      <c r="K888" t="s">
        <v>6</v>
      </c>
      <c r="L888">
        <v>202</v>
      </c>
      <c r="M888" t="s">
        <v>6</v>
      </c>
    </row>
    <row r="889" spans="1:13" x14ac:dyDescent="0.2">
      <c r="A889" s="1">
        <v>45453</v>
      </c>
      <c r="B889" s="2">
        <v>0.83333333333333337</v>
      </c>
      <c r="C889" s="3">
        <v>45453.833333333336</v>
      </c>
      <c r="D889">
        <v>79</v>
      </c>
      <c r="E889">
        <v>94.7</v>
      </c>
      <c r="F889">
        <v>62.8</v>
      </c>
      <c r="G889" t="s">
        <v>6</v>
      </c>
      <c r="H889">
        <v>16.399999999999999</v>
      </c>
      <c r="I889">
        <v>32.9</v>
      </c>
      <c r="J889">
        <v>12.7</v>
      </c>
      <c r="K889" t="s">
        <v>6</v>
      </c>
      <c r="L889">
        <v>216</v>
      </c>
      <c r="M889" t="s">
        <v>6</v>
      </c>
    </row>
    <row r="890" spans="1:13" x14ac:dyDescent="0.2">
      <c r="A890" s="1">
        <v>45453</v>
      </c>
      <c r="B890" s="2">
        <v>0.875</v>
      </c>
      <c r="C890" s="3">
        <v>45453.875</v>
      </c>
      <c r="D890">
        <v>76.400000000000006</v>
      </c>
      <c r="E890">
        <v>87.9</v>
      </c>
      <c r="F890">
        <v>63.3</v>
      </c>
      <c r="G890" t="s">
        <v>6</v>
      </c>
      <c r="H890">
        <v>17</v>
      </c>
      <c r="I890">
        <v>26.8</v>
      </c>
      <c r="J890">
        <v>12.7</v>
      </c>
      <c r="K890" t="s">
        <v>6</v>
      </c>
      <c r="L890">
        <v>228</v>
      </c>
      <c r="M890" t="s">
        <v>6</v>
      </c>
    </row>
    <row r="891" spans="1:13" x14ac:dyDescent="0.2">
      <c r="A891" s="1">
        <v>45453</v>
      </c>
      <c r="B891" s="2">
        <v>0.91666666666666663</v>
      </c>
      <c r="C891" s="3">
        <v>45453.916666666664</v>
      </c>
      <c r="D891">
        <v>72.099999999999994</v>
      </c>
      <c r="E891">
        <v>86.3</v>
      </c>
      <c r="F891">
        <v>53.7</v>
      </c>
      <c r="G891" t="s">
        <v>6</v>
      </c>
      <c r="H891">
        <v>14.7</v>
      </c>
      <c r="I891">
        <v>23.5</v>
      </c>
      <c r="J891">
        <v>12.3</v>
      </c>
      <c r="K891" t="s">
        <v>6</v>
      </c>
      <c r="L891">
        <v>224</v>
      </c>
      <c r="M891" t="s">
        <v>6</v>
      </c>
    </row>
    <row r="892" spans="1:13" x14ac:dyDescent="0.2">
      <c r="A892" s="1">
        <v>45453</v>
      </c>
      <c r="B892" s="2">
        <v>0.95833333333333337</v>
      </c>
      <c r="C892" s="3">
        <v>45453.958333333336</v>
      </c>
      <c r="D892">
        <v>47.7</v>
      </c>
      <c r="E892">
        <v>55.2</v>
      </c>
      <c r="F892">
        <v>42.3</v>
      </c>
      <c r="G892" t="s">
        <v>6</v>
      </c>
      <c r="H892">
        <v>17</v>
      </c>
      <c r="I892">
        <v>27.3</v>
      </c>
      <c r="J892">
        <v>12.7</v>
      </c>
      <c r="K892" t="s">
        <v>6</v>
      </c>
      <c r="L892">
        <v>216</v>
      </c>
      <c r="M892" t="s">
        <v>6</v>
      </c>
    </row>
    <row r="893" spans="1:13" x14ac:dyDescent="0.2">
      <c r="A893" s="1">
        <v>45454</v>
      </c>
      <c r="B893" s="2">
        <v>0</v>
      </c>
      <c r="C893" s="3">
        <v>45454</v>
      </c>
      <c r="D893">
        <v>57.1</v>
      </c>
      <c r="E893">
        <v>102.4</v>
      </c>
      <c r="F893">
        <v>40.4</v>
      </c>
      <c r="G893" t="s">
        <v>6</v>
      </c>
      <c r="H893">
        <v>14.6</v>
      </c>
      <c r="I893">
        <v>25.5</v>
      </c>
      <c r="J893">
        <v>12.3</v>
      </c>
      <c r="K893" t="s">
        <v>6</v>
      </c>
      <c r="L893">
        <v>219</v>
      </c>
      <c r="M893" t="s">
        <v>6</v>
      </c>
    </row>
    <row r="894" spans="1:13" x14ac:dyDescent="0.2">
      <c r="A894" s="1">
        <v>45454</v>
      </c>
      <c r="B894" s="2">
        <v>4.1666666666666664E-2</v>
      </c>
      <c r="C894" s="3">
        <v>45454.041666666664</v>
      </c>
      <c r="D894">
        <v>90.1</v>
      </c>
      <c r="E894">
        <v>106</v>
      </c>
      <c r="F894">
        <v>58.2</v>
      </c>
      <c r="G894" t="s">
        <v>6</v>
      </c>
      <c r="H894">
        <v>13.2</v>
      </c>
      <c r="I894">
        <v>20.100000000000001</v>
      </c>
      <c r="J894">
        <v>11.4</v>
      </c>
      <c r="K894" t="s">
        <v>6</v>
      </c>
      <c r="L894">
        <v>230</v>
      </c>
      <c r="M894" t="s">
        <v>6</v>
      </c>
    </row>
    <row r="895" spans="1:13" x14ac:dyDescent="0.2">
      <c r="A895" s="1">
        <v>45454</v>
      </c>
      <c r="B895" s="2">
        <v>8.3333333333333329E-2</v>
      </c>
      <c r="C895" s="3">
        <v>45454.083333333336</v>
      </c>
      <c r="D895">
        <v>59.7</v>
      </c>
      <c r="E895">
        <v>67</v>
      </c>
      <c r="F895">
        <v>55.1</v>
      </c>
      <c r="G895" t="s">
        <v>6</v>
      </c>
      <c r="H895">
        <v>12.9</v>
      </c>
      <c r="I895">
        <v>15</v>
      </c>
      <c r="J895">
        <v>11.6</v>
      </c>
      <c r="K895" t="s">
        <v>6</v>
      </c>
      <c r="L895">
        <v>221</v>
      </c>
      <c r="M895" t="s">
        <v>6</v>
      </c>
    </row>
    <row r="896" spans="1:13" x14ac:dyDescent="0.2">
      <c r="A896" s="1">
        <v>45454</v>
      </c>
      <c r="B896" s="2">
        <v>0.125</v>
      </c>
      <c r="C896" s="3">
        <v>45454.125</v>
      </c>
      <c r="D896">
        <v>86.5</v>
      </c>
      <c r="E896">
        <v>99.4</v>
      </c>
      <c r="F896">
        <v>62.7</v>
      </c>
      <c r="G896" t="s">
        <v>6</v>
      </c>
      <c r="H896">
        <v>14.1</v>
      </c>
      <c r="I896">
        <v>27.5</v>
      </c>
      <c r="J896">
        <v>11.5</v>
      </c>
      <c r="K896" t="s">
        <v>6</v>
      </c>
      <c r="L896">
        <v>214</v>
      </c>
      <c r="M896" t="s">
        <v>6</v>
      </c>
    </row>
    <row r="897" spans="1:13" x14ac:dyDescent="0.2">
      <c r="A897" s="1">
        <v>45454</v>
      </c>
      <c r="B897" s="2">
        <v>0.16666666666666666</v>
      </c>
      <c r="C897" s="3">
        <v>45454.166666666664</v>
      </c>
      <c r="D897">
        <v>62.1</v>
      </c>
      <c r="E897">
        <v>95.1</v>
      </c>
      <c r="F897">
        <v>46.4</v>
      </c>
      <c r="G897" t="s">
        <v>6</v>
      </c>
      <c r="H897">
        <v>12.6</v>
      </c>
      <c r="I897">
        <v>21.8</v>
      </c>
      <c r="J897">
        <v>11.2</v>
      </c>
      <c r="K897" t="s">
        <v>6</v>
      </c>
      <c r="L897">
        <v>228</v>
      </c>
      <c r="M897" t="s">
        <v>6</v>
      </c>
    </row>
    <row r="898" spans="1:13" x14ac:dyDescent="0.2">
      <c r="A898" s="1">
        <v>45454</v>
      </c>
      <c r="B898" s="2">
        <v>0.20833333333333334</v>
      </c>
      <c r="C898" s="3">
        <v>45454.208333333336</v>
      </c>
      <c r="D898">
        <v>49.2</v>
      </c>
      <c r="E898">
        <v>55.7</v>
      </c>
      <c r="F898">
        <v>44.4</v>
      </c>
      <c r="G898" t="s">
        <v>6</v>
      </c>
      <c r="H898">
        <v>13.5</v>
      </c>
      <c r="I898">
        <v>24</v>
      </c>
      <c r="J898">
        <v>11.3</v>
      </c>
      <c r="K898" t="s">
        <v>6</v>
      </c>
      <c r="L898">
        <v>230</v>
      </c>
      <c r="M898" t="s">
        <v>6</v>
      </c>
    </row>
    <row r="899" spans="1:13" x14ac:dyDescent="0.2">
      <c r="A899" s="1">
        <v>45454</v>
      </c>
      <c r="B899" s="2">
        <v>0.25</v>
      </c>
      <c r="C899" s="3">
        <v>45454.25</v>
      </c>
      <c r="D899">
        <v>46.1</v>
      </c>
      <c r="E899">
        <v>48.8</v>
      </c>
      <c r="F899">
        <v>44.2</v>
      </c>
      <c r="G899" t="s">
        <v>6</v>
      </c>
      <c r="H899">
        <v>13.3</v>
      </c>
      <c r="I899">
        <v>24</v>
      </c>
      <c r="J899">
        <v>11</v>
      </c>
      <c r="K899" t="s">
        <v>6</v>
      </c>
      <c r="L899">
        <v>127</v>
      </c>
      <c r="M899" t="s">
        <v>6</v>
      </c>
    </row>
    <row r="900" spans="1:13" x14ac:dyDescent="0.2">
      <c r="A900" s="1">
        <v>45454</v>
      </c>
      <c r="B900" s="2">
        <v>0.29166666666666669</v>
      </c>
      <c r="C900" s="3">
        <v>45454.291666666664</v>
      </c>
      <c r="D900">
        <v>48.3</v>
      </c>
      <c r="E900">
        <v>51.9</v>
      </c>
      <c r="F900">
        <v>46.2</v>
      </c>
      <c r="G900" t="s">
        <v>6</v>
      </c>
      <c r="H900">
        <v>18.5</v>
      </c>
      <c r="I900">
        <v>21.7</v>
      </c>
      <c r="J900">
        <v>15.4</v>
      </c>
      <c r="K900" t="s">
        <v>6</v>
      </c>
      <c r="L900">
        <v>34</v>
      </c>
      <c r="M900" t="s">
        <v>6</v>
      </c>
    </row>
    <row r="901" spans="1:13" x14ac:dyDescent="0.2">
      <c r="A901" s="13">
        <v>45454</v>
      </c>
      <c r="B901" s="9">
        <v>0.33333333333333331</v>
      </c>
      <c r="C901" s="8">
        <v>45454.333333333336</v>
      </c>
      <c r="D901" s="10">
        <v>49.8</v>
      </c>
      <c r="E901" s="10">
        <v>50.1</v>
      </c>
      <c r="F901" s="10">
        <v>49.4</v>
      </c>
      <c r="G901" s="10" t="s">
        <v>6</v>
      </c>
      <c r="H901" s="10">
        <v>15.8</v>
      </c>
      <c r="I901" s="10">
        <v>16.7</v>
      </c>
      <c r="J901" s="10">
        <v>14.9</v>
      </c>
      <c r="K901" s="10" t="s">
        <v>6</v>
      </c>
      <c r="L901" s="10">
        <v>6</v>
      </c>
      <c r="M901" t="s">
        <v>6</v>
      </c>
    </row>
    <row r="902" spans="1:13" x14ac:dyDescent="0.2">
      <c r="A902" s="14">
        <v>45454</v>
      </c>
      <c r="B902" s="12">
        <v>0.375</v>
      </c>
      <c r="C902" s="7">
        <v>45454.375</v>
      </c>
      <c r="D902" s="11">
        <v>48.8</v>
      </c>
      <c r="E902" s="11">
        <v>49</v>
      </c>
      <c r="F902" s="11">
        <v>48.6</v>
      </c>
      <c r="G902" s="11" t="s">
        <v>6</v>
      </c>
      <c r="H902" s="11">
        <v>14.2</v>
      </c>
      <c r="I902" s="11">
        <v>14.4</v>
      </c>
      <c r="J902" s="11">
        <v>14</v>
      </c>
      <c r="K902" s="11" t="s">
        <v>6</v>
      </c>
      <c r="L902" s="11">
        <v>2</v>
      </c>
      <c r="M902" t="s">
        <v>6</v>
      </c>
    </row>
    <row r="903" spans="1:13" x14ac:dyDescent="0.2">
      <c r="A903" s="1">
        <v>45454</v>
      </c>
      <c r="B903" s="2">
        <v>0.625</v>
      </c>
      <c r="C903" s="3">
        <v>45454.625</v>
      </c>
      <c r="D903">
        <v>50.5</v>
      </c>
      <c r="E903">
        <v>53.5</v>
      </c>
      <c r="F903">
        <v>46.1</v>
      </c>
      <c r="G903" t="s">
        <v>6</v>
      </c>
      <c r="H903">
        <v>15.9</v>
      </c>
      <c r="I903">
        <v>22.1</v>
      </c>
      <c r="J903">
        <v>12.3</v>
      </c>
      <c r="K903" t="s">
        <v>6</v>
      </c>
      <c r="L903">
        <v>105</v>
      </c>
      <c r="M903" t="s">
        <v>6</v>
      </c>
    </row>
    <row r="904" spans="1:13" x14ac:dyDescent="0.2">
      <c r="A904" s="1">
        <v>45454</v>
      </c>
      <c r="B904" s="2">
        <v>0.66666666666666663</v>
      </c>
      <c r="C904" s="3">
        <v>45454.666666666664</v>
      </c>
      <c r="D904">
        <v>52.8</v>
      </c>
      <c r="E904">
        <v>53.2</v>
      </c>
      <c r="F904">
        <v>51.4</v>
      </c>
      <c r="G904" t="s">
        <v>6</v>
      </c>
      <c r="H904">
        <v>16</v>
      </c>
      <c r="I904">
        <v>20.2</v>
      </c>
      <c r="J904">
        <v>13.3</v>
      </c>
      <c r="K904" t="s">
        <v>6</v>
      </c>
      <c r="L904">
        <v>10</v>
      </c>
      <c r="M904" t="s">
        <v>6</v>
      </c>
    </row>
    <row r="905" spans="1:13" x14ac:dyDescent="0.2">
      <c r="A905" s="1">
        <v>45454</v>
      </c>
      <c r="B905" s="2">
        <v>0.70833333333333337</v>
      </c>
      <c r="C905" s="3">
        <v>45454.708333333336</v>
      </c>
      <c r="D905">
        <v>76.3</v>
      </c>
      <c r="E905">
        <v>92.5</v>
      </c>
      <c r="F905">
        <v>61.5</v>
      </c>
      <c r="G905" t="s">
        <v>6</v>
      </c>
      <c r="H905">
        <v>15.3</v>
      </c>
      <c r="I905">
        <v>20.8</v>
      </c>
      <c r="J905">
        <v>12</v>
      </c>
      <c r="K905" t="s">
        <v>6</v>
      </c>
      <c r="L905">
        <v>93</v>
      </c>
      <c r="M905" t="s">
        <v>6</v>
      </c>
    </row>
    <row r="906" spans="1:13" x14ac:dyDescent="0.2">
      <c r="A906" s="1">
        <v>45454</v>
      </c>
      <c r="B906" s="2">
        <v>0.75</v>
      </c>
      <c r="C906" s="3">
        <v>45454.75</v>
      </c>
      <c r="D906">
        <v>82.1</v>
      </c>
      <c r="E906">
        <v>100</v>
      </c>
      <c r="F906">
        <v>60.2</v>
      </c>
      <c r="G906" t="s">
        <v>6</v>
      </c>
      <c r="H906">
        <v>18.2</v>
      </c>
      <c r="I906">
        <v>25.2</v>
      </c>
      <c r="J906">
        <v>12</v>
      </c>
      <c r="K906" t="s">
        <v>6</v>
      </c>
      <c r="L906">
        <v>174</v>
      </c>
      <c r="M906" t="s">
        <v>6</v>
      </c>
    </row>
    <row r="907" spans="1:13" x14ac:dyDescent="0.2">
      <c r="A907" s="1">
        <v>45454</v>
      </c>
      <c r="B907" s="2">
        <v>0.79166666666666663</v>
      </c>
      <c r="C907" s="3">
        <v>45454.791666666664</v>
      </c>
      <c r="D907">
        <v>71.3</v>
      </c>
      <c r="E907">
        <v>79.599999999999994</v>
      </c>
      <c r="F907">
        <v>64.7</v>
      </c>
      <c r="G907" t="s">
        <v>6</v>
      </c>
      <c r="H907">
        <v>17.7</v>
      </c>
      <c r="I907">
        <v>21.7</v>
      </c>
      <c r="J907">
        <v>13.4</v>
      </c>
      <c r="K907" t="s">
        <v>6</v>
      </c>
      <c r="L907">
        <v>154</v>
      </c>
      <c r="M907" t="s">
        <v>6</v>
      </c>
    </row>
    <row r="908" spans="1:13" x14ac:dyDescent="0.2">
      <c r="A908" s="1">
        <v>45454</v>
      </c>
      <c r="B908" s="2">
        <v>0.83333333333333337</v>
      </c>
      <c r="C908" s="3">
        <v>45454.833333333336</v>
      </c>
      <c r="D908">
        <v>76.8</v>
      </c>
      <c r="E908">
        <v>91.3</v>
      </c>
      <c r="F908">
        <v>55.8</v>
      </c>
      <c r="G908" t="s">
        <v>6</v>
      </c>
      <c r="H908">
        <v>17.5</v>
      </c>
      <c r="I908">
        <v>27.5</v>
      </c>
      <c r="J908">
        <v>12.6</v>
      </c>
      <c r="K908" t="s">
        <v>6</v>
      </c>
      <c r="L908">
        <v>220</v>
      </c>
      <c r="M908" t="s">
        <v>6</v>
      </c>
    </row>
    <row r="909" spans="1:13" x14ac:dyDescent="0.2">
      <c r="A909" s="1">
        <v>45454</v>
      </c>
      <c r="B909" s="2">
        <v>0.875</v>
      </c>
      <c r="C909" s="3">
        <v>45454.875</v>
      </c>
      <c r="D909">
        <v>65.599999999999994</v>
      </c>
      <c r="E909">
        <v>91.1</v>
      </c>
      <c r="F909">
        <v>54.7</v>
      </c>
      <c r="G909" t="s">
        <v>6</v>
      </c>
      <c r="H909">
        <v>13.9</v>
      </c>
      <c r="I909">
        <v>22.1</v>
      </c>
      <c r="J909">
        <v>11.5</v>
      </c>
      <c r="K909" t="s">
        <v>6</v>
      </c>
      <c r="L909">
        <v>228</v>
      </c>
      <c r="M909" t="s">
        <v>6</v>
      </c>
    </row>
    <row r="910" spans="1:13" x14ac:dyDescent="0.2">
      <c r="A910" s="1">
        <v>45454</v>
      </c>
      <c r="B910" s="2">
        <v>0.91666666666666663</v>
      </c>
      <c r="C910" s="3">
        <v>45454.916666666664</v>
      </c>
      <c r="D910">
        <v>56.9</v>
      </c>
      <c r="E910">
        <v>87.7</v>
      </c>
      <c r="F910">
        <v>44.8</v>
      </c>
      <c r="G910" t="s">
        <v>6</v>
      </c>
      <c r="H910">
        <v>14.2</v>
      </c>
      <c r="I910">
        <v>22.6</v>
      </c>
      <c r="J910">
        <v>11.8</v>
      </c>
      <c r="K910" t="s">
        <v>6</v>
      </c>
      <c r="L910">
        <v>219</v>
      </c>
      <c r="M910" t="s">
        <v>6</v>
      </c>
    </row>
    <row r="911" spans="1:13" x14ac:dyDescent="0.2">
      <c r="A911" s="1">
        <v>45454</v>
      </c>
      <c r="B911" s="2">
        <v>0.95833333333333337</v>
      </c>
      <c r="C911" s="3">
        <v>45454.958333333336</v>
      </c>
      <c r="D911">
        <v>64.599999999999994</v>
      </c>
      <c r="E911">
        <v>95</v>
      </c>
      <c r="F911">
        <v>44.8</v>
      </c>
      <c r="G911" t="s">
        <v>6</v>
      </c>
      <c r="H911">
        <v>13.4</v>
      </c>
      <c r="I911">
        <v>16.5</v>
      </c>
      <c r="J911">
        <v>11.9</v>
      </c>
      <c r="K911" t="s">
        <v>6</v>
      </c>
      <c r="L911">
        <v>203</v>
      </c>
      <c r="M911" t="s">
        <v>6</v>
      </c>
    </row>
    <row r="912" spans="1:13" x14ac:dyDescent="0.2">
      <c r="A912" s="1">
        <v>45455</v>
      </c>
      <c r="B912" s="2">
        <v>0</v>
      </c>
      <c r="C912" s="3">
        <v>45455</v>
      </c>
      <c r="D912">
        <v>106.9</v>
      </c>
      <c r="E912">
        <v>118</v>
      </c>
      <c r="F912">
        <v>92.4</v>
      </c>
      <c r="G912" t="s">
        <v>6</v>
      </c>
      <c r="H912">
        <v>13</v>
      </c>
      <c r="I912">
        <v>16.7</v>
      </c>
      <c r="J912">
        <v>11.8</v>
      </c>
      <c r="K912" t="s">
        <v>6</v>
      </c>
      <c r="L912">
        <v>225</v>
      </c>
      <c r="M912" t="s">
        <v>6</v>
      </c>
    </row>
    <row r="913" spans="1:13" x14ac:dyDescent="0.2">
      <c r="A913" s="1">
        <v>45455</v>
      </c>
      <c r="B913" s="2">
        <v>4.1666666666666664E-2</v>
      </c>
      <c r="C913" s="3">
        <v>45455.041666666664</v>
      </c>
      <c r="D913">
        <v>94.6</v>
      </c>
      <c r="E913">
        <v>115.4</v>
      </c>
      <c r="F913">
        <v>73.2</v>
      </c>
      <c r="G913" t="s">
        <v>6</v>
      </c>
      <c r="H913">
        <v>13.7</v>
      </c>
      <c r="I913">
        <v>23.1</v>
      </c>
      <c r="J913">
        <v>11.7</v>
      </c>
      <c r="K913" t="s">
        <v>6</v>
      </c>
      <c r="L913">
        <v>218</v>
      </c>
      <c r="M913" t="s">
        <v>6</v>
      </c>
    </row>
    <row r="914" spans="1:13" x14ac:dyDescent="0.2">
      <c r="A914" s="1">
        <v>45455</v>
      </c>
      <c r="B914" s="2">
        <v>8.3333333333333329E-2</v>
      </c>
      <c r="C914" s="3">
        <v>45455.083333333336</v>
      </c>
      <c r="D914">
        <v>77.3</v>
      </c>
      <c r="E914">
        <v>104.5</v>
      </c>
      <c r="F914">
        <v>50.6</v>
      </c>
      <c r="G914" t="s">
        <v>6</v>
      </c>
      <c r="H914">
        <v>13.9</v>
      </c>
      <c r="I914">
        <v>23.2</v>
      </c>
      <c r="J914">
        <v>11.4</v>
      </c>
      <c r="K914" t="s">
        <v>6</v>
      </c>
      <c r="L914">
        <v>219</v>
      </c>
      <c r="M914" t="s">
        <v>6</v>
      </c>
    </row>
    <row r="915" spans="1:13" x14ac:dyDescent="0.2">
      <c r="A915" s="1">
        <v>45455</v>
      </c>
      <c r="B915" s="2">
        <v>0.125</v>
      </c>
      <c r="C915" s="3">
        <v>45455.125</v>
      </c>
      <c r="D915">
        <v>90.9</v>
      </c>
      <c r="E915">
        <v>104.2</v>
      </c>
      <c r="F915">
        <v>80.7</v>
      </c>
      <c r="G915" t="s">
        <v>6</v>
      </c>
      <c r="H915">
        <v>12.6</v>
      </c>
      <c r="I915">
        <v>17.2</v>
      </c>
      <c r="J915">
        <v>11.4</v>
      </c>
      <c r="K915" t="s">
        <v>6</v>
      </c>
      <c r="L915">
        <v>219</v>
      </c>
      <c r="M915" t="s">
        <v>6</v>
      </c>
    </row>
    <row r="916" spans="1:13" x14ac:dyDescent="0.2">
      <c r="A916" s="1">
        <v>45455</v>
      </c>
      <c r="B916" s="2">
        <v>0.16666666666666666</v>
      </c>
      <c r="C916" s="3">
        <v>45455.166666666664</v>
      </c>
      <c r="D916">
        <v>85.8</v>
      </c>
      <c r="E916">
        <v>98.2</v>
      </c>
      <c r="F916">
        <v>53.8</v>
      </c>
      <c r="G916" t="s">
        <v>6</v>
      </c>
      <c r="H916">
        <v>13.1</v>
      </c>
      <c r="I916">
        <v>19.2</v>
      </c>
      <c r="J916">
        <v>11.1</v>
      </c>
      <c r="K916" t="s">
        <v>6</v>
      </c>
      <c r="L916">
        <v>156</v>
      </c>
      <c r="M916" t="s">
        <v>6</v>
      </c>
    </row>
    <row r="917" spans="1:13" x14ac:dyDescent="0.2">
      <c r="A917" s="1">
        <v>45455</v>
      </c>
      <c r="B917" s="2">
        <v>0.20833333333333334</v>
      </c>
      <c r="C917" s="3">
        <v>45455.208333333336</v>
      </c>
      <c r="D917">
        <v>50.3</v>
      </c>
      <c r="E917">
        <v>53.1</v>
      </c>
      <c r="F917">
        <v>46.4</v>
      </c>
      <c r="G917" t="s">
        <v>6</v>
      </c>
      <c r="H917">
        <v>22.7</v>
      </c>
      <c r="I917">
        <v>28.1</v>
      </c>
      <c r="J917">
        <v>13.4</v>
      </c>
      <c r="K917" t="s">
        <v>6</v>
      </c>
      <c r="L917">
        <v>34</v>
      </c>
      <c r="M917" t="s">
        <v>6</v>
      </c>
    </row>
    <row r="918" spans="1:13" x14ac:dyDescent="0.2">
      <c r="A918" s="1">
        <v>45455</v>
      </c>
      <c r="B918" s="2">
        <v>0.25</v>
      </c>
      <c r="C918" s="3">
        <v>45455.25</v>
      </c>
      <c r="D918">
        <v>49.2</v>
      </c>
      <c r="E918">
        <v>50.2</v>
      </c>
      <c r="F918">
        <v>48.3</v>
      </c>
      <c r="G918" t="s">
        <v>6</v>
      </c>
      <c r="H918">
        <v>15.5</v>
      </c>
      <c r="I918">
        <v>23.7</v>
      </c>
      <c r="J918">
        <v>10</v>
      </c>
      <c r="K918" t="s">
        <v>6</v>
      </c>
      <c r="L918">
        <v>50</v>
      </c>
      <c r="M918" t="s">
        <v>6</v>
      </c>
    </row>
    <row r="919" spans="1:13" x14ac:dyDescent="0.2">
      <c r="A919" s="1">
        <v>45455</v>
      </c>
      <c r="B919" s="2">
        <v>0.29166666666666669</v>
      </c>
      <c r="C919" s="3">
        <v>45455.291666666664</v>
      </c>
      <c r="D919">
        <v>48</v>
      </c>
      <c r="E919">
        <v>49.5</v>
      </c>
      <c r="F919">
        <v>46</v>
      </c>
      <c r="G919" t="s">
        <v>6</v>
      </c>
      <c r="H919">
        <v>17.8</v>
      </c>
      <c r="I919">
        <v>22.2</v>
      </c>
      <c r="J919">
        <v>14</v>
      </c>
      <c r="K919" t="s">
        <v>6</v>
      </c>
      <c r="L919">
        <v>39</v>
      </c>
      <c r="M919" t="s">
        <v>6</v>
      </c>
    </row>
    <row r="920" spans="1:13" x14ac:dyDescent="0.2">
      <c r="A920" s="13">
        <v>45455</v>
      </c>
      <c r="B920" s="9">
        <v>0.33333333333333331</v>
      </c>
      <c r="C920" s="8">
        <v>45455.333333333336</v>
      </c>
      <c r="D920" s="10">
        <v>45.4</v>
      </c>
      <c r="E920" s="10">
        <v>45.9</v>
      </c>
      <c r="F920" s="10">
        <v>45.1</v>
      </c>
      <c r="G920" s="10" t="s">
        <v>6</v>
      </c>
      <c r="H920" s="10">
        <v>15.8</v>
      </c>
      <c r="I920" s="10">
        <v>21.2</v>
      </c>
      <c r="J920" s="10">
        <v>13.2</v>
      </c>
      <c r="K920" s="10" t="s">
        <v>6</v>
      </c>
      <c r="L920" s="10">
        <v>20</v>
      </c>
      <c r="M920" t="s">
        <v>6</v>
      </c>
    </row>
    <row r="921" spans="1:13" x14ac:dyDescent="0.2">
      <c r="A921" s="14">
        <v>45455</v>
      </c>
      <c r="B921" s="12">
        <v>0.375</v>
      </c>
      <c r="C921" s="7">
        <v>45455.375</v>
      </c>
      <c r="D921" s="11">
        <v>45.3</v>
      </c>
      <c r="E921" s="11">
        <v>46.3</v>
      </c>
      <c r="F921" s="11">
        <v>45</v>
      </c>
      <c r="G921" s="11" t="s">
        <v>6</v>
      </c>
      <c r="H921" s="11">
        <v>13.3</v>
      </c>
      <c r="I921" s="11">
        <v>14.3</v>
      </c>
      <c r="J921" s="11">
        <v>11.7</v>
      </c>
      <c r="K921" s="11" t="s">
        <v>6</v>
      </c>
      <c r="L921" s="11">
        <v>26</v>
      </c>
      <c r="M921" t="s">
        <v>6</v>
      </c>
    </row>
    <row r="922" spans="1:13" x14ac:dyDescent="0.2">
      <c r="A922" s="1">
        <v>45455</v>
      </c>
      <c r="B922" s="2">
        <v>0.45833333333333331</v>
      </c>
      <c r="C922" s="3">
        <v>45455.458333333336</v>
      </c>
      <c r="D922">
        <v>44.9</v>
      </c>
      <c r="E922">
        <v>48.1</v>
      </c>
      <c r="F922">
        <v>43</v>
      </c>
      <c r="G922" t="s">
        <v>6</v>
      </c>
      <c r="H922">
        <v>16.2</v>
      </c>
      <c r="I922">
        <v>26.4</v>
      </c>
      <c r="J922">
        <v>11.1</v>
      </c>
      <c r="K922" t="s">
        <v>6</v>
      </c>
      <c r="L922">
        <v>88</v>
      </c>
      <c r="M922" t="s">
        <v>6</v>
      </c>
    </row>
    <row r="923" spans="1:13" x14ac:dyDescent="0.2">
      <c r="A923" s="1">
        <v>45455</v>
      </c>
      <c r="B923" s="2">
        <v>0.5</v>
      </c>
      <c r="C923" s="3">
        <v>45455.5</v>
      </c>
      <c r="D923">
        <v>56.6</v>
      </c>
      <c r="E923">
        <v>76.599999999999994</v>
      </c>
      <c r="F923">
        <v>43.5</v>
      </c>
      <c r="G923" t="s">
        <v>6</v>
      </c>
      <c r="H923">
        <v>18.600000000000001</v>
      </c>
      <c r="I923">
        <v>32.4</v>
      </c>
      <c r="J923">
        <v>10.3</v>
      </c>
      <c r="K923" t="s">
        <v>6</v>
      </c>
      <c r="L923">
        <v>67</v>
      </c>
      <c r="M923" t="s">
        <v>6</v>
      </c>
    </row>
    <row r="924" spans="1:13" x14ac:dyDescent="0.2">
      <c r="A924" s="1">
        <v>45455</v>
      </c>
      <c r="B924" s="2">
        <v>0.54166666666666663</v>
      </c>
      <c r="C924" s="3">
        <v>45455.541666666664</v>
      </c>
      <c r="D924">
        <v>52.8</v>
      </c>
      <c r="E924">
        <v>56.3</v>
      </c>
      <c r="F924">
        <v>50.3</v>
      </c>
      <c r="G924" t="s">
        <v>6</v>
      </c>
      <c r="H924">
        <v>14.7</v>
      </c>
      <c r="I924">
        <v>31.3</v>
      </c>
      <c r="J924">
        <v>10.9</v>
      </c>
      <c r="K924" t="s">
        <v>6</v>
      </c>
      <c r="L924">
        <v>90</v>
      </c>
      <c r="M924" t="s">
        <v>6</v>
      </c>
    </row>
    <row r="925" spans="1:13" x14ac:dyDescent="0.2">
      <c r="A925" s="1">
        <v>45455</v>
      </c>
      <c r="B925" s="2">
        <v>0.58333333333333337</v>
      </c>
      <c r="C925" s="3">
        <v>45455.583333333336</v>
      </c>
      <c r="D925">
        <v>48.6</v>
      </c>
      <c r="E925">
        <v>52.4</v>
      </c>
      <c r="F925">
        <v>45.3</v>
      </c>
      <c r="G925" t="s">
        <v>6</v>
      </c>
      <c r="H925">
        <v>11.8</v>
      </c>
      <c r="I925">
        <v>18.8</v>
      </c>
      <c r="J925">
        <v>10.199999999999999</v>
      </c>
      <c r="K925" t="s">
        <v>6</v>
      </c>
      <c r="L925">
        <v>212</v>
      </c>
      <c r="M925" t="s">
        <v>6</v>
      </c>
    </row>
    <row r="926" spans="1:13" x14ac:dyDescent="0.2">
      <c r="A926" s="1">
        <v>45455</v>
      </c>
      <c r="B926" s="2">
        <v>0.625</v>
      </c>
      <c r="C926" s="3">
        <v>45455.625</v>
      </c>
      <c r="D926">
        <v>46</v>
      </c>
      <c r="E926">
        <v>48.7</v>
      </c>
      <c r="F926">
        <v>44</v>
      </c>
      <c r="G926" t="s">
        <v>6</v>
      </c>
      <c r="H926">
        <v>11.4</v>
      </c>
      <c r="I926">
        <v>20.399999999999999</v>
      </c>
      <c r="J926">
        <v>9.5</v>
      </c>
      <c r="K926" t="s">
        <v>6</v>
      </c>
      <c r="L926">
        <v>165</v>
      </c>
      <c r="M926" t="s">
        <v>6</v>
      </c>
    </row>
    <row r="927" spans="1:13" x14ac:dyDescent="0.2">
      <c r="A927" s="1">
        <v>45455</v>
      </c>
      <c r="B927" s="2">
        <v>0.66666666666666663</v>
      </c>
      <c r="C927" s="3">
        <v>45455.666666666664</v>
      </c>
      <c r="D927">
        <v>45.6</v>
      </c>
      <c r="E927">
        <v>47.9</v>
      </c>
      <c r="F927">
        <v>43.1</v>
      </c>
      <c r="G927" t="s">
        <v>6</v>
      </c>
      <c r="H927">
        <v>15.9</v>
      </c>
      <c r="I927">
        <v>31.9</v>
      </c>
      <c r="J927">
        <v>11</v>
      </c>
      <c r="K927" t="s">
        <v>6</v>
      </c>
      <c r="L927">
        <v>114</v>
      </c>
      <c r="M927" t="s">
        <v>6</v>
      </c>
    </row>
    <row r="928" spans="1:13" x14ac:dyDescent="0.2">
      <c r="A928" s="1">
        <v>45455</v>
      </c>
      <c r="B928" s="2">
        <v>0.70833333333333337</v>
      </c>
      <c r="C928" s="3">
        <v>45455.708333333336</v>
      </c>
      <c r="D928">
        <v>51.6</v>
      </c>
      <c r="E928">
        <v>55.9</v>
      </c>
      <c r="F928">
        <v>45.2</v>
      </c>
      <c r="G928" t="s">
        <v>6</v>
      </c>
      <c r="H928">
        <v>14.6</v>
      </c>
      <c r="I928">
        <v>17.8</v>
      </c>
      <c r="J928">
        <v>10.4</v>
      </c>
      <c r="K928" t="s">
        <v>6</v>
      </c>
      <c r="L928">
        <v>25</v>
      </c>
      <c r="M928" t="s">
        <v>6</v>
      </c>
    </row>
    <row r="929" spans="1:13" x14ac:dyDescent="0.2">
      <c r="A929" s="1">
        <v>45455</v>
      </c>
      <c r="B929" s="2">
        <v>0.75</v>
      </c>
      <c r="C929" s="3">
        <v>45455.75</v>
      </c>
      <c r="D929">
        <v>55.4</v>
      </c>
      <c r="E929">
        <v>57</v>
      </c>
      <c r="F929">
        <v>53.8</v>
      </c>
      <c r="G929" t="s">
        <v>6</v>
      </c>
      <c r="H929">
        <v>17.5</v>
      </c>
      <c r="I929">
        <v>19.7</v>
      </c>
      <c r="J929">
        <v>14</v>
      </c>
      <c r="K929" t="s">
        <v>6</v>
      </c>
      <c r="L929">
        <v>15</v>
      </c>
      <c r="M929" t="s">
        <v>6</v>
      </c>
    </row>
    <row r="930" spans="1:13" x14ac:dyDescent="0.2">
      <c r="A930" s="1">
        <v>45455</v>
      </c>
      <c r="B930" s="2">
        <v>0.79166666666666663</v>
      </c>
      <c r="C930" s="3">
        <v>45455.791666666664</v>
      </c>
      <c r="D930">
        <v>56</v>
      </c>
      <c r="E930">
        <v>60</v>
      </c>
      <c r="F930">
        <v>52.1</v>
      </c>
      <c r="G930" t="s">
        <v>6</v>
      </c>
      <c r="H930">
        <v>23</v>
      </c>
      <c r="I930">
        <v>35.799999999999997</v>
      </c>
      <c r="J930">
        <v>15</v>
      </c>
      <c r="K930" t="s">
        <v>6</v>
      </c>
      <c r="L930">
        <v>27</v>
      </c>
      <c r="M930" t="s">
        <v>6</v>
      </c>
    </row>
    <row r="931" spans="1:13" x14ac:dyDescent="0.2">
      <c r="A931" s="1">
        <v>45455</v>
      </c>
      <c r="B931" s="2">
        <v>0.83333333333333337</v>
      </c>
      <c r="C931" s="3">
        <v>45455.833333333336</v>
      </c>
      <c r="D931">
        <v>62.3</v>
      </c>
      <c r="E931">
        <v>73.7</v>
      </c>
      <c r="F931">
        <v>52.4</v>
      </c>
      <c r="G931" t="s">
        <v>6</v>
      </c>
      <c r="H931">
        <v>14.2</v>
      </c>
      <c r="I931">
        <v>31.3</v>
      </c>
      <c r="J931">
        <v>11.6</v>
      </c>
      <c r="K931" t="s">
        <v>6</v>
      </c>
      <c r="L931">
        <v>223</v>
      </c>
      <c r="M931" t="s">
        <v>6</v>
      </c>
    </row>
    <row r="932" spans="1:13" x14ac:dyDescent="0.2">
      <c r="A932" s="1">
        <v>45455</v>
      </c>
      <c r="B932" s="2">
        <v>0.875</v>
      </c>
      <c r="C932" s="3">
        <v>45455.875</v>
      </c>
      <c r="D932">
        <v>52.5</v>
      </c>
      <c r="E932">
        <v>61.4</v>
      </c>
      <c r="F932">
        <v>46.9</v>
      </c>
      <c r="G932" t="s">
        <v>6</v>
      </c>
      <c r="H932">
        <v>15.1</v>
      </c>
      <c r="I932">
        <v>25.2</v>
      </c>
      <c r="J932">
        <v>12.1</v>
      </c>
      <c r="K932" t="s">
        <v>6</v>
      </c>
      <c r="L932">
        <v>216</v>
      </c>
      <c r="M932" t="s">
        <v>6</v>
      </c>
    </row>
    <row r="933" spans="1:13" x14ac:dyDescent="0.2">
      <c r="A933" s="1">
        <v>45455</v>
      </c>
      <c r="B933" s="2">
        <v>0.91666666666666663</v>
      </c>
      <c r="C933" s="3">
        <v>45455.916666666664</v>
      </c>
      <c r="D933">
        <v>50.9</v>
      </c>
      <c r="E933">
        <v>84.9</v>
      </c>
      <c r="F933">
        <v>46</v>
      </c>
      <c r="G933" t="s">
        <v>6</v>
      </c>
      <c r="H933">
        <v>14.3</v>
      </c>
      <c r="I933">
        <v>23.6</v>
      </c>
      <c r="J933">
        <v>10.8</v>
      </c>
      <c r="K933" t="s">
        <v>6</v>
      </c>
      <c r="L933">
        <v>220</v>
      </c>
      <c r="M933" t="s">
        <v>6</v>
      </c>
    </row>
    <row r="934" spans="1:13" x14ac:dyDescent="0.2">
      <c r="A934" s="1">
        <v>45455</v>
      </c>
      <c r="B934" s="2">
        <v>0.95833333333333337</v>
      </c>
      <c r="C934" s="3">
        <v>45455.958333333336</v>
      </c>
      <c r="D934">
        <v>63.9</v>
      </c>
      <c r="E934">
        <v>83.7</v>
      </c>
      <c r="F934">
        <v>45.6</v>
      </c>
      <c r="G934" t="s">
        <v>6</v>
      </c>
      <c r="H934">
        <v>19.7</v>
      </c>
      <c r="I934">
        <v>28.6</v>
      </c>
      <c r="J934">
        <v>12</v>
      </c>
      <c r="K934" t="s">
        <v>6</v>
      </c>
      <c r="L934">
        <v>169</v>
      </c>
      <c r="M934" t="s">
        <v>6</v>
      </c>
    </row>
    <row r="935" spans="1:13" x14ac:dyDescent="0.2">
      <c r="A935" s="1">
        <v>45456</v>
      </c>
      <c r="B935" s="2">
        <v>0</v>
      </c>
      <c r="C935" s="3">
        <v>45456</v>
      </c>
      <c r="D935">
        <v>68.5</v>
      </c>
      <c r="E935">
        <v>92.9</v>
      </c>
      <c r="F935">
        <v>44.5</v>
      </c>
      <c r="G935" t="s">
        <v>6</v>
      </c>
      <c r="H935">
        <v>14</v>
      </c>
      <c r="I935">
        <v>24.9</v>
      </c>
      <c r="J935">
        <v>11.9</v>
      </c>
      <c r="K935" t="s">
        <v>6</v>
      </c>
      <c r="L935">
        <v>229</v>
      </c>
      <c r="M935" t="s">
        <v>6</v>
      </c>
    </row>
    <row r="936" spans="1:13" x14ac:dyDescent="0.2">
      <c r="A936" s="1">
        <v>45456</v>
      </c>
      <c r="B936" s="2">
        <v>4.1666666666666664E-2</v>
      </c>
      <c r="C936" s="3">
        <v>45456.041666666664</v>
      </c>
      <c r="D936">
        <v>71.3</v>
      </c>
      <c r="E936">
        <v>87.9</v>
      </c>
      <c r="F936">
        <v>53.9</v>
      </c>
      <c r="G936" t="s">
        <v>6</v>
      </c>
      <c r="H936">
        <v>17.100000000000001</v>
      </c>
      <c r="I936">
        <v>25.7</v>
      </c>
      <c r="J936">
        <v>11.9</v>
      </c>
      <c r="K936" t="s">
        <v>6</v>
      </c>
      <c r="L936">
        <v>219</v>
      </c>
      <c r="M936" t="s">
        <v>6</v>
      </c>
    </row>
    <row r="937" spans="1:13" x14ac:dyDescent="0.2">
      <c r="A937" s="1">
        <v>45456</v>
      </c>
      <c r="B937" s="2">
        <v>8.3333333333333329E-2</v>
      </c>
      <c r="C937" s="3">
        <v>45456.083333333336</v>
      </c>
      <c r="D937">
        <v>66.8</v>
      </c>
      <c r="E937">
        <v>90.1</v>
      </c>
      <c r="F937">
        <v>54.5</v>
      </c>
      <c r="G937" t="s">
        <v>6</v>
      </c>
      <c r="H937">
        <v>13.6</v>
      </c>
      <c r="I937">
        <v>25.2</v>
      </c>
      <c r="J937">
        <v>11.4</v>
      </c>
      <c r="K937" t="s">
        <v>6</v>
      </c>
      <c r="L937">
        <v>220</v>
      </c>
      <c r="M937" t="s">
        <v>6</v>
      </c>
    </row>
    <row r="938" spans="1:13" x14ac:dyDescent="0.2">
      <c r="A938" s="1">
        <v>45456</v>
      </c>
      <c r="B938" s="2">
        <v>0.125</v>
      </c>
      <c r="C938" s="3">
        <v>45456.125</v>
      </c>
      <c r="D938">
        <v>84.6</v>
      </c>
      <c r="E938">
        <v>104.6</v>
      </c>
      <c r="F938">
        <v>70.8</v>
      </c>
      <c r="G938" t="s">
        <v>6</v>
      </c>
      <c r="H938">
        <v>12.2</v>
      </c>
      <c r="I938">
        <v>14.5</v>
      </c>
      <c r="J938">
        <v>10.9</v>
      </c>
      <c r="K938" t="s">
        <v>6</v>
      </c>
      <c r="L938">
        <v>213</v>
      </c>
      <c r="M938" t="s">
        <v>6</v>
      </c>
    </row>
    <row r="939" spans="1:13" x14ac:dyDescent="0.2">
      <c r="A939" s="1">
        <v>45456</v>
      </c>
      <c r="B939" s="2">
        <v>0.16666666666666666</v>
      </c>
      <c r="C939" s="3">
        <v>45456.166666666664</v>
      </c>
      <c r="D939">
        <v>78.3</v>
      </c>
      <c r="E939">
        <v>90.1</v>
      </c>
      <c r="F939">
        <v>65.400000000000006</v>
      </c>
      <c r="G939" t="s">
        <v>6</v>
      </c>
      <c r="H939">
        <v>13.3</v>
      </c>
      <c r="I939">
        <v>24</v>
      </c>
      <c r="J939">
        <v>10.7</v>
      </c>
      <c r="K939" t="s">
        <v>6</v>
      </c>
      <c r="L939">
        <v>213</v>
      </c>
      <c r="M939" t="s">
        <v>6</v>
      </c>
    </row>
    <row r="940" spans="1:13" x14ac:dyDescent="0.2">
      <c r="A940" s="1">
        <v>45456</v>
      </c>
      <c r="B940" s="2">
        <v>0.20833333333333334</v>
      </c>
      <c r="C940" s="3">
        <v>45456.208333333336</v>
      </c>
      <c r="D940">
        <v>76.400000000000006</v>
      </c>
      <c r="E940">
        <v>92.8</v>
      </c>
      <c r="F940">
        <v>64.599999999999994</v>
      </c>
      <c r="G940" t="s">
        <v>6</v>
      </c>
      <c r="H940">
        <v>13.7</v>
      </c>
      <c r="I940">
        <v>22</v>
      </c>
      <c r="J940">
        <v>11.1</v>
      </c>
      <c r="K940" t="s">
        <v>6</v>
      </c>
      <c r="L940">
        <v>223</v>
      </c>
      <c r="M940" t="s">
        <v>6</v>
      </c>
    </row>
    <row r="941" spans="1:13" x14ac:dyDescent="0.2">
      <c r="A941" s="1">
        <v>45456</v>
      </c>
      <c r="B941" s="2">
        <v>0.25</v>
      </c>
      <c r="C941" s="3">
        <v>45456.25</v>
      </c>
      <c r="D941">
        <v>83.4</v>
      </c>
      <c r="E941">
        <v>101.6</v>
      </c>
      <c r="F941">
        <v>77.099999999999994</v>
      </c>
      <c r="G941" t="s">
        <v>6</v>
      </c>
      <c r="H941">
        <v>14.6</v>
      </c>
      <c r="I941">
        <v>25</v>
      </c>
      <c r="J941">
        <v>11.9</v>
      </c>
      <c r="K941" t="s">
        <v>6</v>
      </c>
      <c r="L941">
        <v>75</v>
      </c>
      <c r="M941" t="s">
        <v>6</v>
      </c>
    </row>
    <row r="942" spans="1:13" x14ac:dyDescent="0.2">
      <c r="A942" s="1">
        <v>45456</v>
      </c>
      <c r="B942" s="2">
        <v>0.29166666666666669</v>
      </c>
      <c r="C942" s="3">
        <v>45456.291666666664</v>
      </c>
      <c r="D942">
        <v>79.5</v>
      </c>
      <c r="E942">
        <v>83.6</v>
      </c>
      <c r="F942">
        <v>75.7</v>
      </c>
      <c r="G942" t="s">
        <v>6</v>
      </c>
      <c r="H942">
        <v>17.3</v>
      </c>
      <c r="I942">
        <v>19.100000000000001</v>
      </c>
      <c r="J942">
        <v>15</v>
      </c>
      <c r="K942" t="s">
        <v>6</v>
      </c>
      <c r="L942">
        <v>7</v>
      </c>
      <c r="M942" t="s">
        <v>6</v>
      </c>
    </row>
    <row r="943" spans="1:13" x14ac:dyDescent="0.2">
      <c r="A943" s="13">
        <v>45456</v>
      </c>
      <c r="B943" s="9">
        <v>0.33333333333333331</v>
      </c>
      <c r="C943" s="8">
        <v>45456.333333333336</v>
      </c>
      <c r="D943" s="10">
        <v>81.3</v>
      </c>
      <c r="E943" s="10">
        <v>81.3</v>
      </c>
      <c r="F943" s="10">
        <v>81.3</v>
      </c>
      <c r="G943" s="10" t="s">
        <v>6</v>
      </c>
      <c r="H943" s="10">
        <v>16.100000000000001</v>
      </c>
      <c r="I943" s="10">
        <v>16.100000000000001</v>
      </c>
      <c r="J943" s="10">
        <v>16.100000000000001</v>
      </c>
      <c r="K943" s="10" t="s">
        <v>6</v>
      </c>
      <c r="L943" s="10">
        <v>1</v>
      </c>
      <c r="M943" t="s">
        <v>6</v>
      </c>
    </row>
    <row r="944" spans="1:13" x14ac:dyDescent="0.2">
      <c r="A944" s="14">
        <v>45456</v>
      </c>
      <c r="B944" s="12">
        <v>0.375</v>
      </c>
      <c r="C944" s="7">
        <v>45456.375</v>
      </c>
      <c r="D944" s="11">
        <v>70.599999999999994</v>
      </c>
      <c r="E944" s="11">
        <v>72.900000000000006</v>
      </c>
      <c r="F944" s="11">
        <v>68.2</v>
      </c>
      <c r="G944" s="11" t="s">
        <v>6</v>
      </c>
      <c r="H944" s="11">
        <v>19.399999999999999</v>
      </c>
      <c r="I944" s="11">
        <v>19.8</v>
      </c>
      <c r="J944" s="11">
        <v>19</v>
      </c>
      <c r="K944" s="11" t="s">
        <v>6</v>
      </c>
      <c r="L944" s="11">
        <v>2</v>
      </c>
      <c r="M944" t="s">
        <v>6</v>
      </c>
    </row>
    <row r="945" spans="1:13" x14ac:dyDescent="0.2">
      <c r="A945" s="1">
        <v>45456</v>
      </c>
      <c r="B945" s="2">
        <v>0.41666666666666669</v>
      </c>
      <c r="C945" s="3">
        <v>45456.416666666664</v>
      </c>
      <c r="D945">
        <v>71.400000000000006</v>
      </c>
      <c r="E945">
        <v>82.9</v>
      </c>
      <c r="F945">
        <v>64.5</v>
      </c>
      <c r="G945" t="s">
        <v>6</v>
      </c>
      <c r="H945">
        <v>14.4</v>
      </c>
      <c r="I945">
        <v>21.5</v>
      </c>
      <c r="J945">
        <v>11.2</v>
      </c>
      <c r="K945" t="s">
        <v>6</v>
      </c>
      <c r="L945">
        <v>130</v>
      </c>
      <c r="M945" t="s">
        <v>6</v>
      </c>
    </row>
    <row r="946" spans="1:13" x14ac:dyDescent="0.2">
      <c r="A946" s="1">
        <v>45456</v>
      </c>
      <c r="B946" s="2">
        <v>0.45833333333333331</v>
      </c>
      <c r="C946" s="3">
        <v>45456.458333333336</v>
      </c>
      <c r="D946">
        <v>73.599999999999994</v>
      </c>
      <c r="E946">
        <v>88.6</v>
      </c>
      <c r="F946">
        <v>63.6</v>
      </c>
      <c r="G946" t="s">
        <v>6</v>
      </c>
      <c r="H946">
        <v>11.9</v>
      </c>
      <c r="I946">
        <v>17.899999999999999</v>
      </c>
      <c r="J946">
        <v>9.4</v>
      </c>
      <c r="K946" t="s">
        <v>6</v>
      </c>
      <c r="L946">
        <v>138</v>
      </c>
      <c r="M946" t="s">
        <v>6</v>
      </c>
    </row>
    <row r="947" spans="1:13" x14ac:dyDescent="0.2">
      <c r="A947" s="1">
        <v>45456</v>
      </c>
      <c r="B947" s="2">
        <v>0.5</v>
      </c>
      <c r="C947" s="3">
        <v>45456.5</v>
      </c>
      <c r="D947">
        <v>71.5</v>
      </c>
      <c r="E947">
        <v>80.5</v>
      </c>
      <c r="F947">
        <v>61.6</v>
      </c>
      <c r="G947" t="s">
        <v>6</v>
      </c>
      <c r="H947">
        <v>12</v>
      </c>
      <c r="I947">
        <v>13.7</v>
      </c>
      <c r="J947">
        <v>10.5</v>
      </c>
      <c r="K947" t="s">
        <v>6</v>
      </c>
      <c r="L947">
        <v>32</v>
      </c>
      <c r="M947" t="s">
        <v>6</v>
      </c>
    </row>
    <row r="948" spans="1:13" x14ac:dyDescent="0.2">
      <c r="A948" s="1">
        <v>45456</v>
      </c>
      <c r="B948" s="2">
        <v>0.54166666666666663</v>
      </c>
      <c r="C948" s="3">
        <v>45456.541666666664</v>
      </c>
      <c r="D948">
        <v>68.099999999999994</v>
      </c>
      <c r="E948">
        <v>82.8</v>
      </c>
      <c r="F948">
        <v>56.4</v>
      </c>
      <c r="G948" t="s">
        <v>6</v>
      </c>
      <c r="H948">
        <v>14.5</v>
      </c>
      <c r="I948">
        <v>19.2</v>
      </c>
      <c r="J948">
        <v>11.9</v>
      </c>
      <c r="K948" t="s">
        <v>6</v>
      </c>
      <c r="L948">
        <v>222</v>
      </c>
      <c r="M948" t="s">
        <v>6</v>
      </c>
    </row>
    <row r="949" spans="1:13" x14ac:dyDescent="0.2">
      <c r="A949" s="1">
        <v>45456</v>
      </c>
      <c r="B949" s="2">
        <v>0.58333333333333337</v>
      </c>
      <c r="C949" s="3">
        <v>45456.583333333336</v>
      </c>
      <c r="D949">
        <v>66.7</v>
      </c>
      <c r="E949">
        <v>79.400000000000006</v>
      </c>
      <c r="F949">
        <v>54.9</v>
      </c>
      <c r="G949" t="s">
        <v>6</v>
      </c>
      <c r="H949">
        <v>12.4</v>
      </c>
      <c r="I949">
        <v>15.6</v>
      </c>
      <c r="J949">
        <v>10.199999999999999</v>
      </c>
      <c r="K949" t="s">
        <v>6</v>
      </c>
      <c r="L949">
        <v>231</v>
      </c>
      <c r="M949" t="s">
        <v>6</v>
      </c>
    </row>
    <row r="950" spans="1:13" x14ac:dyDescent="0.2">
      <c r="A950" s="1">
        <v>45456</v>
      </c>
      <c r="B950" s="2">
        <v>0.625</v>
      </c>
      <c r="C950" s="3">
        <v>45456.625</v>
      </c>
      <c r="D950">
        <v>66.599999999999994</v>
      </c>
      <c r="E950">
        <v>74.099999999999994</v>
      </c>
      <c r="F950">
        <v>55.6</v>
      </c>
      <c r="G950" t="s">
        <v>6</v>
      </c>
      <c r="H950">
        <v>13.5</v>
      </c>
      <c r="I950">
        <v>22.6</v>
      </c>
      <c r="J950">
        <v>9.6999999999999993</v>
      </c>
      <c r="K950" t="s">
        <v>6</v>
      </c>
      <c r="L950">
        <v>191</v>
      </c>
      <c r="M950" t="s">
        <v>6</v>
      </c>
    </row>
    <row r="951" spans="1:13" x14ac:dyDescent="0.2">
      <c r="A951" s="1">
        <v>45456</v>
      </c>
      <c r="B951" s="2">
        <v>0.66666666666666663</v>
      </c>
      <c r="C951" s="3">
        <v>45456.666666666664</v>
      </c>
      <c r="D951">
        <v>63.2</v>
      </c>
      <c r="E951">
        <v>67.8</v>
      </c>
      <c r="F951">
        <v>57.2</v>
      </c>
      <c r="G951" t="s">
        <v>6</v>
      </c>
      <c r="H951">
        <v>15.4</v>
      </c>
      <c r="I951">
        <v>20.7</v>
      </c>
      <c r="J951">
        <v>11.4</v>
      </c>
      <c r="K951" t="s">
        <v>6</v>
      </c>
      <c r="L951">
        <v>18</v>
      </c>
      <c r="M951" t="s">
        <v>6</v>
      </c>
    </row>
    <row r="952" spans="1:13" x14ac:dyDescent="0.2">
      <c r="A952" s="1">
        <v>45456</v>
      </c>
      <c r="B952" s="2">
        <v>0.70833333333333337</v>
      </c>
      <c r="C952" s="3">
        <v>45456.708333333336</v>
      </c>
      <c r="D952">
        <v>66.400000000000006</v>
      </c>
      <c r="E952">
        <v>69.5</v>
      </c>
      <c r="F952">
        <v>63.6</v>
      </c>
      <c r="G952" t="s">
        <v>6</v>
      </c>
      <c r="H952">
        <v>14.3</v>
      </c>
      <c r="I952">
        <v>18.3</v>
      </c>
      <c r="J952">
        <v>12.2</v>
      </c>
      <c r="K952" t="s">
        <v>6</v>
      </c>
      <c r="L952">
        <v>8</v>
      </c>
      <c r="M952" t="s">
        <v>6</v>
      </c>
    </row>
    <row r="953" spans="1:13" x14ac:dyDescent="0.2">
      <c r="A953" s="1">
        <v>45456</v>
      </c>
      <c r="B953" s="2">
        <v>0.75</v>
      </c>
      <c r="C953" s="3">
        <v>45456.75</v>
      </c>
      <c r="D953">
        <v>69.7</v>
      </c>
      <c r="E953">
        <v>77.5</v>
      </c>
      <c r="F953">
        <v>62.7</v>
      </c>
      <c r="G953" t="s">
        <v>6</v>
      </c>
      <c r="H953">
        <v>15.1</v>
      </c>
      <c r="I953">
        <v>19.5</v>
      </c>
      <c r="J953">
        <v>11.4</v>
      </c>
      <c r="K953" t="s">
        <v>6</v>
      </c>
      <c r="L953">
        <v>30</v>
      </c>
      <c r="M953" t="s">
        <v>6</v>
      </c>
    </row>
    <row r="954" spans="1:13" x14ac:dyDescent="0.2">
      <c r="A954" s="1">
        <v>45456</v>
      </c>
      <c r="B954" s="2">
        <v>0.79166666666666663</v>
      </c>
      <c r="C954" s="3">
        <v>45456.791666666664</v>
      </c>
      <c r="D954">
        <v>69.400000000000006</v>
      </c>
      <c r="E954">
        <v>80</v>
      </c>
      <c r="F954">
        <v>62.9</v>
      </c>
      <c r="G954" t="s">
        <v>6</v>
      </c>
      <c r="H954">
        <v>14.2</v>
      </c>
      <c r="I954">
        <v>19</v>
      </c>
      <c r="J954">
        <v>11.8</v>
      </c>
      <c r="K954" t="s">
        <v>6</v>
      </c>
      <c r="L954">
        <v>27</v>
      </c>
      <c r="M954" t="s">
        <v>6</v>
      </c>
    </row>
    <row r="955" spans="1:13" x14ac:dyDescent="0.2">
      <c r="A955" s="1">
        <v>45456</v>
      </c>
      <c r="B955" s="2">
        <v>0.83333333333333337</v>
      </c>
      <c r="C955" s="3">
        <v>45456.833333333336</v>
      </c>
      <c r="D955">
        <v>60.6</v>
      </c>
      <c r="E955">
        <v>84.4</v>
      </c>
      <c r="F955">
        <v>49.1</v>
      </c>
      <c r="G955" t="s">
        <v>6</v>
      </c>
      <c r="H955">
        <v>14.4</v>
      </c>
      <c r="I955">
        <v>19.2</v>
      </c>
      <c r="J955">
        <v>11.8</v>
      </c>
      <c r="K955" t="s">
        <v>6</v>
      </c>
      <c r="L955">
        <v>208</v>
      </c>
      <c r="M955" t="s">
        <v>6</v>
      </c>
    </row>
    <row r="956" spans="1:13" x14ac:dyDescent="0.2">
      <c r="A956" s="1">
        <v>45456</v>
      </c>
      <c r="B956" s="2">
        <v>0.875</v>
      </c>
      <c r="C956" s="3">
        <v>45456.875</v>
      </c>
      <c r="D956">
        <v>62</v>
      </c>
      <c r="E956">
        <v>79.400000000000006</v>
      </c>
      <c r="F956">
        <v>51.8</v>
      </c>
      <c r="G956" t="s">
        <v>6</v>
      </c>
      <c r="H956">
        <v>16.100000000000001</v>
      </c>
      <c r="I956">
        <v>27.4</v>
      </c>
      <c r="J956">
        <v>12.5</v>
      </c>
      <c r="K956" t="s">
        <v>6</v>
      </c>
      <c r="L956">
        <v>214</v>
      </c>
      <c r="M956" t="s">
        <v>6</v>
      </c>
    </row>
    <row r="957" spans="1:13" x14ac:dyDescent="0.2">
      <c r="A957" s="1">
        <v>45456</v>
      </c>
      <c r="B957" s="2">
        <v>0.91666666666666663</v>
      </c>
      <c r="C957" s="3">
        <v>45456.916666666664</v>
      </c>
      <c r="D957">
        <v>63.4</v>
      </c>
      <c r="E957">
        <v>88.2</v>
      </c>
      <c r="F957">
        <v>49.1</v>
      </c>
      <c r="G957" t="s">
        <v>6</v>
      </c>
      <c r="H957">
        <v>13.7</v>
      </c>
      <c r="I957">
        <v>21.8</v>
      </c>
      <c r="J957">
        <v>11.9</v>
      </c>
      <c r="K957" t="s">
        <v>6</v>
      </c>
      <c r="L957">
        <v>222</v>
      </c>
      <c r="M957" t="s">
        <v>6</v>
      </c>
    </row>
    <row r="958" spans="1:13" x14ac:dyDescent="0.2">
      <c r="A958" s="1">
        <v>45456</v>
      </c>
      <c r="B958" s="2">
        <v>0.95833333333333337</v>
      </c>
      <c r="C958" s="3">
        <v>45456.958333333336</v>
      </c>
      <c r="D958">
        <v>70.2</v>
      </c>
      <c r="E958">
        <v>90.2</v>
      </c>
      <c r="F958">
        <v>57.1</v>
      </c>
      <c r="G958" t="s">
        <v>6</v>
      </c>
      <c r="H958">
        <v>13.3</v>
      </c>
      <c r="I958">
        <v>18.3</v>
      </c>
      <c r="J958">
        <v>11.6</v>
      </c>
      <c r="K958" t="s">
        <v>6</v>
      </c>
      <c r="L958">
        <v>212</v>
      </c>
      <c r="M958" t="s">
        <v>6</v>
      </c>
    </row>
    <row r="959" spans="1:13" x14ac:dyDescent="0.2">
      <c r="A959" s="1">
        <v>45457</v>
      </c>
      <c r="B959" s="2">
        <v>0</v>
      </c>
      <c r="C959" s="3">
        <v>45457</v>
      </c>
      <c r="D959">
        <v>81.2</v>
      </c>
      <c r="E959">
        <v>92.9</v>
      </c>
      <c r="F959">
        <v>66.400000000000006</v>
      </c>
      <c r="G959" t="s">
        <v>6</v>
      </c>
      <c r="H959">
        <v>13.1</v>
      </c>
      <c r="I959">
        <v>16.7</v>
      </c>
      <c r="J959">
        <v>11.2</v>
      </c>
      <c r="K959" t="s">
        <v>6</v>
      </c>
      <c r="L959">
        <v>226</v>
      </c>
      <c r="M959" t="s">
        <v>6</v>
      </c>
    </row>
    <row r="960" spans="1:13" x14ac:dyDescent="0.2">
      <c r="A960" s="1">
        <v>45457</v>
      </c>
      <c r="B960" s="2">
        <v>4.1666666666666664E-2</v>
      </c>
      <c r="C960" s="3">
        <v>45457.041666666664</v>
      </c>
      <c r="D960">
        <v>83.4</v>
      </c>
      <c r="E960">
        <v>90.7</v>
      </c>
      <c r="F960">
        <v>73.7</v>
      </c>
      <c r="G960" t="s">
        <v>6</v>
      </c>
      <c r="H960">
        <v>13.8</v>
      </c>
      <c r="I960">
        <v>23.7</v>
      </c>
      <c r="J960">
        <v>11.4</v>
      </c>
      <c r="K960" t="s">
        <v>6</v>
      </c>
      <c r="L960">
        <v>206</v>
      </c>
      <c r="M960" t="s">
        <v>6</v>
      </c>
    </row>
    <row r="961" spans="1:13" x14ac:dyDescent="0.2">
      <c r="A961" s="1">
        <v>45457</v>
      </c>
      <c r="B961" s="2">
        <v>8.3333333333333329E-2</v>
      </c>
      <c r="C961" s="3">
        <v>45457.083333333336</v>
      </c>
      <c r="D961">
        <v>71.400000000000006</v>
      </c>
      <c r="E961">
        <v>98.9</v>
      </c>
      <c r="F961">
        <v>50.3</v>
      </c>
      <c r="G961" t="s">
        <v>6</v>
      </c>
      <c r="H961">
        <v>15.8</v>
      </c>
      <c r="I961">
        <v>28</v>
      </c>
      <c r="J961">
        <v>11.3</v>
      </c>
      <c r="K961" t="s">
        <v>6</v>
      </c>
      <c r="L961">
        <v>223</v>
      </c>
      <c r="M961" t="s">
        <v>6</v>
      </c>
    </row>
    <row r="962" spans="1:13" x14ac:dyDescent="0.2">
      <c r="A962" s="1">
        <v>45457</v>
      </c>
      <c r="B962" s="2">
        <v>0.125</v>
      </c>
      <c r="C962" s="3">
        <v>45457.125</v>
      </c>
      <c r="D962">
        <v>76.900000000000006</v>
      </c>
      <c r="E962">
        <v>93.1</v>
      </c>
      <c r="F962">
        <v>70.2</v>
      </c>
      <c r="G962" t="s">
        <v>6</v>
      </c>
      <c r="H962">
        <v>12.9</v>
      </c>
      <c r="I962">
        <v>24.1</v>
      </c>
      <c r="J962">
        <v>10.6</v>
      </c>
      <c r="K962" t="s">
        <v>6</v>
      </c>
      <c r="L962">
        <v>221</v>
      </c>
      <c r="M962" t="s">
        <v>6</v>
      </c>
    </row>
    <row r="963" spans="1:13" x14ac:dyDescent="0.2">
      <c r="A963" s="1">
        <v>45457</v>
      </c>
      <c r="B963" s="2">
        <v>0.16666666666666666</v>
      </c>
      <c r="C963" s="3">
        <v>45457.166666666664</v>
      </c>
      <c r="D963">
        <v>70.2</v>
      </c>
      <c r="E963">
        <v>79.2</v>
      </c>
      <c r="F963">
        <v>62.4</v>
      </c>
      <c r="G963" t="s">
        <v>6</v>
      </c>
      <c r="H963">
        <v>13.5</v>
      </c>
      <c r="I963">
        <v>24.5</v>
      </c>
      <c r="J963">
        <v>11.2</v>
      </c>
      <c r="K963" t="s">
        <v>6</v>
      </c>
      <c r="L963">
        <v>225</v>
      </c>
      <c r="M963" t="s">
        <v>6</v>
      </c>
    </row>
    <row r="964" spans="1:13" x14ac:dyDescent="0.2">
      <c r="A964" s="1">
        <v>45457</v>
      </c>
      <c r="B964" s="2">
        <v>0.20833333333333334</v>
      </c>
      <c r="C964" s="3">
        <v>45457.208333333336</v>
      </c>
      <c r="D964">
        <v>87</v>
      </c>
      <c r="E964">
        <v>100.5</v>
      </c>
      <c r="F964">
        <v>64</v>
      </c>
      <c r="G964" t="s">
        <v>6</v>
      </c>
      <c r="H964">
        <v>13.2</v>
      </c>
      <c r="I964">
        <v>21</v>
      </c>
      <c r="J964">
        <v>11.4</v>
      </c>
      <c r="K964" t="s">
        <v>6</v>
      </c>
      <c r="L964">
        <v>225</v>
      </c>
      <c r="M964" t="s">
        <v>6</v>
      </c>
    </row>
    <row r="965" spans="1:13" x14ac:dyDescent="0.2">
      <c r="A965" s="1">
        <v>45457</v>
      </c>
      <c r="B965" s="2">
        <v>0.25</v>
      </c>
      <c r="C965" s="3">
        <v>45457.25</v>
      </c>
      <c r="D965">
        <v>78.400000000000006</v>
      </c>
      <c r="E965">
        <v>89</v>
      </c>
      <c r="F965">
        <v>64.2</v>
      </c>
      <c r="G965" t="s">
        <v>6</v>
      </c>
      <c r="H965">
        <v>14.6</v>
      </c>
      <c r="I965">
        <v>23.1</v>
      </c>
      <c r="J965">
        <v>11.5</v>
      </c>
      <c r="K965" t="s">
        <v>6</v>
      </c>
      <c r="L965">
        <v>195</v>
      </c>
      <c r="M965" t="s">
        <v>6</v>
      </c>
    </row>
    <row r="966" spans="1:13" x14ac:dyDescent="0.2">
      <c r="A966" s="1">
        <v>45457</v>
      </c>
      <c r="B966" s="2">
        <v>0.29166666666666669</v>
      </c>
      <c r="C966" s="3">
        <v>45457.291666666664</v>
      </c>
      <c r="D966">
        <v>87.9</v>
      </c>
      <c r="E966">
        <v>88.6</v>
      </c>
      <c r="F966">
        <v>86.3</v>
      </c>
      <c r="G966" t="s">
        <v>6</v>
      </c>
      <c r="H966">
        <v>15.7</v>
      </c>
      <c r="I966">
        <v>18.7</v>
      </c>
      <c r="J966">
        <v>13</v>
      </c>
      <c r="K966" t="s">
        <v>6</v>
      </c>
      <c r="L966">
        <v>23</v>
      </c>
      <c r="M966" t="s">
        <v>6</v>
      </c>
    </row>
    <row r="967" spans="1:13" x14ac:dyDescent="0.2">
      <c r="A967" s="13">
        <v>45457</v>
      </c>
      <c r="B967" s="9">
        <v>0.33333333333333331</v>
      </c>
      <c r="C967" s="8">
        <v>45457.333333333336</v>
      </c>
      <c r="D967" s="10">
        <v>56.8</v>
      </c>
      <c r="E967" s="10">
        <v>59.7</v>
      </c>
      <c r="F967" s="10">
        <v>53.1</v>
      </c>
      <c r="G967" s="10" t="s">
        <v>6</v>
      </c>
      <c r="H967" s="10">
        <v>12.6</v>
      </c>
      <c r="I967" s="10">
        <v>15.5</v>
      </c>
      <c r="J967" s="10">
        <v>11.3</v>
      </c>
      <c r="K967" s="10" t="s">
        <v>6</v>
      </c>
      <c r="L967" s="10">
        <v>113</v>
      </c>
      <c r="M967" t="s">
        <v>6</v>
      </c>
    </row>
    <row r="968" spans="1:13" x14ac:dyDescent="0.2">
      <c r="A968" s="14">
        <v>45457</v>
      </c>
      <c r="B968" s="12">
        <v>0.375</v>
      </c>
      <c r="C968" s="7">
        <v>45457.375</v>
      </c>
      <c r="D968" s="11">
        <v>54.2</v>
      </c>
      <c r="E968" s="11">
        <v>58.6</v>
      </c>
      <c r="F968" s="11">
        <v>49.3</v>
      </c>
      <c r="G968" s="11" t="s">
        <v>6</v>
      </c>
      <c r="H968" s="11">
        <v>13</v>
      </c>
      <c r="I968" s="11">
        <v>18.2</v>
      </c>
      <c r="J968" s="11">
        <v>11</v>
      </c>
      <c r="K968" s="11" t="s">
        <v>6</v>
      </c>
      <c r="L968" s="11">
        <v>228</v>
      </c>
      <c r="M968" t="s">
        <v>6</v>
      </c>
    </row>
    <row r="969" spans="1:13" x14ac:dyDescent="0.2">
      <c r="A969" s="1">
        <v>45457</v>
      </c>
      <c r="B969" s="2">
        <v>0.41666666666666669</v>
      </c>
      <c r="C969" s="3">
        <v>45457.416666666664</v>
      </c>
      <c r="D969">
        <v>47.4</v>
      </c>
      <c r="E969">
        <v>52</v>
      </c>
      <c r="F969">
        <v>42.7</v>
      </c>
      <c r="G969" t="s">
        <v>6</v>
      </c>
      <c r="H969">
        <v>13</v>
      </c>
      <c r="I969">
        <v>17.5</v>
      </c>
      <c r="J969">
        <v>10.6</v>
      </c>
      <c r="K969" t="s">
        <v>6</v>
      </c>
      <c r="L969">
        <v>227</v>
      </c>
      <c r="M969" t="s">
        <v>6</v>
      </c>
    </row>
    <row r="970" spans="1:13" x14ac:dyDescent="0.2">
      <c r="A970" s="1">
        <v>45457</v>
      </c>
      <c r="B970" s="2">
        <v>0.45833333333333331</v>
      </c>
      <c r="C970" s="3">
        <v>45457.458333333336</v>
      </c>
      <c r="D970">
        <v>44.3</v>
      </c>
      <c r="E970">
        <v>46.2</v>
      </c>
      <c r="F970">
        <v>43</v>
      </c>
      <c r="G970" t="s">
        <v>6</v>
      </c>
      <c r="H970">
        <v>13</v>
      </c>
      <c r="I970">
        <v>17.100000000000001</v>
      </c>
      <c r="J970">
        <v>11.3</v>
      </c>
      <c r="K970" t="s">
        <v>6</v>
      </c>
      <c r="L970">
        <v>54</v>
      </c>
      <c r="M970" t="s">
        <v>6</v>
      </c>
    </row>
    <row r="971" spans="1:13" x14ac:dyDescent="0.2">
      <c r="A971" s="1">
        <v>45457</v>
      </c>
      <c r="B971" s="2">
        <v>0.54166666666666663</v>
      </c>
      <c r="C971" s="3">
        <v>45457.541666666664</v>
      </c>
      <c r="D971">
        <v>78.400000000000006</v>
      </c>
      <c r="E971">
        <v>98.7</v>
      </c>
      <c r="F971">
        <v>52.5</v>
      </c>
      <c r="G971" t="s">
        <v>6</v>
      </c>
      <c r="H971">
        <v>15.1</v>
      </c>
      <c r="I971">
        <v>18.2</v>
      </c>
      <c r="J971">
        <v>12.3</v>
      </c>
      <c r="K971" t="s">
        <v>6</v>
      </c>
      <c r="L971">
        <v>103</v>
      </c>
      <c r="M971" t="s">
        <v>6</v>
      </c>
    </row>
    <row r="972" spans="1:13" x14ac:dyDescent="0.2">
      <c r="A972" s="1">
        <v>45457</v>
      </c>
      <c r="B972" s="2">
        <v>0.58333333333333337</v>
      </c>
      <c r="C972" s="3">
        <v>45457.583333333336</v>
      </c>
      <c r="D972">
        <v>77.3</v>
      </c>
      <c r="E972">
        <v>92.5</v>
      </c>
      <c r="F972">
        <v>65.099999999999994</v>
      </c>
      <c r="G972" t="s">
        <v>6</v>
      </c>
      <c r="H972">
        <v>16.100000000000001</v>
      </c>
      <c r="I972">
        <v>20.399999999999999</v>
      </c>
      <c r="J972">
        <v>13.1</v>
      </c>
      <c r="K972" t="s">
        <v>6</v>
      </c>
      <c r="L972">
        <v>86</v>
      </c>
      <c r="M972" t="s">
        <v>6</v>
      </c>
    </row>
    <row r="973" spans="1:13" x14ac:dyDescent="0.2">
      <c r="A973" s="1">
        <v>45457</v>
      </c>
      <c r="B973" s="2">
        <v>0.625</v>
      </c>
      <c r="C973" s="3">
        <v>45457.625</v>
      </c>
      <c r="D973">
        <v>68.599999999999994</v>
      </c>
      <c r="E973">
        <v>74.8</v>
      </c>
      <c r="F973">
        <v>62.3</v>
      </c>
      <c r="G973" t="s">
        <v>6</v>
      </c>
      <c r="H973">
        <v>16</v>
      </c>
      <c r="I973">
        <v>23.8</v>
      </c>
      <c r="J973">
        <v>11.4</v>
      </c>
      <c r="K973" t="s">
        <v>6</v>
      </c>
      <c r="L973">
        <v>157</v>
      </c>
      <c r="M973" t="s">
        <v>6</v>
      </c>
    </row>
    <row r="974" spans="1:13" x14ac:dyDescent="0.2">
      <c r="A974" s="1">
        <v>45457</v>
      </c>
      <c r="B974" s="2">
        <v>0.66666666666666663</v>
      </c>
      <c r="C974" s="3">
        <v>45457.666666666664</v>
      </c>
      <c r="D974">
        <v>78.599999999999994</v>
      </c>
      <c r="E974">
        <v>96.4</v>
      </c>
      <c r="F974">
        <v>60.7</v>
      </c>
      <c r="G974" t="s">
        <v>6</v>
      </c>
      <c r="H974">
        <v>14.4</v>
      </c>
      <c r="I974">
        <v>19.399999999999999</v>
      </c>
      <c r="J974">
        <v>11.8</v>
      </c>
      <c r="K974" t="s">
        <v>6</v>
      </c>
      <c r="L974">
        <v>129</v>
      </c>
      <c r="M974" t="s">
        <v>6</v>
      </c>
    </row>
    <row r="975" spans="1:13" x14ac:dyDescent="0.2">
      <c r="A975" s="1">
        <v>45457</v>
      </c>
      <c r="B975" s="2">
        <v>0.70833333333333337</v>
      </c>
      <c r="C975" s="3">
        <v>45457.708333333336</v>
      </c>
      <c r="D975">
        <v>88.8</v>
      </c>
      <c r="E975">
        <v>103.5</v>
      </c>
      <c r="F975">
        <v>79.900000000000006</v>
      </c>
      <c r="G975" t="s">
        <v>6</v>
      </c>
      <c r="H975">
        <v>16.600000000000001</v>
      </c>
      <c r="I975">
        <v>26.7</v>
      </c>
      <c r="J975">
        <v>12.9</v>
      </c>
      <c r="K975" t="s">
        <v>6</v>
      </c>
      <c r="L975">
        <v>133</v>
      </c>
      <c r="M975" t="s">
        <v>6</v>
      </c>
    </row>
    <row r="976" spans="1:13" x14ac:dyDescent="0.2">
      <c r="A976" s="1">
        <v>45457</v>
      </c>
      <c r="B976" s="2">
        <v>0.75</v>
      </c>
      <c r="C976" s="3">
        <v>45457.75</v>
      </c>
      <c r="D976">
        <v>95.4</v>
      </c>
      <c r="E976">
        <v>102.1</v>
      </c>
      <c r="F976">
        <v>86</v>
      </c>
      <c r="G976" t="s">
        <v>6</v>
      </c>
      <c r="H976">
        <v>19.7</v>
      </c>
      <c r="I976">
        <v>29.2</v>
      </c>
      <c r="J976">
        <v>12.4</v>
      </c>
      <c r="K976" t="s">
        <v>6</v>
      </c>
      <c r="L976">
        <v>140</v>
      </c>
      <c r="M976" t="s">
        <v>6</v>
      </c>
    </row>
    <row r="977" spans="1:13" x14ac:dyDescent="0.2">
      <c r="A977" s="1">
        <v>45457</v>
      </c>
      <c r="B977" s="2">
        <v>0.79166666666666663</v>
      </c>
      <c r="C977" s="3">
        <v>45457.791666666664</v>
      </c>
      <c r="D977">
        <v>96.8</v>
      </c>
      <c r="E977">
        <v>107.6</v>
      </c>
      <c r="F977">
        <v>90.1</v>
      </c>
      <c r="G977" t="s">
        <v>6</v>
      </c>
      <c r="H977">
        <v>18.899999999999999</v>
      </c>
      <c r="I977">
        <v>26.9</v>
      </c>
      <c r="J977">
        <v>14.2</v>
      </c>
      <c r="K977" t="s">
        <v>6</v>
      </c>
      <c r="L977">
        <v>230</v>
      </c>
      <c r="M977" t="s">
        <v>6</v>
      </c>
    </row>
    <row r="978" spans="1:13" x14ac:dyDescent="0.2">
      <c r="A978" s="1">
        <v>45457</v>
      </c>
      <c r="B978" s="2">
        <v>0.83333333333333337</v>
      </c>
      <c r="C978" s="3">
        <v>45457.833333333336</v>
      </c>
      <c r="D978">
        <v>62.8</v>
      </c>
      <c r="E978">
        <v>97</v>
      </c>
      <c r="F978">
        <v>46.6</v>
      </c>
      <c r="G978" t="s">
        <v>6</v>
      </c>
      <c r="H978">
        <v>17</v>
      </c>
      <c r="I978">
        <v>30.2</v>
      </c>
      <c r="J978">
        <v>12.4</v>
      </c>
      <c r="K978" t="s">
        <v>6</v>
      </c>
      <c r="L978">
        <v>211</v>
      </c>
      <c r="M978" t="s">
        <v>6</v>
      </c>
    </row>
    <row r="979" spans="1:13" x14ac:dyDescent="0.2">
      <c r="A979" s="1">
        <v>45457</v>
      </c>
      <c r="B979" s="2">
        <v>0.875</v>
      </c>
      <c r="C979" s="3">
        <v>45457.875</v>
      </c>
      <c r="D979">
        <v>80.400000000000006</v>
      </c>
      <c r="E979">
        <v>97.9</v>
      </c>
      <c r="F979">
        <v>55.8</v>
      </c>
      <c r="G979" t="s">
        <v>6</v>
      </c>
      <c r="H979">
        <v>15</v>
      </c>
      <c r="I979">
        <v>25.8</v>
      </c>
      <c r="J979">
        <v>11.8</v>
      </c>
      <c r="K979" t="s">
        <v>6</v>
      </c>
      <c r="L979">
        <v>222</v>
      </c>
      <c r="M979" t="s">
        <v>6</v>
      </c>
    </row>
    <row r="980" spans="1:13" x14ac:dyDescent="0.2">
      <c r="A980" s="1">
        <v>45457</v>
      </c>
      <c r="B980" s="2">
        <v>0.91666666666666663</v>
      </c>
      <c r="C980" s="3">
        <v>45457.916666666664</v>
      </c>
      <c r="D980">
        <v>55.7</v>
      </c>
      <c r="E980">
        <v>71.400000000000006</v>
      </c>
      <c r="F980">
        <v>46.7</v>
      </c>
      <c r="G980" t="s">
        <v>6</v>
      </c>
      <c r="H980">
        <v>15.8</v>
      </c>
      <c r="I980">
        <v>25.2</v>
      </c>
      <c r="J980">
        <v>11.2</v>
      </c>
      <c r="K980" t="s">
        <v>6</v>
      </c>
      <c r="L980">
        <v>227</v>
      </c>
      <c r="M980" t="s">
        <v>6</v>
      </c>
    </row>
    <row r="981" spans="1:13" x14ac:dyDescent="0.2">
      <c r="A981" s="1">
        <v>45457</v>
      </c>
      <c r="B981" s="2">
        <v>0.95833333333333337</v>
      </c>
      <c r="C981" s="3">
        <v>45457.958333333336</v>
      </c>
      <c r="D981">
        <v>80.8</v>
      </c>
      <c r="E981">
        <v>100.5</v>
      </c>
      <c r="F981">
        <v>70.5</v>
      </c>
      <c r="G981" t="s">
        <v>6</v>
      </c>
      <c r="H981">
        <v>14.4</v>
      </c>
      <c r="I981">
        <v>24.2</v>
      </c>
      <c r="J981">
        <v>11.6</v>
      </c>
      <c r="K981" t="s">
        <v>6</v>
      </c>
      <c r="L981">
        <v>219</v>
      </c>
      <c r="M981" t="s">
        <v>6</v>
      </c>
    </row>
    <row r="982" spans="1:13" x14ac:dyDescent="0.2">
      <c r="A982" s="1">
        <v>45458</v>
      </c>
      <c r="B982" s="2">
        <v>0</v>
      </c>
      <c r="C982" s="3">
        <v>45458</v>
      </c>
      <c r="D982">
        <v>98.3</v>
      </c>
      <c r="E982">
        <v>106.9</v>
      </c>
      <c r="F982">
        <v>83.5</v>
      </c>
      <c r="G982" t="s">
        <v>6</v>
      </c>
      <c r="H982">
        <v>12.9</v>
      </c>
      <c r="I982">
        <v>20.9</v>
      </c>
      <c r="J982">
        <v>10.9</v>
      </c>
      <c r="K982" t="s">
        <v>6</v>
      </c>
      <c r="L982">
        <v>221</v>
      </c>
      <c r="M982" t="s">
        <v>6</v>
      </c>
    </row>
    <row r="983" spans="1:13" x14ac:dyDescent="0.2">
      <c r="A983" s="1">
        <v>45458</v>
      </c>
      <c r="B983" s="2">
        <v>4.1666666666666664E-2</v>
      </c>
      <c r="C983" s="3">
        <v>45458.041666666664</v>
      </c>
      <c r="D983">
        <v>72.7</v>
      </c>
      <c r="E983">
        <v>119.5</v>
      </c>
      <c r="F983">
        <v>43.6</v>
      </c>
      <c r="G983" t="s">
        <v>6</v>
      </c>
      <c r="H983">
        <v>13</v>
      </c>
      <c r="I983">
        <v>23</v>
      </c>
      <c r="J983">
        <v>10.8</v>
      </c>
      <c r="K983" t="s">
        <v>6</v>
      </c>
      <c r="L983">
        <v>221</v>
      </c>
      <c r="M983" t="s">
        <v>6</v>
      </c>
    </row>
    <row r="984" spans="1:13" x14ac:dyDescent="0.2">
      <c r="A984" s="1">
        <v>45458</v>
      </c>
      <c r="B984" s="2">
        <v>8.3333333333333329E-2</v>
      </c>
      <c r="C984" s="3">
        <v>45458.083333333336</v>
      </c>
      <c r="D984">
        <v>50.8</v>
      </c>
      <c r="E984">
        <v>91.4</v>
      </c>
      <c r="F984">
        <v>44</v>
      </c>
      <c r="G984" t="s">
        <v>6</v>
      </c>
      <c r="H984">
        <v>12.2</v>
      </c>
      <c r="I984">
        <v>17</v>
      </c>
      <c r="J984">
        <v>10.7</v>
      </c>
      <c r="K984" t="s">
        <v>6</v>
      </c>
      <c r="L984">
        <v>227</v>
      </c>
      <c r="M984" t="s">
        <v>6</v>
      </c>
    </row>
    <row r="985" spans="1:13" x14ac:dyDescent="0.2">
      <c r="A985" s="1">
        <v>45458</v>
      </c>
      <c r="B985" s="2">
        <v>0.125</v>
      </c>
      <c r="C985" s="3">
        <v>45458.125</v>
      </c>
      <c r="D985">
        <v>85.8</v>
      </c>
      <c r="E985">
        <v>94.3</v>
      </c>
      <c r="F985">
        <v>79.400000000000006</v>
      </c>
      <c r="G985" t="s">
        <v>6</v>
      </c>
      <c r="H985">
        <v>12.3</v>
      </c>
      <c r="I985">
        <v>16.399999999999999</v>
      </c>
      <c r="J985">
        <v>10.9</v>
      </c>
      <c r="K985" t="s">
        <v>6</v>
      </c>
      <c r="L985">
        <v>217</v>
      </c>
      <c r="M985" t="s">
        <v>6</v>
      </c>
    </row>
    <row r="986" spans="1:13" x14ac:dyDescent="0.2">
      <c r="A986" s="1">
        <v>45458</v>
      </c>
      <c r="B986" s="2">
        <v>0.16666666666666666</v>
      </c>
      <c r="C986" s="3">
        <v>45458.166666666664</v>
      </c>
      <c r="D986">
        <v>86.5</v>
      </c>
      <c r="E986">
        <v>111.2</v>
      </c>
      <c r="F986">
        <v>64.3</v>
      </c>
      <c r="G986" t="s">
        <v>6</v>
      </c>
      <c r="H986">
        <v>13.2</v>
      </c>
      <c r="I986">
        <v>23.2</v>
      </c>
      <c r="J986">
        <v>10.7</v>
      </c>
      <c r="K986" t="s">
        <v>6</v>
      </c>
      <c r="L986">
        <v>224</v>
      </c>
      <c r="M986" t="s">
        <v>6</v>
      </c>
    </row>
    <row r="987" spans="1:13" x14ac:dyDescent="0.2">
      <c r="A987" s="1">
        <v>45458</v>
      </c>
      <c r="B987" s="2">
        <v>0.20833333333333334</v>
      </c>
      <c r="C987" s="3">
        <v>45458.208333333336</v>
      </c>
      <c r="D987">
        <v>82.6</v>
      </c>
      <c r="E987">
        <v>112.8</v>
      </c>
      <c r="F987">
        <v>62.2</v>
      </c>
      <c r="G987" t="s">
        <v>6</v>
      </c>
      <c r="H987">
        <v>12.8</v>
      </c>
      <c r="I987">
        <v>22</v>
      </c>
      <c r="J987">
        <v>10.7</v>
      </c>
      <c r="K987" t="s">
        <v>6</v>
      </c>
      <c r="L987">
        <v>226</v>
      </c>
      <c r="M987" t="s">
        <v>6</v>
      </c>
    </row>
    <row r="988" spans="1:13" x14ac:dyDescent="0.2">
      <c r="A988" s="1">
        <v>45458</v>
      </c>
      <c r="B988" s="2">
        <v>0.25</v>
      </c>
      <c r="C988" s="3">
        <v>45458.25</v>
      </c>
      <c r="D988">
        <v>50.8</v>
      </c>
      <c r="E988">
        <v>62.2</v>
      </c>
      <c r="F988">
        <v>43.7</v>
      </c>
      <c r="G988" t="s">
        <v>6</v>
      </c>
      <c r="H988">
        <v>12.5</v>
      </c>
      <c r="I988">
        <v>21.7</v>
      </c>
      <c r="J988">
        <v>10.7</v>
      </c>
      <c r="K988" t="s">
        <v>6</v>
      </c>
      <c r="L988">
        <v>223</v>
      </c>
      <c r="M988" t="s">
        <v>6</v>
      </c>
    </row>
    <row r="989" spans="1:13" x14ac:dyDescent="0.2">
      <c r="A989" s="1">
        <v>45458</v>
      </c>
      <c r="B989" s="2">
        <v>0.29166666666666669</v>
      </c>
      <c r="C989" s="3">
        <v>45458.291666666664</v>
      </c>
      <c r="D989">
        <v>44.5</v>
      </c>
      <c r="E989">
        <v>46.7</v>
      </c>
      <c r="F989">
        <v>43.1</v>
      </c>
      <c r="G989" t="s">
        <v>6</v>
      </c>
      <c r="H989">
        <v>15.1</v>
      </c>
      <c r="I989">
        <v>23.9</v>
      </c>
      <c r="J989">
        <v>10.8</v>
      </c>
      <c r="K989" t="s">
        <v>6</v>
      </c>
      <c r="L989">
        <v>219</v>
      </c>
      <c r="M989" t="s">
        <v>6</v>
      </c>
    </row>
    <row r="990" spans="1:13" x14ac:dyDescent="0.2">
      <c r="A990" s="13">
        <v>45458</v>
      </c>
      <c r="B990" s="9">
        <v>0.33333333333333331</v>
      </c>
      <c r="C990" s="8">
        <v>45458.333333333336</v>
      </c>
      <c r="D990" s="10">
        <v>42.7</v>
      </c>
      <c r="E990" s="10">
        <v>44.1</v>
      </c>
      <c r="F990" s="10">
        <v>42.2</v>
      </c>
      <c r="G990" s="10" t="s">
        <v>6</v>
      </c>
      <c r="H990" s="10">
        <v>16.399999999999999</v>
      </c>
      <c r="I990" s="10">
        <v>17.600000000000001</v>
      </c>
      <c r="J990" s="10">
        <v>14.8</v>
      </c>
      <c r="K990" s="10" t="s">
        <v>6</v>
      </c>
      <c r="L990" s="10">
        <v>8</v>
      </c>
      <c r="M990" t="s">
        <v>6</v>
      </c>
    </row>
    <row r="991" spans="1:13" x14ac:dyDescent="0.2">
      <c r="A991" s="14">
        <v>45458</v>
      </c>
      <c r="B991" s="12">
        <v>0.83333333333333337</v>
      </c>
      <c r="C991" s="7">
        <v>45458.833333333336</v>
      </c>
      <c r="D991" s="11">
        <v>64.099999999999994</v>
      </c>
      <c r="E991" s="11">
        <v>72.5</v>
      </c>
      <c r="F991" s="11">
        <v>58.5</v>
      </c>
      <c r="G991" s="11" t="s">
        <v>6</v>
      </c>
      <c r="H991" s="11">
        <v>14.2</v>
      </c>
      <c r="I991" s="11">
        <v>24.3</v>
      </c>
      <c r="J991" s="11">
        <v>11.8</v>
      </c>
      <c r="K991" s="11" t="s">
        <v>6</v>
      </c>
      <c r="L991" s="11">
        <v>194</v>
      </c>
      <c r="M991" t="s">
        <v>6</v>
      </c>
    </row>
    <row r="992" spans="1:13" x14ac:dyDescent="0.2">
      <c r="A992" s="1">
        <v>45458</v>
      </c>
      <c r="B992" s="2">
        <v>0.875</v>
      </c>
      <c r="C992" s="3">
        <v>45458.875</v>
      </c>
      <c r="D992">
        <v>61.8</v>
      </c>
      <c r="E992">
        <v>68.599999999999994</v>
      </c>
      <c r="F992">
        <v>55.8</v>
      </c>
      <c r="G992" t="s">
        <v>6</v>
      </c>
      <c r="H992">
        <v>13.7</v>
      </c>
      <c r="I992">
        <v>18.8</v>
      </c>
      <c r="J992">
        <v>12.2</v>
      </c>
      <c r="K992" t="s">
        <v>6</v>
      </c>
      <c r="L992">
        <v>221</v>
      </c>
      <c r="M992" t="s">
        <v>6</v>
      </c>
    </row>
    <row r="993" spans="1:13" x14ac:dyDescent="0.2">
      <c r="A993" s="1">
        <v>45458</v>
      </c>
      <c r="B993" s="2">
        <v>0.91666666666666663</v>
      </c>
      <c r="C993" s="3">
        <v>45458.916666666664</v>
      </c>
      <c r="D993">
        <v>63</v>
      </c>
      <c r="E993">
        <v>68.400000000000006</v>
      </c>
      <c r="F993">
        <v>59.2</v>
      </c>
      <c r="G993" t="s">
        <v>6</v>
      </c>
      <c r="H993">
        <v>13.2</v>
      </c>
      <c r="I993">
        <v>20</v>
      </c>
      <c r="J993">
        <v>11.4</v>
      </c>
      <c r="K993" t="s">
        <v>6</v>
      </c>
      <c r="L993">
        <v>224</v>
      </c>
      <c r="M993" t="s">
        <v>6</v>
      </c>
    </row>
    <row r="994" spans="1:13" x14ac:dyDescent="0.2">
      <c r="A994" s="1">
        <v>45458</v>
      </c>
      <c r="B994" s="2">
        <v>0.95833333333333337</v>
      </c>
      <c r="C994" s="3">
        <v>45458.958333333336</v>
      </c>
      <c r="D994">
        <v>62.3</v>
      </c>
      <c r="E994">
        <v>69.3</v>
      </c>
      <c r="F994">
        <v>55.8</v>
      </c>
      <c r="G994" t="s">
        <v>6</v>
      </c>
      <c r="H994">
        <v>14.2</v>
      </c>
      <c r="I994">
        <v>24.1</v>
      </c>
      <c r="J994">
        <v>11.4</v>
      </c>
      <c r="K994" t="s">
        <v>6</v>
      </c>
      <c r="L994">
        <v>217</v>
      </c>
      <c r="M994" t="s">
        <v>6</v>
      </c>
    </row>
    <row r="995" spans="1:13" x14ac:dyDescent="0.2">
      <c r="A995" s="1">
        <v>45459</v>
      </c>
      <c r="B995" s="2">
        <v>0</v>
      </c>
      <c r="C995" s="3">
        <v>45459</v>
      </c>
      <c r="D995">
        <v>62</v>
      </c>
      <c r="E995">
        <v>68.5</v>
      </c>
      <c r="F995">
        <v>57.7</v>
      </c>
      <c r="G995" t="s">
        <v>6</v>
      </c>
      <c r="H995">
        <v>13.2</v>
      </c>
      <c r="I995">
        <v>15.4</v>
      </c>
      <c r="J995">
        <v>11.7</v>
      </c>
      <c r="K995" t="s">
        <v>6</v>
      </c>
      <c r="L995">
        <v>207</v>
      </c>
      <c r="M995" t="s">
        <v>6</v>
      </c>
    </row>
    <row r="996" spans="1:13" x14ac:dyDescent="0.2">
      <c r="A996" s="1">
        <v>45459</v>
      </c>
      <c r="B996" s="2">
        <v>4.1666666666666664E-2</v>
      </c>
      <c r="C996" s="3">
        <v>45459.041666666664</v>
      </c>
      <c r="D996">
        <v>62</v>
      </c>
      <c r="E996">
        <v>66.599999999999994</v>
      </c>
      <c r="F996">
        <v>57.2</v>
      </c>
      <c r="G996" t="s">
        <v>6</v>
      </c>
      <c r="H996">
        <v>13.3</v>
      </c>
      <c r="I996">
        <v>19.3</v>
      </c>
      <c r="J996">
        <v>11.8</v>
      </c>
      <c r="K996" t="s">
        <v>6</v>
      </c>
      <c r="L996">
        <v>210</v>
      </c>
      <c r="M996" t="s">
        <v>6</v>
      </c>
    </row>
    <row r="997" spans="1:13" x14ac:dyDescent="0.2">
      <c r="A997" s="1">
        <v>45459</v>
      </c>
      <c r="B997" s="2">
        <v>8.3333333333333329E-2</v>
      </c>
      <c r="C997" s="3">
        <v>45459.083333333336</v>
      </c>
      <c r="D997">
        <v>59.5</v>
      </c>
      <c r="E997">
        <v>65.400000000000006</v>
      </c>
      <c r="F997">
        <v>55.5</v>
      </c>
      <c r="G997" t="s">
        <v>6</v>
      </c>
      <c r="H997">
        <v>13.3</v>
      </c>
      <c r="I997">
        <v>16.399999999999999</v>
      </c>
      <c r="J997">
        <v>11.8</v>
      </c>
      <c r="K997" t="s">
        <v>6</v>
      </c>
      <c r="L997">
        <v>202</v>
      </c>
      <c r="M997" t="s">
        <v>6</v>
      </c>
    </row>
    <row r="998" spans="1:13" x14ac:dyDescent="0.2">
      <c r="A998" s="1">
        <v>45459</v>
      </c>
      <c r="B998" s="2">
        <v>0.125</v>
      </c>
      <c r="C998" s="3">
        <v>45459.125</v>
      </c>
      <c r="D998">
        <v>60.7</v>
      </c>
      <c r="E998">
        <v>67.599999999999994</v>
      </c>
      <c r="F998">
        <v>55.6</v>
      </c>
      <c r="G998" t="s">
        <v>6</v>
      </c>
      <c r="H998">
        <v>12.8</v>
      </c>
      <c r="I998">
        <v>17</v>
      </c>
      <c r="J998">
        <v>11.3</v>
      </c>
      <c r="K998" t="s">
        <v>6</v>
      </c>
      <c r="L998">
        <v>219</v>
      </c>
      <c r="M998" t="s">
        <v>6</v>
      </c>
    </row>
    <row r="999" spans="1:13" x14ac:dyDescent="0.2">
      <c r="A999" s="1">
        <v>45459</v>
      </c>
      <c r="B999" s="2">
        <v>0.16666666666666666</v>
      </c>
      <c r="C999" s="3">
        <v>45459.166666666664</v>
      </c>
      <c r="D999">
        <v>61.4</v>
      </c>
      <c r="E999">
        <v>68.3</v>
      </c>
      <c r="F999">
        <v>55</v>
      </c>
      <c r="G999" t="s">
        <v>6</v>
      </c>
      <c r="H999">
        <v>12.5</v>
      </c>
      <c r="I999">
        <v>15</v>
      </c>
      <c r="J999">
        <v>11.4</v>
      </c>
      <c r="K999" t="s">
        <v>6</v>
      </c>
      <c r="L999">
        <v>227</v>
      </c>
      <c r="M999" t="s">
        <v>6</v>
      </c>
    </row>
    <row r="1000" spans="1:13" x14ac:dyDescent="0.2">
      <c r="A1000" s="1">
        <v>45459</v>
      </c>
      <c r="B1000" s="2">
        <v>0.20833333333333334</v>
      </c>
      <c r="C1000" s="3">
        <v>45459.208333333336</v>
      </c>
      <c r="D1000">
        <v>58.4</v>
      </c>
      <c r="E1000">
        <v>65.3</v>
      </c>
      <c r="F1000">
        <v>52.5</v>
      </c>
      <c r="G1000" t="s">
        <v>6</v>
      </c>
      <c r="H1000">
        <v>13.2</v>
      </c>
      <c r="I1000">
        <v>22.8</v>
      </c>
      <c r="J1000">
        <v>11</v>
      </c>
      <c r="K1000" t="s">
        <v>6</v>
      </c>
      <c r="L1000">
        <v>224</v>
      </c>
      <c r="M1000" t="s">
        <v>6</v>
      </c>
    </row>
    <row r="1001" spans="1:13" x14ac:dyDescent="0.2">
      <c r="A1001" s="1">
        <v>45459</v>
      </c>
      <c r="B1001" s="2">
        <v>0.25</v>
      </c>
      <c r="C1001" s="3">
        <v>45459.25</v>
      </c>
      <c r="D1001">
        <v>59.6</v>
      </c>
      <c r="E1001">
        <v>65.900000000000006</v>
      </c>
      <c r="F1001">
        <v>52.9</v>
      </c>
      <c r="G1001" t="s">
        <v>6</v>
      </c>
      <c r="H1001">
        <v>12.8</v>
      </c>
      <c r="I1001">
        <v>16.3</v>
      </c>
      <c r="J1001">
        <v>11.3</v>
      </c>
      <c r="K1001" t="s">
        <v>6</v>
      </c>
      <c r="L1001">
        <v>74</v>
      </c>
      <c r="M1001" t="s">
        <v>6</v>
      </c>
    </row>
    <row r="1002" spans="1:13" x14ac:dyDescent="0.2">
      <c r="A1002" s="1">
        <v>45459</v>
      </c>
      <c r="B1002" s="2">
        <v>0.29166666666666669</v>
      </c>
      <c r="C1002" s="3">
        <v>45459.291666666664</v>
      </c>
      <c r="D1002">
        <v>56.5</v>
      </c>
      <c r="E1002">
        <v>58.4</v>
      </c>
      <c r="F1002">
        <v>54.9</v>
      </c>
      <c r="G1002" t="s">
        <v>6</v>
      </c>
      <c r="H1002">
        <v>17.5</v>
      </c>
      <c r="I1002">
        <v>22.9</v>
      </c>
      <c r="J1002">
        <v>13.5</v>
      </c>
      <c r="K1002" t="s">
        <v>6</v>
      </c>
      <c r="L1002">
        <v>13</v>
      </c>
      <c r="M1002" t="s">
        <v>6</v>
      </c>
    </row>
    <row r="1003" spans="1:13" x14ac:dyDescent="0.2">
      <c r="A1003" s="13">
        <v>45459</v>
      </c>
      <c r="B1003" s="9">
        <v>0.33333333333333331</v>
      </c>
      <c r="C1003" s="8">
        <v>45459.333333333336</v>
      </c>
      <c r="D1003" s="10">
        <v>56.3</v>
      </c>
      <c r="E1003" s="10">
        <v>56.8</v>
      </c>
      <c r="F1003" s="10">
        <v>55</v>
      </c>
      <c r="G1003" s="10" t="s">
        <v>6</v>
      </c>
      <c r="H1003" s="10">
        <v>25.5</v>
      </c>
      <c r="I1003" s="10">
        <v>33.299999999999997</v>
      </c>
      <c r="J1003" s="10">
        <v>17.399999999999999</v>
      </c>
      <c r="K1003" s="10" t="s">
        <v>6</v>
      </c>
      <c r="L1003" s="10">
        <v>11</v>
      </c>
      <c r="M1003" t="s">
        <v>6</v>
      </c>
    </row>
    <row r="1004" spans="1:13" x14ac:dyDescent="0.2">
      <c r="A1004" s="14">
        <v>45459</v>
      </c>
      <c r="B1004" s="12">
        <v>0.375</v>
      </c>
      <c r="C1004" s="7">
        <v>45459.375</v>
      </c>
      <c r="D1004" s="11">
        <v>51.9</v>
      </c>
      <c r="E1004" s="11">
        <v>54</v>
      </c>
      <c r="F1004" s="11">
        <v>50.3</v>
      </c>
      <c r="G1004" s="11" t="s">
        <v>6</v>
      </c>
      <c r="H1004" s="11">
        <v>16.5</v>
      </c>
      <c r="I1004" s="11">
        <v>26.1</v>
      </c>
      <c r="J1004" s="11">
        <v>13.5</v>
      </c>
      <c r="K1004" s="11" t="s">
        <v>6</v>
      </c>
      <c r="L1004" s="11">
        <v>25</v>
      </c>
      <c r="M1004" t="s">
        <v>6</v>
      </c>
    </row>
    <row r="1005" spans="1:13" x14ac:dyDescent="0.2">
      <c r="A1005" s="1">
        <v>45459</v>
      </c>
      <c r="B1005" s="2">
        <v>0.45833333333333331</v>
      </c>
      <c r="C1005" s="3">
        <v>45459.458333333336</v>
      </c>
      <c r="D1005">
        <v>82.8</v>
      </c>
      <c r="E1005">
        <v>90.2</v>
      </c>
      <c r="F1005">
        <v>78</v>
      </c>
      <c r="G1005" t="s">
        <v>6</v>
      </c>
      <c r="H1005">
        <v>15.2</v>
      </c>
      <c r="I1005">
        <v>18.2</v>
      </c>
      <c r="J1005">
        <v>12.6</v>
      </c>
      <c r="K1005" t="s">
        <v>6</v>
      </c>
      <c r="L1005">
        <v>69</v>
      </c>
      <c r="M1005" t="s">
        <v>6</v>
      </c>
    </row>
    <row r="1006" spans="1:13" x14ac:dyDescent="0.2">
      <c r="A1006" s="1">
        <v>45459</v>
      </c>
      <c r="B1006" s="2">
        <v>0.5</v>
      </c>
      <c r="C1006" s="3">
        <v>45459.5</v>
      </c>
      <c r="D1006">
        <v>91.7</v>
      </c>
      <c r="E1006">
        <v>98.2</v>
      </c>
      <c r="F1006">
        <v>86.4</v>
      </c>
      <c r="G1006" t="s">
        <v>6</v>
      </c>
      <c r="H1006">
        <v>15.6</v>
      </c>
      <c r="I1006">
        <v>25.3</v>
      </c>
      <c r="J1006">
        <v>11.3</v>
      </c>
      <c r="K1006" t="s">
        <v>6</v>
      </c>
      <c r="L1006">
        <v>72</v>
      </c>
      <c r="M1006" t="s">
        <v>6</v>
      </c>
    </row>
    <row r="1007" spans="1:13" x14ac:dyDescent="0.2">
      <c r="A1007" s="1">
        <v>45459</v>
      </c>
      <c r="B1007" s="2">
        <v>0.54166666666666663</v>
      </c>
      <c r="C1007" s="3">
        <v>45459.541666666664</v>
      </c>
      <c r="D1007">
        <v>88.7</v>
      </c>
      <c r="E1007">
        <v>95.6</v>
      </c>
      <c r="F1007">
        <v>85.2</v>
      </c>
      <c r="G1007" t="s">
        <v>6</v>
      </c>
      <c r="H1007">
        <v>16.3</v>
      </c>
      <c r="I1007">
        <v>23.9</v>
      </c>
      <c r="J1007">
        <v>11.9</v>
      </c>
      <c r="K1007" t="s">
        <v>6</v>
      </c>
      <c r="L1007">
        <v>52</v>
      </c>
      <c r="M1007" t="s">
        <v>6</v>
      </c>
    </row>
    <row r="1008" spans="1:13" x14ac:dyDescent="0.2">
      <c r="A1008" s="1">
        <v>45459</v>
      </c>
      <c r="B1008" s="2">
        <v>0.58333333333333337</v>
      </c>
      <c r="C1008" s="3">
        <v>45459.583333333336</v>
      </c>
      <c r="D1008">
        <v>87.9</v>
      </c>
      <c r="E1008">
        <v>108.2</v>
      </c>
      <c r="F1008">
        <v>62.3</v>
      </c>
      <c r="G1008" t="s">
        <v>6</v>
      </c>
      <c r="H1008">
        <v>17.600000000000001</v>
      </c>
      <c r="I1008">
        <v>21.3</v>
      </c>
      <c r="J1008">
        <v>13.9</v>
      </c>
      <c r="K1008" t="s">
        <v>6</v>
      </c>
      <c r="L1008">
        <v>122</v>
      </c>
      <c r="M1008" t="s">
        <v>6</v>
      </c>
    </row>
    <row r="1009" spans="1:13" x14ac:dyDescent="0.2">
      <c r="A1009" s="1">
        <v>45459</v>
      </c>
      <c r="B1009" s="2">
        <v>0.625</v>
      </c>
      <c r="C1009" s="3">
        <v>45459.625</v>
      </c>
      <c r="D1009">
        <v>65.8</v>
      </c>
      <c r="E1009">
        <v>72.5</v>
      </c>
      <c r="F1009">
        <v>58.6</v>
      </c>
      <c r="G1009" t="s">
        <v>6</v>
      </c>
      <c r="H1009">
        <v>17.3</v>
      </c>
      <c r="I1009">
        <v>21.8</v>
      </c>
      <c r="J1009">
        <v>11.9</v>
      </c>
      <c r="K1009" t="s">
        <v>6</v>
      </c>
      <c r="L1009">
        <v>139</v>
      </c>
      <c r="M1009" t="s">
        <v>6</v>
      </c>
    </row>
    <row r="1010" spans="1:13" x14ac:dyDescent="0.2">
      <c r="A1010" s="1">
        <v>45459</v>
      </c>
      <c r="B1010" s="2">
        <v>0.66666666666666663</v>
      </c>
      <c r="C1010" s="3">
        <v>45459.666666666664</v>
      </c>
      <c r="D1010">
        <v>71.900000000000006</v>
      </c>
      <c r="E1010">
        <v>78.5</v>
      </c>
      <c r="F1010">
        <v>67.400000000000006</v>
      </c>
      <c r="G1010" t="s">
        <v>6</v>
      </c>
      <c r="H1010">
        <v>13.5</v>
      </c>
      <c r="I1010">
        <v>16.2</v>
      </c>
      <c r="J1010">
        <v>12</v>
      </c>
      <c r="K1010" t="s">
        <v>6</v>
      </c>
      <c r="L1010">
        <v>57</v>
      </c>
      <c r="M1010" t="s">
        <v>6</v>
      </c>
    </row>
    <row r="1011" spans="1:13" x14ac:dyDescent="0.2">
      <c r="A1011" s="1">
        <v>45459</v>
      </c>
      <c r="B1011" s="2">
        <v>0.70833333333333337</v>
      </c>
      <c r="C1011" s="3">
        <v>45459.708333333336</v>
      </c>
      <c r="D1011">
        <v>71.099999999999994</v>
      </c>
      <c r="E1011">
        <v>84.5</v>
      </c>
      <c r="F1011">
        <v>60.6</v>
      </c>
      <c r="G1011" t="s">
        <v>6</v>
      </c>
      <c r="H1011">
        <v>18.100000000000001</v>
      </c>
      <c r="I1011">
        <v>24</v>
      </c>
      <c r="J1011">
        <v>12.8</v>
      </c>
      <c r="K1011" t="s">
        <v>6</v>
      </c>
      <c r="L1011">
        <v>174</v>
      </c>
      <c r="M1011" t="s">
        <v>6</v>
      </c>
    </row>
    <row r="1012" spans="1:13" x14ac:dyDescent="0.2">
      <c r="A1012" s="1">
        <v>45459</v>
      </c>
      <c r="B1012" s="2">
        <v>0.75</v>
      </c>
      <c r="C1012" s="3">
        <v>45459.75</v>
      </c>
      <c r="D1012">
        <v>67.8</v>
      </c>
      <c r="E1012">
        <v>79.3</v>
      </c>
      <c r="F1012">
        <v>60.3</v>
      </c>
      <c r="G1012" t="s">
        <v>6</v>
      </c>
      <c r="H1012">
        <v>17.2</v>
      </c>
      <c r="I1012">
        <v>22.6</v>
      </c>
      <c r="J1012">
        <v>12.3</v>
      </c>
      <c r="K1012" t="s">
        <v>6</v>
      </c>
      <c r="L1012">
        <v>128</v>
      </c>
      <c r="M1012" t="s">
        <v>6</v>
      </c>
    </row>
    <row r="1013" spans="1:13" x14ac:dyDescent="0.2">
      <c r="A1013" s="1">
        <v>45459</v>
      </c>
      <c r="B1013" s="2">
        <v>0.79166666666666663</v>
      </c>
      <c r="C1013" s="3">
        <v>45459.791666666664</v>
      </c>
      <c r="D1013">
        <v>81</v>
      </c>
      <c r="E1013">
        <v>120.2</v>
      </c>
      <c r="F1013">
        <v>59.4</v>
      </c>
      <c r="G1013" t="s">
        <v>6</v>
      </c>
      <c r="H1013">
        <v>18.5</v>
      </c>
      <c r="I1013">
        <v>26</v>
      </c>
      <c r="J1013">
        <v>11.4</v>
      </c>
      <c r="K1013" t="s">
        <v>6</v>
      </c>
      <c r="L1013">
        <v>196</v>
      </c>
      <c r="M1013" t="s">
        <v>6</v>
      </c>
    </row>
    <row r="1014" spans="1:13" x14ac:dyDescent="0.2">
      <c r="A1014" s="1">
        <v>45459</v>
      </c>
      <c r="B1014" s="2">
        <v>0.83333333333333337</v>
      </c>
      <c r="C1014" s="3">
        <v>45459.833333333336</v>
      </c>
      <c r="D1014">
        <v>75.599999999999994</v>
      </c>
      <c r="E1014">
        <v>112.8</v>
      </c>
      <c r="F1014">
        <v>56.5</v>
      </c>
      <c r="G1014" t="s">
        <v>6</v>
      </c>
      <c r="H1014">
        <v>17.899999999999999</v>
      </c>
      <c r="I1014">
        <v>32.200000000000003</v>
      </c>
      <c r="J1014">
        <v>12.5</v>
      </c>
      <c r="K1014" t="s">
        <v>6</v>
      </c>
      <c r="L1014">
        <v>224</v>
      </c>
      <c r="M1014" t="s">
        <v>6</v>
      </c>
    </row>
    <row r="1015" spans="1:13" x14ac:dyDescent="0.2">
      <c r="A1015" s="1">
        <v>45459</v>
      </c>
      <c r="B1015" s="2">
        <v>0.875</v>
      </c>
      <c r="C1015" s="3">
        <v>45459.875</v>
      </c>
      <c r="D1015">
        <v>66.400000000000006</v>
      </c>
      <c r="E1015">
        <v>74.400000000000006</v>
      </c>
      <c r="F1015">
        <v>56.5</v>
      </c>
      <c r="G1015" t="s">
        <v>6</v>
      </c>
      <c r="H1015">
        <v>14</v>
      </c>
      <c r="I1015">
        <v>21.4</v>
      </c>
      <c r="J1015">
        <v>11.8</v>
      </c>
      <c r="K1015" t="s">
        <v>6</v>
      </c>
      <c r="L1015">
        <v>223</v>
      </c>
      <c r="M1015" t="s">
        <v>6</v>
      </c>
    </row>
    <row r="1016" spans="1:13" x14ac:dyDescent="0.2">
      <c r="A1016" s="1">
        <v>45459</v>
      </c>
      <c r="B1016" s="2">
        <v>0.91666666666666663</v>
      </c>
      <c r="C1016" s="3">
        <v>45459.916666666664</v>
      </c>
      <c r="D1016">
        <v>71.2</v>
      </c>
      <c r="E1016">
        <v>87.2</v>
      </c>
      <c r="F1016">
        <v>57.1</v>
      </c>
      <c r="G1016" t="s">
        <v>6</v>
      </c>
      <c r="H1016">
        <v>13.7</v>
      </c>
      <c r="I1016">
        <v>19.100000000000001</v>
      </c>
      <c r="J1016">
        <v>11</v>
      </c>
      <c r="K1016" t="s">
        <v>6</v>
      </c>
      <c r="L1016">
        <v>221</v>
      </c>
      <c r="M1016" t="s">
        <v>6</v>
      </c>
    </row>
    <row r="1017" spans="1:13" x14ac:dyDescent="0.2">
      <c r="A1017" s="1">
        <v>45459</v>
      </c>
      <c r="B1017" s="2">
        <v>0.95833333333333337</v>
      </c>
      <c r="C1017" s="3">
        <v>45459.958333333336</v>
      </c>
      <c r="D1017">
        <v>70.8</v>
      </c>
      <c r="E1017">
        <v>80.3</v>
      </c>
      <c r="F1017">
        <v>54.5</v>
      </c>
      <c r="G1017" t="s">
        <v>6</v>
      </c>
      <c r="H1017">
        <v>16.100000000000001</v>
      </c>
      <c r="I1017">
        <v>28.8</v>
      </c>
      <c r="J1017">
        <v>12</v>
      </c>
      <c r="K1017" t="s">
        <v>6</v>
      </c>
      <c r="L1017">
        <v>214</v>
      </c>
      <c r="M1017" t="s">
        <v>6</v>
      </c>
    </row>
    <row r="1018" spans="1:13" x14ac:dyDescent="0.2">
      <c r="A1018" s="1">
        <v>45460</v>
      </c>
      <c r="B1018" s="2">
        <v>0</v>
      </c>
      <c r="C1018" s="3">
        <v>45460</v>
      </c>
      <c r="D1018">
        <v>72.2</v>
      </c>
      <c r="E1018">
        <v>92.3</v>
      </c>
      <c r="F1018">
        <v>59.2</v>
      </c>
      <c r="G1018" t="s">
        <v>6</v>
      </c>
      <c r="H1018">
        <v>13.5</v>
      </c>
      <c r="I1018">
        <v>20</v>
      </c>
      <c r="J1018">
        <v>11.5</v>
      </c>
      <c r="K1018" t="s">
        <v>6</v>
      </c>
      <c r="L1018">
        <v>210</v>
      </c>
      <c r="M1018" t="s">
        <v>6</v>
      </c>
    </row>
    <row r="1019" spans="1:13" x14ac:dyDescent="0.2">
      <c r="A1019" s="1">
        <v>45460</v>
      </c>
      <c r="B1019" s="2">
        <v>4.1666666666666664E-2</v>
      </c>
      <c r="C1019" s="3">
        <v>45460.041666666664</v>
      </c>
      <c r="D1019">
        <v>79.599999999999994</v>
      </c>
      <c r="E1019">
        <v>95</v>
      </c>
      <c r="F1019">
        <v>64.599999999999994</v>
      </c>
      <c r="G1019" t="s">
        <v>6</v>
      </c>
      <c r="H1019">
        <v>18</v>
      </c>
      <c r="I1019">
        <v>26.8</v>
      </c>
      <c r="J1019">
        <v>12.1</v>
      </c>
      <c r="K1019" t="s">
        <v>6</v>
      </c>
      <c r="L1019">
        <v>224</v>
      </c>
      <c r="M1019" t="s">
        <v>6</v>
      </c>
    </row>
    <row r="1020" spans="1:13" x14ac:dyDescent="0.2">
      <c r="A1020" s="1">
        <v>45460</v>
      </c>
      <c r="B1020" s="2">
        <v>8.3333333333333329E-2</v>
      </c>
      <c r="C1020" s="3">
        <v>45460.083333333336</v>
      </c>
      <c r="D1020">
        <v>80.3</v>
      </c>
      <c r="E1020">
        <v>92.3</v>
      </c>
      <c r="F1020">
        <v>66.7</v>
      </c>
      <c r="G1020" t="s">
        <v>6</v>
      </c>
      <c r="H1020">
        <v>14.7</v>
      </c>
      <c r="I1020">
        <v>25.6</v>
      </c>
      <c r="J1020">
        <v>12.1</v>
      </c>
      <c r="K1020" t="s">
        <v>6</v>
      </c>
      <c r="L1020">
        <v>220</v>
      </c>
      <c r="M1020" t="s">
        <v>6</v>
      </c>
    </row>
    <row r="1021" spans="1:13" x14ac:dyDescent="0.2">
      <c r="A1021" s="1">
        <v>45460</v>
      </c>
      <c r="B1021" s="2">
        <v>0.125</v>
      </c>
      <c r="C1021" s="3">
        <v>45460.125</v>
      </c>
      <c r="D1021">
        <v>73</v>
      </c>
      <c r="E1021">
        <v>91.3</v>
      </c>
      <c r="F1021">
        <v>51.3</v>
      </c>
      <c r="G1021" t="s">
        <v>6</v>
      </c>
      <c r="H1021">
        <v>14.3</v>
      </c>
      <c r="I1021">
        <v>26.3</v>
      </c>
      <c r="J1021">
        <v>11.5</v>
      </c>
      <c r="K1021" t="s">
        <v>6</v>
      </c>
      <c r="L1021">
        <v>222</v>
      </c>
      <c r="M1021" t="s">
        <v>6</v>
      </c>
    </row>
    <row r="1022" spans="1:13" x14ac:dyDescent="0.2">
      <c r="A1022" s="1">
        <v>45460</v>
      </c>
      <c r="B1022" s="2">
        <v>0.16666666666666666</v>
      </c>
      <c r="C1022" s="3">
        <v>45460.166666666664</v>
      </c>
      <c r="D1022">
        <v>74.599999999999994</v>
      </c>
      <c r="E1022">
        <v>86.9</v>
      </c>
      <c r="F1022">
        <v>64</v>
      </c>
      <c r="G1022" t="s">
        <v>6</v>
      </c>
      <c r="H1022">
        <v>13.9</v>
      </c>
      <c r="I1022">
        <v>23.7</v>
      </c>
      <c r="J1022">
        <v>11.3</v>
      </c>
      <c r="K1022" t="s">
        <v>6</v>
      </c>
      <c r="L1022">
        <v>228</v>
      </c>
      <c r="M1022" t="s">
        <v>6</v>
      </c>
    </row>
    <row r="1023" spans="1:13" x14ac:dyDescent="0.2">
      <c r="A1023" s="1">
        <v>45460</v>
      </c>
      <c r="B1023" s="2">
        <v>0.20833333333333334</v>
      </c>
      <c r="C1023" s="3">
        <v>45460.208333333336</v>
      </c>
      <c r="D1023">
        <v>71.7</v>
      </c>
      <c r="E1023">
        <v>83</v>
      </c>
      <c r="F1023">
        <v>54.3</v>
      </c>
      <c r="G1023" t="s">
        <v>6</v>
      </c>
      <c r="H1023">
        <v>14.3</v>
      </c>
      <c r="I1023">
        <v>24.9</v>
      </c>
      <c r="J1023">
        <v>11.7</v>
      </c>
      <c r="K1023" t="s">
        <v>6</v>
      </c>
      <c r="L1023">
        <v>219</v>
      </c>
      <c r="M1023" t="s">
        <v>6</v>
      </c>
    </row>
    <row r="1024" spans="1:13" x14ac:dyDescent="0.2">
      <c r="A1024" s="1">
        <v>45460</v>
      </c>
      <c r="B1024" s="2">
        <v>0.25</v>
      </c>
      <c r="C1024" s="3">
        <v>45460.25</v>
      </c>
      <c r="D1024">
        <v>66.2</v>
      </c>
      <c r="E1024">
        <v>82.6</v>
      </c>
      <c r="F1024">
        <v>53.6</v>
      </c>
      <c r="G1024" t="s">
        <v>6</v>
      </c>
      <c r="H1024">
        <v>13.3</v>
      </c>
      <c r="I1024">
        <v>19.8</v>
      </c>
      <c r="J1024">
        <v>11.4</v>
      </c>
      <c r="K1024" t="s">
        <v>6</v>
      </c>
      <c r="L1024">
        <v>205</v>
      </c>
      <c r="M1024" t="s">
        <v>6</v>
      </c>
    </row>
    <row r="1025" spans="1:13" x14ac:dyDescent="0.2">
      <c r="A1025" s="13">
        <v>45460</v>
      </c>
      <c r="B1025" s="9">
        <v>0.29166666666666669</v>
      </c>
      <c r="C1025" s="8">
        <v>45460.291666666664</v>
      </c>
      <c r="D1025" s="10">
        <v>75.2</v>
      </c>
      <c r="E1025" s="10">
        <v>85.4</v>
      </c>
      <c r="F1025" s="10">
        <v>66</v>
      </c>
      <c r="G1025" s="10" t="s">
        <v>6</v>
      </c>
      <c r="H1025" s="10">
        <v>17.899999999999999</v>
      </c>
      <c r="I1025" s="10">
        <v>29</v>
      </c>
      <c r="J1025" s="10">
        <v>13.8</v>
      </c>
      <c r="K1025" s="10" t="s">
        <v>6</v>
      </c>
      <c r="L1025" s="10">
        <v>107</v>
      </c>
      <c r="M1025" t="s">
        <v>6</v>
      </c>
    </row>
    <row r="1026" spans="1:13" x14ac:dyDescent="0.2">
      <c r="A1026" s="14">
        <v>45460</v>
      </c>
      <c r="B1026" s="12">
        <v>0.41666666666666669</v>
      </c>
      <c r="C1026" s="7">
        <v>45460.416666666664</v>
      </c>
      <c r="D1026" s="11">
        <v>68.3</v>
      </c>
      <c r="E1026" s="11">
        <v>69.3</v>
      </c>
      <c r="F1026" s="11">
        <v>65.400000000000006</v>
      </c>
      <c r="G1026" s="11" t="s">
        <v>6</v>
      </c>
      <c r="H1026" s="11">
        <v>16.7</v>
      </c>
      <c r="I1026" s="11">
        <v>23.2</v>
      </c>
      <c r="J1026" s="11">
        <v>14.3</v>
      </c>
      <c r="K1026" s="11" t="s">
        <v>6</v>
      </c>
      <c r="L1026" s="11">
        <v>17</v>
      </c>
      <c r="M1026" t="s">
        <v>6</v>
      </c>
    </row>
    <row r="1027" spans="1:13" x14ac:dyDescent="0.2">
      <c r="A1027" s="1">
        <v>45460</v>
      </c>
      <c r="B1027" s="2">
        <v>0.45833333333333331</v>
      </c>
      <c r="C1027" s="3">
        <v>45460.458333333336</v>
      </c>
      <c r="D1027">
        <v>72.7</v>
      </c>
      <c r="E1027">
        <v>80.3</v>
      </c>
      <c r="F1027">
        <v>63.4</v>
      </c>
      <c r="G1027" t="s">
        <v>6</v>
      </c>
      <c r="H1027">
        <v>16</v>
      </c>
      <c r="I1027">
        <v>23.8</v>
      </c>
      <c r="J1027">
        <v>12.3</v>
      </c>
      <c r="K1027" t="s">
        <v>6</v>
      </c>
      <c r="L1027">
        <v>85</v>
      </c>
      <c r="M1027" t="s">
        <v>6</v>
      </c>
    </row>
    <row r="1028" spans="1:13" x14ac:dyDescent="0.2">
      <c r="A1028" s="1">
        <v>45460</v>
      </c>
      <c r="B1028" s="2">
        <v>0.75</v>
      </c>
      <c r="C1028" s="3">
        <v>45460.75</v>
      </c>
      <c r="D1028">
        <v>64.8</v>
      </c>
      <c r="E1028">
        <v>78.3</v>
      </c>
      <c r="F1028">
        <v>60.3</v>
      </c>
      <c r="G1028" t="s">
        <v>6</v>
      </c>
      <c r="H1028">
        <v>16.3</v>
      </c>
      <c r="I1028">
        <v>20.9</v>
      </c>
      <c r="J1028">
        <v>12.5</v>
      </c>
      <c r="K1028" t="s">
        <v>6</v>
      </c>
      <c r="L1028">
        <v>73</v>
      </c>
      <c r="M1028" t="s">
        <v>6</v>
      </c>
    </row>
    <row r="1029" spans="1:13" x14ac:dyDescent="0.2">
      <c r="A1029" s="1">
        <v>45460</v>
      </c>
      <c r="B1029" s="2">
        <v>0.79166666666666663</v>
      </c>
      <c r="C1029" s="3">
        <v>45460.791666666664</v>
      </c>
      <c r="D1029">
        <v>94</v>
      </c>
      <c r="E1029">
        <v>121</v>
      </c>
      <c r="F1029">
        <v>79.8</v>
      </c>
      <c r="G1029" t="s">
        <v>6</v>
      </c>
      <c r="H1029">
        <v>16.3</v>
      </c>
      <c r="I1029">
        <v>21.6</v>
      </c>
      <c r="J1029">
        <v>10</v>
      </c>
      <c r="K1029" t="s">
        <v>6</v>
      </c>
      <c r="L1029">
        <v>193</v>
      </c>
      <c r="M1029" t="s">
        <v>6</v>
      </c>
    </row>
    <row r="1030" spans="1:13" x14ac:dyDescent="0.2">
      <c r="A1030" s="1">
        <v>45460</v>
      </c>
      <c r="B1030" s="2">
        <v>0.83333333333333337</v>
      </c>
      <c r="C1030" s="3">
        <v>45460.833333333336</v>
      </c>
      <c r="D1030">
        <v>86.6</v>
      </c>
      <c r="E1030">
        <v>100.9</v>
      </c>
      <c r="F1030">
        <v>69.099999999999994</v>
      </c>
      <c r="G1030" t="s">
        <v>6</v>
      </c>
      <c r="H1030">
        <v>17.899999999999999</v>
      </c>
      <c r="I1030">
        <v>30.4</v>
      </c>
      <c r="J1030">
        <v>13</v>
      </c>
      <c r="K1030" t="s">
        <v>6</v>
      </c>
      <c r="L1030">
        <v>214</v>
      </c>
      <c r="M1030" t="s">
        <v>6</v>
      </c>
    </row>
    <row r="1031" spans="1:13" x14ac:dyDescent="0.2">
      <c r="A1031" s="1">
        <v>45460</v>
      </c>
      <c r="B1031" s="2">
        <v>0.875</v>
      </c>
      <c r="C1031" s="3">
        <v>45460.875</v>
      </c>
      <c r="D1031">
        <v>57.9</v>
      </c>
      <c r="E1031">
        <v>89</v>
      </c>
      <c r="F1031">
        <v>50.9</v>
      </c>
      <c r="G1031" t="s">
        <v>6</v>
      </c>
      <c r="H1031">
        <v>17.100000000000001</v>
      </c>
      <c r="I1031">
        <v>28.5</v>
      </c>
      <c r="J1031">
        <v>12.6</v>
      </c>
      <c r="K1031" t="s">
        <v>6</v>
      </c>
      <c r="L1031">
        <v>216</v>
      </c>
      <c r="M1031" t="s">
        <v>6</v>
      </c>
    </row>
    <row r="1032" spans="1:13" x14ac:dyDescent="0.2">
      <c r="A1032" s="1">
        <v>45460</v>
      </c>
      <c r="B1032" s="2">
        <v>0.91666666666666663</v>
      </c>
      <c r="C1032" s="3">
        <v>45460.916666666664</v>
      </c>
      <c r="D1032">
        <v>88.6</v>
      </c>
      <c r="E1032">
        <v>110.9</v>
      </c>
      <c r="F1032">
        <v>51.5</v>
      </c>
      <c r="G1032" t="s">
        <v>6</v>
      </c>
      <c r="H1032">
        <v>14.4</v>
      </c>
      <c r="I1032">
        <v>26.3</v>
      </c>
      <c r="J1032">
        <v>12.3</v>
      </c>
      <c r="K1032" t="s">
        <v>6</v>
      </c>
      <c r="L1032">
        <v>227</v>
      </c>
      <c r="M1032" t="s">
        <v>6</v>
      </c>
    </row>
    <row r="1033" spans="1:13" x14ac:dyDescent="0.2">
      <c r="A1033" s="1">
        <v>45460</v>
      </c>
      <c r="B1033" s="2">
        <v>0.95833333333333337</v>
      </c>
      <c r="C1033" s="3">
        <v>45460.958333333336</v>
      </c>
      <c r="D1033">
        <v>97.9</v>
      </c>
      <c r="E1033">
        <v>111.6</v>
      </c>
      <c r="F1033">
        <v>68.599999999999994</v>
      </c>
      <c r="G1033" t="s">
        <v>6</v>
      </c>
      <c r="H1033">
        <v>13.8</v>
      </c>
      <c r="I1033">
        <v>17.399999999999999</v>
      </c>
      <c r="J1033">
        <v>12.2</v>
      </c>
      <c r="K1033" t="s">
        <v>6</v>
      </c>
      <c r="L1033">
        <v>225</v>
      </c>
      <c r="M1033" t="s">
        <v>6</v>
      </c>
    </row>
    <row r="1034" spans="1:13" x14ac:dyDescent="0.2">
      <c r="A1034" s="1">
        <v>45461</v>
      </c>
      <c r="B1034" s="2">
        <v>0</v>
      </c>
      <c r="C1034" s="3">
        <v>45461</v>
      </c>
      <c r="D1034">
        <v>87.8</v>
      </c>
      <c r="E1034">
        <v>100</v>
      </c>
      <c r="F1034">
        <v>80.7</v>
      </c>
      <c r="G1034" t="s">
        <v>6</v>
      </c>
      <c r="H1034">
        <v>13.5</v>
      </c>
      <c r="I1034">
        <v>18.3</v>
      </c>
      <c r="J1034">
        <v>12.1</v>
      </c>
      <c r="K1034" t="s">
        <v>6</v>
      </c>
      <c r="L1034">
        <v>215</v>
      </c>
      <c r="M1034" t="s">
        <v>6</v>
      </c>
    </row>
    <row r="1035" spans="1:13" x14ac:dyDescent="0.2">
      <c r="A1035" s="1">
        <v>45461</v>
      </c>
      <c r="B1035" s="2">
        <v>4.1666666666666664E-2</v>
      </c>
      <c r="C1035" s="3">
        <v>45461.041666666664</v>
      </c>
      <c r="D1035">
        <v>95.2</v>
      </c>
      <c r="E1035">
        <v>99.7</v>
      </c>
      <c r="F1035">
        <v>88.2</v>
      </c>
      <c r="G1035" t="s">
        <v>6</v>
      </c>
      <c r="H1035">
        <v>14.6</v>
      </c>
      <c r="I1035">
        <v>25.2</v>
      </c>
      <c r="J1035">
        <v>11.9</v>
      </c>
      <c r="K1035" t="s">
        <v>6</v>
      </c>
      <c r="L1035">
        <v>217</v>
      </c>
      <c r="M1035" t="s">
        <v>6</v>
      </c>
    </row>
    <row r="1036" spans="1:13" x14ac:dyDescent="0.2">
      <c r="A1036" s="1">
        <v>45461</v>
      </c>
      <c r="B1036" s="2">
        <v>8.3333333333333329E-2</v>
      </c>
      <c r="C1036" s="3">
        <v>45461.083333333336</v>
      </c>
      <c r="D1036">
        <v>103.6</v>
      </c>
      <c r="E1036">
        <v>117.2</v>
      </c>
      <c r="F1036">
        <v>87.2</v>
      </c>
      <c r="G1036" t="s">
        <v>6</v>
      </c>
      <c r="H1036">
        <v>14.2</v>
      </c>
      <c r="I1036">
        <v>24.8</v>
      </c>
      <c r="J1036">
        <v>11.9</v>
      </c>
      <c r="K1036" t="s">
        <v>6</v>
      </c>
      <c r="L1036">
        <v>223</v>
      </c>
      <c r="M1036" t="s">
        <v>6</v>
      </c>
    </row>
    <row r="1037" spans="1:13" x14ac:dyDescent="0.2">
      <c r="A1037" s="1">
        <v>45461</v>
      </c>
      <c r="B1037" s="2">
        <v>0.125</v>
      </c>
      <c r="C1037" s="3">
        <v>45461.125</v>
      </c>
      <c r="D1037">
        <v>92.6</v>
      </c>
      <c r="E1037">
        <v>102.8</v>
      </c>
      <c r="F1037">
        <v>90.6</v>
      </c>
      <c r="G1037" t="s">
        <v>6</v>
      </c>
      <c r="H1037">
        <v>13.5</v>
      </c>
      <c r="I1037">
        <v>21.5</v>
      </c>
      <c r="J1037">
        <v>11.9</v>
      </c>
      <c r="K1037" t="s">
        <v>6</v>
      </c>
      <c r="L1037">
        <v>213</v>
      </c>
      <c r="M1037" t="s">
        <v>6</v>
      </c>
    </row>
    <row r="1038" spans="1:13" x14ac:dyDescent="0.2">
      <c r="A1038" s="1">
        <v>45461</v>
      </c>
      <c r="B1038" s="2">
        <v>0.16666666666666666</v>
      </c>
      <c r="C1038" s="3">
        <v>45461.166666666664</v>
      </c>
      <c r="D1038">
        <v>75.2</v>
      </c>
      <c r="E1038">
        <v>90.6</v>
      </c>
      <c r="F1038">
        <v>49.8</v>
      </c>
      <c r="G1038" t="s">
        <v>6</v>
      </c>
      <c r="H1038">
        <v>14.2</v>
      </c>
      <c r="I1038">
        <v>27.1</v>
      </c>
      <c r="J1038">
        <v>11.5</v>
      </c>
      <c r="K1038" t="s">
        <v>6</v>
      </c>
      <c r="L1038">
        <v>221</v>
      </c>
      <c r="M1038" t="s">
        <v>6</v>
      </c>
    </row>
    <row r="1039" spans="1:13" x14ac:dyDescent="0.2">
      <c r="A1039" s="1">
        <v>45461</v>
      </c>
      <c r="B1039" s="2">
        <v>0.20833333333333334</v>
      </c>
      <c r="C1039" s="3">
        <v>45461.208333333336</v>
      </c>
      <c r="D1039">
        <v>50.3</v>
      </c>
      <c r="E1039">
        <v>53.2</v>
      </c>
      <c r="F1039">
        <v>48.7</v>
      </c>
      <c r="G1039" t="s">
        <v>6</v>
      </c>
      <c r="H1039">
        <v>20.399999999999999</v>
      </c>
      <c r="I1039">
        <v>27.1</v>
      </c>
      <c r="J1039">
        <v>11.6</v>
      </c>
      <c r="K1039" t="s">
        <v>6</v>
      </c>
      <c r="L1039">
        <v>108</v>
      </c>
      <c r="M1039" t="s">
        <v>6</v>
      </c>
    </row>
    <row r="1040" spans="1:13" x14ac:dyDescent="0.2">
      <c r="A1040" s="13">
        <v>45461</v>
      </c>
      <c r="B1040" s="9">
        <v>0.25</v>
      </c>
      <c r="C1040" s="8">
        <v>45461.25</v>
      </c>
      <c r="D1040" s="10">
        <v>48.7</v>
      </c>
      <c r="E1040" s="10">
        <v>49.4</v>
      </c>
      <c r="F1040" s="10">
        <v>47.9</v>
      </c>
      <c r="G1040" s="10" t="s">
        <v>6</v>
      </c>
      <c r="H1040" s="10">
        <v>20.100000000000001</v>
      </c>
      <c r="I1040" s="10">
        <v>23.5</v>
      </c>
      <c r="J1040" s="10">
        <v>16</v>
      </c>
      <c r="K1040" s="10" t="s">
        <v>6</v>
      </c>
      <c r="L1040" s="10">
        <v>16</v>
      </c>
      <c r="M1040" t="s">
        <v>6</v>
      </c>
    </row>
    <row r="1041" spans="1:13" x14ac:dyDescent="0.2">
      <c r="A1041" s="14">
        <v>45461</v>
      </c>
      <c r="B1041" s="12">
        <v>0.54166666666666663</v>
      </c>
      <c r="C1041" s="7">
        <v>45461.541666666664</v>
      </c>
      <c r="D1041" s="11">
        <v>42.7</v>
      </c>
      <c r="E1041" s="11">
        <v>44.1</v>
      </c>
      <c r="F1041" s="11">
        <v>42.1</v>
      </c>
      <c r="G1041" s="11" t="s">
        <v>6</v>
      </c>
      <c r="H1041" s="11">
        <v>16.5</v>
      </c>
      <c r="I1041" s="11">
        <v>23.2</v>
      </c>
      <c r="J1041" s="11">
        <v>11.7</v>
      </c>
      <c r="K1041" s="11" t="s">
        <v>6</v>
      </c>
      <c r="L1041" s="11">
        <v>43</v>
      </c>
      <c r="M1041" t="s">
        <v>6</v>
      </c>
    </row>
    <row r="1042" spans="1:13" x14ac:dyDescent="0.2">
      <c r="A1042" s="1">
        <v>45461</v>
      </c>
      <c r="B1042" s="2">
        <v>0.58333333333333337</v>
      </c>
      <c r="C1042" s="3">
        <v>45461.583333333336</v>
      </c>
      <c r="D1042">
        <v>42.2</v>
      </c>
      <c r="E1042">
        <v>43.1</v>
      </c>
      <c r="F1042">
        <v>41.5</v>
      </c>
      <c r="G1042" t="s">
        <v>6</v>
      </c>
      <c r="H1042">
        <v>14.4</v>
      </c>
      <c r="I1042">
        <v>18.100000000000001</v>
      </c>
      <c r="J1042">
        <v>11.8</v>
      </c>
      <c r="K1042" t="s">
        <v>6</v>
      </c>
      <c r="L1042">
        <v>60</v>
      </c>
      <c r="M1042" t="s">
        <v>6</v>
      </c>
    </row>
    <row r="1043" spans="1:13" x14ac:dyDescent="0.2">
      <c r="A1043" s="1">
        <v>45461</v>
      </c>
      <c r="B1043" s="2">
        <v>0.625</v>
      </c>
      <c r="C1043" s="3">
        <v>45461.625</v>
      </c>
      <c r="D1043">
        <v>41.3</v>
      </c>
      <c r="E1043">
        <v>42.7</v>
      </c>
      <c r="F1043">
        <v>40.799999999999997</v>
      </c>
      <c r="G1043" t="s">
        <v>6</v>
      </c>
      <c r="H1043">
        <v>14.9</v>
      </c>
      <c r="I1043">
        <v>19.2</v>
      </c>
      <c r="J1043">
        <v>12.2</v>
      </c>
      <c r="K1043" t="s">
        <v>6</v>
      </c>
      <c r="L1043">
        <v>76</v>
      </c>
      <c r="M1043" t="s">
        <v>6</v>
      </c>
    </row>
    <row r="1044" spans="1:13" x14ac:dyDescent="0.2">
      <c r="A1044" s="1">
        <v>45461</v>
      </c>
      <c r="B1044" s="2">
        <v>0.66666666666666663</v>
      </c>
      <c r="C1044" s="3">
        <v>45461.666666666664</v>
      </c>
      <c r="D1044">
        <v>41.2</v>
      </c>
      <c r="E1044">
        <v>42</v>
      </c>
      <c r="F1044">
        <v>40.1</v>
      </c>
      <c r="G1044" t="s">
        <v>6</v>
      </c>
      <c r="H1044">
        <v>15.5</v>
      </c>
      <c r="I1044">
        <v>21.4</v>
      </c>
      <c r="J1044">
        <v>12.9</v>
      </c>
      <c r="K1044" t="s">
        <v>6</v>
      </c>
      <c r="L1044">
        <v>30</v>
      </c>
      <c r="M1044" t="s">
        <v>6</v>
      </c>
    </row>
    <row r="1045" spans="1:13" x14ac:dyDescent="0.2">
      <c r="A1045" s="1">
        <v>45461</v>
      </c>
      <c r="B1045" s="2">
        <v>0.70833333333333337</v>
      </c>
      <c r="C1045" s="3">
        <v>45461.708333333336</v>
      </c>
      <c r="D1045">
        <v>40.799999999999997</v>
      </c>
      <c r="E1045">
        <v>41.6</v>
      </c>
      <c r="F1045">
        <v>40.1</v>
      </c>
      <c r="G1045" t="s">
        <v>6</v>
      </c>
      <c r="H1045">
        <v>15.3</v>
      </c>
      <c r="I1045">
        <v>22.5</v>
      </c>
      <c r="J1045">
        <v>12.7</v>
      </c>
      <c r="K1045" t="s">
        <v>6</v>
      </c>
      <c r="L1045">
        <v>72</v>
      </c>
      <c r="M1045" t="s">
        <v>6</v>
      </c>
    </row>
    <row r="1046" spans="1:13" x14ac:dyDescent="0.2">
      <c r="A1046" s="1">
        <v>45461</v>
      </c>
      <c r="B1046" s="2">
        <v>0.79166666666666663</v>
      </c>
      <c r="C1046" s="3">
        <v>45461.791666666664</v>
      </c>
      <c r="D1046">
        <v>75.3</v>
      </c>
      <c r="E1046">
        <v>78.7</v>
      </c>
      <c r="F1046">
        <v>65.599999999999994</v>
      </c>
      <c r="G1046" t="s">
        <v>6</v>
      </c>
      <c r="H1046">
        <v>16.100000000000001</v>
      </c>
      <c r="I1046">
        <v>20.399999999999999</v>
      </c>
      <c r="J1046">
        <v>12.2</v>
      </c>
      <c r="K1046" t="s">
        <v>6</v>
      </c>
      <c r="L1046">
        <v>41</v>
      </c>
      <c r="M1046" t="s">
        <v>6</v>
      </c>
    </row>
    <row r="1047" spans="1:13" x14ac:dyDescent="0.2">
      <c r="A1047" s="1">
        <v>45461</v>
      </c>
      <c r="B1047" s="2">
        <v>0.83333333333333337</v>
      </c>
      <c r="C1047" s="3">
        <v>45461.833333333336</v>
      </c>
      <c r="D1047">
        <v>87.1</v>
      </c>
      <c r="E1047">
        <v>96.9</v>
      </c>
      <c r="F1047">
        <v>64.3</v>
      </c>
      <c r="G1047" t="s">
        <v>6</v>
      </c>
      <c r="H1047">
        <v>15.3</v>
      </c>
      <c r="I1047">
        <v>24.1</v>
      </c>
      <c r="J1047">
        <v>12.5</v>
      </c>
      <c r="K1047" t="s">
        <v>6</v>
      </c>
      <c r="L1047">
        <v>201</v>
      </c>
      <c r="M1047" t="s">
        <v>6</v>
      </c>
    </row>
    <row r="1048" spans="1:13" x14ac:dyDescent="0.2">
      <c r="A1048" s="1">
        <v>45461</v>
      </c>
      <c r="B1048" s="2">
        <v>0.875</v>
      </c>
      <c r="C1048" s="3">
        <v>45461.875</v>
      </c>
      <c r="D1048">
        <v>97.2</v>
      </c>
      <c r="E1048">
        <v>109.5</v>
      </c>
      <c r="F1048">
        <v>77.2</v>
      </c>
      <c r="G1048" t="s">
        <v>6</v>
      </c>
      <c r="H1048">
        <v>14.9</v>
      </c>
      <c r="I1048">
        <v>26.1</v>
      </c>
      <c r="J1048">
        <v>11.9</v>
      </c>
      <c r="K1048" t="s">
        <v>6</v>
      </c>
      <c r="L1048">
        <v>221</v>
      </c>
      <c r="M1048" t="s">
        <v>6</v>
      </c>
    </row>
    <row r="1049" spans="1:13" x14ac:dyDescent="0.2">
      <c r="A1049" s="1">
        <v>45461</v>
      </c>
      <c r="B1049" s="2">
        <v>0.91666666666666663</v>
      </c>
      <c r="C1049" s="3">
        <v>45461.916666666664</v>
      </c>
      <c r="D1049">
        <v>100.1</v>
      </c>
      <c r="E1049">
        <v>105.9</v>
      </c>
      <c r="F1049">
        <v>94.3</v>
      </c>
      <c r="G1049" t="s">
        <v>6</v>
      </c>
      <c r="H1049">
        <v>15.4</v>
      </c>
      <c r="I1049">
        <v>28.1</v>
      </c>
      <c r="J1049">
        <v>11.5</v>
      </c>
      <c r="K1049" t="s">
        <v>6</v>
      </c>
      <c r="L1049">
        <v>227</v>
      </c>
      <c r="M1049" t="s">
        <v>6</v>
      </c>
    </row>
    <row r="1050" spans="1:13" x14ac:dyDescent="0.2">
      <c r="A1050" s="1">
        <v>45461</v>
      </c>
      <c r="B1050" s="2">
        <v>0.95833333333333337</v>
      </c>
      <c r="C1050" s="3">
        <v>45461.958333333336</v>
      </c>
      <c r="D1050">
        <v>95.2</v>
      </c>
      <c r="E1050">
        <v>95.2</v>
      </c>
      <c r="F1050">
        <v>95.2</v>
      </c>
      <c r="G1050" t="s">
        <v>6</v>
      </c>
      <c r="H1050">
        <v>14.5</v>
      </c>
      <c r="I1050">
        <v>26.9</v>
      </c>
      <c r="J1050">
        <v>11.8</v>
      </c>
      <c r="K1050" t="s">
        <v>6</v>
      </c>
      <c r="L1050">
        <v>220</v>
      </c>
      <c r="M1050" t="s">
        <v>6</v>
      </c>
    </row>
    <row r="1051" spans="1:13" x14ac:dyDescent="0.2">
      <c r="A1051" s="1">
        <v>45462</v>
      </c>
      <c r="B1051" s="2">
        <v>0</v>
      </c>
      <c r="C1051" s="3">
        <v>45462</v>
      </c>
      <c r="D1051">
        <v>71.5</v>
      </c>
      <c r="E1051">
        <v>108.4</v>
      </c>
      <c r="F1051">
        <v>52.8</v>
      </c>
      <c r="G1051" t="s">
        <v>6</v>
      </c>
      <c r="H1051">
        <v>15.6</v>
      </c>
      <c r="I1051">
        <v>25.3</v>
      </c>
      <c r="J1051">
        <v>11</v>
      </c>
      <c r="K1051" t="s">
        <v>6</v>
      </c>
      <c r="L1051">
        <v>224</v>
      </c>
      <c r="M1051" t="s">
        <v>6</v>
      </c>
    </row>
    <row r="1052" spans="1:13" x14ac:dyDescent="0.2">
      <c r="A1052" s="1">
        <v>45462</v>
      </c>
      <c r="B1052" s="2">
        <v>4.1666666666666664E-2</v>
      </c>
      <c r="C1052" s="3">
        <v>45462.041666666664</v>
      </c>
      <c r="D1052">
        <v>100.1</v>
      </c>
      <c r="E1052">
        <v>112.9</v>
      </c>
      <c r="F1052">
        <v>81.900000000000006</v>
      </c>
      <c r="G1052" t="s">
        <v>6</v>
      </c>
      <c r="H1052">
        <v>13.6</v>
      </c>
      <c r="I1052">
        <v>18.5</v>
      </c>
      <c r="J1052">
        <v>11.7</v>
      </c>
      <c r="K1052" t="s">
        <v>6</v>
      </c>
      <c r="L1052">
        <v>220</v>
      </c>
      <c r="M1052" t="s">
        <v>6</v>
      </c>
    </row>
    <row r="1053" spans="1:13" x14ac:dyDescent="0.2">
      <c r="A1053" s="1">
        <v>45462</v>
      </c>
      <c r="B1053" s="2">
        <v>8.3333333333333329E-2</v>
      </c>
      <c r="C1053" s="3">
        <v>45462.083333333336</v>
      </c>
      <c r="D1053">
        <v>97.9</v>
      </c>
      <c r="E1053">
        <v>117.7</v>
      </c>
      <c r="F1053">
        <v>87.3</v>
      </c>
      <c r="G1053" t="s">
        <v>6</v>
      </c>
      <c r="H1053">
        <v>12.8</v>
      </c>
      <c r="I1053">
        <v>17.2</v>
      </c>
      <c r="J1053">
        <v>10.7</v>
      </c>
      <c r="K1053" t="s">
        <v>6</v>
      </c>
      <c r="L1053">
        <v>225</v>
      </c>
      <c r="M1053" t="s">
        <v>6</v>
      </c>
    </row>
    <row r="1054" spans="1:13" x14ac:dyDescent="0.2">
      <c r="A1054" s="1">
        <v>45462</v>
      </c>
      <c r="B1054" s="2">
        <v>0.125</v>
      </c>
      <c r="C1054" s="3">
        <v>45462.125</v>
      </c>
      <c r="D1054">
        <v>96.4</v>
      </c>
      <c r="E1054">
        <v>120.3</v>
      </c>
      <c r="F1054">
        <v>86.4</v>
      </c>
      <c r="G1054" t="s">
        <v>6</v>
      </c>
      <c r="H1054">
        <v>12.7</v>
      </c>
      <c r="I1054">
        <v>16.399999999999999</v>
      </c>
      <c r="J1054">
        <v>11.4</v>
      </c>
      <c r="K1054" t="s">
        <v>6</v>
      </c>
      <c r="L1054">
        <v>205</v>
      </c>
      <c r="M1054" t="s">
        <v>6</v>
      </c>
    </row>
    <row r="1055" spans="1:13" x14ac:dyDescent="0.2">
      <c r="A1055" s="1">
        <v>45462</v>
      </c>
      <c r="B1055" s="2">
        <v>0.16666666666666666</v>
      </c>
      <c r="C1055" s="3">
        <v>45462.166666666664</v>
      </c>
      <c r="D1055">
        <v>98.2</v>
      </c>
      <c r="E1055">
        <v>119.4</v>
      </c>
      <c r="F1055">
        <v>87.5</v>
      </c>
      <c r="G1055" t="s">
        <v>6</v>
      </c>
      <c r="H1055">
        <v>13.1</v>
      </c>
      <c r="I1055">
        <v>18.7</v>
      </c>
      <c r="J1055">
        <v>11.6</v>
      </c>
      <c r="K1055" t="s">
        <v>6</v>
      </c>
      <c r="L1055">
        <v>202</v>
      </c>
      <c r="M1055" t="s">
        <v>6</v>
      </c>
    </row>
    <row r="1056" spans="1:13" x14ac:dyDescent="0.2">
      <c r="A1056" s="1">
        <v>45462</v>
      </c>
      <c r="B1056" s="2">
        <v>0.20833333333333334</v>
      </c>
      <c r="C1056" s="3">
        <v>45462.208333333336</v>
      </c>
      <c r="D1056">
        <v>63</v>
      </c>
      <c r="E1056">
        <v>103.3</v>
      </c>
      <c r="F1056">
        <v>42.9</v>
      </c>
      <c r="G1056" t="s">
        <v>6</v>
      </c>
      <c r="H1056">
        <v>14.3</v>
      </c>
      <c r="I1056">
        <v>25.4</v>
      </c>
      <c r="J1056">
        <v>11.4</v>
      </c>
      <c r="K1056" t="s">
        <v>6</v>
      </c>
      <c r="L1056">
        <v>153</v>
      </c>
      <c r="M1056" t="s">
        <v>6</v>
      </c>
    </row>
    <row r="1057" spans="1:13" x14ac:dyDescent="0.2">
      <c r="A1057" s="1">
        <v>45462</v>
      </c>
      <c r="B1057" s="2">
        <v>0.25</v>
      </c>
      <c r="C1057" s="3">
        <v>45462.25</v>
      </c>
      <c r="D1057">
        <v>43</v>
      </c>
      <c r="E1057">
        <v>46.6</v>
      </c>
      <c r="F1057">
        <v>41.8</v>
      </c>
      <c r="G1057" t="s">
        <v>6</v>
      </c>
      <c r="H1057">
        <v>13.5</v>
      </c>
      <c r="I1057">
        <v>19.7</v>
      </c>
      <c r="J1057">
        <v>10.7</v>
      </c>
      <c r="K1057" t="s">
        <v>6</v>
      </c>
      <c r="L1057">
        <v>129</v>
      </c>
      <c r="M1057" t="s">
        <v>6</v>
      </c>
    </row>
    <row r="1058" spans="1:13" x14ac:dyDescent="0.2">
      <c r="A1058" s="13">
        <v>45462</v>
      </c>
      <c r="B1058" s="9">
        <v>0.29166666666666669</v>
      </c>
      <c r="C1058" s="8">
        <v>45462.291666666664</v>
      </c>
      <c r="D1058" s="10">
        <v>76</v>
      </c>
      <c r="E1058" s="10">
        <v>82.4</v>
      </c>
      <c r="F1058" s="10">
        <v>67.400000000000006</v>
      </c>
      <c r="G1058" s="10" t="s">
        <v>6</v>
      </c>
      <c r="H1058" s="10">
        <v>24.2</v>
      </c>
      <c r="I1058" s="10">
        <v>33.4</v>
      </c>
      <c r="J1058" s="10">
        <v>17.5</v>
      </c>
      <c r="K1058" s="10" t="s">
        <v>6</v>
      </c>
      <c r="L1058" s="10">
        <v>19</v>
      </c>
      <c r="M1058" t="s">
        <v>6</v>
      </c>
    </row>
    <row r="1059" spans="1:13" x14ac:dyDescent="0.2">
      <c r="A1059" s="14">
        <v>45462</v>
      </c>
      <c r="B1059" s="12">
        <v>0.54166666666666663</v>
      </c>
      <c r="C1059" s="7">
        <v>45462.541666666664</v>
      </c>
      <c r="D1059" s="11">
        <v>63.5</v>
      </c>
      <c r="E1059" s="11">
        <v>65.099999999999994</v>
      </c>
      <c r="F1059" s="11">
        <v>62.7</v>
      </c>
      <c r="G1059" s="11" t="s">
        <v>6</v>
      </c>
      <c r="H1059" s="11">
        <v>23</v>
      </c>
      <c r="I1059" s="11">
        <v>32.5</v>
      </c>
      <c r="J1059" s="11">
        <v>17.5</v>
      </c>
      <c r="K1059" s="11" t="s">
        <v>6</v>
      </c>
      <c r="L1059" s="11">
        <v>14</v>
      </c>
      <c r="M1059" t="s">
        <v>6</v>
      </c>
    </row>
    <row r="1060" spans="1:13" x14ac:dyDescent="0.2">
      <c r="A1060" s="1">
        <v>45462</v>
      </c>
      <c r="B1060" s="2">
        <v>0.58333333333333337</v>
      </c>
      <c r="C1060" s="3">
        <v>45462.583333333336</v>
      </c>
      <c r="D1060">
        <v>61</v>
      </c>
      <c r="E1060">
        <v>64.599999999999994</v>
      </c>
      <c r="F1060">
        <v>57.5</v>
      </c>
      <c r="G1060" t="s">
        <v>6</v>
      </c>
      <c r="H1060">
        <v>15.3</v>
      </c>
      <c r="I1060">
        <v>19.100000000000001</v>
      </c>
      <c r="J1060">
        <v>12.8</v>
      </c>
      <c r="K1060" t="s">
        <v>6</v>
      </c>
      <c r="L1060">
        <v>82</v>
      </c>
      <c r="M1060" t="s">
        <v>6</v>
      </c>
    </row>
    <row r="1061" spans="1:13" x14ac:dyDescent="0.2">
      <c r="A1061" s="1">
        <v>45462</v>
      </c>
      <c r="B1061" s="2">
        <v>0.66666666666666663</v>
      </c>
      <c r="C1061" s="3">
        <v>45462.666666666664</v>
      </c>
      <c r="D1061">
        <v>59.2</v>
      </c>
      <c r="E1061">
        <v>61.6</v>
      </c>
      <c r="F1061">
        <v>57.7</v>
      </c>
      <c r="G1061" t="s">
        <v>6</v>
      </c>
      <c r="H1061">
        <v>18.7</v>
      </c>
      <c r="I1061">
        <v>28.3</v>
      </c>
      <c r="J1061">
        <v>12.8</v>
      </c>
      <c r="K1061" t="s">
        <v>6</v>
      </c>
      <c r="L1061">
        <v>12</v>
      </c>
      <c r="M1061" t="s">
        <v>6</v>
      </c>
    </row>
    <row r="1062" spans="1:13" x14ac:dyDescent="0.2">
      <c r="A1062" s="1">
        <v>45462</v>
      </c>
      <c r="B1062" s="2">
        <v>0.75</v>
      </c>
      <c r="C1062" s="3">
        <v>45462.75</v>
      </c>
      <c r="D1062">
        <v>59.5</v>
      </c>
      <c r="E1062">
        <v>64.2</v>
      </c>
      <c r="F1062">
        <v>57</v>
      </c>
      <c r="G1062" t="s">
        <v>6</v>
      </c>
      <c r="H1062">
        <v>18.100000000000001</v>
      </c>
      <c r="I1062">
        <v>33.200000000000003</v>
      </c>
      <c r="J1062">
        <v>12.9</v>
      </c>
      <c r="K1062" t="s">
        <v>6</v>
      </c>
      <c r="L1062">
        <v>65</v>
      </c>
      <c r="M1062" t="s">
        <v>6</v>
      </c>
    </row>
    <row r="1063" spans="1:13" x14ac:dyDescent="0.2">
      <c r="A1063" s="1">
        <v>45462</v>
      </c>
      <c r="B1063" s="2">
        <v>0.79166666666666663</v>
      </c>
      <c r="C1063" s="3">
        <v>45462.791666666664</v>
      </c>
      <c r="D1063">
        <v>85.7</v>
      </c>
      <c r="E1063">
        <v>99.5</v>
      </c>
      <c r="F1063">
        <v>61.4</v>
      </c>
      <c r="G1063" t="s">
        <v>6</v>
      </c>
      <c r="H1063">
        <v>16.8</v>
      </c>
      <c r="I1063">
        <v>18.2</v>
      </c>
      <c r="J1063">
        <v>13.5</v>
      </c>
      <c r="K1063" t="s">
        <v>6</v>
      </c>
      <c r="L1063">
        <v>43</v>
      </c>
      <c r="M1063" t="s">
        <v>6</v>
      </c>
    </row>
    <row r="1064" spans="1:13" x14ac:dyDescent="0.2">
      <c r="A1064" s="1">
        <v>45462</v>
      </c>
      <c r="B1064" s="2">
        <v>0.83333333333333337</v>
      </c>
      <c r="C1064" s="3">
        <v>45462.833333333336</v>
      </c>
      <c r="D1064">
        <v>74.400000000000006</v>
      </c>
      <c r="E1064">
        <v>91.8</v>
      </c>
      <c r="F1064">
        <v>60.3</v>
      </c>
      <c r="G1064" t="s">
        <v>6</v>
      </c>
      <c r="H1064">
        <v>20</v>
      </c>
      <c r="I1064">
        <v>29.3</v>
      </c>
      <c r="J1064">
        <v>12.2</v>
      </c>
      <c r="K1064" t="s">
        <v>6</v>
      </c>
      <c r="L1064">
        <v>221</v>
      </c>
      <c r="M1064" t="s">
        <v>6</v>
      </c>
    </row>
    <row r="1065" spans="1:13" x14ac:dyDescent="0.2">
      <c r="A1065" s="1">
        <v>45462</v>
      </c>
      <c r="B1065" s="2">
        <v>0.875</v>
      </c>
      <c r="C1065" s="3">
        <v>45462.875</v>
      </c>
      <c r="D1065">
        <v>73.599999999999994</v>
      </c>
      <c r="E1065">
        <v>86</v>
      </c>
      <c r="F1065">
        <v>65.099999999999994</v>
      </c>
      <c r="G1065" t="s">
        <v>6</v>
      </c>
      <c r="H1065">
        <v>15.2</v>
      </c>
      <c r="I1065">
        <v>25</v>
      </c>
      <c r="J1065">
        <v>12</v>
      </c>
      <c r="K1065" t="s">
        <v>6</v>
      </c>
      <c r="L1065">
        <v>214</v>
      </c>
      <c r="M1065" t="s">
        <v>6</v>
      </c>
    </row>
    <row r="1066" spans="1:13" x14ac:dyDescent="0.2">
      <c r="A1066" s="1">
        <v>45462</v>
      </c>
      <c r="B1066" s="2">
        <v>0.91666666666666663</v>
      </c>
      <c r="C1066" s="3">
        <v>45462.916666666664</v>
      </c>
      <c r="D1066">
        <v>61</v>
      </c>
      <c r="E1066">
        <v>78.900000000000006</v>
      </c>
      <c r="F1066">
        <v>50.3</v>
      </c>
      <c r="G1066" t="s">
        <v>6</v>
      </c>
      <c r="H1066">
        <v>12.8</v>
      </c>
      <c r="I1066">
        <v>20.7</v>
      </c>
      <c r="J1066">
        <v>10.9</v>
      </c>
      <c r="K1066" t="s">
        <v>6</v>
      </c>
      <c r="L1066">
        <v>226</v>
      </c>
      <c r="M1066" t="s">
        <v>6</v>
      </c>
    </row>
    <row r="1067" spans="1:13" x14ac:dyDescent="0.2">
      <c r="A1067" s="1">
        <v>45462</v>
      </c>
      <c r="B1067" s="2">
        <v>0.95833333333333337</v>
      </c>
      <c r="C1067" s="3">
        <v>45462.958333333336</v>
      </c>
      <c r="D1067">
        <v>68</v>
      </c>
      <c r="E1067">
        <v>74.900000000000006</v>
      </c>
      <c r="F1067">
        <v>55.1</v>
      </c>
      <c r="G1067" t="s">
        <v>6</v>
      </c>
      <c r="H1067">
        <v>13.1</v>
      </c>
      <c r="I1067">
        <v>19</v>
      </c>
      <c r="J1067">
        <v>11.5</v>
      </c>
      <c r="K1067" t="s">
        <v>6</v>
      </c>
      <c r="L1067">
        <v>217</v>
      </c>
      <c r="M1067" t="s">
        <v>6</v>
      </c>
    </row>
    <row r="1068" spans="1:13" x14ac:dyDescent="0.2">
      <c r="A1068" s="1">
        <v>45463</v>
      </c>
      <c r="B1068" s="2">
        <v>0</v>
      </c>
      <c r="C1068" s="3">
        <v>45463</v>
      </c>
      <c r="D1068">
        <v>65.3</v>
      </c>
      <c r="E1068">
        <v>80.099999999999994</v>
      </c>
      <c r="F1068">
        <v>56.6</v>
      </c>
      <c r="G1068" t="s">
        <v>6</v>
      </c>
      <c r="H1068">
        <v>15.3</v>
      </c>
      <c r="I1068">
        <v>26.3</v>
      </c>
      <c r="J1068">
        <v>11.9</v>
      </c>
      <c r="K1068" t="s">
        <v>6</v>
      </c>
      <c r="L1068">
        <v>217</v>
      </c>
      <c r="M1068" t="s">
        <v>6</v>
      </c>
    </row>
    <row r="1069" spans="1:13" x14ac:dyDescent="0.2">
      <c r="A1069" s="1">
        <v>45463</v>
      </c>
      <c r="B1069" s="2">
        <v>4.1666666666666664E-2</v>
      </c>
      <c r="C1069" s="3">
        <v>45463.041666666664</v>
      </c>
      <c r="D1069">
        <v>68.099999999999994</v>
      </c>
      <c r="E1069">
        <v>78.900000000000006</v>
      </c>
      <c r="F1069">
        <v>59.5</v>
      </c>
      <c r="G1069" t="s">
        <v>6</v>
      </c>
      <c r="H1069">
        <v>14</v>
      </c>
      <c r="I1069">
        <v>23.7</v>
      </c>
      <c r="J1069">
        <v>11.8</v>
      </c>
      <c r="K1069" t="s">
        <v>6</v>
      </c>
      <c r="L1069">
        <v>220</v>
      </c>
      <c r="M1069" t="s">
        <v>6</v>
      </c>
    </row>
    <row r="1070" spans="1:13" x14ac:dyDescent="0.2">
      <c r="A1070" s="1">
        <v>45463</v>
      </c>
      <c r="B1070" s="2">
        <v>8.3333333333333329E-2</v>
      </c>
      <c r="C1070" s="3">
        <v>45463.083333333336</v>
      </c>
      <c r="D1070">
        <v>68.8</v>
      </c>
      <c r="E1070">
        <v>81.900000000000006</v>
      </c>
      <c r="F1070">
        <v>52.4</v>
      </c>
      <c r="G1070" t="s">
        <v>6</v>
      </c>
      <c r="H1070">
        <v>13.7</v>
      </c>
      <c r="I1070">
        <v>18</v>
      </c>
      <c r="J1070">
        <v>11.9</v>
      </c>
      <c r="K1070" t="s">
        <v>6</v>
      </c>
      <c r="L1070">
        <v>219</v>
      </c>
      <c r="M1070" t="s">
        <v>6</v>
      </c>
    </row>
    <row r="1071" spans="1:13" x14ac:dyDescent="0.2">
      <c r="A1071" s="1">
        <v>45463</v>
      </c>
      <c r="B1071" s="2">
        <v>0.125</v>
      </c>
      <c r="C1071" s="3">
        <v>45463.125</v>
      </c>
      <c r="D1071">
        <v>59.4</v>
      </c>
      <c r="E1071">
        <v>77.3</v>
      </c>
      <c r="F1071">
        <v>50.3</v>
      </c>
      <c r="G1071" t="s">
        <v>6</v>
      </c>
      <c r="H1071">
        <v>13.8</v>
      </c>
      <c r="I1071">
        <v>27.1</v>
      </c>
      <c r="J1071">
        <v>10.9</v>
      </c>
      <c r="K1071" t="s">
        <v>6</v>
      </c>
      <c r="L1071">
        <v>228</v>
      </c>
      <c r="M1071" t="s">
        <v>6</v>
      </c>
    </row>
    <row r="1072" spans="1:13" x14ac:dyDescent="0.2">
      <c r="A1072" s="1">
        <v>45463</v>
      </c>
      <c r="B1072" s="2">
        <v>0.16666666666666666</v>
      </c>
      <c r="C1072" s="3">
        <v>45463.166666666664</v>
      </c>
      <c r="D1072">
        <v>70.8</v>
      </c>
      <c r="E1072">
        <v>86.9</v>
      </c>
      <c r="F1072">
        <v>51.5</v>
      </c>
      <c r="G1072" t="s">
        <v>6</v>
      </c>
      <c r="H1072">
        <v>13.7</v>
      </c>
      <c r="I1072">
        <v>23.7</v>
      </c>
      <c r="J1072">
        <v>11.4</v>
      </c>
      <c r="K1072" t="s">
        <v>6</v>
      </c>
      <c r="L1072">
        <v>218</v>
      </c>
      <c r="M1072" t="s">
        <v>6</v>
      </c>
    </row>
    <row r="1073" spans="1:13" x14ac:dyDescent="0.2">
      <c r="A1073" s="1">
        <v>45463</v>
      </c>
      <c r="B1073" s="2">
        <v>0.20833333333333334</v>
      </c>
      <c r="C1073" s="3">
        <v>45463.208333333336</v>
      </c>
      <c r="D1073">
        <v>45.3</v>
      </c>
      <c r="E1073">
        <v>53.3</v>
      </c>
      <c r="F1073">
        <v>43</v>
      </c>
      <c r="G1073" t="s">
        <v>6</v>
      </c>
      <c r="H1073">
        <v>13.5</v>
      </c>
      <c r="I1073">
        <v>17.600000000000001</v>
      </c>
      <c r="J1073">
        <v>11.7</v>
      </c>
      <c r="K1073" t="s">
        <v>6</v>
      </c>
      <c r="L1073">
        <v>157</v>
      </c>
      <c r="M1073" t="s">
        <v>6</v>
      </c>
    </row>
    <row r="1074" spans="1:13" x14ac:dyDescent="0.2">
      <c r="A1074" s="1">
        <v>45463</v>
      </c>
      <c r="B1074" s="2">
        <v>0.25</v>
      </c>
      <c r="C1074" s="3">
        <v>45463.25</v>
      </c>
      <c r="D1074">
        <v>58.6</v>
      </c>
      <c r="E1074">
        <v>58.6</v>
      </c>
      <c r="F1074">
        <v>58.6</v>
      </c>
      <c r="G1074" t="s">
        <v>6</v>
      </c>
      <c r="H1074">
        <v>15.4</v>
      </c>
      <c r="I1074">
        <v>16.600000000000001</v>
      </c>
      <c r="J1074">
        <v>12</v>
      </c>
      <c r="K1074" t="s">
        <v>6</v>
      </c>
      <c r="L1074">
        <v>5</v>
      </c>
      <c r="M1074" t="s">
        <v>6</v>
      </c>
    </row>
    <row r="1075" spans="1:13" x14ac:dyDescent="0.2">
      <c r="A1075" s="1">
        <v>45463</v>
      </c>
      <c r="B1075" s="2">
        <v>0.29166666666666669</v>
      </c>
      <c r="C1075" s="3">
        <v>45463.291666666664</v>
      </c>
      <c r="D1075">
        <v>56.9</v>
      </c>
      <c r="E1075">
        <v>59</v>
      </c>
      <c r="F1075">
        <v>55.1</v>
      </c>
      <c r="G1075" t="s">
        <v>6</v>
      </c>
      <c r="H1075">
        <v>16.5</v>
      </c>
      <c r="I1075">
        <v>20.5</v>
      </c>
      <c r="J1075">
        <v>13.3</v>
      </c>
      <c r="K1075" t="s">
        <v>6</v>
      </c>
      <c r="L1075">
        <v>27</v>
      </c>
      <c r="M1075" t="s">
        <v>6</v>
      </c>
    </row>
    <row r="1076" spans="1:13" x14ac:dyDescent="0.2">
      <c r="A1076" s="13">
        <v>45463</v>
      </c>
      <c r="B1076" s="9">
        <v>0.33333333333333331</v>
      </c>
      <c r="C1076" s="8">
        <v>45463.333333333336</v>
      </c>
      <c r="D1076" s="10">
        <v>54</v>
      </c>
      <c r="E1076" s="10">
        <v>54</v>
      </c>
      <c r="F1076" s="10">
        <v>54</v>
      </c>
      <c r="G1076" s="10" t="s">
        <v>6</v>
      </c>
      <c r="H1076" s="10">
        <v>14.8</v>
      </c>
      <c r="I1076" s="10">
        <v>16.899999999999999</v>
      </c>
      <c r="J1076" s="10">
        <v>12.8</v>
      </c>
      <c r="K1076" s="10" t="s">
        <v>6</v>
      </c>
      <c r="L1076" s="10">
        <v>6</v>
      </c>
      <c r="M1076" t="s">
        <v>6</v>
      </c>
    </row>
    <row r="1077" spans="1:13" x14ac:dyDescent="0.2">
      <c r="A1077" s="14">
        <v>45463</v>
      </c>
      <c r="B1077" s="12">
        <v>0.375</v>
      </c>
      <c r="C1077" s="7">
        <v>45463.375</v>
      </c>
      <c r="D1077" s="11">
        <v>53.7</v>
      </c>
      <c r="E1077" s="11">
        <v>54.9</v>
      </c>
      <c r="F1077" s="11">
        <v>53</v>
      </c>
      <c r="G1077" s="11" t="s">
        <v>6</v>
      </c>
      <c r="H1077" s="11">
        <v>14.4</v>
      </c>
      <c r="I1077" s="11">
        <v>17.2</v>
      </c>
      <c r="J1077" s="11">
        <v>12.5</v>
      </c>
      <c r="K1077" s="11" t="s">
        <v>6</v>
      </c>
      <c r="L1077" s="11">
        <v>20</v>
      </c>
      <c r="M1077" t="s">
        <v>6</v>
      </c>
    </row>
    <row r="1078" spans="1:13" x14ac:dyDescent="0.2">
      <c r="A1078" s="1">
        <v>45463</v>
      </c>
      <c r="B1078" s="2">
        <v>0.41666666666666669</v>
      </c>
      <c r="C1078" s="3">
        <v>45463.416666666664</v>
      </c>
      <c r="D1078">
        <v>53.5</v>
      </c>
      <c r="E1078">
        <v>54.3</v>
      </c>
      <c r="F1078">
        <v>52.4</v>
      </c>
      <c r="G1078" t="s">
        <v>6</v>
      </c>
      <c r="H1078">
        <v>16.8</v>
      </c>
      <c r="I1078">
        <v>18.3</v>
      </c>
      <c r="J1078">
        <v>16.100000000000001</v>
      </c>
      <c r="K1078" t="s">
        <v>6</v>
      </c>
      <c r="L1078">
        <v>5</v>
      </c>
      <c r="M1078" t="s">
        <v>6</v>
      </c>
    </row>
    <row r="1079" spans="1:13" x14ac:dyDescent="0.2">
      <c r="A1079" s="1">
        <v>45463</v>
      </c>
      <c r="B1079" s="2">
        <v>0.45833333333333331</v>
      </c>
      <c r="C1079" s="3">
        <v>45463.458333333336</v>
      </c>
      <c r="D1079">
        <v>50.5</v>
      </c>
      <c r="E1079">
        <v>52.3</v>
      </c>
      <c r="F1079">
        <v>48.6</v>
      </c>
      <c r="G1079" t="s">
        <v>6</v>
      </c>
      <c r="H1079">
        <v>15.7</v>
      </c>
      <c r="I1079">
        <v>20.399999999999999</v>
      </c>
      <c r="J1079">
        <v>10.5</v>
      </c>
      <c r="K1079" t="s">
        <v>6</v>
      </c>
      <c r="L1079">
        <v>130</v>
      </c>
      <c r="M1079" t="s">
        <v>6</v>
      </c>
    </row>
    <row r="1080" spans="1:13" x14ac:dyDescent="0.2">
      <c r="A1080" s="1">
        <v>45463</v>
      </c>
      <c r="B1080" s="2">
        <v>0.5</v>
      </c>
      <c r="C1080" s="3">
        <v>45463.5</v>
      </c>
      <c r="D1080">
        <v>45.2</v>
      </c>
      <c r="E1080">
        <v>48.6</v>
      </c>
      <c r="F1080">
        <v>43</v>
      </c>
      <c r="G1080" t="s">
        <v>6</v>
      </c>
      <c r="H1080">
        <v>14.3</v>
      </c>
      <c r="I1080">
        <v>18.5</v>
      </c>
      <c r="J1080">
        <v>11.4</v>
      </c>
      <c r="K1080" t="s">
        <v>6</v>
      </c>
      <c r="L1080">
        <v>222</v>
      </c>
      <c r="M1080" t="s">
        <v>6</v>
      </c>
    </row>
    <row r="1081" spans="1:13" x14ac:dyDescent="0.2">
      <c r="A1081" s="1">
        <v>45463</v>
      </c>
      <c r="B1081" s="2">
        <v>0.54166666666666663</v>
      </c>
      <c r="C1081" s="3">
        <v>45463.541666666664</v>
      </c>
      <c r="D1081">
        <v>42.9</v>
      </c>
      <c r="E1081">
        <v>44.3</v>
      </c>
      <c r="F1081">
        <v>40.4</v>
      </c>
      <c r="G1081" t="s">
        <v>6</v>
      </c>
      <c r="H1081">
        <v>12.9</v>
      </c>
      <c r="I1081">
        <v>18</v>
      </c>
      <c r="J1081">
        <v>10.1</v>
      </c>
      <c r="K1081" t="s">
        <v>6</v>
      </c>
      <c r="L1081">
        <v>158</v>
      </c>
      <c r="M1081" t="s">
        <v>6</v>
      </c>
    </row>
    <row r="1082" spans="1:13" x14ac:dyDescent="0.2">
      <c r="A1082" s="1">
        <v>45463</v>
      </c>
      <c r="B1082" s="2">
        <v>0.58333333333333337</v>
      </c>
      <c r="C1082" s="3">
        <v>45463.583333333336</v>
      </c>
      <c r="D1082">
        <v>40.299999999999997</v>
      </c>
      <c r="E1082">
        <v>40.4</v>
      </c>
      <c r="F1082">
        <v>40.1</v>
      </c>
      <c r="G1082" t="s">
        <v>6</v>
      </c>
      <c r="H1082">
        <v>15.3</v>
      </c>
      <c r="I1082">
        <v>15.8</v>
      </c>
      <c r="J1082">
        <v>14.8</v>
      </c>
      <c r="K1082" t="s">
        <v>6</v>
      </c>
      <c r="L1082">
        <v>3</v>
      </c>
      <c r="M1082" t="s">
        <v>6</v>
      </c>
    </row>
    <row r="1083" spans="1:13" x14ac:dyDescent="0.2">
      <c r="A1083" s="1">
        <v>45463</v>
      </c>
      <c r="B1083" s="2">
        <v>0.83333333333333337</v>
      </c>
      <c r="C1083" s="3">
        <v>45463.833333333336</v>
      </c>
      <c r="D1083">
        <v>45.8</v>
      </c>
      <c r="E1083">
        <v>53.8</v>
      </c>
      <c r="F1083">
        <v>43.9</v>
      </c>
      <c r="G1083" t="s">
        <v>6</v>
      </c>
      <c r="H1083">
        <v>19.7</v>
      </c>
      <c r="I1083">
        <v>27</v>
      </c>
      <c r="J1083">
        <v>12.7</v>
      </c>
      <c r="K1083" t="s">
        <v>6</v>
      </c>
      <c r="L1083">
        <v>115</v>
      </c>
      <c r="M1083" t="s">
        <v>6</v>
      </c>
    </row>
    <row r="1084" spans="1:13" x14ac:dyDescent="0.2">
      <c r="A1084" s="1">
        <v>45463</v>
      </c>
      <c r="B1084" s="2">
        <v>0.875</v>
      </c>
      <c r="C1084" s="3">
        <v>45463.875</v>
      </c>
      <c r="D1084">
        <v>76.7</v>
      </c>
      <c r="E1084">
        <v>92.5</v>
      </c>
      <c r="F1084">
        <v>51.7</v>
      </c>
      <c r="G1084" t="s">
        <v>6</v>
      </c>
      <c r="H1084">
        <v>13.8</v>
      </c>
      <c r="I1084">
        <v>24.3</v>
      </c>
      <c r="J1084">
        <v>11.9</v>
      </c>
      <c r="K1084" t="s">
        <v>6</v>
      </c>
      <c r="L1084">
        <v>217</v>
      </c>
      <c r="M1084" t="s">
        <v>6</v>
      </c>
    </row>
    <row r="1085" spans="1:13" x14ac:dyDescent="0.2">
      <c r="A1085" s="1">
        <v>45463</v>
      </c>
      <c r="B1085" s="2">
        <v>0.91666666666666663</v>
      </c>
      <c r="C1085" s="3">
        <v>45463.916666666664</v>
      </c>
      <c r="D1085">
        <v>92.2</v>
      </c>
      <c r="E1085">
        <v>99.5</v>
      </c>
      <c r="F1085">
        <v>63.3</v>
      </c>
      <c r="G1085" t="s">
        <v>6</v>
      </c>
      <c r="H1085">
        <v>15.2</v>
      </c>
      <c r="I1085">
        <v>26.1</v>
      </c>
      <c r="J1085">
        <v>11.2</v>
      </c>
      <c r="K1085" t="s">
        <v>6</v>
      </c>
      <c r="L1085">
        <v>222</v>
      </c>
      <c r="M1085" t="s">
        <v>6</v>
      </c>
    </row>
    <row r="1086" spans="1:13" x14ac:dyDescent="0.2">
      <c r="A1086" s="1">
        <v>45463</v>
      </c>
      <c r="B1086" s="2">
        <v>0.95833333333333337</v>
      </c>
      <c r="C1086" s="3">
        <v>45463.958333333336</v>
      </c>
      <c r="D1086">
        <v>59.4</v>
      </c>
      <c r="E1086">
        <v>94.3</v>
      </c>
      <c r="F1086">
        <v>46.8</v>
      </c>
      <c r="G1086" t="s">
        <v>6</v>
      </c>
      <c r="H1086">
        <v>14</v>
      </c>
      <c r="I1086">
        <v>21.7</v>
      </c>
      <c r="J1086">
        <v>12.1</v>
      </c>
      <c r="K1086" t="s">
        <v>6</v>
      </c>
      <c r="L1086">
        <v>226</v>
      </c>
      <c r="M1086" t="s">
        <v>6</v>
      </c>
    </row>
    <row r="1087" spans="1:13" x14ac:dyDescent="0.2">
      <c r="A1087" s="1">
        <v>45464</v>
      </c>
      <c r="B1087" s="2">
        <v>0</v>
      </c>
      <c r="C1087" s="3">
        <v>45464</v>
      </c>
      <c r="D1087">
        <v>66.099999999999994</v>
      </c>
      <c r="E1087">
        <v>98.9</v>
      </c>
      <c r="F1087">
        <v>42.2</v>
      </c>
      <c r="G1087" t="s">
        <v>6</v>
      </c>
      <c r="H1087">
        <v>13</v>
      </c>
      <c r="I1087">
        <v>16.899999999999999</v>
      </c>
      <c r="J1087">
        <v>11.5</v>
      </c>
      <c r="K1087" t="s">
        <v>6</v>
      </c>
      <c r="L1087">
        <v>223</v>
      </c>
      <c r="M1087" t="s">
        <v>6</v>
      </c>
    </row>
    <row r="1088" spans="1:13" x14ac:dyDescent="0.2">
      <c r="A1088" s="1">
        <v>45464</v>
      </c>
      <c r="B1088" s="2">
        <v>4.1666666666666664E-2</v>
      </c>
      <c r="C1088" s="3">
        <v>45464.041666666664</v>
      </c>
      <c r="D1088">
        <v>66.8</v>
      </c>
      <c r="E1088">
        <v>98.4</v>
      </c>
      <c r="F1088">
        <v>41.6</v>
      </c>
      <c r="G1088" t="s">
        <v>6</v>
      </c>
      <c r="H1088">
        <v>14.6</v>
      </c>
      <c r="I1088">
        <v>27.2</v>
      </c>
      <c r="J1088">
        <v>11.8</v>
      </c>
      <c r="K1088" t="s">
        <v>6</v>
      </c>
      <c r="L1088">
        <v>225</v>
      </c>
      <c r="M1088" t="s">
        <v>6</v>
      </c>
    </row>
    <row r="1089" spans="1:13" x14ac:dyDescent="0.2">
      <c r="A1089" s="1">
        <v>45464</v>
      </c>
      <c r="B1089" s="2">
        <v>8.3333333333333329E-2</v>
      </c>
      <c r="C1089" s="3">
        <v>45464.083333333336</v>
      </c>
      <c r="D1089">
        <v>97.2</v>
      </c>
      <c r="E1089">
        <v>112.5</v>
      </c>
      <c r="F1089">
        <v>69.5</v>
      </c>
      <c r="G1089" t="s">
        <v>6</v>
      </c>
      <c r="H1089">
        <v>12.7</v>
      </c>
      <c r="I1089">
        <v>20.9</v>
      </c>
      <c r="J1089">
        <v>10.8</v>
      </c>
      <c r="K1089" t="s">
        <v>6</v>
      </c>
      <c r="L1089">
        <v>221</v>
      </c>
      <c r="M1089" t="s">
        <v>6</v>
      </c>
    </row>
    <row r="1090" spans="1:13" x14ac:dyDescent="0.2">
      <c r="A1090" s="1">
        <v>45464</v>
      </c>
      <c r="B1090" s="2">
        <v>0.125</v>
      </c>
      <c r="C1090" s="3">
        <v>45464.125</v>
      </c>
      <c r="D1090">
        <v>88.3</v>
      </c>
      <c r="E1090">
        <v>108.4</v>
      </c>
      <c r="F1090">
        <v>63.1</v>
      </c>
      <c r="G1090" t="s">
        <v>6</v>
      </c>
      <c r="H1090">
        <v>14.5</v>
      </c>
      <c r="I1090">
        <v>24.5</v>
      </c>
      <c r="J1090">
        <v>10.7</v>
      </c>
      <c r="K1090" t="s">
        <v>6</v>
      </c>
      <c r="L1090">
        <v>222</v>
      </c>
      <c r="M1090" t="s">
        <v>6</v>
      </c>
    </row>
    <row r="1091" spans="1:13" x14ac:dyDescent="0.2">
      <c r="A1091" s="1">
        <v>45464</v>
      </c>
      <c r="B1091" s="2">
        <v>0.16666666666666666</v>
      </c>
      <c r="C1091" s="3">
        <v>45464.166666666664</v>
      </c>
      <c r="D1091">
        <v>86.4</v>
      </c>
      <c r="E1091">
        <v>128</v>
      </c>
      <c r="F1091">
        <v>48.4</v>
      </c>
      <c r="G1091" t="s">
        <v>6</v>
      </c>
      <c r="H1091">
        <v>12.1</v>
      </c>
      <c r="I1091">
        <v>14.6</v>
      </c>
      <c r="J1091">
        <v>10.4</v>
      </c>
      <c r="K1091" t="s">
        <v>6</v>
      </c>
      <c r="L1091">
        <v>199</v>
      </c>
      <c r="M1091" t="s">
        <v>6</v>
      </c>
    </row>
    <row r="1092" spans="1:13" x14ac:dyDescent="0.2">
      <c r="A1092" s="1">
        <v>45464</v>
      </c>
      <c r="B1092" s="2">
        <v>0.20833333333333334</v>
      </c>
      <c r="C1092" s="3">
        <v>45464.208333333336</v>
      </c>
      <c r="D1092">
        <v>107</v>
      </c>
      <c r="E1092">
        <v>120.3</v>
      </c>
      <c r="F1092">
        <v>87.4</v>
      </c>
      <c r="G1092" t="s">
        <v>6</v>
      </c>
      <c r="H1092">
        <v>12.7</v>
      </c>
      <c r="I1092">
        <v>19.899999999999999</v>
      </c>
      <c r="J1092">
        <v>11.1</v>
      </c>
      <c r="K1092" t="s">
        <v>6</v>
      </c>
      <c r="L1092">
        <v>225</v>
      </c>
      <c r="M1092" t="s">
        <v>6</v>
      </c>
    </row>
    <row r="1093" spans="1:13" x14ac:dyDescent="0.2">
      <c r="A1093" s="1">
        <v>45464</v>
      </c>
      <c r="B1093" s="2">
        <v>0.25</v>
      </c>
      <c r="C1093" s="3">
        <v>45464.25</v>
      </c>
      <c r="D1093">
        <v>98.3</v>
      </c>
      <c r="E1093">
        <v>131.69999999999999</v>
      </c>
      <c r="F1093">
        <v>87</v>
      </c>
      <c r="G1093" t="s">
        <v>6</v>
      </c>
      <c r="H1093">
        <v>12.3</v>
      </c>
      <c r="I1093">
        <v>15</v>
      </c>
      <c r="J1093">
        <v>10.8</v>
      </c>
      <c r="K1093" t="s">
        <v>6</v>
      </c>
      <c r="L1093">
        <v>214</v>
      </c>
      <c r="M1093" t="s">
        <v>6</v>
      </c>
    </row>
    <row r="1094" spans="1:13" x14ac:dyDescent="0.2">
      <c r="A1094" s="1">
        <v>45464</v>
      </c>
      <c r="B1094" s="2">
        <v>0.29166666666666669</v>
      </c>
      <c r="C1094" s="3">
        <v>45464.291666666664</v>
      </c>
      <c r="D1094">
        <v>82.9</v>
      </c>
      <c r="E1094">
        <v>109.9</v>
      </c>
      <c r="F1094">
        <v>66.599999999999994</v>
      </c>
      <c r="G1094" t="s">
        <v>6</v>
      </c>
      <c r="H1094">
        <v>16.7</v>
      </c>
      <c r="I1094">
        <v>25.4</v>
      </c>
      <c r="J1094">
        <v>11.9</v>
      </c>
      <c r="K1094" t="s">
        <v>6</v>
      </c>
      <c r="L1094">
        <v>34</v>
      </c>
      <c r="M1094" t="s">
        <v>6</v>
      </c>
    </row>
    <row r="1095" spans="1:13" x14ac:dyDescent="0.2">
      <c r="A1095" s="13">
        <v>45464</v>
      </c>
      <c r="B1095" s="9">
        <v>0.33333333333333331</v>
      </c>
      <c r="C1095" s="8">
        <v>45464.333333333336</v>
      </c>
      <c r="D1095" s="10">
        <v>63.4</v>
      </c>
      <c r="E1095" s="10">
        <v>69.2</v>
      </c>
      <c r="F1095" s="10">
        <v>59.9</v>
      </c>
      <c r="G1095" s="10" t="s">
        <v>6</v>
      </c>
      <c r="H1095" s="10">
        <v>12.2</v>
      </c>
      <c r="I1095" s="10">
        <v>21.5</v>
      </c>
      <c r="J1095" s="10">
        <v>10.199999999999999</v>
      </c>
      <c r="K1095" s="10" t="s">
        <v>6</v>
      </c>
      <c r="L1095" s="10">
        <v>143</v>
      </c>
      <c r="M1095" t="s">
        <v>6</v>
      </c>
    </row>
    <row r="1096" spans="1:13" x14ac:dyDescent="0.2">
      <c r="A1096" s="14">
        <v>45464</v>
      </c>
      <c r="B1096" s="12">
        <v>0.375</v>
      </c>
      <c r="C1096" s="7">
        <v>45464.375</v>
      </c>
      <c r="D1096" s="11">
        <v>61.4</v>
      </c>
      <c r="E1096" s="11">
        <v>66.7</v>
      </c>
      <c r="F1096" s="11">
        <v>55.6</v>
      </c>
      <c r="G1096" s="11" t="s">
        <v>6</v>
      </c>
      <c r="H1096" s="11">
        <v>10.199999999999999</v>
      </c>
      <c r="I1096" s="11">
        <v>13.1</v>
      </c>
      <c r="J1096" s="11">
        <v>8.6999999999999993</v>
      </c>
      <c r="K1096" s="11" t="s">
        <v>6</v>
      </c>
      <c r="L1096" s="11">
        <v>113</v>
      </c>
      <c r="M1096" t="s">
        <v>6</v>
      </c>
    </row>
    <row r="1097" spans="1:13" x14ac:dyDescent="0.2">
      <c r="A1097" s="1">
        <v>45464</v>
      </c>
      <c r="B1097" s="2">
        <v>0.41666666666666669</v>
      </c>
      <c r="C1097" s="3">
        <v>45464.416666666664</v>
      </c>
      <c r="D1097">
        <v>60.9</v>
      </c>
      <c r="E1097">
        <v>70.599999999999994</v>
      </c>
      <c r="F1097">
        <v>55.3</v>
      </c>
      <c r="G1097" t="s">
        <v>6</v>
      </c>
      <c r="H1097">
        <v>10.3</v>
      </c>
      <c r="I1097">
        <v>13.2</v>
      </c>
      <c r="J1097">
        <v>9</v>
      </c>
      <c r="K1097" t="s">
        <v>6</v>
      </c>
      <c r="L1097">
        <v>100</v>
      </c>
      <c r="M1097" t="s">
        <v>6</v>
      </c>
    </row>
    <row r="1098" spans="1:13" x14ac:dyDescent="0.2">
      <c r="A1098" s="1">
        <v>45464</v>
      </c>
      <c r="B1098" s="2">
        <v>0.45833333333333331</v>
      </c>
      <c r="C1098" s="3">
        <v>45464.458333333336</v>
      </c>
      <c r="D1098">
        <v>64</v>
      </c>
      <c r="E1098">
        <v>68.3</v>
      </c>
      <c r="F1098">
        <v>58.5</v>
      </c>
      <c r="G1098" t="s">
        <v>6</v>
      </c>
      <c r="H1098">
        <v>10.199999999999999</v>
      </c>
      <c r="I1098">
        <v>15</v>
      </c>
      <c r="J1098">
        <v>8.8000000000000007</v>
      </c>
      <c r="K1098" t="s">
        <v>6</v>
      </c>
      <c r="L1098">
        <v>105</v>
      </c>
      <c r="M1098" t="s">
        <v>6</v>
      </c>
    </row>
    <row r="1099" spans="1:13" x14ac:dyDescent="0.2">
      <c r="A1099" s="1">
        <v>45464</v>
      </c>
      <c r="B1099" s="2">
        <v>0.625</v>
      </c>
      <c r="C1099" s="3">
        <v>45464.625</v>
      </c>
      <c r="D1099">
        <v>57.8</v>
      </c>
      <c r="E1099">
        <v>60.1</v>
      </c>
      <c r="F1099">
        <v>55.5</v>
      </c>
      <c r="G1099" t="s">
        <v>6</v>
      </c>
      <c r="H1099">
        <v>12.6</v>
      </c>
      <c r="I1099">
        <v>16.5</v>
      </c>
      <c r="J1099">
        <v>10.8</v>
      </c>
      <c r="K1099" t="s">
        <v>6</v>
      </c>
      <c r="L1099">
        <v>59</v>
      </c>
      <c r="M1099" t="s">
        <v>6</v>
      </c>
    </row>
    <row r="1100" spans="1:13" x14ac:dyDescent="0.2">
      <c r="A1100" s="1">
        <v>45464</v>
      </c>
      <c r="B1100" s="2">
        <v>0.66666666666666663</v>
      </c>
      <c r="C1100" s="3">
        <v>45464.666666666664</v>
      </c>
      <c r="D1100">
        <v>60.1</v>
      </c>
      <c r="E1100">
        <v>64.2</v>
      </c>
      <c r="F1100">
        <v>56.4</v>
      </c>
      <c r="G1100" t="s">
        <v>6</v>
      </c>
      <c r="H1100">
        <v>12</v>
      </c>
      <c r="I1100">
        <v>14.1</v>
      </c>
      <c r="J1100">
        <v>10.7</v>
      </c>
      <c r="K1100" t="s">
        <v>6</v>
      </c>
      <c r="L1100">
        <v>75</v>
      </c>
      <c r="M1100" t="s">
        <v>6</v>
      </c>
    </row>
    <row r="1101" spans="1:13" x14ac:dyDescent="0.2">
      <c r="A1101" s="1">
        <v>45464</v>
      </c>
      <c r="B1101" s="2">
        <v>0.75</v>
      </c>
      <c r="C1101" s="3">
        <v>45464.75</v>
      </c>
      <c r="D1101">
        <v>58.6</v>
      </c>
      <c r="E1101">
        <v>61.9</v>
      </c>
      <c r="F1101">
        <v>55.3</v>
      </c>
      <c r="G1101" t="s">
        <v>6</v>
      </c>
      <c r="H1101">
        <v>15.3</v>
      </c>
      <c r="I1101">
        <v>20.9</v>
      </c>
      <c r="J1101">
        <v>10.7</v>
      </c>
      <c r="K1101" t="s">
        <v>6</v>
      </c>
      <c r="L1101">
        <v>79</v>
      </c>
      <c r="M1101" t="s">
        <v>6</v>
      </c>
    </row>
    <row r="1102" spans="1:13" x14ac:dyDescent="0.2">
      <c r="A1102" s="1">
        <v>45464</v>
      </c>
      <c r="B1102" s="2">
        <v>0.79166666666666663</v>
      </c>
      <c r="C1102" s="3">
        <v>45464.791666666664</v>
      </c>
      <c r="D1102">
        <v>55.9</v>
      </c>
      <c r="E1102">
        <v>58</v>
      </c>
      <c r="F1102">
        <v>53.2</v>
      </c>
      <c r="G1102" t="s">
        <v>6</v>
      </c>
      <c r="H1102">
        <v>17.3</v>
      </c>
      <c r="I1102">
        <v>19.7</v>
      </c>
      <c r="J1102">
        <v>15.3</v>
      </c>
      <c r="K1102" t="s">
        <v>6</v>
      </c>
      <c r="L1102">
        <v>37</v>
      </c>
      <c r="M1102" t="s">
        <v>6</v>
      </c>
    </row>
    <row r="1103" spans="1:13" x14ac:dyDescent="0.2">
      <c r="A1103" s="1">
        <v>45464</v>
      </c>
      <c r="B1103" s="2">
        <v>0.83333333333333337</v>
      </c>
      <c r="C1103" s="3">
        <v>45464.833333333336</v>
      </c>
      <c r="D1103">
        <v>59.8</v>
      </c>
      <c r="E1103">
        <v>70.099999999999994</v>
      </c>
      <c r="F1103">
        <v>51.4</v>
      </c>
      <c r="G1103" t="s">
        <v>6</v>
      </c>
      <c r="H1103">
        <v>15.6</v>
      </c>
      <c r="I1103">
        <v>29.1</v>
      </c>
      <c r="J1103">
        <v>12.2</v>
      </c>
      <c r="K1103" t="s">
        <v>6</v>
      </c>
      <c r="L1103">
        <v>200</v>
      </c>
      <c r="M1103" t="s">
        <v>6</v>
      </c>
    </row>
    <row r="1104" spans="1:13" x14ac:dyDescent="0.2">
      <c r="A1104" s="1">
        <v>45464</v>
      </c>
      <c r="B1104" s="2">
        <v>0.875</v>
      </c>
      <c r="C1104" s="3">
        <v>45464.875</v>
      </c>
      <c r="D1104">
        <v>70.099999999999994</v>
      </c>
      <c r="E1104">
        <v>79.8</v>
      </c>
      <c r="F1104">
        <v>60.7</v>
      </c>
      <c r="G1104" t="s">
        <v>6</v>
      </c>
      <c r="H1104">
        <v>13.6</v>
      </c>
      <c r="I1104">
        <v>23</v>
      </c>
      <c r="J1104">
        <v>11.6</v>
      </c>
      <c r="K1104" t="s">
        <v>6</v>
      </c>
      <c r="L1104">
        <v>224</v>
      </c>
      <c r="M1104" t="s">
        <v>6</v>
      </c>
    </row>
    <row r="1105" spans="1:13" x14ac:dyDescent="0.2">
      <c r="A1105" s="1">
        <v>45464</v>
      </c>
      <c r="B1105" s="2">
        <v>0.91666666666666663</v>
      </c>
      <c r="C1105" s="3">
        <v>45464.916666666664</v>
      </c>
      <c r="D1105">
        <v>65.8</v>
      </c>
      <c r="E1105">
        <v>82.7</v>
      </c>
      <c r="F1105">
        <v>47.8</v>
      </c>
      <c r="G1105" t="s">
        <v>6</v>
      </c>
      <c r="H1105">
        <v>16.5</v>
      </c>
      <c r="I1105">
        <v>25</v>
      </c>
      <c r="J1105">
        <v>11.6</v>
      </c>
      <c r="K1105" t="s">
        <v>6</v>
      </c>
      <c r="L1105">
        <v>219</v>
      </c>
      <c r="M1105" t="s">
        <v>6</v>
      </c>
    </row>
    <row r="1106" spans="1:13" x14ac:dyDescent="0.2">
      <c r="A1106" s="1">
        <v>45464</v>
      </c>
      <c r="B1106" s="2">
        <v>0.95833333333333337</v>
      </c>
      <c r="C1106" s="3">
        <v>45464.958333333336</v>
      </c>
      <c r="D1106">
        <v>76</v>
      </c>
      <c r="E1106">
        <v>85.7</v>
      </c>
      <c r="F1106">
        <v>61.7</v>
      </c>
      <c r="G1106" t="s">
        <v>6</v>
      </c>
      <c r="H1106">
        <v>13.9</v>
      </c>
      <c r="I1106">
        <v>26.8</v>
      </c>
      <c r="J1106">
        <v>11.4</v>
      </c>
      <c r="K1106" t="s">
        <v>6</v>
      </c>
      <c r="L1106">
        <v>211</v>
      </c>
      <c r="M1106" t="s">
        <v>6</v>
      </c>
    </row>
    <row r="1107" spans="1:13" x14ac:dyDescent="0.2">
      <c r="A1107" s="1">
        <v>45465</v>
      </c>
      <c r="B1107" s="2">
        <v>0</v>
      </c>
      <c r="C1107" s="3">
        <v>45465</v>
      </c>
      <c r="D1107">
        <v>74.599999999999994</v>
      </c>
      <c r="E1107">
        <v>91.3</v>
      </c>
      <c r="F1107">
        <v>65.3</v>
      </c>
      <c r="G1107" t="s">
        <v>6</v>
      </c>
      <c r="H1107">
        <v>16</v>
      </c>
      <c r="I1107">
        <v>26.4</v>
      </c>
      <c r="J1107">
        <v>11.7</v>
      </c>
      <c r="K1107" t="s">
        <v>6</v>
      </c>
      <c r="L1107">
        <v>226</v>
      </c>
      <c r="M1107" t="s">
        <v>6</v>
      </c>
    </row>
    <row r="1108" spans="1:13" x14ac:dyDescent="0.2">
      <c r="A1108" s="1">
        <v>45465</v>
      </c>
      <c r="B1108" s="2">
        <v>4.1666666666666664E-2</v>
      </c>
      <c r="C1108" s="3">
        <v>45465.041666666664</v>
      </c>
      <c r="D1108">
        <v>70.2</v>
      </c>
      <c r="E1108">
        <v>89.3</v>
      </c>
      <c r="F1108">
        <v>57.3</v>
      </c>
      <c r="G1108" t="s">
        <v>6</v>
      </c>
      <c r="H1108">
        <v>12.9</v>
      </c>
      <c r="I1108">
        <v>24</v>
      </c>
      <c r="J1108">
        <v>10.6</v>
      </c>
      <c r="K1108" t="s">
        <v>6</v>
      </c>
      <c r="L1108">
        <v>223</v>
      </c>
      <c r="M1108" t="s">
        <v>6</v>
      </c>
    </row>
    <row r="1109" spans="1:13" x14ac:dyDescent="0.2">
      <c r="A1109" s="1">
        <v>45465</v>
      </c>
      <c r="B1109" s="2">
        <v>8.3333333333333329E-2</v>
      </c>
      <c r="C1109" s="3">
        <v>45465.083333333336</v>
      </c>
      <c r="D1109">
        <v>88</v>
      </c>
      <c r="E1109">
        <v>100.3</v>
      </c>
      <c r="F1109">
        <v>72.2</v>
      </c>
      <c r="G1109" t="s">
        <v>6</v>
      </c>
      <c r="H1109">
        <v>12.7</v>
      </c>
      <c r="I1109">
        <v>22.3</v>
      </c>
      <c r="J1109">
        <v>10.8</v>
      </c>
      <c r="K1109" t="s">
        <v>6</v>
      </c>
      <c r="L1109">
        <v>212</v>
      </c>
      <c r="M1109" t="s">
        <v>6</v>
      </c>
    </row>
    <row r="1110" spans="1:13" x14ac:dyDescent="0.2">
      <c r="A1110" s="1">
        <v>45465</v>
      </c>
      <c r="B1110" s="2">
        <v>0.125</v>
      </c>
      <c r="C1110" s="3">
        <v>45465.125</v>
      </c>
      <c r="D1110">
        <v>89.8</v>
      </c>
      <c r="E1110">
        <v>106</v>
      </c>
      <c r="F1110">
        <v>73.3</v>
      </c>
      <c r="G1110" t="s">
        <v>6</v>
      </c>
      <c r="H1110">
        <v>12.6</v>
      </c>
      <c r="I1110">
        <v>23.8</v>
      </c>
      <c r="J1110">
        <v>11.1</v>
      </c>
      <c r="K1110" t="s">
        <v>6</v>
      </c>
      <c r="L1110">
        <v>218</v>
      </c>
      <c r="M1110" t="s">
        <v>6</v>
      </c>
    </row>
    <row r="1111" spans="1:13" x14ac:dyDescent="0.2">
      <c r="A1111" s="1">
        <v>45465</v>
      </c>
      <c r="B1111" s="2">
        <v>0.16666666666666666</v>
      </c>
      <c r="C1111" s="3">
        <v>45465.166666666664</v>
      </c>
      <c r="D1111">
        <v>89.2</v>
      </c>
      <c r="E1111">
        <v>103.8</v>
      </c>
      <c r="F1111">
        <v>72.7</v>
      </c>
      <c r="G1111" t="s">
        <v>6</v>
      </c>
      <c r="H1111">
        <v>12.7</v>
      </c>
      <c r="I1111">
        <v>24.2</v>
      </c>
      <c r="J1111">
        <v>10.9</v>
      </c>
      <c r="K1111" t="s">
        <v>6</v>
      </c>
      <c r="L1111">
        <v>228</v>
      </c>
      <c r="M1111" t="s">
        <v>6</v>
      </c>
    </row>
    <row r="1112" spans="1:13" x14ac:dyDescent="0.2">
      <c r="A1112" s="1">
        <v>45465</v>
      </c>
      <c r="B1112" s="2">
        <v>0.20833333333333334</v>
      </c>
      <c r="C1112" s="3">
        <v>45465.208333333336</v>
      </c>
      <c r="D1112">
        <v>83.6</v>
      </c>
      <c r="E1112">
        <v>101.3</v>
      </c>
      <c r="F1112">
        <v>67.2</v>
      </c>
      <c r="G1112" t="s">
        <v>6</v>
      </c>
      <c r="H1112">
        <v>15.9</v>
      </c>
      <c r="I1112">
        <v>24.8</v>
      </c>
      <c r="J1112">
        <v>11.1</v>
      </c>
      <c r="K1112" t="s">
        <v>6</v>
      </c>
      <c r="L1112">
        <v>215</v>
      </c>
      <c r="M1112" t="s">
        <v>6</v>
      </c>
    </row>
    <row r="1113" spans="1:13" x14ac:dyDescent="0.2">
      <c r="A1113" s="1">
        <v>45465</v>
      </c>
      <c r="B1113" s="2">
        <v>0.25</v>
      </c>
      <c r="C1113" s="3">
        <v>45465.25</v>
      </c>
      <c r="D1113">
        <v>81.7</v>
      </c>
      <c r="E1113">
        <v>98.3</v>
      </c>
      <c r="F1113">
        <v>65.8</v>
      </c>
      <c r="G1113" t="s">
        <v>6</v>
      </c>
      <c r="H1113">
        <v>15.8</v>
      </c>
      <c r="I1113">
        <v>31.1</v>
      </c>
      <c r="J1113">
        <v>11.1</v>
      </c>
      <c r="K1113" t="s">
        <v>6</v>
      </c>
      <c r="L1113">
        <v>216</v>
      </c>
      <c r="M1113" t="s">
        <v>6</v>
      </c>
    </row>
    <row r="1114" spans="1:13" x14ac:dyDescent="0.2">
      <c r="A1114" s="1">
        <v>45465</v>
      </c>
      <c r="B1114" s="2">
        <v>0.29166666666666669</v>
      </c>
      <c r="C1114" s="3">
        <v>45465.291666666664</v>
      </c>
      <c r="D1114">
        <v>79</v>
      </c>
      <c r="E1114">
        <v>111</v>
      </c>
      <c r="F1114">
        <v>65.400000000000006</v>
      </c>
      <c r="G1114" t="s">
        <v>6</v>
      </c>
      <c r="H1114">
        <v>22.9</v>
      </c>
      <c r="I1114">
        <v>33.799999999999997</v>
      </c>
      <c r="J1114">
        <v>12.7</v>
      </c>
      <c r="K1114" t="s">
        <v>6</v>
      </c>
      <c r="L1114">
        <v>108</v>
      </c>
      <c r="M1114" t="s">
        <v>6</v>
      </c>
    </row>
    <row r="1115" spans="1:13" x14ac:dyDescent="0.2">
      <c r="A1115" s="13">
        <v>45465</v>
      </c>
      <c r="B1115" s="9">
        <v>0.33333333333333331</v>
      </c>
      <c r="C1115" s="8">
        <v>45465.333333333336</v>
      </c>
      <c r="D1115" s="10">
        <v>68.2</v>
      </c>
      <c r="E1115" s="10">
        <v>70.7</v>
      </c>
      <c r="F1115" s="10">
        <v>64.5</v>
      </c>
      <c r="G1115" s="10" t="s">
        <v>6</v>
      </c>
      <c r="H1115" s="10">
        <v>22.5</v>
      </c>
      <c r="I1115" s="10">
        <v>32.200000000000003</v>
      </c>
      <c r="J1115" s="10">
        <v>14.5</v>
      </c>
      <c r="K1115" s="10" t="s">
        <v>6</v>
      </c>
      <c r="L1115" s="10">
        <v>70</v>
      </c>
      <c r="M1115" t="s">
        <v>6</v>
      </c>
    </row>
    <row r="1116" spans="1:13" x14ac:dyDescent="0.2">
      <c r="A1116" s="14">
        <v>45465</v>
      </c>
      <c r="B1116" s="12">
        <v>0.375</v>
      </c>
      <c r="C1116" s="7">
        <v>45465.375</v>
      </c>
      <c r="D1116" s="11">
        <v>65.8</v>
      </c>
      <c r="E1116" s="11">
        <v>69.7</v>
      </c>
      <c r="F1116" s="11">
        <v>60.7</v>
      </c>
      <c r="G1116" s="11" t="s">
        <v>6</v>
      </c>
      <c r="H1116" s="11">
        <v>22.4</v>
      </c>
      <c r="I1116" s="11">
        <v>31.4</v>
      </c>
      <c r="J1116" s="11">
        <v>11.7</v>
      </c>
      <c r="K1116" s="11" t="s">
        <v>6</v>
      </c>
      <c r="L1116" s="11">
        <v>81</v>
      </c>
      <c r="M1116" t="s">
        <v>6</v>
      </c>
    </row>
    <row r="1117" spans="1:13" x14ac:dyDescent="0.2">
      <c r="A1117" s="1">
        <v>45465</v>
      </c>
      <c r="B1117" s="2">
        <v>0.41666666666666669</v>
      </c>
      <c r="C1117" s="3">
        <v>45465.416666666664</v>
      </c>
      <c r="D1117">
        <v>65.8</v>
      </c>
      <c r="E1117">
        <v>67.2</v>
      </c>
      <c r="F1117">
        <v>64.2</v>
      </c>
      <c r="G1117" t="s">
        <v>6</v>
      </c>
      <c r="H1117">
        <v>27.4</v>
      </c>
      <c r="I1117">
        <v>35</v>
      </c>
      <c r="J1117">
        <v>19.399999999999999</v>
      </c>
      <c r="K1117" t="s">
        <v>6</v>
      </c>
      <c r="L1117">
        <v>64</v>
      </c>
      <c r="M1117" t="s">
        <v>6</v>
      </c>
    </row>
    <row r="1118" spans="1:13" x14ac:dyDescent="0.2">
      <c r="A1118" s="1">
        <v>45465</v>
      </c>
      <c r="B1118" s="2">
        <v>0.45833333333333331</v>
      </c>
      <c r="C1118" s="3">
        <v>45465.458333333336</v>
      </c>
      <c r="D1118">
        <v>65.8</v>
      </c>
      <c r="E1118">
        <v>66.400000000000006</v>
      </c>
      <c r="F1118">
        <v>64.599999999999994</v>
      </c>
      <c r="G1118" t="s">
        <v>6</v>
      </c>
      <c r="H1118">
        <v>22.5</v>
      </c>
      <c r="I1118">
        <v>32.200000000000003</v>
      </c>
      <c r="J1118">
        <v>14.3</v>
      </c>
      <c r="K1118" t="s">
        <v>6</v>
      </c>
      <c r="L1118">
        <v>21</v>
      </c>
      <c r="M1118" t="s">
        <v>6</v>
      </c>
    </row>
    <row r="1119" spans="1:13" x14ac:dyDescent="0.2">
      <c r="A1119" s="1">
        <v>45465</v>
      </c>
      <c r="B1119" s="2">
        <v>0.5</v>
      </c>
      <c r="C1119" s="3">
        <v>45465.5</v>
      </c>
      <c r="D1119">
        <v>61.1</v>
      </c>
      <c r="E1119">
        <v>63.7</v>
      </c>
      <c r="F1119">
        <v>59.2</v>
      </c>
      <c r="G1119" t="s">
        <v>6</v>
      </c>
      <c r="H1119">
        <v>26</v>
      </c>
      <c r="I1119">
        <v>34.5</v>
      </c>
      <c r="J1119">
        <v>18.3</v>
      </c>
      <c r="K1119" t="s">
        <v>6</v>
      </c>
      <c r="L1119">
        <v>71</v>
      </c>
      <c r="M1119" t="s">
        <v>6</v>
      </c>
    </row>
    <row r="1120" spans="1:13" x14ac:dyDescent="0.2">
      <c r="A1120" s="1">
        <v>45465</v>
      </c>
      <c r="B1120" s="2">
        <v>0.54166666666666663</v>
      </c>
      <c r="C1120" s="3">
        <v>45465.541666666664</v>
      </c>
      <c r="D1120">
        <v>58</v>
      </c>
      <c r="E1120">
        <v>62.3</v>
      </c>
      <c r="F1120">
        <v>56.2</v>
      </c>
      <c r="G1120" t="s">
        <v>6</v>
      </c>
      <c r="H1120">
        <v>27.3</v>
      </c>
      <c r="I1120">
        <v>35.299999999999997</v>
      </c>
      <c r="J1120">
        <v>23.7</v>
      </c>
      <c r="K1120" t="s">
        <v>6</v>
      </c>
      <c r="L1120">
        <v>38</v>
      </c>
      <c r="M1120" t="s">
        <v>6</v>
      </c>
    </row>
    <row r="1121" spans="1:13" x14ac:dyDescent="0.2">
      <c r="A1121" s="1">
        <v>45465</v>
      </c>
      <c r="B1121" s="2">
        <v>0.58333333333333337</v>
      </c>
      <c r="C1121" s="3">
        <v>45465.583333333336</v>
      </c>
      <c r="D1121">
        <v>72.5</v>
      </c>
      <c r="E1121">
        <v>89.1</v>
      </c>
      <c r="F1121">
        <v>54.6</v>
      </c>
      <c r="G1121" t="s">
        <v>6</v>
      </c>
      <c r="H1121">
        <v>26.7</v>
      </c>
      <c r="I1121">
        <v>35</v>
      </c>
      <c r="J1121">
        <v>13.8</v>
      </c>
      <c r="K1121" t="s">
        <v>6</v>
      </c>
      <c r="L1121">
        <v>200</v>
      </c>
      <c r="M1121" t="s">
        <v>6</v>
      </c>
    </row>
    <row r="1122" spans="1:13" x14ac:dyDescent="0.2">
      <c r="A1122" s="1">
        <v>45465</v>
      </c>
      <c r="B1122" s="2">
        <v>0.75</v>
      </c>
      <c r="C1122" s="3">
        <v>45465.75</v>
      </c>
      <c r="D1122">
        <v>65.7</v>
      </c>
      <c r="E1122">
        <v>67.400000000000006</v>
      </c>
      <c r="F1122">
        <v>63.9</v>
      </c>
      <c r="G1122" t="s">
        <v>6</v>
      </c>
      <c r="H1122">
        <v>19.399999999999999</v>
      </c>
      <c r="I1122">
        <v>31.7</v>
      </c>
      <c r="J1122">
        <v>14.9</v>
      </c>
      <c r="K1122" t="s">
        <v>6</v>
      </c>
      <c r="L1122">
        <v>26</v>
      </c>
      <c r="M1122" t="s">
        <v>6</v>
      </c>
    </row>
    <row r="1123" spans="1:13" x14ac:dyDescent="0.2">
      <c r="A1123" s="1">
        <v>45465</v>
      </c>
      <c r="B1123" s="2">
        <v>0.79166666666666663</v>
      </c>
      <c r="C1123" s="3">
        <v>45465.791666666664</v>
      </c>
      <c r="D1123">
        <v>61.2</v>
      </c>
      <c r="E1123">
        <v>65.8</v>
      </c>
      <c r="F1123">
        <v>52.9</v>
      </c>
      <c r="G1123" t="s">
        <v>6</v>
      </c>
      <c r="H1123">
        <v>18.2</v>
      </c>
      <c r="I1123">
        <v>31.9</v>
      </c>
      <c r="J1123">
        <v>13.8</v>
      </c>
      <c r="K1123" t="s">
        <v>6</v>
      </c>
      <c r="L1123">
        <v>152</v>
      </c>
      <c r="M1123" t="s">
        <v>6</v>
      </c>
    </row>
    <row r="1124" spans="1:13" x14ac:dyDescent="0.2">
      <c r="A1124" s="1">
        <v>45465</v>
      </c>
      <c r="B1124" s="2">
        <v>0.83333333333333337</v>
      </c>
      <c r="C1124" s="3">
        <v>45465.833333333336</v>
      </c>
      <c r="D1124">
        <v>52.9</v>
      </c>
      <c r="E1124">
        <v>55.5</v>
      </c>
      <c r="F1124">
        <v>48.5</v>
      </c>
      <c r="G1124" t="s">
        <v>6</v>
      </c>
      <c r="H1124">
        <v>17.600000000000001</v>
      </c>
      <c r="I1124">
        <v>27.4</v>
      </c>
      <c r="J1124">
        <v>12.2</v>
      </c>
      <c r="K1124" t="s">
        <v>6</v>
      </c>
      <c r="L1124">
        <v>218</v>
      </c>
      <c r="M1124" t="s">
        <v>6</v>
      </c>
    </row>
    <row r="1125" spans="1:13" x14ac:dyDescent="0.2">
      <c r="A1125" s="1">
        <v>45465</v>
      </c>
      <c r="B1125" s="2">
        <v>0.875</v>
      </c>
      <c r="C1125" s="3">
        <v>45465.875</v>
      </c>
      <c r="D1125">
        <v>53</v>
      </c>
      <c r="E1125">
        <v>62</v>
      </c>
      <c r="F1125">
        <v>45.7</v>
      </c>
      <c r="G1125" t="s">
        <v>6</v>
      </c>
      <c r="H1125">
        <v>18.600000000000001</v>
      </c>
      <c r="I1125">
        <v>27.3</v>
      </c>
      <c r="J1125">
        <v>11.4</v>
      </c>
      <c r="K1125" t="s">
        <v>6</v>
      </c>
      <c r="L1125">
        <v>227</v>
      </c>
      <c r="M1125" t="s">
        <v>6</v>
      </c>
    </row>
    <row r="1126" spans="1:13" x14ac:dyDescent="0.2">
      <c r="A1126" s="1">
        <v>45465</v>
      </c>
      <c r="B1126" s="2">
        <v>0.91666666666666663</v>
      </c>
      <c r="C1126" s="3">
        <v>45465.916666666664</v>
      </c>
      <c r="D1126">
        <v>62.2</v>
      </c>
      <c r="E1126">
        <v>88.4</v>
      </c>
      <c r="F1126">
        <v>45.3</v>
      </c>
      <c r="G1126" t="s">
        <v>6</v>
      </c>
      <c r="H1126">
        <v>14.6</v>
      </c>
      <c r="I1126">
        <v>25.5</v>
      </c>
      <c r="J1126">
        <v>11.3</v>
      </c>
      <c r="K1126" t="s">
        <v>6</v>
      </c>
      <c r="L1126">
        <v>229</v>
      </c>
      <c r="M1126" t="s">
        <v>6</v>
      </c>
    </row>
    <row r="1127" spans="1:13" x14ac:dyDescent="0.2">
      <c r="A1127" s="1">
        <v>45465</v>
      </c>
      <c r="B1127" s="2">
        <v>0.95833333333333337</v>
      </c>
      <c r="C1127" s="3">
        <v>45465.958333333336</v>
      </c>
      <c r="D1127">
        <v>91.7</v>
      </c>
      <c r="E1127">
        <v>105.4</v>
      </c>
      <c r="F1127">
        <v>63.3</v>
      </c>
      <c r="G1127" t="s">
        <v>6</v>
      </c>
      <c r="H1127">
        <v>13.4</v>
      </c>
      <c r="I1127">
        <v>21.6</v>
      </c>
      <c r="J1127">
        <v>10.9</v>
      </c>
      <c r="K1127" t="s">
        <v>6</v>
      </c>
      <c r="L1127">
        <v>206</v>
      </c>
      <c r="M1127" t="s">
        <v>6</v>
      </c>
    </row>
    <row r="1128" spans="1:13" x14ac:dyDescent="0.2">
      <c r="A1128" s="1">
        <v>45466</v>
      </c>
      <c r="B1128" s="2">
        <v>0</v>
      </c>
      <c r="C1128" s="3">
        <v>45466</v>
      </c>
      <c r="D1128">
        <v>98.4</v>
      </c>
      <c r="E1128">
        <v>115.6</v>
      </c>
      <c r="F1128">
        <v>82.4</v>
      </c>
      <c r="G1128" t="s">
        <v>6</v>
      </c>
      <c r="H1128">
        <v>14.9</v>
      </c>
      <c r="I1128">
        <v>25.8</v>
      </c>
      <c r="J1128">
        <v>11</v>
      </c>
      <c r="K1128" t="s">
        <v>6</v>
      </c>
      <c r="L1128">
        <v>224</v>
      </c>
      <c r="M1128" t="s">
        <v>6</v>
      </c>
    </row>
    <row r="1129" spans="1:13" x14ac:dyDescent="0.2">
      <c r="A1129" s="1">
        <v>45466</v>
      </c>
      <c r="B1129" s="2">
        <v>4.1666666666666664E-2</v>
      </c>
      <c r="C1129" s="3">
        <v>45466.041666666664</v>
      </c>
      <c r="D1129">
        <v>86</v>
      </c>
      <c r="E1129">
        <v>122</v>
      </c>
      <c r="F1129">
        <v>57.7</v>
      </c>
      <c r="G1129" t="s">
        <v>6</v>
      </c>
      <c r="H1129">
        <v>12.2</v>
      </c>
      <c r="I1129">
        <v>18.2</v>
      </c>
      <c r="J1129">
        <v>10.9</v>
      </c>
      <c r="K1129" t="s">
        <v>6</v>
      </c>
      <c r="L1129">
        <v>226</v>
      </c>
      <c r="M1129" t="s">
        <v>6</v>
      </c>
    </row>
    <row r="1130" spans="1:13" x14ac:dyDescent="0.2">
      <c r="A1130" s="1">
        <v>45466</v>
      </c>
      <c r="B1130" s="2">
        <v>8.3333333333333329E-2</v>
      </c>
      <c r="C1130" s="3">
        <v>45466.083333333336</v>
      </c>
      <c r="D1130">
        <v>95.2</v>
      </c>
      <c r="E1130">
        <v>107.1</v>
      </c>
      <c r="F1130">
        <v>74.5</v>
      </c>
      <c r="G1130" t="s">
        <v>6</v>
      </c>
      <c r="H1130">
        <v>15</v>
      </c>
      <c r="I1130">
        <v>24.3</v>
      </c>
      <c r="J1130">
        <v>10.9</v>
      </c>
      <c r="K1130" t="s">
        <v>6</v>
      </c>
      <c r="L1130">
        <v>222</v>
      </c>
      <c r="M1130" t="s">
        <v>6</v>
      </c>
    </row>
    <row r="1131" spans="1:13" x14ac:dyDescent="0.2">
      <c r="A1131" s="1">
        <v>45466</v>
      </c>
      <c r="B1131" s="2">
        <v>0.125</v>
      </c>
      <c r="C1131" s="3">
        <v>45466.125</v>
      </c>
      <c r="D1131">
        <v>97.7</v>
      </c>
      <c r="E1131">
        <v>107.5</v>
      </c>
      <c r="F1131">
        <v>89.7</v>
      </c>
      <c r="G1131" t="s">
        <v>6</v>
      </c>
      <c r="H1131">
        <v>12.2</v>
      </c>
      <c r="I1131">
        <v>15.8</v>
      </c>
      <c r="J1131">
        <v>10.8</v>
      </c>
      <c r="K1131" t="s">
        <v>6</v>
      </c>
      <c r="L1131">
        <v>216</v>
      </c>
      <c r="M1131" t="s">
        <v>6</v>
      </c>
    </row>
    <row r="1132" spans="1:13" x14ac:dyDescent="0.2">
      <c r="A1132" s="1">
        <v>45466</v>
      </c>
      <c r="B1132" s="2">
        <v>0.16666666666666666</v>
      </c>
      <c r="C1132" s="3">
        <v>45466.166666666664</v>
      </c>
      <c r="D1132">
        <v>97.1</v>
      </c>
      <c r="E1132">
        <v>107.6</v>
      </c>
      <c r="F1132">
        <v>85</v>
      </c>
      <c r="G1132" t="s">
        <v>6</v>
      </c>
      <c r="H1132">
        <v>13.5</v>
      </c>
      <c r="I1132">
        <v>24.7</v>
      </c>
      <c r="J1132">
        <v>10.9</v>
      </c>
      <c r="K1132" t="s">
        <v>6</v>
      </c>
      <c r="L1132">
        <v>214</v>
      </c>
      <c r="M1132" t="s">
        <v>6</v>
      </c>
    </row>
    <row r="1133" spans="1:13" x14ac:dyDescent="0.2">
      <c r="A1133" s="1">
        <v>45466</v>
      </c>
      <c r="B1133" s="2">
        <v>0.20833333333333334</v>
      </c>
      <c r="C1133" s="3">
        <v>45466.208333333336</v>
      </c>
      <c r="D1133">
        <v>90.2</v>
      </c>
      <c r="E1133">
        <v>111.7</v>
      </c>
      <c r="F1133">
        <v>73.599999999999994</v>
      </c>
      <c r="G1133" t="s">
        <v>6</v>
      </c>
      <c r="H1133">
        <v>13.9</v>
      </c>
      <c r="I1133">
        <v>24.6</v>
      </c>
      <c r="J1133">
        <v>10.6</v>
      </c>
      <c r="K1133" t="s">
        <v>6</v>
      </c>
      <c r="L1133">
        <v>223</v>
      </c>
      <c r="M1133" t="s">
        <v>6</v>
      </c>
    </row>
    <row r="1134" spans="1:13" x14ac:dyDescent="0.2">
      <c r="A1134" s="1">
        <v>45466</v>
      </c>
      <c r="B1134" s="2">
        <v>0.25</v>
      </c>
      <c r="C1134" s="3">
        <v>45466.25</v>
      </c>
      <c r="D1134">
        <v>62.3</v>
      </c>
      <c r="E1134">
        <v>91.8</v>
      </c>
      <c r="F1134">
        <v>46.4</v>
      </c>
      <c r="G1134" t="s">
        <v>6</v>
      </c>
      <c r="H1134">
        <v>14.9</v>
      </c>
      <c r="I1134">
        <v>25.3</v>
      </c>
      <c r="J1134">
        <v>11</v>
      </c>
      <c r="K1134" t="s">
        <v>6</v>
      </c>
      <c r="L1134">
        <v>142</v>
      </c>
      <c r="M1134" t="s">
        <v>6</v>
      </c>
    </row>
    <row r="1135" spans="1:13" x14ac:dyDescent="0.2">
      <c r="A1135" s="1">
        <v>45466</v>
      </c>
      <c r="B1135" s="2">
        <v>0.29166666666666669</v>
      </c>
      <c r="C1135" s="3">
        <v>45466.291666666664</v>
      </c>
      <c r="D1135">
        <v>62.3</v>
      </c>
      <c r="E1135">
        <v>63.6</v>
      </c>
      <c r="F1135">
        <v>60.7</v>
      </c>
      <c r="G1135" t="s">
        <v>6</v>
      </c>
      <c r="H1135">
        <v>25.7</v>
      </c>
      <c r="I1135">
        <v>34</v>
      </c>
      <c r="J1135">
        <v>17.3</v>
      </c>
      <c r="K1135" t="s">
        <v>6</v>
      </c>
      <c r="L1135">
        <v>42</v>
      </c>
      <c r="M1135" t="s">
        <v>6</v>
      </c>
    </row>
    <row r="1136" spans="1:13" x14ac:dyDescent="0.2">
      <c r="A1136" s="13">
        <v>45466</v>
      </c>
      <c r="B1136" s="9">
        <v>0.33333333333333331</v>
      </c>
      <c r="C1136" s="8">
        <v>45466.333333333336</v>
      </c>
      <c r="D1136" s="10">
        <v>61.2</v>
      </c>
      <c r="E1136" s="10">
        <v>62.2</v>
      </c>
      <c r="F1136" s="10">
        <v>60.8</v>
      </c>
      <c r="G1136" s="10" t="s">
        <v>6</v>
      </c>
      <c r="H1136" s="10">
        <v>19.899999999999999</v>
      </c>
      <c r="I1136" s="10">
        <v>28.3</v>
      </c>
      <c r="J1136" s="10">
        <v>13.4</v>
      </c>
      <c r="K1136" s="10" t="s">
        <v>6</v>
      </c>
      <c r="L1136" s="10">
        <v>24</v>
      </c>
      <c r="M1136" t="s">
        <v>6</v>
      </c>
    </row>
    <row r="1137" spans="1:13" x14ac:dyDescent="0.2">
      <c r="A1137" s="14">
        <v>45466</v>
      </c>
      <c r="B1137" s="12">
        <v>0.375</v>
      </c>
      <c r="C1137" s="7">
        <v>45466.375</v>
      </c>
      <c r="D1137" s="11">
        <v>88.2</v>
      </c>
      <c r="E1137" s="11">
        <v>95.5</v>
      </c>
      <c r="F1137" s="11">
        <v>80.099999999999994</v>
      </c>
      <c r="G1137" s="11" t="s">
        <v>6</v>
      </c>
      <c r="H1137" s="11">
        <v>29.9</v>
      </c>
      <c r="I1137" s="11">
        <v>34.799999999999997</v>
      </c>
      <c r="J1137" s="11">
        <v>20.100000000000001</v>
      </c>
      <c r="K1137" s="11" t="s">
        <v>6</v>
      </c>
      <c r="L1137" s="11">
        <v>22</v>
      </c>
      <c r="M1137" t="s">
        <v>6</v>
      </c>
    </row>
    <row r="1138" spans="1:13" x14ac:dyDescent="0.2">
      <c r="A1138" s="1">
        <v>45466</v>
      </c>
      <c r="B1138" s="2">
        <v>0.41666666666666669</v>
      </c>
      <c r="C1138" s="3">
        <v>45466.416666666664</v>
      </c>
      <c r="D1138">
        <v>84.5</v>
      </c>
      <c r="E1138">
        <v>84.5</v>
      </c>
      <c r="F1138">
        <v>84.5</v>
      </c>
      <c r="G1138" t="s">
        <v>6</v>
      </c>
      <c r="H1138">
        <v>31.2</v>
      </c>
      <c r="I1138">
        <v>32.9</v>
      </c>
      <c r="J1138">
        <v>29</v>
      </c>
      <c r="K1138" t="s">
        <v>6</v>
      </c>
      <c r="L1138">
        <v>3</v>
      </c>
      <c r="M1138" t="s">
        <v>6</v>
      </c>
    </row>
    <row r="1139" spans="1:13" x14ac:dyDescent="0.2">
      <c r="A1139" s="1">
        <v>45466</v>
      </c>
      <c r="B1139" s="2">
        <v>0.58333333333333337</v>
      </c>
      <c r="C1139" s="3">
        <v>45466.583333333336</v>
      </c>
      <c r="D1139">
        <v>80.099999999999994</v>
      </c>
      <c r="E1139">
        <v>88</v>
      </c>
      <c r="F1139">
        <v>70.8</v>
      </c>
      <c r="G1139" t="s">
        <v>6</v>
      </c>
      <c r="H1139">
        <v>17.7</v>
      </c>
      <c r="I1139">
        <v>23.4</v>
      </c>
      <c r="J1139">
        <v>13.3</v>
      </c>
      <c r="K1139" t="s">
        <v>6</v>
      </c>
      <c r="L1139">
        <v>124</v>
      </c>
      <c r="M1139" t="s">
        <v>6</v>
      </c>
    </row>
    <row r="1140" spans="1:13" x14ac:dyDescent="0.2">
      <c r="A1140" s="1">
        <v>45466</v>
      </c>
      <c r="B1140" s="2">
        <v>0.625</v>
      </c>
      <c r="C1140" s="3">
        <v>45466.625</v>
      </c>
      <c r="D1140">
        <v>77.7</v>
      </c>
      <c r="E1140">
        <v>85.8</v>
      </c>
      <c r="F1140">
        <v>68.400000000000006</v>
      </c>
      <c r="G1140" t="s">
        <v>6</v>
      </c>
      <c r="H1140">
        <v>16.100000000000001</v>
      </c>
      <c r="I1140">
        <v>22</v>
      </c>
      <c r="J1140">
        <v>11.9</v>
      </c>
      <c r="K1140" t="s">
        <v>6</v>
      </c>
      <c r="L1140">
        <v>207</v>
      </c>
      <c r="M1140" t="s">
        <v>6</v>
      </c>
    </row>
    <row r="1141" spans="1:13" x14ac:dyDescent="0.2">
      <c r="A1141" s="1">
        <v>45466</v>
      </c>
      <c r="B1141" s="2">
        <v>0.66666666666666663</v>
      </c>
      <c r="C1141" s="3">
        <v>45466.666666666664</v>
      </c>
      <c r="D1141">
        <v>79.400000000000006</v>
      </c>
      <c r="E1141">
        <v>82.2</v>
      </c>
      <c r="F1141">
        <v>77.5</v>
      </c>
      <c r="G1141" t="s">
        <v>6</v>
      </c>
      <c r="H1141">
        <v>16.600000000000001</v>
      </c>
      <c r="I1141">
        <v>25.2</v>
      </c>
      <c r="J1141">
        <v>12.3</v>
      </c>
      <c r="K1141" t="s">
        <v>6</v>
      </c>
      <c r="L1141">
        <v>150</v>
      </c>
      <c r="M1141" t="s">
        <v>6</v>
      </c>
    </row>
    <row r="1142" spans="1:13" x14ac:dyDescent="0.2">
      <c r="A1142" s="1">
        <v>45466</v>
      </c>
      <c r="B1142" s="2">
        <v>0.70833333333333337</v>
      </c>
      <c r="C1142" s="3">
        <v>45466.708333333336</v>
      </c>
      <c r="D1142">
        <v>82.3</v>
      </c>
      <c r="E1142">
        <v>89.3</v>
      </c>
      <c r="F1142">
        <v>76</v>
      </c>
      <c r="G1142" t="s">
        <v>6</v>
      </c>
      <c r="H1142">
        <v>16.3</v>
      </c>
      <c r="I1142">
        <v>23.4</v>
      </c>
      <c r="J1142">
        <v>12.5</v>
      </c>
      <c r="K1142" t="s">
        <v>6</v>
      </c>
      <c r="L1142">
        <v>57</v>
      </c>
      <c r="M1142" t="s">
        <v>6</v>
      </c>
    </row>
    <row r="1143" spans="1:13" x14ac:dyDescent="0.2">
      <c r="A1143" s="1">
        <v>45466</v>
      </c>
      <c r="B1143" s="2">
        <v>0.75</v>
      </c>
      <c r="C1143" s="3">
        <v>45466.75</v>
      </c>
      <c r="D1143">
        <v>91.4</v>
      </c>
      <c r="E1143">
        <v>98.2</v>
      </c>
      <c r="F1143">
        <v>82.4</v>
      </c>
      <c r="G1143" t="s">
        <v>6</v>
      </c>
      <c r="H1143">
        <v>16.7</v>
      </c>
      <c r="I1143">
        <v>22.6</v>
      </c>
      <c r="J1143">
        <v>12.5</v>
      </c>
      <c r="K1143" t="s">
        <v>6</v>
      </c>
      <c r="L1143">
        <v>162</v>
      </c>
      <c r="M1143" t="s">
        <v>6</v>
      </c>
    </row>
    <row r="1144" spans="1:13" x14ac:dyDescent="0.2">
      <c r="A1144" s="1">
        <v>45466</v>
      </c>
      <c r="B1144" s="2">
        <v>0.79166666666666663</v>
      </c>
      <c r="C1144" s="3">
        <v>45466.791666666664</v>
      </c>
      <c r="D1144">
        <v>91</v>
      </c>
      <c r="E1144">
        <v>101.1</v>
      </c>
      <c r="F1144">
        <v>79.2</v>
      </c>
      <c r="G1144" t="s">
        <v>6</v>
      </c>
      <c r="H1144">
        <v>16.5</v>
      </c>
      <c r="I1144">
        <v>23.7</v>
      </c>
      <c r="J1144">
        <v>11.1</v>
      </c>
      <c r="K1144" t="s">
        <v>6</v>
      </c>
      <c r="L1144">
        <v>182</v>
      </c>
      <c r="M1144" t="s">
        <v>6</v>
      </c>
    </row>
    <row r="1145" spans="1:13" x14ac:dyDescent="0.2">
      <c r="A1145" s="1">
        <v>45466</v>
      </c>
      <c r="B1145" s="2">
        <v>0.83333333333333337</v>
      </c>
      <c r="C1145" s="3">
        <v>45466.833333333336</v>
      </c>
      <c r="D1145">
        <v>59.3</v>
      </c>
      <c r="E1145">
        <v>92.9</v>
      </c>
      <c r="F1145">
        <v>43</v>
      </c>
      <c r="G1145" t="s">
        <v>6</v>
      </c>
      <c r="H1145">
        <v>15.3</v>
      </c>
      <c r="I1145">
        <v>28.6</v>
      </c>
      <c r="J1145">
        <v>11.6</v>
      </c>
      <c r="K1145" t="s">
        <v>6</v>
      </c>
      <c r="L1145">
        <v>222</v>
      </c>
      <c r="M1145" t="s">
        <v>6</v>
      </c>
    </row>
    <row r="1146" spans="1:13" x14ac:dyDescent="0.2">
      <c r="A1146" s="1">
        <v>45466</v>
      </c>
      <c r="B1146" s="2">
        <v>0.875</v>
      </c>
      <c r="C1146" s="3">
        <v>45466.875</v>
      </c>
      <c r="D1146">
        <v>89.5</v>
      </c>
      <c r="E1146">
        <v>105.8</v>
      </c>
      <c r="F1146">
        <v>76.3</v>
      </c>
      <c r="G1146" t="s">
        <v>6</v>
      </c>
      <c r="H1146">
        <v>12.9</v>
      </c>
      <c r="I1146">
        <v>14.7</v>
      </c>
      <c r="J1146">
        <v>11.1</v>
      </c>
      <c r="K1146" t="s">
        <v>6</v>
      </c>
      <c r="L1146">
        <v>219</v>
      </c>
      <c r="M1146" t="s">
        <v>6</v>
      </c>
    </row>
    <row r="1147" spans="1:13" x14ac:dyDescent="0.2">
      <c r="A1147" s="1">
        <v>45466</v>
      </c>
      <c r="B1147" s="2">
        <v>0.91666666666666663</v>
      </c>
      <c r="C1147" s="3">
        <v>45466.916666666664</v>
      </c>
      <c r="D1147">
        <v>91.7</v>
      </c>
      <c r="E1147">
        <v>115.4</v>
      </c>
      <c r="F1147">
        <v>82.1</v>
      </c>
      <c r="G1147" t="s">
        <v>6</v>
      </c>
      <c r="H1147">
        <v>12.8</v>
      </c>
      <c r="I1147">
        <v>15.9</v>
      </c>
      <c r="J1147">
        <v>11.5</v>
      </c>
      <c r="K1147" t="s">
        <v>6</v>
      </c>
      <c r="L1147">
        <v>214</v>
      </c>
      <c r="M1147" t="s">
        <v>6</v>
      </c>
    </row>
    <row r="1148" spans="1:13" x14ac:dyDescent="0.2">
      <c r="A1148" s="1">
        <v>45466</v>
      </c>
      <c r="B1148" s="2">
        <v>0.95833333333333337</v>
      </c>
      <c r="C1148" s="3">
        <v>45466.958333333336</v>
      </c>
      <c r="D1148">
        <v>93.7</v>
      </c>
      <c r="E1148">
        <v>96.6</v>
      </c>
      <c r="F1148">
        <v>79.400000000000006</v>
      </c>
      <c r="G1148" t="s">
        <v>6</v>
      </c>
      <c r="H1148">
        <v>13.6</v>
      </c>
      <c r="I1148">
        <v>25</v>
      </c>
      <c r="J1148">
        <v>11.2</v>
      </c>
      <c r="K1148" t="s">
        <v>6</v>
      </c>
      <c r="L1148">
        <v>228</v>
      </c>
      <c r="M1148" t="s">
        <v>6</v>
      </c>
    </row>
    <row r="1149" spans="1:13" x14ac:dyDescent="0.2">
      <c r="A1149" s="1">
        <v>45467</v>
      </c>
      <c r="B1149" s="2">
        <v>0</v>
      </c>
      <c r="C1149" s="3">
        <v>45467</v>
      </c>
      <c r="D1149">
        <v>96.3</v>
      </c>
      <c r="E1149">
        <v>105.9</v>
      </c>
      <c r="F1149">
        <v>86.8</v>
      </c>
      <c r="G1149" t="s">
        <v>6</v>
      </c>
      <c r="H1149">
        <v>13.1</v>
      </c>
      <c r="I1149">
        <v>24.2</v>
      </c>
      <c r="J1149">
        <v>11.3</v>
      </c>
      <c r="K1149" t="s">
        <v>6</v>
      </c>
      <c r="L1149">
        <v>229</v>
      </c>
      <c r="M1149" t="s">
        <v>6</v>
      </c>
    </row>
    <row r="1150" spans="1:13" x14ac:dyDescent="0.2">
      <c r="A1150" s="1">
        <v>45467</v>
      </c>
      <c r="B1150" s="2">
        <v>4.1666666666666664E-2</v>
      </c>
      <c r="C1150" s="3">
        <v>45467.041666666664</v>
      </c>
      <c r="D1150">
        <v>93.4</v>
      </c>
      <c r="E1150">
        <v>107</v>
      </c>
      <c r="F1150">
        <v>76.2</v>
      </c>
      <c r="G1150" t="s">
        <v>6</v>
      </c>
      <c r="H1150">
        <v>13.6</v>
      </c>
      <c r="I1150">
        <v>24.5</v>
      </c>
      <c r="J1150">
        <v>11</v>
      </c>
      <c r="K1150" t="s">
        <v>6</v>
      </c>
      <c r="L1150">
        <v>221</v>
      </c>
      <c r="M1150" t="s">
        <v>6</v>
      </c>
    </row>
    <row r="1151" spans="1:13" x14ac:dyDescent="0.2">
      <c r="A1151" s="1">
        <v>45467</v>
      </c>
      <c r="B1151" s="2">
        <v>8.3333333333333329E-2</v>
      </c>
      <c r="C1151" s="3">
        <v>45467.083333333336</v>
      </c>
      <c r="D1151">
        <v>80.599999999999994</v>
      </c>
      <c r="E1151">
        <v>90.6</v>
      </c>
      <c r="F1151">
        <v>68.3</v>
      </c>
      <c r="G1151" t="s">
        <v>6</v>
      </c>
      <c r="H1151">
        <v>15.2</v>
      </c>
      <c r="I1151">
        <v>27</v>
      </c>
      <c r="J1151">
        <v>11.7</v>
      </c>
      <c r="K1151" t="s">
        <v>6</v>
      </c>
      <c r="L1151">
        <v>216</v>
      </c>
      <c r="M1151" t="s">
        <v>6</v>
      </c>
    </row>
    <row r="1152" spans="1:13" x14ac:dyDescent="0.2">
      <c r="A1152" s="1">
        <v>45467</v>
      </c>
      <c r="B1152" s="2">
        <v>0.125</v>
      </c>
      <c r="C1152" s="3">
        <v>45467.125</v>
      </c>
      <c r="D1152">
        <v>65.8</v>
      </c>
      <c r="E1152">
        <v>98.7</v>
      </c>
      <c r="F1152">
        <v>46.7</v>
      </c>
      <c r="G1152" t="s">
        <v>6</v>
      </c>
      <c r="H1152">
        <v>13.1</v>
      </c>
      <c r="I1152">
        <v>21.6</v>
      </c>
      <c r="J1152">
        <v>11.1</v>
      </c>
      <c r="K1152" t="s">
        <v>6</v>
      </c>
      <c r="L1152">
        <v>228</v>
      </c>
      <c r="M1152" t="s">
        <v>6</v>
      </c>
    </row>
    <row r="1153" spans="1:13" x14ac:dyDescent="0.2">
      <c r="A1153" s="1">
        <v>45467</v>
      </c>
      <c r="B1153" s="2">
        <v>0.16666666666666666</v>
      </c>
      <c r="C1153" s="3">
        <v>45467.166666666664</v>
      </c>
      <c r="D1153">
        <v>68.8</v>
      </c>
      <c r="E1153">
        <v>95.6</v>
      </c>
      <c r="F1153">
        <v>51.9</v>
      </c>
      <c r="G1153" t="s">
        <v>6</v>
      </c>
      <c r="H1153">
        <v>13.8</v>
      </c>
      <c r="I1153">
        <v>20.6</v>
      </c>
      <c r="J1153">
        <v>11.7</v>
      </c>
      <c r="K1153" t="s">
        <v>6</v>
      </c>
      <c r="L1153">
        <v>216</v>
      </c>
      <c r="M1153" t="s">
        <v>6</v>
      </c>
    </row>
    <row r="1154" spans="1:13" x14ac:dyDescent="0.2">
      <c r="A1154" s="1">
        <v>45467</v>
      </c>
      <c r="B1154" s="2">
        <v>0.20833333333333334</v>
      </c>
      <c r="C1154" s="3">
        <v>45467.208333333336</v>
      </c>
      <c r="D1154">
        <v>58.9</v>
      </c>
      <c r="E1154">
        <v>62</v>
      </c>
      <c r="F1154">
        <v>55</v>
      </c>
      <c r="G1154" t="s">
        <v>6</v>
      </c>
      <c r="H1154">
        <v>19.100000000000001</v>
      </c>
      <c r="I1154">
        <v>27.5</v>
      </c>
      <c r="J1154">
        <v>12.3</v>
      </c>
      <c r="K1154" t="s">
        <v>6</v>
      </c>
      <c r="L1154">
        <v>177</v>
      </c>
      <c r="M1154" t="s">
        <v>6</v>
      </c>
    </row>
    <row r="1155" spans="1:13" x14ac:dyDescent="0.2">
      <c r="A1155" s="1">
        <v>45467</v>
      </c>
      <c r="B1155" s="2">
        <v>0.25</v>
      </c>
      <c r="C1155" s="3">
        <v>45467.25</v>
      </c>
      <c r="D1155">
        <v>59</v>
      </c>
      <c r="E1155">
        <v>66.3</v>
      </c>
      <c r="F1155">
        <v>53.8</v>
      </c>
      <c r="G1155" t="s">
        <v>6</v>
      </c>
      <c r="H1155">
        <v>20.7</v>
      </c>
      <c r="I1155">
        <v>28.8</v>
      </c>
      <c r="J1155">
        <v>13.1</v>
      </c>
      <c r="K1155" t="s">
        <v>6</v>
      </c>
      <c r="L1155">
        <v>40</v>
      </c>
      <c r="M1155" t="s">
        <v>6</v>
      </c>
    </row>
    <row r="1156" spans="1:13" x14ac:dyDescent="0.2">
      <c r="A1156" s="13">
        <v>45467</v>
      </c>
      <c r="B1156" s="9">
        <v>0.33333333333333331</v>
      </c>
      <c r="C1156" s="8">
        <v>45467.333333333336</v>
      </c>
      <c r="D1156" s="10">
        <v>56.1</v>
      </c>
      <c r="E1156" s="10">
        <v>58.1</v>
      </c>
      <c r="F1156" s="10">
        <v>52.7</v>
      </c>
      <c r="G1156" s="10" t="s">
        <v>6</v>
      </c>
      <c r="H1156" s="10">
        <v>10.3</v>
      </c>
      <c r="I1156" s="10">
        <v>10.9</v>
      </c>
      <c r="J1156" s="10">
        <v>10</v>
      </c>
      <c r="K1156" s="10" t="s">
        <v>6</v>
      </c>
      <c r="L1156" s="10">
        <v>14</v>
      </c>
      <c r="M1156" t="s">
        <v>6</v>
      </c>
    </row>
    <row r="1157" spans="1:13" x14ac:dyDescent="0.2">
      <c r="A1157" s="14">
        <v>45467</v>
      </c>
      <c r="B1157" s="12">
        <v>0.375</v>
      </c>
      <c r="C1157" s="7">
        <v>45467.375</v>
      </c>
      <c r="D1157" s="11">
        <v>53.1</v>
      </c>
      <c r="E1157" s="11">
        <v>65.2</v>
      </c>
      <c r="F1157" s="11">
        <v>47.8</v>
      </c>
      <c r="G1157" s="11" t="s">
        <v>6</v>
      </c>
      <c r="H1157" s="11">
        <v>12</v>
      </c>
      <c r="I1157" s="11">
        <v>19.7</v>
      </c>
      <c r="J1157" s="11">
        <v>9.4</v>
      </c>
      <c r="K1157" s="11" t="s">
        <v>6</v>
      </c>
      <c r="L1157" s="11">
        <v>224</v>
      </c>
      <c r="M1157" t="s">
        <v>6</v>
      </c>
    </row>
    <row r="1158" spans="1:13" x14ac:dyDescent="0.2">
      <c r="A1158" s="1">
        <v>45467</v>
      </c>
      <c r="B1158" s="2">
        <v>0.41666666666666669</v>
      </c>
      <c r="C1158" s="3">
        <v>45467.416666666664</v>
      </c>
      <c r="D1158">
        <v>49.4</v>
      </c>
      <c r="E1158">
        <v>56.4</v>
      </c>
      <c r="F1158">
        <v>44.2</v>
      </c>
      <c r="G1158" t="s">
        <v>6</v>
      </c>
      <c r="H1158">
        <v>12</v>
      </c>
      <c r="I1158">
        <v>30.1</v>
      </c>
      <c r="J1158">
        <v>9.4</v>
      </c>
      <c r="K1158" t="s">
        <v>6</v>
      </c>
      <c r="L1158">
        <v>161</v>
      </c>
      <c r="M1158" t="s">
        <v>6</v>
      </c>
    </row>
    <row r="1159" spans="1:13" x14ac:dyDescent="0.2">
      <c r="A1159" s="1">
        <v>45467</v>
      </c>
      <c r="B1159" s="2">
        <v>0.45833333333333331</v>
      </c>
      <c r="C1159" s="3">
        <v>45467.458333333336</v>
      </c>
      <c r="D1159">
        <v>47.4</v>
      </c>
      <c r="E1159">
        <v>48.8</v>
      </c>
      <c r="F1159">
        <v>45.9</v>
      </c>
      <c r="G1159" t="s">
        <v>6</v>
      </c>
      <c r="H1159">
        <v>28.6</v>
      </c>
      <c r="I1159">
        <v>33.9</v>
      </c>
      <c r="J1159">
        <v>17.600000000000001</v>
      </c>
      <c r="K1159" t="s">
        <v>6</v>
      </c>
      <c r="L1159">
        <v>132</v>
      </c>
      <c r="M1159" t="s">
        <v>6</v>
      </c>
    </row>
    <row r="1160" spans="1:13" x14ac:dyDescent="0.2">
      <c r="A1160" s="1">
        <v>45467</v>
      </c>
      <c r="B1160" s="2">
        <v>0.5</v>
      </c>
      <c r="C1160" s="3">
        <v>45467.5</v>
      </c>
      <c r="D1160">
        <v>48.9</v>
      </c>
      <c r="E1160">
        <v>75.7</v>
      </c>
      <c r="F1160">
        <v>45.5</v>
      </c>
      <c r="G1160" t="s">
        <v>6</v>
      </c>
      <c r="H1160">
        <v>27.6</v>
      </c>
      <c r="I1160">
        <v>35.1</v>
      </c>
      <c r="J1160">
        <v>15.9</v>
      </c>
      <c r="K1160" t="s">
        <v>6</v>
      </c>
      <c r="L1160">
        <v>108</v>
      </c>
      <c r="M1160" t="s">
        <v>6</v>
      </c>
    </row>
    <row r="1161" spans="1:13" x14ac:dyDescent="0.2">
      <c r="A1161" s="1">
        <v>45467</v>
      </c>
      <c r="B1161" s="2">
        <v>0.54166666666666663</v>
      </c>
      <c r="C1161" s="3">
        <v>45467.541666666664</v>
      </c>
      <c r="D1161">
        <v>73.8</v>
      </c>
      <c r="E1161">
        <v>80.8</v>
      </c>
      <c r="F1161">
        <v>68.8</v>
      </c>
      <c r="G1161" t="s">
        <v>6</v>
      </c>
      <c r="H1161">
        <v>22</v>
      </c>
      <c r="I1161">
        <v>32.1</v>
      </c>
      <c r="J1161">
        <v>9.5</v>
      </c>
      <c r="K1161" t="s">
        <v>6</v>
      </c>
      <c r="L1161">
        <v>29</v>
      </c>
      <c r="M1161" t="s">
        <v>6</v>
      </c>
    </row>
    <row r="1162" spans="1:13" x14ac:dyDescent="0.2">
      <c r="A1162" s="1">
        <v>45467</v>
      </c>
      <c r="B1162" s="2">
        <v>0.70833333333333337</v>
      </c>
      <c r="C1162" s="3">
        <v>45467.708333333336</v>
      </c>
      <c r="D1162">
        <v>82.3</v>
      </c>
      <c r="E1162">
        <v>96.7</v>
      </c>
      <c r="F1162">
        <v>56.2</v>
      </c>
      <c r="G1162" t="s">
        <v>6</v>
      </c>
      <c r="H1162">
        <v>17</v>
      </c>
      <c r="I1162">
        <v>22.4</v>
      </c>
      <c r="J1162">
        <v>13.4</v>
      </c>
      <c r="K1162" t="s">
        <v>6</v>
      </c>
      <c r="L1162">
        <v>108</v>
      </c>
      <c r="M1162" t="s">
        <v>6</v>
      </c>
    </row>
    <row r="1163" spans="1:13" x14ac:dyDescent="0.2">
      <c r="A1163" s="1">
        <v>45467</v>
      </c>
      <c r="B1163" s="2">
        <v>0.83333333333333337</v>
      </c>
      <c r="C1163" s="3">
        <v>45467.833333333336</v>
      </c>
      <c r="D1163">
        <v>87.4</v>
      </c>
      <c r="E1163">
        <v>99</v>
      </c>
      <c r="F1163">
        <v>78.8</v>
      </c>
      <c r="G1163" t="s">
        <v>6</v>
      </c>
      <c r="H1163">
        <v>16.100000000000001</v>
      </c>
      <c r="I1163">
        <v>26.4</v>
      </c>
      <c r="J1163">
        <v>12.7</v>
      </c>
      <c r="K1163" t="s">
        <v>6</v>
      </c>
      <c r="L1163">
        <v>158</v>
      </c>
      <c r="M1163" t="s">
        <v>6</v>
      </c>
    </row>
    <row r="1164" spans="1:13" x14ac:dyDescent="0.2">
      <c r="A1164" s="1">
        <v>45467</v>
      </c>
      <c r="B1164" s="2">
        <v>0.875</v>
      </c>
      <c r="C1164" s="3">
        <v>45467.875</v>
      </c>
      <c r="D1164">
        <v>85.2</v>
      </c>
      <c r="E1164">
        <v>94.3</v>
      </c>
      <c r="F1164">
        <v>75.400000000000006</v>
      </c>
      <c r="G1164" t="s">
        <v>6</v>
      </c>
      <c r="H1164">
        <v>16.5</v>
      </c>
      <c r="I1164">
        <v>26</v>
      </c>
      <c r="J1164">
        <v>12.7</v>
      </c>
      <c r="K1164" t="s">
        <v>6</v>
      </c>
      <c r="L1164">
        <v>208</v>
      </c>
      <c r="M1164" t="s">
        <v>6</v>
      </c>
    </row>
    <row r="1165" spans="1:13" x14ac:dyDescent="0.2">
      <c r="A1165" s="1">
        <v>45467</v>
      </c>
      <c r="B1165" s="2">
        <v>0.91666666666666663</v>
      </c>
      <c r="C1165" s="3">
        <v>45467.916666666664</v>
      </c>
      <c r="D1165">
        <v>92.3</v>
      </c>
      <c r="E1165">
        <v>104.3</v>
      </c>
      <c r="F1165">
        <v>84.6</v>
      </c>
      <c r="G1165" t="s">
        <v>6</v>
      </c>
      <c r="H1165">
        <v>15.3</v>
      </c>
      <c r="I1165">
        <v>25.8</v>
      </c>
      <c r="J1165">
        <v>11.1</v>
      </c>
      <c r="K1165" t="s">
        <v>6</v>
      </c>
      <c r="L1165">
        <v>217</v>
      </c>
      <c r="M1165" t="s">
        <v>6</v>
      </c>
    </row>
    <row r="1166" spans="1:13" x14ac:dyDescent="0.2">
      <c r="A1166" s="1">
        <v>45467</v>
      </c>
      <c r="B1166" s="2">
        <v>0.95833333333333337</v>
      </c>
      <c r="C1166" s="3">
        <v>45467.958333333336</v>
      </c>
      <c r="D1166">
        <v>88.2</v>
      </c>
      <c r="E1166">
        <v>98.8</v>
      </c>
      <c r="F1166">
        <v>79.599999999999994</v>
      </c>
      <c r="G1166" t="s">
        <v>6</v>
      </c>
      <c r="H1166">
        <v>15.6</v>
      </c>
      <c r="I1166">
        <v>25.3</v>
      </c>
      <c r="J1166">
        <v>12.2</v>
      </c>
      <c r="K1166" t="s">
        <v>6</v>
      </c>
      <c r="L1166">
        <v>220</v>
      </c>
      <c r="M1166" t="s">
        <v>6</v>
      </c>
    </row>
    <row r="1167" spans="1:13" x14ac:dyDescent="0.2">
      <c r="A1167" s="1">
        <v>45468</v>
      </c>
      <c r="B1167" s="2">
        <v>0</v>
      </c>
      <c r="C1167" s="3">
        <v>45468</v>
      </c>
      <c r="D1167">
        <v>91.5</v>
      </c>
      <c r="E1167">
        <v>103.3</v>
      </c>
      <c r="F1167">
        <v>77.8</v>
      </c>
      <c r="G1167" t="s">
        <v>6</v>
      </c>
      <c r="H1167">
        <v>14</v>
      </c>
      <c r="I1167">
        <v>20.3</v>
      </c>
      <c r="J1167">
        <v>11.2</v>
      </c>
      <c r="K1167" t="s">
        <v>6</v>
      </c>
      <c r="L1167">
        <v>220</v>
      </c>
      <c r="M1167" t="s">
        <v>6</v>
      </c>
    </row>
    <row r="1168" spans="1:13" x14ac:dyDescent="0.2">
      <c r="A1168" s="1">
        <v>45468</v>
      </c>
      <c r="B1168" s="2">
        <v>4.1666666666666664E-2</v>
      </c>
      <c r="C1168" s="3">
        <v>45468.041666666664</v>
      </c>
      <c r="D1168">
        <v>94.5</v>
      </c>
      <c r="E1168">
        <v>114.5</v>
      </c>
      <c r="F1168">
        <v>69.900000000000006</v>
      </c>
      <c r="G1168" t="s">
        <v>6</v>
      </c>
      <c r="H1168">
        <v>12.5</v>
      </c>
      <c r="I1168">
        <v>21.2</v>
      </c>
      <c r="J1168">
        <v>11</v>
      </c>
      <c r="K1168" t="s">
        <v>6</v>
      </c>
      <c r="L1168">
        <v>224</v>
      </c>
      <c r="M1168" t="s">
        <v>6</v>
      </c>
    </row>
    <row r="1169" spans="1:13" x14ac:dyDescent="0.2">
      <c r="A1169" s="1">
        <v>45468</v>
      </c>
      <c r="B1169" s="2">
        <v>8.3333333333333329E-2</v>
      </c>
      <c r="C1169" s="3">
        <v>45468.083333333336</v>
      </c>
      <c r="D1169">
        <v>94.1</v>
      </c>
      <c r="E1169">
        <v>111</v>
      </c>
      <c r="F1169">
        <v>75.3</v>
      </c>
      <c r="G1169" t="s">
        <v>6</v>
      </c>
      <c r="H1169">
        <v>14.1</v>
      </c>
      <c r="I1169">
        <v>23.8</v>
      </c>
      <c r="J1169">
        <v>11.2</v>
      </c>
      <c r="K1169" t="s">
        <v>6</v>
      </c>
      <c r="L1169">
        <v>223</v>
      </c>
      <c r="M1169" t="s">
        <v>6</v>
      </c>
    </row>
    <row r="1170" spans="1:13" x14ac:dyDescent="0.2">
      <c r="A1170" s="1">
        <v>45468</v>
      </c>
      <c r="B1170" s="2">
        <v>0.125</v>
      </c>
      <c r="C1170" s="3">
        <v>45468.125</v>
      </c>
      <c r="D1170">
        <v>100.2</v>
      </c>
      <c r="E1170">
        <v>122.2</v>
      </c>
      <c r="F1170">
        <v>83.6</v>
      </c>
      <c r="G1170" t="s">
        <v>6</v>
      </c>
      <c r="H1170">
        <v>12.7</v>
      </c>
      <c r="I1170">
        <v>18.399999999999999</v>
      </c>
      <c r="J1170">
        <v>10.6</v>
      </c>
      <c r="K1170" t="s">
        <v>6</v>
      </c>
      <c r="L1170">
        <v>219</v>
      </c>
      <c r="M1170" t="s">
        <v>6</v>
      </c>
    </row>
    <row r="1171" spans="1:13" x14ac:dyDescent="0.2">
      <c r="A1171" s="1">
        <v>45468</v>
      </c>
      <c r="B1171" s="2">
        <v>0.16666666666666666</v>
      </c>
      <c r="C1171" s="3">
        <v>45468.166666666664</v>
      </c>
      <c r="D1171">
        <v>103</v>
      </c>
      <c r="E1171">
        <v>127.2</v>
      </c>
      <c r="F1171">
        <v>86.8</v>
      </c>
      <c r="G1171" t="s">
        <v>6</v>
      </c>
      <c r="H1171">
        <v>12.5</v>
      </c>
      <c r="I1171">
        <v>14.3</v>
      </c>
      <c r="J1171">
        <v>11.2</v>
      </c>
      <c r="K1171" t="s">
        <v>6</v>
      </c>
      <c r="L1171">
        <v>220</v>
      </c>
      <c r="M1171" t="s">
        <v>6</v>
      </c>
    </row>
    <row r="1172" spans="1:13" x14ac:dyDescent="0.2">
      <c r="A1172" s="1">
        <v>45468</v>
      </c>
      <c r="B1172" s="2">
        <v>0.20833333333333334</v>
      </c>
      <c r="C1172" s="3">
        <v>45468.208333333336</v>
      </c>
      <c r="D1172">
        <v>67.5</v>
      </c>
      <c r="E1172">
        <v>100.7</v>
      </c>
      <c r="F1172">
        <v>51.4</v>
      </c>
      <c r="G1172" t="s">
        <v>6</v>
      </c>
      <c r="H1172">
        <v>15.2</v>
      </c>
      <c r="I1172">
        <v>23.6</v>
      </c>
      <c r="J1172">
        <v>10.8</v>
      </c>
      <c r="K1172" t="s">
        <v>6</v>
      </c>
      <c r="L1172">
        <v>150</v>
      </c>
      <c r="M1172" t="s">
        <v>6</v>
      </c>
    </row>
    <row r="1173" spans="1:13" x14ac:dyDescent="0.2">
      <c r="A1173" s="1">
        <v>45468</v>
      </c>
      <c r="B1173" s="2">
        <v>0.25</v>
      </c>
      <c r="C1173" s="3">
        <v>45468.25</v>
      </c>
      <c r="D1173">
        <v>50.5</v>
      </c>
      <c r="E1173">
        <v>52.5</v>
      </c>
      <c r="F1173">
        <v>48.1</v>
      </c>
      <c r="G1173" t="s">
        <v>6</v>
      </c>
      <c r="H1173">
        <v>17.600000000000001</v>
      </c>
      <c r="I1173">
        <v>21.5</v>
      </c>
      <c r="J1173">
        <v>14.2</v>
      </c>
      <c r="K1173" t="s">
        <v>6</v>
      </c>
      <c r="L1173">
        <v>35</v>
      </c>
      <c r="M1173" t="s">
        <v>6</v>
      </c>
    </row>
    <row r="1174" spans="1:13" x14ac:dyDescent="0.2">
      <c r="A1174" s="1">
        <v>45468</v>
      </c>
      <c r="B1174" s="2">
        <v>0.29166666666666669</v>
      </c>
      <c r="C1174" s="3">
        <v>45468.291666666664</v>
      </c>
      <c r="D1174">
        <v>47.7</v>
      </c>
      <c r="E1174">
        <v>48.8</v>
      </c>
      <c r="F1174">
        <v>47</v>
      </c>
      <c r="G1174" t="s">
        <v>6</v>
      </c>
      <c r="H1174">
        <v>20.2</v>
      </c>
      <c r="I1174">
        <v>22.3</v>
      </c>
      <c r="J1174">
        <v>16.399999999999999</v>
      </c>
      <c r="K1174" t="s">
        <v>6</v>
      </c>
      <c r="L1174">
        <v>9</v>
      </c>
      <c r="M1174" t="s">
        <v>6</v>
      </c>
    </row>
    <row r="1175" spans="1:13" x14ac:dyDescent="0.2">
      <c r="A1175" s="13">
        <v>45468</v>
      </c>
      <c r="B1175" s="9">
        <v>0.33333333333333331</v>
      </c>
      <c r="C1175" s="8">
        <v>45468.333333333336</v>
      </c>
      <c r="D1175" s="10">
        <v>46.2</v>
      </c>
      <c r="E1175" s="10">
        <v>46.9</v>
      </c>
      <c r="F1175" s="10">
        <v>45.5</v>
      </c>
      <c r="G1175" s="10" t="s">
        <v>6</v>
      </c>
      <c r="H1175" s="10">
        <v>29.9</v>
      </c>
      <c r="I1175" s="10">
        <v>34.5</v>
      </c>
      <c r="J1175" s="10">
        <v>21.9</v>
      </c>
      <c r="K1175" s="10" t="s">
        <v>6</v>
      </c>
      <c r="L1175" s="10">
        <v>24</v>
      </c>
      <c r="M1175" t="s">
        <v>6</v>
      </c>
    </row>
    <row r="1176" spans="1:13" x14ac:dyDescent="0.2">
      <c r="A1176" s="14">
        <v>45468</v>
      </c>
      <c r="B1176" s="12">
        <v>0.375</v>
      </c>
      <c r="C1176" s="7">
        <v>45468.375</v>
      </c>
      <c r="D1176" s="11">
        <v>45.9</v>
      </c>
      <c r="E1176" s="11">
        <v>48.1</v>
      </c>
      <c r="F1176" s="11">
        <v>44.4</v>
      </c>
      <c r="G1176" s="11" t="s">
        <v>6</v>
      </c>
      <c r="H1176" s="11">
        <v>23.1</v>
      </c>
      <c r="I1176" s="11">
        <v>34.5</v>
      </c>
      <c r="J1176" s="11">
        <v>13.3</v>
      </c>
      <c r="K1176" s="11" t="s">
        <v>6</v>
      </c>
      <c r="L1176" s="11">
        <v>59</v>
      </c>
      <c r="M1176" t="s">
        <v>6</v>
      </c>
    </row>
    <row r="1177" spans="1:13" x14ac:dyDescent="0.2">
      <c r="A1177" s="1">
        <v>45468</v>
      </c>
      <c r="B1177" s="2">
        <v>0.41666666666666669</v>
      </c>
      <c r="C1177" s="3">
        <v>45468.416666666664</v>
      </c>
      <c r="D1177">
        <v>44.4</v>
      </c>
      <c r="E1177">
        <v>46.9</v>
      </c>
      <c r="F1177">
        <v>42.7</v>
      </c>
      <c r="G1177" t="s">
        <v>6</v>
      </c>
      <c r="H1177">
        <v>23.5</v>
      </c>
      <c r="I1177">
        <v>34.200000000000003</v>
      </c>
      <c r="J1177">
        <v>15.7</v>
      </c>
      <c r="K1177" t="s">
        <v>6</v>
      </c>
      <c r="L1177">
        <v>43</v>
      </c>
      <c r="M1177" t="s">
        <v>6</v>
      </c>
    </row>
    <row r="1178" spans="1:13" x14ac:dyDescent="0.2">
      <c r="A1178" s="1">
        <v>45468</v>
      </c>
      <c r="B1178" s="2">
        <v>0.45833333333333331</v>
      </c>
      <c r="C1178" s="3">
        <v>45468.458333333336</v>
      </c>
      <c r="D1178">
        <v>42.1</v>
      </c>
      <c r="E1178">
        <v>44.9</v>
      </c>
      <c r="F1178">
        <v>40.1</v>
      </c>
      <c r="G1178" t="s">
        <v>6</v>
      </c>
      <c r="H1178">
        <v>15.1</v>
      </c>
      <c r="I1178">
        <v>34.1</v>
      </c>
      <c r="J1178">
        <v>10.5</v>
      </c>
      <c r="K1178" t="s">
        <v>6</v>
      </c>
      <c r="L1178">
        <v>154</v>
      </c>
      <c r="M1178" t="s">
        <v>6</v>
      </c>
    </row>
    <row r="1179" spans="1:13" x14ac:dyDescent="0.2">
      <c r="A1179" s="1">
        <v>45468</v>
      </c>
      <c r="B1179" s="2">
        <v>0.5</v>
      </c>
      <c r="C1179" s="3">
        <v>45468.5</v>
      </c>
      <c r="D1179">
        <v>40.4</v>
      </c>
      <c r="E1179">
        <v>40.6</v>
      </c>
      <c r="F1179">
        <v>40.200000000000003</v>
      </c>
      <c r="G1179" t="s">
        <v>6</v>
      </c>
      <c r="H1179">
        <v>16.8</v>
      </c>
      <c r="I1179">
        <v>19.899999999999999</v>
      </c>
      <c r="J1179">
        <v>14.7</v>
      </c>
      <c r="K1179" t="s">
        <v>6</v>
      </c>
      <c r="L1179">
        <v>9</v>
      </c>
      <c r="M1179" t="s">
        <v>6</v>
      </c>
    </row>
    <row r="1180" spans="1:13" x14ac:dyDescent="0.2">
      <c r="A1180" s="1">
        <v>45468</v>
      </c>
      <c r="B1180" s="2">
        <v>0.54166666666666663</v>
      </c>
      <c r="C1180" s="3">
        <v>45468.541666666664</v>
      </c>
      <c r="D1180">
        <v>40.799999999999997</v>
      </c>
      <c r="E1180">
        <v>45</v>
      </c>
      <c r="F1180">
        <v>40.1</v>
      </c>
      <c r="G1180" t="s">
        <v>6</v>
      </c>
      <c r="H1180">
        <v>14.9</v>
      </c>
      <c r="I1180">
        <v>18.600000000000001</v>
      </c>
      <c r="J1180">
        <v>12.7</v>
      </c>
      <c r="K1180" t="s">
        <v>6</v>
      </c>
      <c r="L1180">
        <v>65</v>
      </c>
      <c r="M1180" t="s">
        <v>6</v>
      </c>
    </row>
    <row r="1181" spans="1:13" x14ac:dyDescent="0.2">
      <c r="A1181" s="1">
        <v>45468</v>
      </c>
      <c r="B1181" s="2">
        <v>0.75</v>
      </c>
      <c r="C1181" s="3">
        <v>45468.75</v>
      </c>
      <c r="D1181">
        <v>48.7</v>
      </c>
      <c r="E1181">
        <v>50.6</v>
      </c>
      <c r="F1181">
        <v>42.4</v>
      </c>
      <c r="G1181" t="s">
        <v>6</v>
      </c>
      <c r="H1181">
        <v>29.5</v>
      </c>
      <c r="I1181">
        <v>32.9</v>
      </c>
      <c r="J1181">
        <v>20.3</v>
      </c>
      <c r="K1181" t="s">
        <v>6</v>
      </c>
      <c r="L1181">
        <v>29</v>
      </c>
      <c r="M1181" t="s">
        <v>6</v>
      </c>
    </row>
    <row r="1182" spans="1:13" x14ac:dyDescent="0.2">
      <c r="A1182" s="1">
        <v>45468</v>
      </c>
      <c r="B1182" s="2">
        <v>0.79166666666666663</v>
      </c>
      <c r="C1182" s="3">
        <v>45468.791666666664</v>
      </c>
      <c r="D1182">
        <v>72.099999999999994</v>
      </c>
      <c r="E1182">
        <v>107.2</v>
      </c>
      <c r="F1182">
        <v>46.7</v>
      </c>
      <c r="G1182" t="s">
        <v>6</v>
      </c>
      <c r="H1182">
        <v>19.7</v>
      </c>
      <c r="I1182">
        <v>34.299999999999997</v>
      </c>
      <c r="J1182">
        <v>13.2</v>
      </c>
      <c r="K1182" t="s">
        <v>6</v>
      </c>
      <c r="L1182">
        <v>67</v>
      </c>
      <c r="M1182" t="s">
        <v>6</v>
      </c>
    </row>
    <row r="1183" spans="1:13" x14ac:dyDescent="0.2">
      <c r="A1183" s="1">
        <v>45468</v>
      </c>
      <c r="B1183" s="2">
        <v>0.83333333333333337</v>
      </c>
      <c r="C1183" s="3">
        <v>45468.833333333336</v>
      </c>
      <c r="D1183">
        <v>56.6</v>
      </c>
      <c r="E1183">
        <v>84.6</v>
      </c>
      <c r="F1183">
        <v>41.3</v>
      </c>
      <c r="G1183" t="s">
        <v>6</v>
      </c>
      <c r="H1183">
        <v>16.5</v>
      </c>
      <c r="I1183">
        <v>30.2</v>
      </c>
      <c r="J1183">
        <v>12.1</v>
      </c>
      <c r="K1183" t="s">
        <v>6</v>
      </c>
      <c r="L1183">
        <v>152</v>
      </c>
      <c r="M1183" t="s">
        <v>6</v>
      </c>
    </row>
    <row r="1184" spans="1:13" x14ac:dyDescent="0.2">
      <c r="A1184" s="1">
        <v>45468</v>
      </c>
      <c r="B1184" s="2">
        <v>0.875</v>
      </c>
      <c r="C1184" s="3">
        <v>45468.875</v>
      </c>
      <c r="D1184">
        <v>66.900000000000006</v>
      </c>
      <c r="E1184">
        <v>97.4</v>
      </c>
      <c r="F1184">
        <v>52</v>
      </c>
      <c r="G1184" t="s">
        <v>6</v>
      </c>
      <c r="H1184">
        <v>20.3</v>
      </c>
      <c r="I1184">
        <v>32.6</v>
      </c>
      <c r="J1184">
        <v>12.3</v>
      </c>
      <c r="K1184" t="s">
        <v>6</v>
      </c>
      <c r="L1184">
        <v>206</v>
      </c>
      <c r="M1184" t="s">
        <v>6</v>
      </c>
    </row>
    <row r="1185" spans="1:13" x14ac:dyDescent="0.2">
      <c r="A1185" s="1">
        <v>45468</v>
      </c>
      <c r="B1185" s="2">
        <v>0.91666666666666663</v>
      </c>
      <c r="C1185" s="3">
        <v>45468.916666666664</v>
      </c>
      <c r="D1185">
        <v>94.2</v>
      </c>
      <c r="E1185">
        <v>104.3</v>
      </c>
      <c r="F1185">
        <v>86.4</v>
      </c>
      <c r="G1185" t="s">
        <v>6</v>
      </c>
      <c r="H1185">
        <v>16.100000000000001</v>
      </c>
      <c r="I1185">
        <v>26.6</v>
      </c>
      <c r="J1185">
        <v>12.1</v>
      </c>
      <c r="K1185" t="s">
        <v>6</v>
      </c>
      <c r="L1185">
        <v>221</v>
      </c>
      <c r="M1185" t="s">
        <v>6</v>
      </c>
    </row>
    <row r="1186" spans="1:13" x14ac:dyDescent="0.2">
      <c r="A1186" s="1">
        <v>45468</v>
      </c>
      <c r="B1186" s="2">
        <v>0.95833333333333337</v>
      </c>
      <c r="C1186" s="3">
        <v>45468.958333333336</v>
      </c>
      <c r="D1186">
        <v>97.2</v>
      </c>
      <c r="E1186">
        <v>105.4</v>
      </c>
      <c r="F1186">
        <v>90.2</v>
      </c>
      <c r="G1186" t="s">
        <v>6</v>
      </c>
      <c r="H1186">
        <v>15.4</v>
      </c>
      <c r="I1186">
        <v>25.9</v>
      </c>
      <c r="J1186">
        <v>12</v>
      </c>
      <c r="K1186" t="s">
        <v>6</v>
      </c>
      <c r="L1186">
        <v>224</v>
      </c>
      <c r="M1186" t="s">
        <v>6</v>
      </c>
    </row>
    <row r="1187" spans="1:13" x14ac:dyDescent="0.2">
      <c r="A1187" s="1">
        <v>45469</v>
      </c>
      <c r="B1187" s="2">
        <v>0</v>
      </c>
      <c r="C1187" s="3">
        <v>45469</v>
      </c>
      <c r="D1187">
        <v>76.099999999999994</v>
      </c>
      <c r="E1187">
        <v>99.7</v>
      </c>
      <c r="F1187">
        <v>46.2</v>
      </c>
      <c r="G1187" t="s">
        <v>6</v>
      </c>
      <c r="H1187">
        <v>13.9</v>
      </c>
      <c r="I1187">
        <v>25.8</v>
      </c>
      <c r="J1187">
        <v>11.5</v>
      </c>
      <c r="K1187" t="s">
        <v>6</v>
      </c>
      <c r="L1187">
        <v>226</v>
      </c>
      <c r="M1187" t="s">
        <v>6</v>
      </c>
    </row>
    <row r="1188" spans="1:13" x14ac:dyDescent="0.2">
      <c r="A1188" s="1">
        <v>45469</v>
      </c>
      <c r="B1188" s="2">
        <v>4.1666666666666664E-2</v>
      </c>
      <c r="C1188" s="3">
        <v>45469.041666666664</v>
      </c>
      <c r="D1188">
        <v>42.8</v>
      </c>
      <c r="E1188">
        <v>49.3</v>
      </c>
      <c r="F1188">
        <v>40.1</v>
      </c>
      <c r="G1188" t="s">
        <v>6</v>
      </c>
      <c r="H1188">
        <v>13.3</v>
      </c>
      <c r="I1188">
        <v>20.6</v>
      </c>
      <c r="J1188">
        <v>11.4</v>
      </c>
      <c r="K1188" t="s">
        <v>6</v>
      </c>
      <c r="L1188">
        <v>203</v>
      </c>
      <c r="M1188" t="s">
        <v>6</v>
      </c>
    </row>
    <row r="1189" spans="1:13" x14ac:dyDescent="0.2">
      <c r="A1189" s="1">
        <v>45469</v>
      </c>
      <c r="B1189" s="2">
        <v>8.3333333333333329E-2</v>
      </c>
      <c r="C1189" s="3">
        <v>45469.083333333336</v>
      </c>
      <c r="D1189">
        <v>41.8</v>
      </c>
      <c r="E1189">
        <v>45.2</v>
      </c>
      <c r="F1189">
        <v>40.1</v>
      </c>
      <c r="G1189" t="s">
        <v>6</v>
      </c>
      <c r="H1189">
        <v>15.2</v>
      </c>
      <c r="I1189">
        <v>27.7</v>
      </c>
      <c r="J1189">
        <v>11.4</v>
      </c>
      <c r="K1189" t="s">
        <v>6</v>
      </c>
      <c r="L1189">
        <v>188</v>
      </c>
      <c r="M1189" t="s">
        <v>6</v>
      </c>
    </row>
    <row r="1190" spans="1:13" x14ac:dyDescent="0.2">
      <c r="A1190" s="1">
        <v>45469</v>
      </c>
      <c r="B1190" s="2">
        <v>0.125</v>
      </c>
      <c r="C1190" s="3">
        <v>45469.125</v>
      </c>
      <c r="D1190">
        <v>41.8</v>
      </c>
      <c r="E1190">
        <v>44.3</v>
      </c>
      <c r="F1190">
        <v>40.1</v>
      </c>
      <c r="G1190" t="s">
        <v>6</v>
      </c>
      <c r="H1190">
        <v>13.8</v>
      </c>
      <c r="I1190">
        <v>20.8</v>
      </c>
      <c r="J1190">
        <v>11.4</v>
      </c>
      <c r="K1190" t="s">
        <v>6</v>
      </c>
      <c r="L1190">
        <v>112</v>
      </c>
      <c r="M1190" t="s">
        <v>6</v>
      </c>
    </row>
    <row r="1191" spans="1:13" x14ac:dyDescent="0.2">
      <c r="A1191" s="1">
        <v>45469</v>
      </c>
      <c r="B1191" s="2">
        <v>0.16666666666666666</v>
      </c>
      <c r="C1191" s="3">
        <v>45469.166666666664</v>
      </c>
      <c r="D1191">
        <v>57.7</v>
      </c>
      <c r="E1191">
        <v>66.3</v>
      </c>
      <c r="F1191">
        <v>51.8</v>
      </c>
      <c r="G1191" t="s">
        <v>6</v>
      </c>
      <c r="H1191">
        <v>13.4</v>
      </c>
      <c r="I1191">
        <v>19</v>
      </c>
      <c r="J1191">
        <v>11.4</v>
      </c>
      <c r="K1191" t="s">
        <v>6</v>
      </c>
      <c r="L1191">
        <v>182</v>
      </c>
      <c r="M1191" t="s">
        <v>6</v>
      </c>
    </row>
    <row r="1192" spans="1:13" x14ac:dyDescent="0.2">
      <c r="A1192" s="1">
        <v>45469</v>
      </c>
      <c r="B1192" s="2">
        <v>0.20833333333333334</v>
      </c>
      <c r="C1192" s="3">
        <v>45469.208333333336</v>
      </c>
      <c r="D1192">
        <v>57.2</v>
      </c>
      <c r="E1192">
        <v>63.8</v>
      </c>
      <c r="F1192">
        <v>49</v>
      </c>
      <c r="G1192" t="s">
        <v>6</v>
      </c>
      <c r="H1192">
        <v>13.1</v>
      </c>
      <c r="I1192">
        <v>24.5</v>
      </c>
      <c r="J1192">
        <v>11</v>
      </c>
      <c r="K1192" t="s">
        <v>6</v>
      </c>
      <c r="L1192">
        <v>221</v>
      </c>
      <c r="M1192" t="s">
        <v>6</v>
      </c>
    </row>
    <row r="1193" spans="1:13" x14ac:dyDescent="0.2">
      <c r="A1193" s="1">
        <v>45469</v>
      </c>
      <c r="B1193" s="2">
        <v>0.25</v>
      </c>
      <c r="C1193" s="3">
        <v>45469.25</v>
      </c>
      <c r="D1193">
        <v>49.1</v>
      </c>
      <c r="E1193">
        <v>51.2</v>
      </c>
      <c r="F1193">
        <v>46.9</v>
      </c>
      <c r="G1193" t="s">
        <v>6</v>
      </c>
      <c r="H1193">
        <v>12.5</v>
      </c>
      <c r="I1193">
        <v>14.4</v>
      </c>
      <c r="J1193">
        <v>10.9</v>
      </c>
      <c r="K1193" t="s">
        <v>6</v>
      </c>
      <c r="L1193">
        <v>120</v>
      </c>
      <c r="M1193" t="s">
        <v>6</v>
      </c>
    </row>
    <row r="1194" spans="1:13" x14ac:dyDescent="0.2">
      <c r="A1194" s="1">
        <v>45469</v>
      </c>
      <c r="B1194" s="2">
        <v>0.29166666666666669</v>
      </c>
      <c r="C1194" s="3">
        <v>45469.291666666664</v>
      </c>
      <c r="D1194">
        <v>51.1</v>
      </c>
      <c r="E1194">
        <v>55.3</v>
      </c>
      <c r="F1194">
        <v>48.5</v>
      </c>
      <c r="G1194" t="s">
        <v>6</v>
      </c>
      <c r="H1194">
        <v>13.5</v>
      </c>
      <c r="I1194">
        <v>17.399999999999999</v>
      </c>
      <c r="J1194">
        <v>12</v>
      </c>
      <c r="K1194" t="s">
        <v>6</v>
      </c>
      <c r="L1194">
        <v>51</v>
      </c>
      <c r="M1194" t="s">
        <v>6</v>
      </c>
    </row>
    <row r="1195" spans="1:13" x14ac:dyDescent="0.2">
      <c r="A1195" s="13">
        <v>45469</v>
      </c>
      <c r="B1195" s="9">
        <v>0.33333333333333331</v>
      </c>
      <c r="C1195" s="8">
        <v>45469.333333333336</v>
      </c>
      <c r="D1195" s="10">
        <v>54.7</v>
      </c>
      <c r="E1195" s="10">
        <v>73.900000000000006</v>
      </c>
      <c r="F1195" s="10">
        <v>49.2</v>
      </c>
      <c r="G1195" s="10" t="s">
        <v>6</v>
      </c>
      <c r="H1195" s="10">
        <v>13.9</v>
      </c>
      <c r="I1195" s="10">
        <v>19.100000000000001</v>
      </c>
      <c r="J1195" s="10">
        <v>10.9</v>
      </c>
      <c r="K1195" s="10" t="s">
        <v>6</v>
      </c>
      <c r="L1195" s="10">
        <v>114</v>
      </c>
      <c r="M1195" t="s">
        <v>6</v>
      </c>
    </row>
    <row r="1196" spans="1:13" x14ac:dyDescent="0.2">
      <c r="A1196" s="14">
        <v>45469</v>
      </c>
      <c r="B1196" s="12">
        <v>0.375</v>
      </c>
      <c r="C1196" s="7">
        <v>45469.375</v>
      </c>
      <c r="D1196" s="11">
        <v>64.8</v>
      </c>
      <c r="E1196" s="11">
        <v>74</v>
      </c>
      <c r="F1196" s="11">
        <v>58.5</v>
      </c>
      <c r="G1196" s="11" t="s">
        <v>6</v>
      </c>
      <c r="H1196" s="11">
        <v>13</v>
      </c>
      <c r="I1196" s="11">
        <v>15.9</v>
      </c>
      <c r="J1196" s="11">
        <v>10.8</v>
      </c>
      <c r="K1196" s="11" t="s">
        <v>6</v>
      </c>
      <c r="L1196" s="11">
        <v>110</v>
      </c>
      <c r="M1196" t="s">
        <v>6</v>
      </c>
    </row>
    <row r="1197" spans="1:13" x14ac:dyDescent="0.2">
      <c r="A1197" s="1">
        <v>45469</v>
      </c>
      <c r="B1197" s="2">
        <v>0.41666666666666669</v>
      </c>
      <c r="C1197" s="3">
        <v>45469.416666666664</v>
      </c>
      <c r="D1197">
        <v>61.8</v>
      </c>
      <c r="E1197">
        <v>66.900000000000006</v>
      </c>
      <c r="F1197">
        <v>55.6</v>
      </c>
      <c r="G1197" t="s">
        <v>6</v>
      </c>
      <c r="H1197">
        <v>13</v>
      </c>
      <c r="I1197">
        <v>15.7</v>
      </c>
      <c r="J1197">
        <v>10.5</v>
      </c>
      <c r="K1197" t="s">
        <v>6</v>
      </c>
      <c r="L1197">
        <v>100</v>
      </c>
      <c r="M1197" t="s">
        <v>6</v>
      </c>
    </row>
    <row r="1198" spans="1:13" x14ac:dyDescent="0.2">
      <c r="A1198" s="1">
        <v>45469</v>
      </c>
      <c r="B1198" s="2">
        <v>0.45833333333333331</v>
      </c>
      <c r="C1198" s="3">
        <v>45469.458333333336</v>
      </c>
      <c r="D1198">
        <v>60.1</v>
      </c>
      <c r="E1198">
        <v>62.6</v>
      </c>
      <c r="F1198">
        <v>56.5</v>
      </c>
      <c r="G1198" t="s">
        <v>6</v>
      </c>
      <c r="H1198">
        <v>12.6</v>
      </c>
      <c r="I1198">
        <v>16.3</v>
      </c>
      <c r="J1198">
        <v>11.3</v>
      </c>
      <c r="K1198" t="s">
        <v>6</v>
      </c>
      <c r="L1198">
        <v>62</v>
      </c>
      <c r="M1198" t="s">
        <v>6</v>
      </c>
    </row>
    <row r="1199" spans="1:13" x14ac:dyDescent="0.2">
      <c r="A1199" s="1">
        <v>45469</v>
      </c>
      <c r="B1199" s="2">
        <v>0.5</v>
      </c>
      <c r="C1199" s="3">
        <v>45469.5</v>
      </c>
      <c r="D1199">
        <v>53.8</v>
      </c>
      <c r="E1199">
        <v>59.3</v>
      </c>
      <c r="F1199">
        <v>51.9</v>
      </c>
      <c r="G1199" t="s">
        <v>6</v>
      </c>
      <c r="H1199">
        <v>12.6</v>
      </c>
      <c r="I1199">
        <v>15.7</v>
      </c>
      <c r="J1199">
        <v>10.4</v>
      </c>
      <c r="K1199" t="s">
        <v>6</v>
      </c>
      <c r="L1199">
        <v>37</v>
      </c>
      <c r="M1199" t="s">
        <v>6</v>
      </c>
    </row>
    <row r="1200" spans="1:13" x14ac:dyDescent="0.2">
      <c r="A1200" s="1">
        <v>45469</v>
      </c>
      <c r="B1200" s="2">
        <v>0.54166666666666663</v>
      </c>
      <c r="C1200" s="3">
        <v>45469.541666666664</v>
      </c>
      <c r="D1200">
        <v>57.6</v>
      </c>
      <c r="E1200">
        <v>64.5</v>
      </c>
      <c r="F1200">
        <v>54.1</v>
      </c>
      <c r="G1200" t="s">
        <v>6</v>
      </c>
      <c r="H1200">
        <v>14</v>
      </c>
      <c r="I1200">
        <v>19.600000000000001</v>
      </c>
      <c r="J1200">
        <v>11</v>
      </c>
      <c r="K1200" t="s">
        <v>6</v>
      </c>
      <c r="L1200">
        <v>115</v>
      </c>
      <c r="M1200" t="s">
        <v>6</v>
      </c>
    </row>
    <row r="1201" spans="1:13" x14ac:dyDescent="0.2">
      <c r="A1201" s="1">
        <v>45469</v>
      </c>
      <c r="B1201" s="2">
        <v>0.58333333333333337</v>
      </c>
      <c r="C1201" s="3">
        <v>45469.583333333336</v>
      </c>
      <c r="D1201">
        <v>63.6</v>
      </c>
      <c r="E1201">
        <v>64.599999999999994</v>
      </c>
      <c r="F1201">
        <v>62.7</v>
      </c>
      <c r="G1201" t="s">
        <v>6</v>
      </c>
      <c r="H1201">
        <v>14</v>
      </c>
      <c r="I1201">
        <v>17.2</v>
      </c>
      <c r="J1201">
        <v>11.6</v>
      </c>
      <c r="K1201" t="s">
        <v>6</v>
      </c>
      <c r="L1201">
        <v>13</v>
      </c>
      <c r="M1201" t="s">
        <v>6</v>
      </c>
    </row>
    <row r="1202" spans="1:13" x14ac:dyDescent="0.2">
      <c r="A1202" s="1">
        <v>45469</v>
      </c>
      <c r="B1202" s="2">
        <v>0.625</v>
      </c>
      <c r="C1202" s="3">
        <v>45469.625</v>
      </c>
      <c r="D1202">
        <v>62.8</v>
      </c>
      <c r="E1202">
        <v>63.5</v>
      </c>
      <c r="F1202">
        <v>62.2</v>
      </c>
      <c r="G1202" t="s">
        <v>6</v>
      </c>
      <c r="H1202">
        <v>11.7</v>
      </c>
      <c r="I1202">
        <v>12.4</v>
      </c>
      <c r="J1202">
        <v>10.8</v>
      </c>
      <c r="K1202" t="s">
        <v>6</v>
      </c>
      <c r="L1202">
        <v>11</v>
      </c>
      <c r="M1202" t="s">
        <v>6</v>
      </c>
    </row>
    <row r="1203" spans="1:13" x14ac:dyDescent="0.2">
      <c r="A1203" s="1">
        <v>45469</v>
      </c>
      <c r="B1203" s="2">
        <v>0.70833333333333337</v>
      </c>
      <c r="C1203" s="3">
        <v>45469.708333333336</v>
      </c>
      <c r="D1203">
        <v>58.1</v>
      </c>
      <c r="E1203">
        <v>61</v>
      </c>
      <c r="F1203">
        <v>56.4</v>
      </c>
      <c r="G1203" t="s">
        <v>6</v>
      </c>
      <c r="H1203">
        <v>17.100000000000001</v>
      </c>
      <c r="I1203">
        <v>22.1</v>
      </c>
      <c r="J1203">
        <v>13.5</v>
      </c>
      <c r="K1203" t="s">
        <v>6</v>
      </c>
      <c r="L1203">
        <v>12</v>
      </c>
      <c r="M1203" t="s">
        <v>6</v>
      </c>
    </row>
    <row r="1204" spans="1:13" x14ac:dyDescent="0.2">
      <c r="A1204" s="1">
        <v>45469</v>
      </c>
      <c r="B1204" s="2">
        <v>0.75</v>
      </c>
      <c r="C1204" s="3">
        <v>45469.75</v>
      </c>
      <c r="D1204">
        <v>82.4</v>
      </c>
      <c r="E1204">
        <v>91.1</v>
      </c>
      <c r="F1204">
        <v>57.7</v>
      </c>
      <c r="G1204" t="s">
        <v>6</v>
      </c>
      <c r="H1204">
        <v>16.100000000000001</v>
      </c>
      <c r="I1204">
        <v>32.4</v>
      </c>
      <c r="J1204">
        <v>12.1</v>
      </c>
      <c r="K1204" t="s">
        <v>6</v>
      </c>
      <c r="L1204">
        <v>69</v>
      </c>
      <c r="M1204" t="s">
        <v>6</v>
      </c>
    </row>
    <row r="1205" spans="1:13" x14ac:dyDescent="0.2">
      <c r="A1205" s="1">
        <v>45469</v>
      </c>
      <c r="B1205" s="2">
        <v>0.79166666666666663</v>
      </c>
      <c r="C1205" s="3">
        <v>45469.791666666664</v>
      </c>
      <c r="D1205">
        <v>83.2</v>
      </c>
      <c r="E1205">
        <v>95.4</v>
      </c>
      <c r="F1205">
        <v>75</v>
      </c>
      <c r="G1205" t="s">
        <v>6</v>
      </c>
      <c r="H1205">
        <v>21.4</v>
      </c>
      <c r="I1205">
        <v>34.5</v>
      </c>
      <c r="J1205">
        <v>13.4</v>
      </c>
      <c r="K1205" t="s">
        <v>6</v>
      </c>
      <c r="L1205">
        <v>78</v>
      </c>
      <c r="M1205" t="s">
        <v>6</v>
      </c>
    </row>
    <row r="1206" spans="1:13" x14ac:dyDescent="0.2">
      <c r="A1206" s="1">
        <v>45469</v>
      </c>
      <c r="B1206" s="2">
        <v>0.83333333333333337</v>
      </c>
      <c r="C1206" s="3">
        <v>45469.833333333336</v>
      </c>
      <c r="D1206">
        <v>100.3</v>
      </c>
      <c r="E1206">
        <v>114</v>
      </c>
      <c r="F1206">
        <v>74.3</v>
      </c>
      <c r="G1206" t="s">
        <v>6</v>
      </c>
      <c r="H1206">
        <v>16.8</v>
      </c>
      <c r="I1206">
        <v>29.4</v>
      </c>
      <c r="J1206">
        <v>12.3</v>
      </c>
      <c r="K1206" t="s">
        <v>6</v>
      </c>
      <c r="L1206">
        <v>216</v>
      </c>
      <c r="M1206" t="s">
        <v>6</v>
      </c>
    </row>
    <row r="1207" spans="1:13" x14ac:dyDescent="0.2">
      <c r="A1207" s="1">
        <v>45469</v>
      </c>
      <c r="B1207" s="2">
        <v>0.875</v>
      </c>
      <c r="C1207" s="3">
        <v>45469.875</v>
      </c>
      <c r="D1207">
        <v>78.099999999999994</v>
      </c>
      <c r="E1207">
        <v>97.2</v>
      </c>
      <c r="F1207">
        <v>49.4</v>
      </c>
      <c r="G1207" t="s">
        <v>6</v>
      </c>
      <c r="H1207">
        <v>17.600000000000001</v>
      </c>
      <c r="I1207">
        <v>27.3</v>
      </c>
      <c r="J1207">
        <v>12.3</v>
      </c>
      <c r="K1207" t="s">
        <v>6</v>
      </c>
      <c r="L1207">
        <v>214</v>
      </c>
      <c r="M1207" t="s">
        <v>6</v>
      </c>
    </row>
    <row r="1208" spans="1:13" x14ac:dyDescent="0.2">
      <c r="A1208" s="1">
        <v>45469</v>
      </c>
      <c r="B1208" s="2">
        <v>0.91666666666666663</v>
      </c>
      <c r="C1208" s="3">
        <v>45469.916666666664</v>
      </c>
      <c r="D1208">
        <v>97.8</v>
      </c>
      <c r="E1208">
        <v>114.2</v>
      </c>
      <c r="F1208">
        <v>77</v>
      </c>
      <c r="G1208" t="s">
        <v>6</v>
      </c>
      <c r="H1208">
        <v>14.3</v>
      </c>
      <c r="I1208">
        <v>25.1</v>
      </c>
      <c r="J1208">
        <v>11.6</v>
      </c>
      <c r="K1208" t="s">
        <v>6</v>
      </c>
      <c r="L1208">
        <v>216</v>
      </c>
      <c r="M1208" t="s">
        <v>6</v>
      </c>
    </row>
    <row r="1209" spans="1:13" x14ac:dyDescent="0.2">
      <c r="A1209" s="1">
        <v>45469</v>
      </c>
      <c r="B1209" s="2">
        <v>0.95833333333333337</v>
      </c>
      <c r="C1209" s="3">
        <v>45469.958333333336</v>
      </c>
      <c r="D1209">
        <v>83.8</v>
      </c>
      <c r="E1209">
        <v>99.4</v>
      </c>
      <c r="F1209">
        <v>49.8</v>
      </c>
      <c r="G1209" t="s">
        <v>6</v>
      </c>
      <c r="H1209">
        <v>16.8</v>
      </c>
      <c r="I1209">
        <v>29.9</v>
      </c>
      <c r="J1209">
        <v>11.7</v>
      </c>
      <c r="K1209" t="s">
        <v>6</v>
      </c>
      <c r="L1209">
        <v>224</v>
      </c>
      <c r="M1209" t="s">
        <v>6</v>
      </c>
    </row>
    <row r="1210" spans="1:13" x14ac:dyDescent="0.2">
      <c r="A1210" s="1">
        <v>45470</v>
      </c>
      <c r="B1210" s="2">
        <v>0</v>
      </c>
      <c r="C1210" s="3">
        <v>45470</v>
      </c>
      <c r="D1210">
        <v>50.2</v>
      </c>
      <c r="E1210">
        <v>59.3</v>
      </c>
      <c r="F1210">
        <v>44.3</v>
      </c>
      <c r="G1210" t="s">
        <v>6</v>
      </c>
      <c r="H1210">
        <v>14.6</v>
      </c>
      <c r="I1210">
        <v>25.3</v>
      </c>
      <c r="J1210">
        <v>12</v>
      </c>
      <c r="K1210" t="s">
        <v>6</v>
      </c>
      <c r="L1210">
        <v>215</v>
      </c>
      <c r="M1210" t="s">
        <v>6</v>
      </c>
    </row>
    <row r="1211" spans="1:13" x14ac:dyDescent="0.2">
      <c r="A1211" s="1">
        <v>45470</v>
      </c>
      <c r="B1211" s="2">
        <v>4.1666666666666664E-2</v>
      </c>
      <c r="C1211" s="3">
        <v>45470.041666666664</v>
      </c>
      <c r="D1211">
        <v>51</v>
      </c>
      <c r="E1211">
        <v>54.6</v>
      </c>
      <c r="F1211">
        <v>47.4</v>
      </c>
      <c r="G1211" t="s">
        <v>6</v>
      </c>
      <c r="H1211">
        <v>15.4</v>
      </c>
      <c r="I1211">
        <v>25.1</v>
      </c>
      <c r="J1211">
        <v>11.6</v>
      </c>
      <c r="K1211" t="s">
        <v>6</v>
      </c>
      <c r="L1211">
        <v>217</v>
      </c>
      <c r="M1211" t="s">
        <v>6</v>
      </c>
    </row>
    <row r="1212" spans="1:13" x14ac:dyDescent="0.2">
      <c r="A1212" s="1">
        <v>45470</v>
      </c>
      <c r="B1212" s="2">
        <v>8.3333333333333329E-2</v>
      </c>
      <c r="C1212" s="3">
        <v>45470.083333333336</v>
      </c>
      <c r="D1212">
        <v>68.900000000000006</v>
      </c>
      <c r="E1212">
        <v>106.9</v>
      </c>
      <c r="F1212">
        <v>43.9</v>
      </c>
      <c r="G1212" t="s">
        <v>6</v>
      </c>
      <c r="H1212">
        <v>18.899999999999999</v>
      </c>
      <c r="I1212">
        <v>26.1</v>
      </c>
      <c r="J1212">
        <v>11</v>
      </c>
      <c r="K1212" t="s">
        <v>6</v>
      </c>
      <c r="L1212">
        <v>224</v>
      </c>
      <c r="M1212" t="s">
        <v>6</v>
      </c>
    </row>
    <row r="1213" spans="1:13" x14ac:dyDescent="0.2">
      <c r="A1213" s="1">
        <v>45470</v>
      </c>
      <c r="B1213" s="2">
        <v>0.125</v>
      </c>
      <c r="C1213" s="3">
        <v>45470.125</v>
      </c>
      <c r="D1213">
        <v>45.2</v>
      </c>
      <c r="E1213">
        <v>49.4</v>
      </c>
      <c r="F1213">
        <v>42</v>
      </c>
      <c r="G1213" t="s">
        <v>6</v>
      </c>
      <c r="H1213">
        <v>14.3</v>
      </c>
      <c r="I1213">
        <v>24.3</v>
      </c>
      <c r="J1213">
        <v>11.2</v>
      </c>
      <c r="K1213" t="s">
        <v>6</v>
      </c>
      <c r="L1213">
        <v>220</v>
      </c>
      <c r="M1213" t="s">
        <v>6</v>
      </c>
    </row>
    <row r="1214" spans="1:13" x14ac:dyDescent="0.2">
      <c r="A1214" s="1">
        <v>45470</v>
      </c>
      <c r="B1214" s="2">
        <v>0.16666666666666666</v>
      </c>
      <c r="C1214" s="3">
        <v>45470.166666666664</v>
      </c>
      <c r="D1214">
        <v>46.9</v>
      </c>
      <c r="E1214">
        <v>54.8</v>
      </c>
      <c r="F1214">
        <v>40.799999999999997</v>
      </c>
      <c r="G1214" t="s">
        <v>6</v>
      </c>
      <c r="H1214">
        <v>15.2</v>
      </c>
      <c r="I1214">
        <v>24.4</v>
      </c>
      <c r="J1214">
        <v>11.1</v>
      </c>
      <c r="K1214" t="s">
        <v>6</v>
      </c>
      <c r="L1214">
        <v>206</v>
      </c>
      <c r="M1214" t="s">
        <v>6</v>
      </c>
    </row>
    <row r="1215" spans="1:13" x14ac:dyDescent="0.2">
      <c r="A1215" s="1">
        <v>45470</v>
      </c>
      <c r="B1215" s="2">
        <v>0.20833333333333334</v>
      </c>
      <c r="C1215" s="3">
        <v>45470.208333333336</v>
      </c>
      <c r="D1215">
        <v>45.5</v>
      </c>
      <c r="E1215">
        <v>51.6</v>
      </c>
      <c r="F1215">
        <v>40.1</v>
      </c>
      <c r="G1215" t="s">
        <v>6</v>
      </c>
      <c r="H1215">
        <v>13.7</v>
      </c>
      <c r="I1215">
        <v>23.8</v>
      </c>
      <c r="J1215">
        <v>11</v>
      </c>
      <c r="K1215" t="s">
        <v>6</v>
      </c>
      <c r="L1215">
        <v>182</v>
      </c>
      <c r="M1215" t="s">
        <v>6</v>
      </c>
    </row>
    <row r="1216" spans="1:13" x14ac:dyDescent="0.2">
      <c r="A1216" s="1">
        <v>45470</v>
      </c>
      <c r="B1216" s="2">
        <v>0.25</v>
      </c>
      <c r="C1216" s="3">
        <v>45470.25</v>
      </c>
      <c r="D1216">
        <v>56.1</v>
      </c>
      <c r="E1216">
        <v>62.5</v>
      </c>
      <c r="F1216">
        <v>43.6</v>
      </c>
      <c r="G1216" t="s">
        <v>6</v>
      </c>
      <c r="H1216">
        <v>13.1</v>
      </c>
      <c r="I1216">
        <v>15.8</v>
      </c>
      <c r="J1216">
        <v>11.3</v>
      </c>
      <c r="K1216" t="s">
        <v>6</v>
      </c>
      <c r="L1216">
        <v>200</v>
      </c>
      <c r="M1216" t="s">
        <v>6</v>
      </c>
    </row>
    <row r="1217" spans="1:13" x14ac:dyDescent="0.2">
      <c r="A1217" s="1">
        <v>45470</v>
      </c>
      <c r="B1217" s="2">
        <v>0.29166666666666669</v>
      </c>
      <c r="C1217" s="3">
        <v>45470.291666666664</v>
      </c>
      <c r="D1217">
        <v>61.7</v>
      </c>
      <c r="E1217">
        <v>67.7</v>
      </c>
      <c r="F1217">
        <v>58.1</v>
      </c>
      <c r="G1217" t="s">
        <v>6</v>
      </c>
      <c r="H1217">
        <v>15.2</v>
      </c>
      <c r="I1217">
        <v>21</v>
      </c>
      <c r="J1217">
        <v>12.2</v>
      </c>
      <c r="K1217" t="s">
        <v>6</v>
      </c>
      <c r="L1217">
        <v>57</v>
      </c>
      <c r="M1217" t="s">
        <v>6</v>
      </c>
    </row>
    <row r="1218" spans="1:13" x14ac:dyDescent="0.2">
      <c r="A1218" s="13">
        <v>45470</v>
      </c>
      <c r="B1218" s="9">
        <v>0.33333333333333331</v>
      </c>
      <c r="C1218" s="8">
        <v>45470.333333333336</v>
      </c>
      <c r="D1218" s="10">
        <v>60.5</v>
      </c>
      <c r="E1218" s="10">
        <v>60.5</v>
      </c>
      <c r="F1218" s="10">
        <v>60.5</v>
      </c>
      <c r="G1218" s="10" t="s">
        <v>6</v>
      </c>
      <c r="H1218" s="10">
        <v>24.9</v>
      </c>
      <c r="I1218" s="10">
        <v>24.9</v>
      </c>
      <c r="J1218" s="10">
        <v>24.9</v>
      </c>
      <c r="K1218" s="10" t="s">
        <v>6</v>
      </c>
      <c r="L1218" s="10">
        <v>1</v>
      </c>
      <c r="M1218" t="s">
        <v>6</v>
      </c>
    </row>
    <row r="1219" spans="1:13" x14ac:dyDescent="0.2">
      <c r="A1219" s="14">
        <v>45470</v>
      </c>
      <c r="B1219" s="12">
        <v>0.41666666666666669</v>
      </c>
      <c r="C1219" s="7">
        <v>45470.416666666664</v>
      </c>
      <c r="D1219" s="11">
        <v>58.7</v>
      </c>
      <c r="E1219" s="11">
        <v>60</v>
      </c>
      <c r="F1219" s="11">
        <v>58.1</v>
      </c>
      <c r="G1219" s="11" t="s">
        <v>6</v>
      </c>
      <c r="H1219" s="11">
        <v>32.5</v>
      </c>
      <c r="I1219" s="11">
        <v>34.799999999999997</v>
      </c>
      <c r="J1219" s="11">
        <v>27.6</v>
      </c>
      <c r="K1219" s="11" t="s">
        <v>6</v>
      </c>
      <c r="L1219" s="11">
        <v>15</v>
      </c>
      <c r="M1219" t="s">
        <v>6</v>
      </c>
    </row>
    <row r="1220" spans="1:13" x14ac:dyDescent="0.2">
      <c r="A1220" s="1">
        <v>45470</v>
      </c>
      <c r="B1220" s="2">
        <v>0.45833333333333331</v>
      </c>
      <c r="C1220" s="3">
        <v>45470.458333333336</v>
      </c>
      <c r="D1220">
        <v>62.3</v>
      </c>
      <c r="E1220">
        <v>65.099999999999994</v>
      </c>
      <c r="F1220">
        <v>58.1</v>
      </c>
      <c r="G1220" t="s">
        <v>6</v>
      </c>
      <c r="H1220">
        <v>21.4</v>
      </c>
      <c r="I1220">
        <v>34.700000000000003</v>
      </c>
      <c r="J1220">
        <v>11.5</v>
      </c>
      <c r="K1220" t="s">
        <v>6</v>
      </c>
      <c r="L1220">
        <v>66</v>
      </c>
      <c r="M1220" t="s">
        <v>6</v>
      </c>
    </row>
    <row r="1221" spans="1:13" x14ac:dyDescent="0.2">
      <c r="A1221" s="1">
        <v>45470</v>
      </c>
      <c r="B1221" s="2">
        <v>0.5</v>
      </c>
      <c r="C1221" s="3">
        <v>45470.5</v>
      </c>
      <c r="D1221">
        <v>62.7</v>
      </c>
      <c r="E1221">
        <v>63</v>
      </c>
      <c r="F1221">
        <v>62.4</v>
      </c>
      <c r="G1221" t="s">
        <v>6</v>
      </c>
      <c r="H1221">
        <v>13.7</v>
      </c>
      <c r="I1221">
        <v>14.8</v>
      </c>
      <c r="J1221">
        <v>13.1</v>
      </c>
      <c r="K1221" t="s">
        <v>6</v>
      </c>
      <c r="L1221">
        <v>4</v>
      </c>
      <c r="M1221" t="s">
        <v>6</v>
      </c>
    </row>
    <row r="1222" spans="1:13" x14ac:dyDescent="0.2">
      <c r="A1222" s="1">
        <v>45470</v>
      </c>
      <c r="B1222" s="2">
        <v>0.54166666666666663</v>
      </c>
      <c r="C1222" s="3">
        <v>45470.541666666664</v>
      </c>
      <c r="D1222">
        <v>53.9</v>
      </c>
      <c r="E1222">
        <v>56.9</v>
      </c>
      <c r="F1222">
        <v>52.1</v>
      </c>
      <c r="G1222" t="s">
        <v>6</v>
      </c>
      <c r="H1222">
        <v>13.1</v>
      </c>
      <c r="I1222">
        <v>18.8</v>
      </c>
      <c r="J1222">
        <v>10.6</v>
      </c>
      <c r="K1222" t="s">
        <v>6</v>
      </c>
      <c r="L1222">
        <v>95</v>
      </c>
      <c r="M1222" t="s">
        <v>6</v>
      </c>
    </row>
    <row r="1223" spans="1:13" x14ac:dyDescent="0.2">
      <c r="A1223" s="1">
        <v>45470</v>
      </c>
      <c r="B1223" s="2">
        <v>0.58333333333333337</v>
      </c>
      <c r="C1223" s="3">
        <v>45470.583333333336</v>
      </c>
      <c r="D1223">
        <v>50.4</v>
      </c>
      <c r="E1223">
        <v>53.9</v>
      </c>
      <c r="F1223">
        <v>44.6</v>
      </c>
      <c r="G1223" t="s">
        <v>6</v>
      </c>
      <c r="H1223">
        <v>14.6</v>
      </c>
      <c r="I1223">
        <v>20.2</v>
      </c>
      <c r="J1223">
        <v>11.8</v>
      </c>
      <c r="K1223" t="s">
        <v>6</v>
      </c>
      <c r="L1223">
        <v>151</v>
      </c>
      <c r="M1223" t="s">
        <v>6</v>
      </c>
    </row>
    <row r="1224" spans="1:13" x14ac:dyDescent="0.2">
      <c r="A1224" s="1">
        <v>45470</v>
      </c>
      <c r="B1224" s="2">
        <v>0.625</v>
      </c>
      <c r="C1224" s="3">
        <v>45470.625</v>
      </c>
      <c r="D1224">
        <v>45.6</v>
      </c>
      <c r="E1224">
        <v>47.6</v>
      </c>
      <c r="F1224">
        <v>43.5</v>
      </c>
      <c r="G1224" t="s">
        <v>6</v>
      </c>
      <c r="H1224">
        <v>11.2</v>
      </c>
      <c r="I1224">
        <v>14</v>
      </c>
      <c r="J1224">
        <v>9.6999999999999993</v>
      </c>
      <c r="K1224" t="s">
        <v>6</v>
      </c>
      <c r="L1224">
        <v>84</v>
      </c>
      <c r="M1224" t="s">
        <v>6</v>
      </c>
    </row>
    <row r="1225" spans="1:13" x14ac:dyDescent="0.2">
      <c r="A1225" s="1">
        <v>45470</v>
      </c>
      <c r="B1225" s="2">
        <v>0.75</v>
      </c>
      <c r="C1225" s="3">
        <v>45470.75</v>
      </c>
      <c r="D1225">
        <v>91.3</v>
      </c>
      <c r="E1225">
        <v>103.8</v>
      </c>
      <c r="F1225">
        <v>64</v>
      </c>
      <c r="G1225" t="s">
        <v>6</v>
      </c>
      <c r="H1225">
        <v>15.8</v>
      </c>
      <c r="I1225">
        <v>19.7</v>
      </c>
      <c r="J1225">
        <v>11.5</v>
      </c>
      <c r="K1225" t="s">
        <v>6</v>
      </c>
      <c r="L1225">
        <v>24</v>
      </c>
      <c r="M1225" t="s">
        <v>6</v>
      </c>
    </row>
    <row r="1226" spans="1:13" x14ac:dyDescent="0.2">
      <c r="A1226" s="1">
        <v>45470</v>
      </c>
      <c r="B1226" s="2">
        <v>0.79166666666666663</v>
      </c>
      <c r="C1226" s="3">
        <v>45470.791666666664</v>
      </c>
      <c r="D1226">
        <v>87.4</v>
      </c>
      <c r="E1226">
        <v>100.2</v>
      </c>
      <c r="F1226">
        <v>78.5</v>
      </c>
      <c r="G1226" t="s">
        <v>6</v>
      </c>
      <c r="H1226">
        <v>16.600000000000001</v>
      </c>
      <c r="I1226">
        <v>32.299999999999997</v>
      </c>
      <c r="J1226">
        <v>11.5</v>
      </c>
      <c r="K1226" t="s">
        <v>6</v>
      </c>
      <c r="L1226">
        <v>131</v>
      </c>
      <c r="M1226" t="s">
        <v>6</v>
      </c>
    </row>
    <row r="1227" spans="1:13" x14ac:dyDescent="0.2">
      <c r="A1227" s="1">
        <v>45470</v>
      </c>
      <c r="B1227" s="2">
        <v>0.83333333333333337</v>
      </c>
      <c r="C1227" s="3">
        <v>45470.833333333336</v>
      </c>
      <c r="D1227">
        <v>67.3</v>
      </c>
      <c r="E1227">
        <v>84.1</v>
      </c>
      <c r="F1227">
        <v>54.8</v>
      </c>
      <c r="G1227" t="s">
        <v>6</v>
      </c>
      <c r="H1227">
        <v>19.7</v>
      </c>
      <c r="I1227">
        <v>32.299999999999997</v>
      </c>
      <c r="J1227">
        <v>13.2</v>
      </c>
      <c r="K1227" t="s">
        <v>6</v>
      </c>
      <c r="L1227">
        <v>184</v>
      </c>
      <c r="M1227" t="s">
        <v>6</v>
      </c>
    </row>
    <row r="1228" spans="1:13" x14ac:dyDescent="0.2">
      <c r="A1228" s="1">
        <v>45470</v>
      </c>
      <c r="B1228" s="2">
        <v>0.875</v>
      </c>
      <c r="C1228" s="3">
        <v>45470.875</v>
      </c>
      <c r="D1228">
        <v>77.599999999999994</v>
      </c>
      <c r="E1228">
        <v>103.1</v>
      </c>
      <c r="F1228">
        <v>59</v>
      </c>
      <c r="G1228" t="s">
        <v>6</v>
      </c>
      <c r="H1228">
        <v>18.2</v>
      </c>
      <c r="I1228">
        <v>28.9</v>
      </c>
      <c r="J1228">
        <v>13.2</v>
      </c>
      <c r="K1228" t="s">
        <v>6</v>
      </c>
      <c r="L1228">
        <v>211</v>
      </c>
      <c r="M1228" t="s">
        <v>6</v>
      </c>
    </row>
    <row r="1229" spans="1:13" x14ac:dyDescent="0.2">
      <c r="A1229" s="1">
        <v>45470</v>
      </c>
      <c r="B1229" s="2">
        <v>0.91666666666666663</v>
      </c>
      <c r="C1229" s="3">
        <v>45470.916666666664</v>
      </c>
      <c r="D1229">
        <v>99</v>
      </c>
      <c r="E1229">
        <v>107.7</v>
      </c>
      <c r="F1229">
        <v>45.5</v>
      </c>
      <c r="G1229" t="s">
        <v>6</v>
      </c>
      <c r="H1229">
        <v>15.7</v>
      </c>
      <c r="I1229">
        <v>35</v>
      </c>
      <c r="J1229">
        <v>13.1</v>
      </c>
      <c r="K1229" t="s">
        <v>6</v>
      </c>
      <c r="L1229">
        <v>201</v>
      </c>
      <c r="M1229" t="s">
        <v>6</v>
      </c>
    </row>
    <row r="1230" spans="1:13" x14ac:dyDescent="0.2">
      <c r="A1230" s="1">
        <v>45470</v>
      </c>
      <c r="B1230" s="2">
        <v>0.95833333333333337</v>
      </c>
      <c r="C1230" s="3">
        <v>45470.958333333336</v>
      </c>
      <c r="D1230">
        <v>46.6</v>
      </c>
      <c r="E1230">
        <v>84.3</v>
      </c>
      <c r="F1230">
        <v>40.1</v>
      </c>
      <c r="G1230" t="s">
        <v>6</v>
      </c>
      <c r="H1230">
        <v>15</v>
      </c>
      <c r="I1230">
        <v>21.6</v>
      </c>
      <c r="J1230">
        <v>12.1</v>
      </c>
      <c r="K1230" t="s">
        <v>6</v>
      </c>
      <c r="L1230">
        <v>160</v>
      </c>
      <c r="M1230" t="s">
        <v>6</v>
      </c>
    </row>
    <row r="1231" spans="1:13" x14ac:dyDescent="0.2">
      <c r="A1231" s="1">
        <v>45471</v>
      </c>
      <c r="B1231" s="2">
        <v>0</v>
      </c>
      <c r="C1231" s="3">
        <v>45471</v>
      </c>
      <c r="D1231">
        <v>82.3</v>
      </c>
      <c r="E1231">
        <v>90.3</v>
      </c>
      <c r="F1231">
        <v>77</v>
      </c>
      <c r="G1231" t="s">
        <v>6</v>
      </c>
      <c r="H1231">
        <v>13.8</v>
      </c>
      <c r="I1231">
        <v>20.9</v>
      </c>
      <c r="J1231">
        <v>11.5</v>
      </c>
      <c r="K1231" t="s">
        <v>6</v>
      </c>
      <c r="L1231">
        <v>215</v>
      </c>
      <c r="M1231" t="s">
        <v>6</v>
      </c>
    </row>
    <row r="1232" spans="1:13" x14ac:dyDescent="0.2">
      <c r="A1232" s="1">
        <v>45471</v>
      </c>
      <c r="B1232" s="2">
        <v>4.1666666666666664E-2</v>
      </c>
      <c r="C1232" s="3">
        <v>45471.041666666664</v>
      </c>
      <c r="D1232">
        <v>90.8</v>
      </c>
      <c r="E1232">
        <v>95.6</v>
      </c>
      <c r="F1232">
        <v>71</v>
      </c>
      <c r="G1232" t="s">
        <v>6</v>
      </c>
      <c r="H1232">
        <v>15.8</v>
      </c>
      <c r="I1232">
        <v>25.8</v>
      </c>
      <c r="J1232">
        <v>11.5</v>
      </c>
      <c r="K1232" t="s">
        <v>6</v>
      </c>
      <c r="L1232">
        <v>218</v>
      </c>
      <c r="M1232" t="s">
        <v>6</v>
      </c>
    </row>
    <row r="1233" spans="1:13" x14ac:dyDescent="0.2">
      <c r="A1233" s="1">
        <v>45471</v>
      </c>
      <c r="B1233" s="2">
        <v>8.3333333333333329E-2</v>
      </c>
      <c r="C1233" s="3">
        <v>45471.083333333336</v>
      </c>
      <c r="D1233">
        <v>94.9</v>
      </c>
      <c r="E1233">
        <v>114.1</v>
      </c>
      <c r="F1233">
        <v>73</v>
      </c>
      <c r="G1233" t="s">
        <v>6</v>
      </c>
      <c r="H1233">
        <v>13.4</v>
      </c>
      <c r="I1233">
        <v>22</v>
      </c>
      <c r="J1233">
        <v>11.9</v>
      </c>
      <c r="K1233" t="s">
        <v>6</v>
      </c>
      <c r="L1233">
        <v>204</v>
      </c>
      <c r="M1233" t="s">
        <v>6</v>
      </c>
    </row>
    <row r="1234" spans="1:13" x14ac:dyDescent="0.2">
      <c r="A1234" s="1">
        <v>45471</v>
      </c>
      <c r="B1234" s="2">
        <v>0.125</v>
      </c>
      <c r="C1234" s="3">
        <v>45471.125</v>
      </c>
      <c r="D1234">
        <v>99.1</v>
      </c>
      <c r="E1234">
        <v>113.9</v>
      </c>
      <c r="F1234">
        <v>72.400000000000006</v>
      </c>
      <c r="G1234" t="s">
        <v>6</v>
      </c>
      <c r="H1234">
        <v>14.5</v>
      </c>
      <c r="I1234">
        <v>24.6</v>
      </c>
      <c r="J1234">
        <v>11.7</v>
      </c>
      <c r="K1234" t="s">
        <v>6</v>
      </c>
      <c r="L1234">
        <v>214</v>
      </c>
      <c r="M1234" t="s">
        <v>6</v>
      </c>
    </row>
    <row r="1235" spans="1:13" x14ac:dyDescent="0.2">
      <c r="A1235" s="1">
        <v>45471</v>
      </c>
      <c r="B1235" s="2">
        <v>0.16666666666666666</v>
      </c>
      <c r="C1235" s="3">
        <v>45471.166666666664</v>
      </c>
      <c r="D1235">
        <v>86.5</v>
      </c>
      <c r="E1235">
        <v>108.7</v>
      </c>
      <c r="F1235">
        <v>71.8</v>
      </c>
      <c r="G1235" t="s">
        <v>6</v>
      </c>
      <c r="H1235">
        <v>15.3</v>
      </c>
      <c r="I1235">
        <v>25.1</v>
      </c>
      <c r="J1235">
        <v>11.5</v>
      </c>
      <c r="K1235" t="s">
        <v>6</v>
      </c>
      <c r="L1235">
        <v>219</v>
      </c>
      <c r="M1235" t="s">
        <v>6</v>
      </c>
    </row>
    <row r="1236" spans="1:13" x14ac:dyDescent="0.2">
      <c r="A1236" s="1">
        <v>45471</v>
      </c>
      <c r="B1236" s="2">
        <v>0.20833333333333334</v>
      </c>
      <c r="C1236" s="3">
        <v>45471.208333333336</v>
      </c>
      <c r="D1236">
        <v>87.9</v>
      </c>
      <c r="E1236">
        <v>102</v>
      </c>
      <c r="F1236">
        <v>73.900000000000006</v>
      </c>
      <c r="G1236" t="s">
        <v>6</v>
      </c>
      <c r="H1236">
        <v>15.9</v>
      </c>
      <c r="I1236">
        <v>27.7</v>
      </c>
      <c r="J1236">
        <v>11.5</v>
      </c>
      <c r="K1236" t="s">
        <v>6</v>
      </c>
      <c r="L1236">
        <v>169</v>
      </c>
      <c r="M1236" t="s">
        <v>6</v>
      </c>
    </row>
    <row r="1237" spans="1:13" x14ac:dyDescent="0.2">
      <c r="A1237" s="1">
        <v>45471</v>
      </c>
      <c r="B1237" s="2">
        <v>0.25</v>
      </c>
      <c r="C1237" s="3">
        <v>45471.25</v>
      </c>
      <c r="D1237">
        <v>92.4</v>
      </c>
      <c r="E1237">
        <v>111.9</v>
      </c>
      <c r="F1237">
        <v>80.900000000000006</v>
      </c>
      <c r="G1237" t="s">
        <v>6</v>
      </c>
      <c r="H1237">
        <v>16.3</v>
      </c>
      <c r="I1237">
        <v>20.100000000000001</v>
      </c>
      <c r="J1237">
        <v>12.2</v>
      </c>
      <c r="K1237" t="s">
        <v>6</v>
      </c>
      <c r="L1237">
        <v>205</v>
      </c>
      <c r="M1237" t="s">
        <v>6</v>
      </c>
    </row>
    <row r="1238" spans="1:13" x14ac:dyDescent="0.2">
      <c r="A1238" s="13">
        <v>45471</v>
      </c>
      <c r="B1238" s="9">
        <v>0.29166666666666669</v>
      </c>
      <c r="C1238" s="8">
        <v>45471.291666666664</v>
      </c>
      <c r="D1238" s="10">
        <v>87.6</v>
      </c>
      <c r="E1238" s="10">
        <v>93</v>
      </c>
      <c r="F1238" s="10">
        <v>77.400000000000006</v>
      </c>
      <c r="G1238" s="10" t="s">
        <v>6</v>
      </c>
      <c r="H1238" s="10">
        <v>15.8</v>
      </c>
      <c r="I1238" s="10">
        <v>26.1</v>
      </c>
      <c r="J1238" s="10">
        <v>13.4</v>
      </c>
      <c r="K1238" s="10" t="s">
        <v>6</v>
      </c>
      <c r="L1238" s="10">
        <v>27</v>
      </c>
      <c r="M1238" t="s">
        <v>6</v>
      </c>
    </row>
    <row r="1239" spans="1:13" x14ac:dyDescent="0.2">
      <c r="A1239" s="14">
        <v>45471</v>
      </c>
      <c r="B1239" s="12">
        <v>0.375</v>
      </c>
      <c r="C1239" s="7">
        <v>45471.375</v>
      </c>
      <c r="D1239" s="11">
        <v>65.7</v>
      </c>
      <c r="E1239" s="11">
        <v>70.599999999999994</v>
      </c>
      <c r="F1239" s="11">
        <v>60.3</v>
      </c>
      <c r="G1239" s="11" t="s">
        <v>6</v>
      </c>
      <c r="H1239" s="11">
        <v>11.5</v>
      </c>
      <c r="I1239" s="11">
        <v>16.3</v>
      </c>
      <c r="J1239" s="11">
        <v>9.8000000000000007</v>
      </c>
      <c r="K1239" s="11" t="s">
        <v>6</v>
      </c>
      <c r="L1239" s="11">
        <v>115</v>
      </c>
      <c r="M1239" t="s">
        <v>6</v>
      </c>
    </row>
    <row r="1240" spans="1:13" x14ac:dyDescent="0.2">
      <c r="A1240" s="1">
        <v>45471</v>
      </c>
      <c r="B1240" s="2">
        <v>0.41666666666666669</v>
      </c>
      <c r="C1240" s="3">
        <v>45471.416666666664</v>
      </c>
      <c r="D1240">
        <v>65.599999999999994</v>
      </c>
      <c r="E1240">
        <v>76.2</v>
      </c>
      <c r="F1240">
        <v>61</v>
      </c>
      <c r="G1240" t="s">
        <v>6</v>
      </c>
      <c r="H1240">
        <v>12.3</v>
      </c>
      <c r="I1240">
        <v>20.3</v>
      </c>
      <c r="J1240">
        <v>10.199999999999999</v>
      </c>
      <c r="K1240" t="s">
        <v>6</v>
      </c>
      <c r="L1240">
        <v>195</v>
      </c>
      <c r="M1240" t="s">
        <v>6</v>
      </c>
    </row>
    <row r="1241" spans="1:13" x14ac:dyDescent="0.2">
      <c r="A1241" s="1">
        <v>45471</v>
      </c>
      <c r="B1241" s="2">
        <v>0.45833333333333331</v>
      </c>
      <c r="C1241" s="3">
        <v>45471.458333333336</v>
      </c>
      <c r="D1241">
        <v>69.8</v>
      </c>
      <c r="E1241">
        <v>75.3</v>
      </c>
      <c r="F1241">
        <v>64.400000000000006</v>
      </c>
      <c r="G1241" t="s">
        <v>6</v>
      </c>
      <c r="H1241">
        <v>13.3</v>
      </c>
      <c r="I1241">
        <v>17.5</v>
      </c>
      <c r="J1241">
        <v>9.8000000000000007</v>
      </c>
      <c r="K1241" t="s">
        <v>6</v>
      </c>
      <c r="L1241">
        <v>71</v>
      </c>
      <c r="M1241" t="s">
        <v>6</v>
      </c>
    </row>
    <row r="1242" spans="1:13" x14ac:dyDescent="0.2">
      <c r="A1242" s="1">
        <v>45471</v>
      </c>
      <c r="B1242" s="2">
        <v>0.5</v>
      </c>
      <c r="C1242" s="3">
        <v>45471.5</v>
      </c>
      <c r="D1242">
        <v>76.400000000000006</v>
      </c>
      <c r="E1242">
        <v>79.900000000000006</v>
      </c>
      <c r="F1242">
        <v>67.2</v>
      </c>
      <c r="G1242" t="s">
        <v>6</v>
      </c>
      <c r="H1242">
        <v>12.6</v>
      </c>
      <c r="I1242">
        <v>16.3</v>
      </c>
      <c r="J1242">
        <v>10.6</v>
      </c>
      <c r="K1242" t="s">
        <v>6</v>
      </c>
      <c r="L1242">
        <v>108</v>
      </c>
      <c r="M1242" t="s">
        <v>6</v>
      </c>
    </row>
    <row r="1243" spans="1:13" x14ac:dyDescent="0.2">
      <c r="A1243" s="1">
        <v>45471</v>
      </c>
      <c r="B1243" s="2">
        <v>0.58333333333333337</v>
      </c>
      <c r="C1243" s="3">
        <v>45471.583333333336</v>
      </c>
      <c r="D1243">
        <v>57.5</v>
      </c>
      <c r="E1243">
        <v>59.3</v>
      </c>
      <c r="F1243">
        <v>55.5</v>
      </c>
      <c r="G1243" t="s">
        <v>6</v>
      </c>
      <c r="H1243">
        <v>16.2</v>
      </c>
      <c r="I1243">
        <v>20.399999999999999</v>
      </c>
      <c r="J1243">
        <v>12.7</v>
      </c>
      <c r="K1243" t="s">
        <v>6</v>
      </c>
      <c r="L1243">
        <v>32</v>
      </c>
      <c r="M1243" t="s">
        <v>6</v>
      </c>
    </row>
    <row r="1244" spans="1:13" x14ac:dyDescent="0.2">
      <c r="A1244" s="1">
        <v>45471</v>
      </c>
      <c r="B1244" s="2">
        <v>0.625</v>
      </c>
      <c r="C1244" s="3">
        <v>45471.625</v>
      </c>
      <c r="D1244">
        <v>55.7</v>
      </c>
      <c r="E1244">
        <v>59.5</v>
      </c>
      <c r="F1244">
        <v>53.5</v>
      </c>
      <c r="G1244" t="s">
        <v>6</v>
      </c>
      <c r="H1244">
        <v>15.4</v>
      </c>
      <c r="I1244">
        <v>23.3</v>
      </c>
      <c r="J1244">
        <v>11</v>
      </c>
      <c r="K1244" t="s">
        <v>6</v>
      </c>
      <c r="L1244">
        <v>81</v>
      </c>
      <c r="M1244" t="s">
        <v>6</v>
      </c>
    </row>
    <row r="1245" spans="1:13" x14ac:dyDescent="0.2">
      <c r="A1245" s="1">
        <v>45471</v>
      </c>
      <c r="B1245" s="2">
        <v>0.66666666666666663</v>
      </c>
      <c r="C1245" s="3">
        <v>45471.666666666664</v>
      </c>
      <c r="D1245">
        <v>55.7</v>
      </c>
      <c r="E1245">
        <v>58.2</v>
      </c>
      <c r="F1245">
        <v>53.2</v>
      </c>
      <c r="G1245" t="s">
        <v>6</v>
      </c>
      <c r="H1245">
        <v>16.100000000000001</v>
      </c>
      <c r="I1245">
        <v>19.600000000000001</v>
      </c>
      <c r="J1245">
        <v>11.5</v>
      </c>
      <c r="K1245" t="s">
        <v>6</v>
      </c>
      <c r="L1245">
        <v>104</v>
      </c>
      <c r="M1245" t="s">
        <v>6</v>
      </c>
    </row>
    <row r="1246" spans="1:13" x14ac:dyDescent="0.2">
      <c r="A1246" s="1">
        <v>45471</v>
      </c>
      <c r="B1246" s="2">
        <v>0.70833333333333337</v>
      </c>
      <c r="C1246" s="3">
        <v>45471.708333333336</v>
      </c>
      <c r="D1246">
        <v>53.7</v>
      </c>
      <c r="E1246">
        <v>55.7</v>
      </c>
      <c r="F1246">
        <v>52</v>
      </c>
      <c r="G1246" t="s">
        <v>6</v>
      </c>
      <c r="H1246">
        <v>15.7</v>
      </c>
      <c r="I1246">
        <v>20.3</v>
      </c>
      <c r="J1246">
        <v>13.3</v>
      </c>
      <c r="K1246" t="s">
        <v>6</v>
      </c>
      <c r="L1246">
        <v>26</v>
      </c>
      <c r="M1246" t="s">
        <v>6</v>
      </c>
    </row>
    <row r="1247" spans="1:13" x14ac:dyDescent="0.2">
      <c r="A1247" s="1">
        <v>45471</v>
      </c>
      <c r="B1247" s="2">
        <v>0.75</v>
      </c>
      <c r="C1247" s="3">
        <v>45471.75</v>
      </c>
      <c r="D1247">
        <v>56.4</v>
      </c>
      <c r="E1247">
        <v>56.7</v>
      </c>
      <c r="F1247">
        <v>55.3</v>
      </c>
      <c r="G1247" t="s">
        <v>6</v>
      </c>
      <c r="H1247">
        <v>15.9</v>
      </c>
      <c r="I1247">
        <v>16.399999999999999</v>
      </c>
      <c r="J1247">
        <v>15.7</v>
      </c>
      <c r="K1247" t="s">
        <v>6</v>
      </c>
      <c r="L1247">
        <v>4</v>
      </c>
      <c r="M1247" t="s">
        <v>6</v>
      </c>
    </row>
    <row r="1248" spans="1:13" x14ac:dyDescent="0.2">
      <c r="A1248" s="1">
        <v>45471</v>
      </c>
      <c r="B1248" s="2">
        <v>0.79166666666666663</v>
      </c>
      <c r="C1248" s="3">
        <v>45471.791666666664</v>
      </c>
      <c r="D1248">
        <v>75.900000000000006</v>
      </c>
      <c r="E1248">
        <v>96.1</v>
      </c>
      <c r="F1248">
        <v>54.4</v>
      </c>
      <c r="G1248" t="s">
        <v>6</v>
      </c>
      <c r="H1248">
        <v>16.8</v>
      </c>
      <c r="I1248">
        <v>21.4</v>
      </c>
      <c r="J1248">
        <v>13.8</v>
      </c>
      <c r="K1248" t="s">
        <v>6</v>
      </c>
      <c r="L1248">
        <v>47</v>
      </c>
      <c r="M1248" t="s">
        <v>6</v>
      </c>
    </row>
    <row r="1249" spans="1:13" x14ac:dyDescent="0.2">
      <c r="A1249" s="1">
        <v>45471</v>
      </c>
      <c r="B1249" s="2">
        <v>0.83333333333333337</v>
      </c>
      <c r="C1249" s="3">
        <v>45471.833333333336</v>
      </c>
      <c r="D1249">
        <v>96.4</v>
      </c>
      <c r="E1249">
        <v>111.9</v>
      </c>
      <c r="F1249">
        <v>82.2</v>
      </c>
      <c r="G1249" t="s">
        <v>6</v>
      </c>
      <c r="H1249">
        <v>16</v>
      </c>
      <c r="I1249">
        <v>32.6</v>
      </c>
      <c r="J1249">
        <v>11.9</v>
      </c>
      <c r="K1249" t="s">
        <v>6</v>
      </c>
      <c r="L1249">
        <v>223</v>
      </c>
      <c r="M1249" t="s">
        <v>6</v>
      </c>
    </row>
    <row r="1250" spans="1:13" x14ac:dyDescent="0.2">
      <c r="A1250" s="1">
        <v>45471</v>
      </c>
      <c r="B1250" s="2">
        <v>0.875</v>
      </c>
      <c r="C1250" s="3">
        <v>45471.875</v>
      </c>
      <c r="D1250">
        <v>83.5</v>
      </c>
      <c r="E1250">
        <v>102.9</v>
      </c>
      <c r="F1250">
        <v>68.8</v>
      </c>
      <c r="G1250" t="s">
        <v>6</v>
      </c>
      <c r="H1250">
        <v>13.3</v>
      </c>
      <c r="I1250">
        <v>17.8</v>
      </c>
      <c r="J1250">
        <v>11.3</v>
      </c>
      <c r="K1250" t="s">
        <v>6</v>
      </c>
      <c r="L1250">
        <v>220</v>
      </c>
      <c r="M1250" t="s">
        <v>6</v>
      </c>
    </row>
    <row r="1251" spans="1:13" x14ac:dyDescent="0.2">
      <c r="A1251" s="1">
        <v>45471</v>
      </c>
      <c r="B1251" s="2">
        <v>0.91666666666666663</v>
      </c>
      <c r="C1251" s="3">
        <v>45471.916666666664</v>
      </c>
      <c r="D1251">
        <v>85.8</v>
      </c>
      <c r="E1251">
        <v>99.2</v>
      </c>
      <c r="F1251">
        <v>72.8</v>
      </c>
      <c r="G1251" t="s">
        <v>6</v>
      </c>
      <c r="H1251">
        <v>13.2</v>
      </c>
      <c r="I1251">
        <v>18.7</v>
      </c>
      <c r="J1251">
        <v>11.4</v>
      </c>
      <c r="K1251" t="s">
        <v>6</v>
      </c>
      <c r="L1251">
        <v>219</v>
      </c>
      <c r="M1251" t="s">
        <v>6</v>
      </c>
    </row>
    <row r="1252" spans="1:13" x14ac:dyDescent="0.2">
      <c r="A1252" s="1">
        <v>45471</v>
      </c>
      <c r="B1252" s="2">
        <v>0.95833333333333337</v>
      </c>
      <c r="C1252" s="3">
        <v>45471.958333333336</v>
      </c>
      <c r="D1252">
        <v>83.8</v>
      </c>
      <c r="E1252">
        <v>106.2</v>
      </c>
      <c r="F1252">
        <v>64.8</v>
      </c>
      <c r="G1252" t="s">
        <v>6</v>
      </c>
      <c r="H1252">
        <v>13.4</v>
      </c>
      <c r="I1252">
        <v>17.3</v>
      </c>
      <c r="J1252">
        <v>11.3</v>
      </c>
      <c r="K1252" t="s">
        <v>6</v>
      </c>
      <c r="L1252">
        <v>218</v>
      </c>
      <c r="M1252" t="s">
        <v>6</v>
      </c>
    </row>
    <row r="1253" spans="1:13" x14ac:dyDescent="0.2">
      <c r="A1253" s="1">
        <v>45472</v>
      </c>
      <c r="B1253" s="2">
        <v>0</v>
      </c>
      <c r="C1253" s="3">
        <v>45472</v>
      </c>
      <c r="D1253">
        <v>94.5</v>
      </c>
      <c r="E1253">
        <v>106.8</v>
      </c>
      <c r="F1253">
        <v>77.7</v>
      </c>
      <c r="G1253" t="s">
        <v>6</v>
      </c>
      <c r="H1253">
        <v>12.9</v>
      </c>
      <c r="I1253">
        <v>18.7</v>
      </c>
      <c r="J1253">
        <v>11.6</v>
      </c>
      <c r="K1253" t="s">
        <v>6</v>
      </c>
      <c r="L1253">
        <v>214</v>
      </c>
      <c r="M1253" t="s">
        <v>6</v>
      </c>
    </row>
    <row r="1254" spans="1:13" x14ac:dyDescent="0.2">
      <c r="A1254" s="1">
        <v>45472</v>
      </c>
      <c r="B1254" s="2">
        <v>4.1666666666666664E-2</v>
      </c>
      <c r="C1254" s="3">
        <v>45472.041666666664</v>
      </c>
      <c r="D1254">
        <v>99.7</v>
      </c>
      <c r="E1254">
        <v>124</v>
      </c>
      <c r="F1254">
        <v>79.400000000000006</v>
      </c>
      <c r="G1254" t="s">
        <v>6</v>
      </c>
      <c r="H1254">
        <v>12.6</v>
      </c>
      <c r="I1254">
        <v>15.2</v>
      </c>
      <c r="J1254">
        <v>11.8</v>
      </c>
      <c r="K1254" t="s">
        <v>6</v>
      </c>
      <c r="L1254">
        <v>215</v>
      </c>
      <c r="M1254" t="s">
        <v>6</v>
      </c>
    </row>
    <row r="1255" spans="1:13" x14ac:dyDescent="0.2">
      <c r="A1255" s="1">
        <v>45472</v>
      </c>
      <c r="B1255" s="2">
        <v>8.3333333333333329E-2</v>
      </c>
      <c r="C1255" s="3">
        <v>45472.083333333336</v>
      </c>
      <c r="D1255">
        <v>110.2</v>
      </c>
      <c r="E1255">
        <v>121.8</v>
      </c>
      <c r="F1255">
        <v>83.4</v>
      </c>
      <c r="G1255" t="s">
        <v>6</v>
      </c>
      <c r="H1255">
        <v>12.8</v>
      </c>
      <c r="I1255">
        <v>19.2</v>
      </c>
      <c r="J1255">
        <v>11.4</v>
      </c>
      <c r="K1255" t="s">
        <v>6</v>
      </c>
      <c r="L1255">
        <v>224</v>
      </c>
      <c r="M1255" t="s">
        <v>6</v>
      </c>
    </row>
    <row r="1256" spans="1:13" x14ac:dyDescent="0.2">
      <c r="A1256" s="1">
        <v>45472</v>
      </c>
      <c r="B1256" s="2">
        <v>0.125</v>
      </c>
      <c r="C1256" s="3">
        <v>45472.125</v>
      </c>
      <c r="D1256">
        <v>100.3</v>
      </c>
      <c r="E1256">
        <v>117.8</v>
      </c>
      <c r="F1256">
        <v>84.1</v>
      </c>
      <c r="G1256" t="s">
        <v>6</v>
      </c>
      <c r="H1256">
        <v>12.7</v>
      </c>
      <c r="I1256">
        <v>17.5</v>
      </c>
      <c r="J1256">
        <v>11.2</v>
      </c>
      <c r="K1256" t="s">
        <v>6</v>
      </c>
      <c r="L1256">
        <v>220</v>
      </c>
      <c r="M1256" t="s">
        <v>6</v>
      </c>
    </row>
    <row r="1257" spans="1:13" x14ac:dyDescent="0.2">
      <c r="A1257" s="1">
        <v>45472</v>
      </c>
      <c r="B1257" s="2">
        <v>0.16666666666666666</v>
      </c>
      <c r="C1257" s="3">
        <v>45472.166666666664</v>
      </c>
      <c r="D1257">
        <v>92.2</v>
      </c>
      <c r="E1257">
        <v>98.6</v>
      </c>
      <c r="F1257">
        <v>67.2</v>
      </c>
      <c r="G1257" t="s">
        <v>6</v>
      </c>
      <c r="H1257">
        <v>12.6</v>
      </c>
      <c r="I1257">
        <v>17.399999999999999</v>
      </c>
      <c r="J1257">
        <v>11.2</v>
      </c>
      <c r="K1257" t="s">
        <v>6</v>
      </c>
      <c r="L1257">
        <v>225</v>
      </c>
      <c r="M1257" t="s">
        <v>6</v>
      </c>
    </row>
    <row r="1258" spans="1:13" x14ac:dyDescent="0.2">
      <c r="A1258" s="1">
        <v>45472</v>
      </c>
      <c r="B1258" s="2">
        <v>0.20833333333333334</v>
      </c>
      <c r="C1258" s="3">
        <v>45472.208333333336</v>
      </c>
      <c r="D1258">
        <v>89.6</v>
      </c>
      <c r="E1258">
        <v>101.3</v>
      </c>
      <c r="F1258">
        <v>70.7</v>
      </c>
      <c r="G1258" t="s">
        <v>6</v>
      </c>
      <c r="H1258">
        <v>12</v>
      </c>
      <c r="I1258">
        <v>15.7</v>
      </c>
      <c r="J1258">
        <v>11</v>
      </c>
      <c r="K1258" t="s">
        <v>6</v>
      </c>
      <c r="L1258">
        <v>227</v>
      </c>
      <c r="M1258" t="s">
        <v>6</v>
      </c>
    </row>
    <row r="1259" spans="1:13" x14ac:dyDescent="0.2">
      <c r="A1259" s="1">
        <v>45472</v>
      </c>
      <c r="B1259" s="2">
        <v>0.25</v>
      </c>
      <c r="C1259" s="3">
        <v>45472.25</v>
      </c>
      <c r="D1259">
        <v>92.4</v>
      </c>
      <c r="E1259">
        <v>106.7</v>
      </c>
      <c r="F1259">
        <v>77</v>
      </c>
      <c r="G1259" t="s">
        <v>6</v>
      </c>
      <c r="H1259">
        <v>13.8</v>
      </c>
      <c r="I1259">
        <v>26.2</v>
      </c>
      <c r="J1259">
        <v>10.7</v>
      </c>
      <c r="K1259" t="s">
        <v>6</v>
      </c>
      <c r="L1259">
        <v>227</v>
      </c>
      <c r="M1259" t="s">
        <v>6</v>
      </c>
    </row>
    <row r="1260" spans="1:13" x14ac:dyDescent="0.2">
      <c r="A1260" s="1">
        <v>45472</v>
      </c>
      <c r="B1260" s="2">
        <v>0.29166666666666669</v>
      </c>
      <c r="C1260" s="3">
        <v>45472.291666666664</v>
      </c>
      <c r="D1260">
        <v>79.8</v>
      </c>
      <c r="E1260">
        <v>84.2</v>
      </c>
      <c r="F1260">
        <v>75.900000000000006</v>
      </c>
      <c r="G1260" t="s">
        <v>6</v>
      </c>
      <c r="H1260">
        <v>16.399999999999999</v>
      </c>
      <c r="I1260">
        <v>21.2</v>
      </c>
      <c r="J1260">
        <v>11.5</v>
      </c>
      <c r="K1260" t="s">
        <v>6</v>
      </c>
      <c r="L1260">
        <v>13</v>
      </c>
      <c r="M1260" t="s">
        <v>6</v>
      </c>
    </row>
    <row r="1261" spans="1:13" x14ac:dyDescent="0.2">
      <c r="A1261" s="13">
        <v>45472</v>
      </c>
      <c r="B1261" s="9">
        <v>0.33333333333333331</v>
      </c>
      <c r="C1261" s="8">
        <v>45472.333333333336</v>
      </c>
      <c r="D1261" s="10">
        <v>66.900000000000006</v>
      </c>
      <c r="E1261" s="10">
        <v>67.400000000000006</v>
      </c>
      <c r="F1261" s="10">
        <v>66</v>
      </c>
      <c r="G1261" s="10" t="s">
        <v>6</v>
      </c>
      <c r="H1261" s="10">
        <v>17.600000000000001</v>
      </c>
      <c r="I1261" s="10">
        <v>21.5</v>
      </c>
      <c r="J1261" s="10">
        <v>14.8</v>
      </c>
      <c r="K1261" s="10" t="s">
        <v>6</v>
      </c>
      <c r="L1261" s="10">
        <v>9</v>
      </c>
      <c r="M1261" t="s">
        <v>6</v>
      </c>
    </row>
    <row r="1262" spans="1:13" x14ac:dyDescent="0.2">
      <c r="A1262" s="14">
        <v>45472</v>
      </c>
      <c r="B1262" s="12">
        <v>0.45833333333333331</v>
      </c>
      <c r="C1262" s="7">
        <v>45472.458333333336</v>
      </c>
      <c r="D1262" s="11">
        <v>61.9</v>
      </c>
      <c r="E1262" s="11">
        <v>67.5</v>
      </c>
      <c r="F1262" s="11">
        <v>53.7</v>
      </c>
      <c r="G1262" s="11" t="s">
        <v>6</v>
      </c>
      <c r="H1262" s="11">
        <v>18</v>
      </c>
      <c r="I1262" s="11">
        <v>23.9</v>
      </c>
      <c r="J1262" s="11">
        <v>13.5</v>
      </c>
      <c r="K1262" s="11" t="s">
        <v>6</v>
      </c>
      <c r="L1262" s="11">
        <v>79</v>
      </c>
      <c r="M1262" t="s">
        <v>6</v>
      </c>
    </row>
    <row r="1263" spans="1:13" x14ac:dyDescent="0.2">
      <c r="A1263" s="1">
        <v>45472</v>
      </c>
      <c r="B1263" s="2">
        <v>0.5</v>
      </c>
      <c r="C1263" s="3">
        <v>45472.5</v>
      </c>
      <c r="D1263">
        <v>55</v>
      </c>
      <c r="E1263">
        <v>56.2</v>
      </c>
      <c r="F1263">
        <v>53.3</v>
      </c>
      <c r="G1263" t="s">
        <v>6</v>
      </c>
      <c r="H1263">
        <v>16.3</v>
      </c>
      <c r="I1263">
        <v>18.899999999999999</v>
      </c>
      <c r="J1263">
        <v>12.8</v>
      </c>
      <c r="K1263" t="s">
        <v>6</v>
      </c>
      <c r="L1263">
        <v>72</v>
      </c>
      <c r="M1263" t="s">
        <v>6</v>
      </c>
    </row>
    <row r="1264" spans="1:13" x14ac:dyDescent="0.2">
      <c r="A1264" s="1">
        <v>45472</v>
      </c>
      <c r="B1264" s="2">
        <v>0.54166666666666663</v>
      </c>
      <c r="C1264" s="3">
        <v>45472.541666666664</v>
      </c>
      <c r="D1264">
        <v>58.1</v>
      </c>
      <c r="E1264">
        <v>61.5</v>
      </c>
      <c r="F1264">
        <v>54.5</v>
      </c>
      <c r="G1264" t="s">
        <v>6</v>
      </c>
      <c r="H1264">
        <v>26.7</v>
      </c>
      <c r="I1264">
        <v>48.4</v>
      </c>
      <c r="J1264">
        <v>13.2</v>
      </c>
      <c r="K1264" t="s">
        <v>6</v>
      </c>
      <c r="L1264">
        <v>62</v>
      </c>
      <c r="M1264" t="s">
        <v>6</v>
      </c>
    </row>
    <row r="1265" spans="1:13" x14ac:dyDescent="0.2">
      <c r="A1265" s="1">
        <v>45472</v>
      </c>
      <c r="B1265" s="2">
        <v>0.66666666666666663</v>
      </c>
      <c r="C1265" s="3">
        <v>45472.666666666664</v>
      </c>
      <c r="D1265">
        <v>58</v>
      </c>
      <c r="E1265">
        <v>61.1</v>
      </c>
      <c r="F1265">
        <v>55.4</v>
      </c>
      <c r="G1265" t="s">
        <v>6</v>
      </c>
      <c r="H1265">
        <v>22.1</v>
      </c>
      <c r="I1265">
        <v>24.9</v>
      </c>
      <c r="J1265">
        <v>19.8</v>
      </c>
      <c r="K1265" t="s">
        <v>6</v>
      </c>
      <c r="L1265">
        <v>26</v>
      </c>
      <c r="M1265" t="s">
        <v>6</v>
      </c>
    </row>
    <row r="1266" spans="1:13" x14ac:dyDescent="0.2">
      <c r="A1266" s="1">
        <v>45472</v>
      </c>
      <c r="B1266" s="2">
        <v>0.70833333333333337</v>
      </c>
      <c r="C1266" s="3">
        <v>45472.708333333336</v>
      </c>
      <c r="D1266">
        <v>59.4</v>
      </c>
      <c r="E1266">
        <v>67.3</v>
      </c>
      <c r="F1266">
        <v>55</v>
      </c>
      <c r="G1266" t="s">
        <v>6</v>
      </c>
      <c r="H1266">
        <v>17.8</v>
      </c>
      <c r="I1266">
        <v>22</v>
      </c>
      <c r="J1266">
        <v>15.2</v>
      </c>
      <c r="K1266" t="s">
        <v>6</v>
      </c>
      <c r="L1266">
        <v>120</v>
      </c>
      <c r="M1266" t="s">
        <v>6</v>
      </c>
    </row>
    <row r="1267" spans="1:13" x14ac:dyDescent="0.2">
      <c r="A1267" s="1">
        <v>45472</v>
      </c>
      <c r="B1267" s="2">
        <v>0.75</v>
      </c>
      <c r="C1267" s="3">
        <v>45472.75</v>
      </c>
      <c r="D1267">
        <v>62</v>
      </c>
      <c r="E1267">
        <v>64</v>
      </c>
      <c r="F1267">
        <v>58.9</v>
      </c>
      <c r="G1267" t="s">
        <v>6</v>
      </c>
      <c r="H1267">
        <v>17</v>
      </c>
      <c r="I1267">
        <v>20.3</v>
      </c>
      <c r="J1267">
        <v>13.8</v>
      </c>
      <c r="K1267" t="s">
        <v>6</v>
      </c>
      <c r="L1267">
        <v>70</v>
      </c>
      <c r="M1267" t="s">
        <v>6</v>
      </c>
    </row>
    <row r="1268" spans="1:13" x14ac:dyDescent="0.2">
      <c r="A1268" s="1">
        <v>45472</v>
      </c>
      <c r="B1268" s="2">
        <v>0.79166666666666663</v>
      </c>
      <c r="C1268" s="3">
        <v>45472.791666666664</v>
      </c>
      <c r="D1268">
        <v>62.2</v>
      </c>
      <c r="E1268">
        <v>62.2</v>
      </c>
      <c r="F1268">
        <v>62.2</v>
      </c>
      <c r="G1268" t="s">
        <v>6</v>
      </c>
      <c r="H1268">
        <v>13.8</v>
      </c>
      <c r="I1268">
        <v>13.8</v>
      </c>
      <c r="J1268">
        <v>13.8</v>
      </c>
      <c r="K1268" t="s">
        <v>6</v>
      </c>
      <c r="L1268">
        <v>1</v>
      </c>
      <c r="M1268" t="s">
        <v>6</v>
      </c>
    </row>
    <row r="1269" spans="1:13" x14ac:dyDescent="0.2">
      <c r="A1269" s="1">
        <v>45472</v>
      </c>
      <c r="B1269" s="2">
        <v>0.83333333333333337</v>
      </c>
      <c r="C1269" s="3">
        <v>45472.833333333336</v>
      </c>
      <c r="D1269">
        <v>56.4</v>
      </c>
      <c r="E1269">
        <v>106.5</v>
      </c>
      <c r="F1269">
        <v>46.5</v>
      </c>
      <c r="G1269" t="s">
        <v>6</v>
      </c>
      <c r="H1269">
        <v>17</v>
      </c>
      <c r="I1269">
        <v>27.2</v>
      </c>
      <c r="J1269">
        <v>12.1</v>
      </c>
      <c r="K1269" t="s">
        <v>6</v>
      </c>
      <c r="L1269">
        <v>206</v>
      </c>
      <c r="M1269" t="s">
        <v>6</v>
      </c>
    </row>
    <row r="1270" spans="1:13" x14ac:dyDescent="0.2">
      <c r="A1270" s="1">
        <v>45472</v>
      </c>
      <c r="B1270" s="2">
        <v>0.875</v>
      </c>
      <c r="C1270" s="3">
        <v>45472.875</v>
      </c>
      <c r="D1270">
        <v>90.7</v>
      </c>
      <c r="E1270">
        <v>104.1</v>
      </c>
      <c r="F1270">
        <v>80.5</v>
      </c>
      <c r="G1270" t="s">
        <v>6</v>
      </c>
      <c r="H1270">
        <v>15.3</v>
      </c>
      <c r="I1270">
        <v>27.1</v>
      </c>
      <c r="J1270">
        <v>12.1</v>
      </c>
      <c r="K1270" t="s">
        <v>6</v>
      </c>
      <c r="L1270">
        <v>208</v>
      </c>
      <c r="M1270" t="s">
        <v>6</v>
      </c>
    </row>
    <row r="1271" spans="1:13" x14ac:dyDescent="0.2">
      <c r="A1271" s="1">
        <v>45472</v>
      </c>
      <c r="B1271" s="2">
        <v>0.91666666666666663</v>
      </c>
      <c r="C1271" s="3">
        <v>45472.916666666664</v>
      </c>
      <c r="D1271">
        <v>82.7</v>
      </c>
      <c r="E1271">
        <v>104.5</v>
      </c>
      <c r="F1271">
        <v>61.9</v>
      </c>
      <c r="G1271" t="s">
        <v>6</v>
      </c>
      <c r="H1271">
        <v>15.6</v>
      </c>
      <c r="I1271">
        <v>28.8</v>
      </c>
      <c r="J1271">
        <v>12.1</v>
      </c>
      <c r="K1271" t="s">
        <v>6</v>
      </c>
      <c r="L1271">
        <v>226</v>
      </c>
      <c r="M1271" t="s">
        <v>6</v>
      </c>
    </row>
    <row r="1272" spans="1:13" x14ac:dyDescent="0.2">
      <c r="A1272" s="1">
        <v>45472</v>
      </c>
      <c r="B1272" s="2">
        <v>0.95833333333333337</v>
      </c>
      <c r="C1272" s="3">
        <v>45472.958333333336</v>
      </c>
      <c r="D1272">
        <v>91.3</v>
      </c>
      <c r="E1272">
        <v>97.6</v>
      </c>
      <c r="F1272">
        <v>82.4</v>
      </c>
      <c r="G1272" t="s">
        <v>6</v>
      </c>
      <c r="H1272">
        <v>14.1</v>
      </c>
      <c r="I1272">
        <v>21.8</v>
      </c>
      <c r="J1272">
        <v>12.2</v>
      </c>
      <c r="K1272" t="s">
        <v>6</v>
      </c>
      <c r="L1272">
        <v>214</v>
      </c>
      <c r="M1272" t="s">
        <v>6</v>
      </c>
    </row>
    <row r="1273" spans="1:13" x14ac:dyDescent="0.2">
      <c r="A1273" s="1">
        <v>45473</v>
      </c>
      <c r="B1273" s="2">
        <v>0</v>
      </c>
      <c r="C1273" s="3">
        <v>45473</v>
      </c>
      <c r="D1273">
        <v>98.8</v>
      </c>
      <c r="E1273">
        <v>113.7</v>
      </c>
      <c r="F1273">
        <v>79.099999999999994</v>
      </c>
      <c r="G1273" t="s">
        <v>6</v>
      </c>
      <c r="H1273">
        <v>13.5</v>
      </c>
      <c r="I1273">
        <v>17.3</v>
      </c>
      <c r="J1273">
        <v>11.8</v>
      </c>
      <c r="K1273" t="s">
        <v>6</v>
      </c>
      <c r="L1273">
        <v>225</v>
      </c>
      <c r="M1273" t="s">
        <v>6</v>
      </c>
    </row>
    <row r="1274" spans="1:13" x14ac:dyDescent="0.2">
      <c r="A1274" s="1">
        <v>45473</v>
      </c>
      <c r="B1274" s="2">
        <v>4.1666666666666664E-2</v>
      </c>
      <c r="C1274" s="3">
        <v>45473.041666666664</v>
      </c>
      <c r="D1274">
        <v>95.8</v>
      </c>
      <c r="E1274">
        <v>106.9</v>
      </c>
      <c r="F1274">
        <v>78.400000000000006</v>
      </c>
      <c r="G1274" t="s">
        <v>6</v>
      </c>
      <c r="H1274">
        <v>16.5</v>
      </c>
      <c r="I1274">
        <v>27.6</v>
      </c>
      <c r="J1274">
        <v>11.7</v>
      </c>
      <c r="K1274" t="s">
        <v>6</v>
      </c>
      <c r="L1274">
        <v>222</v>
      </c>
      <c r="M1274" t="s">
        <v>6</v>
      </c>
    </row>
    <row r="1275" spans="1:13" x14ac:dyDescent="0.2">
      <c r="A1275" s="1">
        <v>45473</v>
      </c>
      <c r="B1275" s="2">
        <v>8.3333333333333329E-2</v>
      </c>
      <c r="C1275" s="3">
        <v>45473.083333333336</v>
      </c>
      <c r="D1275">
        <v>77.8</v>
      </c>
      <c r="E1275">
        <v>96.8</v>
      </c>
      <c r="F1275">
        <v>58.9</v>
      </c>
      <c r="G1275" t="s">
        <v>6</v>
      </c>
      <c r="H1275">
        <v>14.3</v>
      </c>
      <c r="I1275">
        <v>26.8</v>
      </c>
      <c r="J1275">
        <v>11.5</v>
      </c>
      <c r="K1275" t="s">
        <v>6</v>
      </c>
      <c r="L1275">
        <v>223</v>
      </c>
      <c r="M1275" t="s">
        <v>6</v>
      </c>
    </row>
    <row r="1276" spans="1:13" x14ac:dyDescent="0.2">
      <c r="A1276" s="1">
        <v>45473</v>
      </c>
      <c r="B1276" s="2">
        <v>0.125</v>
      </c>
      <c r="C1276" s="3">
        <v>45473.125</v>
      </c>
      <c r="D1276">
        <v>82</v>
      </c>
      <c r="E1276">
        <v>109.5</v>
      </c>
      <c r="F1276">
        <v>65.3</v>
      </c>
      <c r="G1276" t="s">
        <v>6</v>
      </c>
      <c r="H1276">
        <v>12.9</v>
      </c>
      <c r="I1276">
        <v>18.399999999999999</v>
      </c>
      <c r="J1276">
        <v>11.3</v>
      </c>
      <c r="K1276" t="s">
        <v>6</v>
      </c>
      <c r="L1276">
        <v>224</v>
      </c>
      <c r="M1276" t="s">
        <v>6</v>
      </c>
    </row>
    <row r="1277" spans="1:13" x14ac:dyDescent="0.2">
      <c r="A1277" s="1">
        <v>45473</v>
      </c>
      <c r="B1277" s="2">
        <v>0.16666666666666666</v>
      </c>
      <c r="C1277" s="3">
        <v>45473.166666666664</v>
      </c>
      <c r="D1277">
        <v>98.6</v>
      </c>
      <c r="E1277">
        <v>110.9</v>
      </c>
      <c r="F1277">
        <v>65.5</v>
      </c>
      <c r="G1277" t="s">
        <v>6</v>
      </c>
      <c r="H1277">
        <v>14.4</v>
      </c>
      <c r="I1277">
        <v>23.6</v>
      </c>
      <c r="J1277">
        <v>11</v>
      </c>
      <c r="K1277" t="s">
        <v>6</v>
      </c>
      <c r="L1277">
        <v>218</v>
      </c>
      <c r="M1277" t="s">
        <v>6</v>
      </c>
    </row>
    <row r="1278" spans="1:13" x14ac:dyDescent="0.2">
      <c r="A1278" s="1">
        <v>45473</v>
      </c>
      <c r="B1278" s="2">
        <v>0.20833333333333334</v>
      </c>
      <c r="C1278" s="3">
        <v>45473.208333333336</v>
      </c>
      <c r="D1278">
        <v>102.7</v>
      </c>
      <c r="E1278">
        <v>111.9</v>
      </c>
      <c r="F1278">
        <v>82.6</v>
      </c>
      <c r="G1278" t="s">
        <v>6</v>
      </c>
      <c r="H1278">
        <v>14</v>
      </c>
      <c r="I1278">
        <v>21.5</v>
      </c>
      <c r="J1278">
        <v>10.7</v>
      </c>
      <c r="K1278" t="s">
        <v>6</v>
      </c>
      <c r="L1278">
        <v>226</v>
      </c>
      <c r="M1278" t="s">
        <v>6</v>
      </c>
    </row>
    <row r="1279" spans="1:13" x14ac:dyDescent="0.2">
      <c r="A1279" s="1">
        <v>45473</v>
      </c>
      <c r="B1279" s="2">
        <v>0.25</v>
      </c>
      <c r="C1279" s="3">
        <v>45473.25</v>
      </c>
      <c r="D1279">
        <v>58.5</v>
      </c>
      <c r="E1279">
        <v>81.8</v>
      </c>
      <c r="F1279">
        <v>43.1</v>
      </c>
      <c r="G1279" t="s">
        <v>6</v>
      </c>
      <c r="H1279">
        <v>14.3</v>
      </c>
      <c r="I1279">
        <v>23.3</v>
      </c>
      <c r="J1279">
        <v>10.4</v>
      </c>
      <c r="K1279" t="s">
        <v>6</v>
      </c>
      <c r="L1279">
        <v>230</v>
      </c>
      <c r="M1279" t="s">
        <v>6</v>
      </c>
    </row>
    <row r="1280" spans="1:13" x14ac:dyDescent="0.2">
      <c r="A1280" s="13">
        <v>45473</v>
      </c>
      <c r="B1280" s="9">
        <v>0.29166666666666669</v>
      </c>
      <c r="C1280" s="8">
        <v>45473.291666666664</v>
      </c>
      <c r="D1280" s="10">
        <v>44.7</v>
      </c>
      <c r="E1280" s="10">
        <v>46.5</v>
      </c>
      <c r="F1280" s="10">
        <v>43.3</v>
      </c>
      <c r="G1280" s="10" t="s">
        <v>6</v>
      </c>
      <c r="H1280" s="10">
        <v>12.5</v>
      </c>
      <c r="I1280" s="10">
        <v>17.600000000000001</v>
      </c>
      <c r="J1280" s="10">
        <v>11.2</v>
      </c>
      <c r="K1280" s="10" t="s">
        <v>6</v>
      </c>
      <c r="L1280" s="10">
        <v>68</v>
      </c>
      <c r="M1280" t="s">
        <v>6</v>
      </c>
    </row>
    <row r="1281" spans="1:13" x14ac:dyDescent="0.2">
      <c r="A1281" s="14">
        <v>45473</v>
      </c>
      <c r="B1281" s="12">
        <v>0.375</v>
      </c>
      <c r="C1281" s="7">
        <v>45473.375</v>
      </c>
      <c r="D1281" s="11">
        <v>58.7</v>
      </c>
      <c r="E1281" s="11">
        <v>62.7</v>
      </c>
      <c r="F1281" s="11">
        <v>55.5</v>
      </c>
      <c r="G1281" s="11" t="s">
        <v>6</v>
      </c>
      <c r="H1281" s="11">
        <v>10.1</v>
      </c>
      <c r="I1281" s="11">
        <v>12.3</v>
      </c>
      <c r="J1281" s="11">
        <v>9.1</v>
      </c>
      <c r="K1281" s="11" t="s">
        <v>6</v>
      </c>
      <c r="L1281" s="11">
        <v>84</v>
      </c>
      <c r="M1281" t="s">
        <v>6</v>
      </c>
    </row>
    <row r="1282" spans="1:13" x14ac:dyDescent="0.2">
      <c r="A1282" s="1">
        <v>45473</v>
      </c>
      <c r="B1282" s="2">
        <v>0.41666666666666669</v>
      </c>
      <c r="C1282" s="3">
        <v>45473.416666666664</v>
      </c>
      <c r="D1282">
        <v>60.5</v>
      </c>
      <c r="E1282">
        <v>64.900000000000006</v>
      </c>
      <c r="F1282">
        <v>58.1</v>
      </c>
      <c r="G1282" t="s">
        <v>6</v>
      </c>
      <c r="H1282">
        <v>11.4</v>
      </c>
      <c r="I1282">
        <v>17.2</v>
      </c>
      <c r="J1282">
        <v>9.3000000000000007</v>
      </c>
      <c r="K1282" t="s">
        <v>6</v>
      </c>
      <c r="L1282">
        <v>79</v>
      </c>
      <c r="M1282" t="s">
        <v>6</v>
      </c>
    </row>
    <row r="1283" spans="1:13" x14ac:dyDescent="0.2">
      <c r="A1283" s="1">
        <v>45473</v>
      </c>
      <c r="B1283" s="2">
        <v>0.45833333333333331</v>
      </c>
      <c r="C1283" s="3">
        <v>45473.458333333336</v>
      </c>
      <c r="D1283">
        <v>60.1</v>
      </c>
      <c r="E1283">
        <v>65.7</v>
      </c>
      <c r="F1283">
        <v>57</v>
      </c>
      <c r="G1283" t="s">
        <v>6</v>
      </c>
      <c r="H1283">
        <v>10.199999999999999</v>
      </c>
      <c r="I1283">
        <v>14.5</v>
      </c>
      <c r="J1283">
        <v>8.6999999999999993</v>
      </c>
      <c r="K1283" t="s">
        <v>6</v>
      </c>
      <c r="L1283">
        <v>176</v>
      </c>
      <c r="M1283" t="s">
        <v>6</v>
      </c>
    </row>
    <row r="1284" spans="1:13" x14ac:dyDescent="0.2">
      <c r="A1284" s="1">
        <v>45473</v>
      </c>
      <c r="B1284" s="2">
        <v>0.5</v>
      </c>
      <c r="C1284" s="3">
        <v>45473.5</v>
      </c>
      <c r="D1284">
        <v>57.8</v>
      </c>
      <c r="E1284">
        <v>61</v>
      </c>
      <c r="F1284">
        <v>54.4</v>
      </c>
      <c r="G1284" t="s">
        <v>6</v>
      </c>
      <c r="H1284">
        <v>10.3</v>
      </c>
      <c r="I1284">
        <v>13.9</v>
      </c>
      <c r="J1284">
        <v>8.8000000000000007</v>
      </c>
      <c r="K1284" t="s">
        <v>6</v>
      </c>
      <c r="L1284">
        <v>73</v>
      </c>
      <c r="M1284" t="s">
        <v>6</v>
      </c>
    </row>
    <row r="1285" spans="1:13" x14ac:dyDescent="0.2">
      <c r="A1285" s="1">
        <v>45473</v>
      </c>
      <c r="B1285" s="2">
        <v>0.70833333333333337</v>
      </c>
      <c r="C1285" s="3">
        <v>45473.708333333336</v>
      </c>
      <c r="D1285">
        <v>78.8</v>
      </c>
      <c r="E1285">
        <v>79.5</v>
      </c>
      <c r="F1285">
        <v>77.5</v>
      </c>
      <c r="G1285" t="s">
        <v>6</v>
      </c>
      <c r="H1285">
        <v>15.9</v>
      </c>
      <c r="I1285">
        <v>17.5</v>
      </c>
      <c r="J1285">
        <v>13.3</v>
      </c>
      <c r="K1285" t="s">
        <v>6</v>
      </c>
      <c r="L1285">
        <v>10</v>
      </c>
      <c r="M1285" t="s">
        <v>6</v>
      </c>
    </row>
    <row r="1286" spans="1:13" x14ac:dyDescent="0.2">
      <c r="A1286" s="1">
        <v>45473</v>
      </c>
      <c r="B1286" s="2">
        <v>0.75</v>
      </c>
      <c r="C1286" s="3">
        <v>45473.75</v>
      </c>
      <c r="D1286">
        <v>90.7</v>
      </c>
      <c r="E1286">
        <v>108.2</v>
      </c>
      <c r="F1286">
        <v>76.099999999999994</v>
      </c>
      <c r="G1286" t="s">
        <v>6</v>
      </c>
      <c r="H1286">
        <v>16.899999999999999</v>
      </c>
      <c r="I1286">
        <v>24.3</v>
      </c>
      <c r="J1286">
        <v>11.8</v>
      </c>
      <c r="K1286" t="s">
        <v>6</v>
      </c>
      <c r="L1286">
        <v>188</v>
      </c>
      <c r="M1286" t="s">
        <v>6</v>
      </c>
    </row>
    <row r="1287" spans="1:13" x14ac:dyDescent="0.2">
      <c r="A1287" s="1">
        <v>45473</v>
      </c>
      <c r="B1287" s="2">
        <v>0.79166666666666663</v>
      </c>
      <c r="C1287" s="3">
        <v>45473.791666666664</v>
      </c>
      <c r="D1287">
        <v>91.8</v>
      </c>
      <c r="E1287">
        <v>111.5</v>
      </c>
      <c r="F1287">
        <v>79</v>
      </c>
      <c r="G1287" t="s">
        <v>6</v>
      </c>
      <c r="H1287">
        <v>14.4</v>
      </c>
      <c r="I1287">
        <v>20.9</v>
      </c>
      <c r="J1287">
        <v>11</v>
      </c>
      <c r="K1287" t="s">
        <v>6</v>
      </c>
      <c r="L1287">
        <v>167</v>
      </c>
      <c r="M1287" t="s">
        <v>6</v>
      </c>
    </row>
    <row r="1288" spans="1:13" x14ac:dyDescent="0.2">
      <c r="A1288" s="1">
        <v>45473</v>
      </c>
      <c r="B1288" s="2">
        <v>0.83333333333333337</v>
      </c>
      <c r="C1288" s="3">
        <v>45473.833333333336</v>
      </c>
      <c r="D1288">
        <v>81.2</v>
      </c>
      <c r="E1288">
        <v>104.4</v>
      </c>
      <c r="F1288">
        <v>53.8</v>
      </c>
      <c r="G1288" t="s">
        <v>6</v>
      </c>
      <c r="H1288">
        <v>19</v>
      </c>
      <c r="I1288">
        <v>29.3</v>
      </c>
      <c r="J1288">
        <v>12.4</v>
      </c>
      <c r="K1288" t="s">
        <v>6</v>
      </c>
      <c r="L1288">
        <v>213</v>
      </c>
      <c r="M1288" t="s">
        <v>6</v>
      </c>
    </row>
    <row r="1289" spans="1:13" x14ac:dyDescent="0.2">
      <c r="A1289" s="1">
        <v>45473</v>
      </c>
      <c r="B1289" s="2">
        <v>0.875</v>
      </c>
      <c r="C1289" s="3">
        <v>45473.875</v>
      </c>
      <c r="D1289">
        <v>75.3</v>
      </c>
      <c r="E1289">
        <v>104</v>
      </c>
      <c r="F1289">
        <v>52.8</v>
      </c>
      <c r="G1289" t="s">
        <v>6</v>
      </c>
      <c r="H1289">
        <v>13.5</v>
      </c>
      <c r="I1289">
        <v>17.899999999999999</v>
      </c>
      <c r="J1289">
        <v>11.9</v>
      </c>
      <c r="K1289" t="s">
        <v>6</v>
      </c>
      <c r="L1289">
        <v>226</v>
      </c>
      <c r="M1289" t="s">
        <v>6</v>
      </c>
    </row>
    <row r="1290" spans="1:13" x14ac:dyDescent="0.2">
      <c r="A1290" s="1">
        <v>45473</v>
      </c>
      <c r="B1290" s="2">
        <v>0.91666666666666663</v>
      </c>
      <c r="C1290" s="3">
        <v>45473.916666666664</v>
      </c>
      <c r="D1290">
        <v>107.9</v>
      </c>
      <c r="E1290">
        <v>116.7</v>
      </c>
      <c r="F1290">
        <v>93.9</v>
      </c>
      <c r="G1290" t="s">
        <v>6</v>
      </c>
      <c r="H1290">
        <v>13.6</v>
      </c>
      <c r="I1290">
        <v>25</v>
      </c>
      <c r="J1290">
        <v>11.6</v>
      </c>
      <c r="K1290" t="s">
        <v>6</v>
      </c>
      <c r="L1290">
        <v>229</v>
      </c>
      <c r="M1290" t="s">
        <v>6</v>
      </c>
    </row>
    <row r="1291" spans="1:13" x14ac:dyDescent="0.2">
      <c r="A1291" s="1">
        <v>45473</v>
      </c>
      <c r="B1291" s="2">
        <v>0.95833333333333337</v>
      </c>
      <c r="C1291" s="3">
        <v>45473.958333333336</v>
      </c>
      <c r="D1291">
        <v>105.5</v>
      </c>
      <c r="E1291">
        <v>113.9</v>
      </c>
      <c r="F1291">
        <v>86.9</v>
      </c>
      <c r="G1291" t="s">
        <v>6</v>
      </c>
      <c r="H1291">
        <v>14.8</v>
      </c>
      <c r="I1291">
        <v>27.6</v>
      </c>
      <c r="J1291">
        <v>12</v>
      </c>
      <c r="K1291" t="s">
        <v>6</v>
      </c>
      <c r="L1291">
        <v>220</v>
      </c>
      <c r="M1291" t="s">
        <v>6</v>
      </c>
    </row>
    <row r="1292" spans="1:13" x14ac:dyDescent="0.2">
      <c r="A1292" s="1">
        <v>45474</v>
      </c>
      <c r="B1292" s="2">
        <v>0</v>
      </c>
      <c r="C1292" s="3">
        <v>45474</v>
      </c>
      <c r="D1292">
        <v>97.8</v>
      </c>
      <c r="E1292">
        <v>107.3</v>
      </c>
      <c r="F1292">
        <v>61.2</v>
      </c>
      <c r="G1292" t="s">
        <v>6</v>
      </c>
      <c r="H1292">
        <v>13.4</v>
      </c>
      <c r="I1292">
        <v>18.5</v>
      </c>
      <c r="J1292">
        <v>11.9</v>
      </c>
      <c r="K1292" t="s">
        <v>6</v>
      </c>
      <c r="L1292">
        <v>215</v>
      </c>
      <c r="M1292" t="s">
        <v>6</v>
      </c>
    </row>
    <row r="1293" spans="1:13" x14ac:dyDescent="0.2">
      <c r="A1293" s="1">
        <v>45474</v>
      </c>
      <c r="B1293" s="2">
        <v>4.1666666666666664E-2</v>
      </c>
      <c r="C1293" s="3">
        <v>45474.041666666664</v>
      </c>
      <c r="D1293">
        <v>65.900000000000006</v>
      </c>
      <c r="E1293">
        <v>116.2</v>
      </c>
      <c r="F1293">
        <v>53.5</v>
      </c>
      <c r="G1293" t="s">
        <v>6</v>
      </c>
      <c r="H1293">
        <v>13.7</v>
      </c>
      <c r="I1293">
        <v>27.5</v>
      </c>
      <c r="J1293">
        <v>11.5</v>
      </c>
      <c r="K1293" t="s">
        <v>6</v>
      </c>
      <c r="L1293">
        <v>229</v>
      </c>
      <c r="M1293" t="s">
        <v>6</v>
      </c>
    </row>
    <row r="1294" spans="1:13" x14ac:dyDescent="0.2">
      <c r="A1294" s="1">
        <v>45474</v>
      </c>
      <c r="B1294" s="2">
        <v>8.3333333333333329E-2</v>
      </c>
      <c r="C1294" s="3">
        <v>45474.083333333336</v>
      </c>
      <c r="D1294">
        <v>103.1</v>
      </c>
      <c r="E1294">
        <v>115.3</v>
      </c>
      <c r="F1294">
        <v>92</v>
      </c>
      <c r="G1294" t="s">
        <v>6</v>
      </c>
      <c r="H1294">
        <v>13.2</v>
      </c>
      <c r="I1294">
        <v>21.4</v>
      </c>
      <c r="J1294">
        <v>11.3</v>
      </c>
      <c r="K1294" t="s">
        <v>6</v>
      </c>
      <c r="L1294">
        <v>220</v>
      </c>
      <c r="M1294" t="s">
        <v>6</v>
      </c>
    </row>
    <row r="1295" spans="1:13" x14ac:dyDescent="0.2">
      <c r="A1295" s="1">
        <v>45474</v>
      </c>
      <c r="B1295" s="2">
        <v>0.125</v>
      </c>
      <c r="C1295" s="3">
        <v>45474.125</v>
      </c>
      <c r="D1295">
        <v>100.6</v>
      </c>
      <c r="E1295">
        <v>108.4</v>
      </c>
      <c r="F1295">
        <v>78.599999999999994</v>
      </c>
      <c r="G1295" t="s">
        <v>6</v>
      </c>
      <c r="H1295">
        <v>14.1</v>
      </c>
      <c r="I1295">
        <v>24.7</v>
      </c>
      <c r="J1295">
        <v>11.6</v>
      </c>
      <c r="K1295" t="s">
        <v>6</v>
      </c>
      <c r="L1295">
        <v>218</v>
      </c>
      <c r="M1295" t="s">
        <v>6</v>
      </c>
    </row>
    <row r="1296" spans="1:13" x14ac:dyDescent="0.2">
      <c r="A1296" s="1">
        <v>45474</v>
      </c>
      <c r="B1296" s="2">
        <v>0.16666666666666666</v>
      </c>
      <c r="C1296" s="3">
        <v>45474.166666666664</v>
      </c>
      <c r="D1296">
        <v>68.599999999999994</v>
      </c>
      <c r="E1296">
        <v>97</v>
      </c>
      <c r="F1296">
        <v>56.6</v>
      </c>
      <c r="G1296" t="s">
        <v>6</v>
      </c>
      <c r="H1296">
        <v>16.399999999999999</v>
      </c>
      <c r="I1296">
        <v>26.9</v>
      </c>
      <c r="J1296">
        <v>11.3</v>
      </c>
      <c r="K1296" t="s">
        <v>6</v>
      </c>
      <c r="L1296">
        <v>221</v>
      </c>
      <c r="M1296" t="s">
        <v>6</v>
      </c>
    </row>
    <row r="1297" spans="1:13" x14ac:dyDescent="0.2">
      <c r="A1297" s="1">
        <v>45474</v>
      </c>
      <c r="B1297" s="2">
        <v>0.20833333333333334</v>
      </c>
      <c r="C1297" s="3">
        <v>45474.208333333336</v>
      </c>
      <c r="D1297">
        <v>57.5</v>
      </c>
      <c r="E1297">
        <v>62.4</v>
      </c>
      <c r="F1297">
        <v>52.2</v>
      </c>
      <c r="G1297" t="s">
        <v>6</v>
      </c>
      <c r="H1297">
        <v>14.7</v>
      </c>
      <c r="I1297">
        <v>24.5</v>
      </c>
      <c r="J1297">
        <v>11.6</v>
      </c>
      <c r="K1297" t="s">
        <v>6</v>
      </c>
      <c r="L1297">
        <v>191</v>
      </c>
      <c r="M1297" t="s">
        <v>6</v>
      </c>
    </row>
    <row r="1298" spans="1:13" x14ac:dyDescent="0.2">
      <c r="A1298" s="1">
        <v>45474</v>
      </c>
      <c r="B1298" s="2">
        <v>0.25</v>
      </c>
      <c r="C1298" s="3">
        <v>45474.25</v>
      </c>
      <c r="D1298">
        <v>64.2</v>
      </c>
      <c r="E1298">
        <v>77.099999999999994</v>
      </c>
      <c r="F1298">
        <v>53.3</v>
      </c>
      <c r="G1298" t="s">
        <v>6</v>
      </c>
      <c r="H1298">
        <v>14.7</v>
      </c>
      <c r="I1298">
        <v>19.100000000000001</v>
      </c>
      <c r="J1298">
        <v>12.3</v>
      </c>
      <c r="K1298" t="s">
        <v>6</v>
      </c>
      <c r="L1298">
        <v>47</v>
      </c>
      <c r="M1298" t="s">
        <v>6</v>
      </c>
    </row>
    <row r="1299" spans="1:13" x14ac:dyDescent="0.2">
      <c r="A1299" s="13">
        <v>45474</v>
      </c>
      <c r="B1299" s="9">
        <v>0.33333333333333331</v>
      </c>
      <c r="C1299" s="8">
        <v>45474.333333333336</v>
      </c>
      <c r="D1299" s="10">
        <v>65.900000000000006</v>
      </c>
      <c r="E1299" s="10">
        <v>70.5</v>
      </c>
      <c r="F1299" s="10">
        <v>63</v>
      </c>
      <c r="G1299" s="10" t="s">
        <v>6</v>
      </c>
      <c r="H1299" s="10">
        <v>19</v>
      </c>
      <c r="I1299" s="10">
        <v>38</v>
      </c>
      <c r="J1299" s="10">
        <v>11</v>
      </c>
      <c r="K1299" s="10" t="s">
        <v>6</v>
      </c>
      <c r="L1299" s="10">
        <v>97</v>
      </c>
      <c r="M1299" t="s">
        <v>6</v>
      </c>
    </row>
    <row r="1300" spans="1:13" x14ac:dyDescent="0.2">
      <c r="A1300" s="14">
        <v>45474</v>
      </c>
      <c r="B1300" s="12">
        <v>0.375</v>
      </c>
      <c r="C1300" s="7">
        <v>45474.375</v>
      </c>
      <c r="D1300" s="11">
        <v>63.3</v>
      </c>
      <c r="E1300" s="11">
        <v>69.5</v>
      </c>
      <c r="F1300" s="11">
        <v>58.8</v>
      </c>
      <c r="G1300" s="11" t="s">
        <v>6</v>
      </c>
      <c r="H1300" s="11">
        <v>11.3</v>
      </c>
      <c r="I1300" s="11">
        <v>22.1</v>
      </c>
      <c r="J1300" s="11">
        <v>8.9</v>
      </c>
      <c r="K1300" s="11" t="s">
        <v>6</v>
      </c>
      <c r="L1300" s="11">
        <v>216</v>
      </c>
      <c r="M1300" t="s">
        <v>6</v>
      </c>
    </row>
    <row r="1301" spans="1:13" x14ac:dyDescent="0.2">
      <c r="A1301" s="1">
        <v>45474</v>
      </c>
      <c r="B1301" s="2">
        <v>0.41666666666666669</v>
      </c>
      <c r="C1301" s="3">
        <v>45474.416666666664</v>
      </c>
      <c r="D1301">
        <v>64.2</v>
      </c>
      <c r="E1301">
        <v>69.5</v>
      </c>
      <c r="F1301">
        <v>59.6</v>
      </c>
      <c r="G1301" t="s">
        <v>6</v>
      </c>
      <c r="H1301">
        <v>11.5</v>
      </c>
      <c r="I1301">
        <v>17.399999999999999</v>
      </c>
      <c r="J1301">
        <v>9</v>
      </c>
      <c r="K1301" t="s">
        <v>6</v>
      </c>
      <c r="L1301">
        <v>213</v>
      </c>
      <c r="M1301" t="s">
        <v>6</v>
      </c>
    </row>
    <row r="1302" spans="1:13" x14ac:dyDescent="0.2">
      <c r="A1302" s="1">
        <v>45474</v>
      </c>
      <c r="B1302" s="2">
        <v>0.45833333333333331</v>
      </c>
      <c r="C1302" s="3">
        <v>45474.458333333336</v>
      </c>
      <c r="D1302">
        <v>64.8</v>
      </c>
      <c r="E1302">
        <v>68.5</v>
      </c>
      <c r="F1302">
        <v>60</v>
      </c>
      <c r="G1302" t="s">
        <v>6</v>
      </c>
      <c r="H1302">
        <v>11</v>
      </c>
      <c r="I1302">
        <v>18.2</v>
      </c>
      <c r="J1302">
        <v>8.8000000000000007</v>
      </c>
      <c r="K1302" t="s">
        <v>6</v>
      </c>
      <c r="L1302">
        <v>214</v>
      </c>
      <c r="M1302" t="s">
        <v>6</v>
      </c>
    </row>
    <row r="1303" spans="1:13" x14ac:dyDescent="0.2">
      <c r="A1303" s="1">
        <v>45474</v>
      </c>
      <c r="B1303" s="2">
        <v>0.5</v>
      </c>
      <c r="C1303" s="3">
        <v>45474.5</v>
      </c>
      <c r="D1303">
        <v>61.9</v>
      </c>
      <c r="E1303">
        <v>70.5</v>
      </c>
      <c r="F1303">
        <v>55.4</v>
      </c>
      <c r="G1303" t="s">
        <v>6</v>
      </c>
      <c r="H1303">
        <v>12.6</v>
      </c>
      <c r="I1303">
        <v>19.5</v>
      </c>
      <c r="J1303">
        <v>9.1999999999999993</v>
      </c>
      <c r="K1303" t="s">
        <v>6</v>
      </c>
      <c r="L1303">
        <v>182</v>
      </c>
      <c r="M1303" t="s">
        <v>6</v>
      </c>
    </row>
    <row r="1304" spans="1:13" x14ac:dyDescent="0.2">
      <c r="A1304" s="1">
        <v>45474</v>
      </c>
      <c r="B1304" s="2">
        <v>0.54166666666666663</v>
      </c>
      <c r="C1304" s="3">
        <v>45474.541666666664</v>
      </c>
      <c r="D1304">
        <v>60</v>
      </c>
      <c r="E1304">
        <v>70</v>
      </c>
      <c r="F1304">
        <v>55.2</v>
      </c>
      <c r="G1304" t="s">
        <v>6</v>
      </c>
      <c r="H1304">
        <v>10.3</v>
      </c>
      <c r="I1304">
        <v>19</v>
      </c>
      <c r="J1304">
        <v>8.6999999999999993</v>
      </c>
      <c r="K1304" t="s">
        <v>6</v>
      </c>
      <c r="L1304">
        <v>230</v>
      </c>
      <c r="M1304" t="s">
        <v>6</v>
      </c>
    </row>
    <row r="1305" spans="1:13" x14ac:dyDescent="0.2">
      <c r="A1305" s="1">
        <v>45474</v>
      </c>
      <c r="B1305" s="2">
        <v>0.58333333333333337</v>
      </c>
      <c r="C1305" s="3">
        <v>45474.583333333336</v>
      </c>
      <c r="D1305">
        <v>53.2</v>
      </c>
      <c r="E1305">
        <v>59.1</v>
      </c>
      <c r="F1305">
        <v>45.9</v>
      </c>
      <c r="G1305" t="s">
        <v>6</v>
      </c>
      <c r="H1305">
        <v>10.6</v>
      </c>
      <c r="I1305">
        <v>13.8</v>
      </c>
      <c r="J1305">
        <v>9.1</v>
      </c>
      <c r="K1305" t="s">
        <v>6</v>
      </c>
      <c r="L1305">
        <v>231</v>
      </c>
      <c r="M1305" t="s">
        <v>6</v>
      </c>
    </row>
    <row r="1306" spans="1:13" x14ac:dyDescent="0.2">
      <c r="A1306" s="1">
        <v>45474</v>
      </c>
      <c r="B1306" s="2">
        <v>0.625</v>
      </c>
      <c r="C1306" s="3">
        <v>45474.625</v>
      </c>
      <c r="D1306">
        <v>52.2</v>
      </c>
      <c r="E1306">
        <v>61.5</v>
      </c>
      <c r="F1306">
        <v>44.8</v>
      </c>
      <c r="G1306" t="s">
        <v>6</v>
      </c>
      <c r="H1306">
        <v>10.1</v>
      </c>
      <c r="I1306">
        <v>16.5</v>
      </c>
      <c r="J1306">
        <v>8.6999999999999993</v>
      </c>
      <c r="K1306" t="s">
        <v>6</v>
      </c>
      <c r="L1306">
        <v>188</v>
      </c>
      <c r="M1306" t="s">
        <v>6</v>
      </c>
    </row>
    <row r="1307" spans="1:13" x14ac:dyDescent="0.2">
      <c r="A1307" s="1">
        <v>45474</v>
      </c>
      <c r="B1307" s="2">
        <v>0.66666666666666663</v>
      </c>
      <c r="C1307" s="3">
        <v>45474.666666666664</v>
      </c>
      <c r="D1307">
        <v>66.7</v>
      </c>
      <c r="E1307">
        <v>69</v>
      </c>
      <c r="F1307">
        <v>61</v>
      </c>
      <c r="G1307" t="s">
        <v>6</v>
      </c>
      <c r="H1307">
        <v>13.8</v>
      </c>
      <c r="I1307">
        <v>19.7</v>
      </c>
      <c r="J1307">
        <v>11.1</v>
      </c>
      <c r="K1307" t="s">
        <v>6</v>
      </c>
      <c r="L1307">
        <v>61</v>
      </c>
      <c r="M1307" t="s">
        <v>6</v>
      </c>
    </row>
    <row r="1308" spans="1:13" x14ac:dyDescent="0.2">
      <c r="A1308" s="1">
        <v>45474</v>
      </c>
      <c r="B1308" s="2">
        <v>0.70833333333333337</v>
      </c>
      <c r="C1308" s="3">
        <v>45474.708333333336</v>
      </c>
      <c r="D1308">
        <v>65.2</v>
      </c>
      <c r="E1308">
        <v>68.8</v>
      </c>
      <c r="F1308">
        <v>61.6</v>
      </c>
      <c r="G1308" t="s">
        <v>6</v>
      </c>
      <c r="H1308">
        <v>13.7</v>
      </c>
      <c r="I1308">
        <v>24.3</v>
      </c>
      <c r="J1308">
        <v>10.4</v>
      </c>
      <c r="K1308" t="s">
        <v>6</v>
      </c>
      <c r="L1308">
        <v>160</v>
      </c>
      <c r="M1308" t="s">
        <v>6</v>
      </c>
    </row>
    <row r="1309" spans="1:13" x14ac:dyDescent="0.2">
      <c r="A1309" s="1">
        <v>45474</v>
      </c>
      <c r="B1309" s="2">
        <v>0.75</v>
      </c>
      <c r="C1309" s="3">
        <v>45474.75</v>
      </c>
      <c r="D1309">
        <v>69.400000000000006</v>
      </c>
      <c r="E1309">
        <v>73.099999999999994</v>
      </c>
      <c r="F1309">
        <v>66</v>
      </c>
      <c r="G1309" t="s">
        <v>6</v>
      </c>
      <c r="H1309">
        <v>15.7</v>
      </c>
      <c r="I1309">
        <v>31.3</v>
      </c>
      <c r="J1309">
        <v>12.2</v>
      </c>
      <c r="K1309" t="s">
        <v>6</v>
      </c>
      <c r="L1309">
        <v>112</v>
      </c>
      <c r="M1309" t="s">
        <v>6</v>
      </c>
    </row>
    <row r="1310" spans="1:13" x14ac:dyDescent="0.2">
      <c r="A1310" s="1">
        <v>45474</v>
      </c>
      <c r="B1310" s="2">
        <v>0.79166666666666663</v>
      </c>
      <c r="C1310" s="3">
        <v>45474.791666666664</v>
      </c>
      <c r="D1310">
        <v>91.2</v>
      </c>
      <c r="E1310">
        <v>112.7</v>
      </c>
      <c r="F1310">
        <v>66.599999999999994</v>
      </c>
      <c r="G1310" t="s">
        <v>6</v>
      </c>
      <c r="H1310">
        <v>14.6</v>
      </c>
      <c r="I1310">
        <v>18.3</v>
      </c>
      <c r="J1310">
        <v>11.4</v>
      </c>
      <c r="K1310" t="s">
        <v>6</v>
      </c>
      <c r="L1310">
        <v>81</v>
      </c>
      <c r="M1310" t="s">
        <v>6</v>
      </c>
    </row>
    <row r="1311" spans="1:13" x14ac:dyDescent="0.2">
      <c r="A1311" s="1">
        <v>45474</v>
      </c>
      <c r="B1311" s="2">
        <v>0.83333333333333337</v>
      </c>
      <c r="C1311" s="3">
        <v>45474.833333333336</v>
      </c>
      <c r="D1311">
        <v>102.2</v>
      </c>
      <c r="E1311">
        <v>122.5</v>
      </c>
      <c r="F1311">
        <v>89.1</v>
      </c>
      <c r="G1311" t="s">
        <v>6</v>
      </c>
      <c r="H1311">
        <v>18</v>
      </c>
      <c r="I1311">
        <v>31.1</v>
      </c>
      <c r="J1311">
        <v>12.6</v>
      </c>
      <c r="K1311" t="s">
        <v>6</v>
      </c>
      <c r="L1311">
        <v>213</v>
      </c>
      <c r="M1311" t="s">
        <v>6</v>
      </c>
    </row>
    <row r="1312" spans="1:13" x14ac:dyDescent="0.2">
      <c r="A1312" s="1">
        <v>45474</v>
      </c>
      <c r="B1312" s="2">
        <v>0.875</v>
      </c>
      <c r="C1312" s="3">
        <v>45474.875</v>
      </c>
      <c r="D1312">
        <v>103.9</v>
      </c>
      <c r="E1312">
        <v>113.5</v>
      </c>
      <c r="F1312">
        <v>98.4</v>
      </c>
      <c r="G1312" t="s">
        <v>6</v>
      </c>
      <c r="H1312">
        <v>14.5</v>
      </c>
      <c r="I1312">
        <v>20.9</v>
      </c>
      <c r="J1312">
        <v>12.2</v>
      </c>
      <c r="K1312" t="s">
        <v>6</v>
      </c>
      <c r="L1312">
        <v>208</v>
      </c>
      <c r="M1312" t="s">
        <v>6</v>
      </c>
    </row>
    <row r="1313" spans="1:13" x14ac:dyDescent="0.2">
      <c r="A1313" s="1">
        <v>45474</v>
      </c>
      <c r="B1313" s="2">
        <v>0.91666666666666663</v>
      </c>
      <c r="C1313" s="3">
        <v>45474.916666666664</v>
      </c>
      <c r="D1313">
        <v>79</v>
      </c>
      <c r="E1313">
        <v>112.6</v>
      </c>
      <c r="F1313">
        <v>48.5</v>
      </c>
      <c r="G1313" t="s">
        <v>6</v>
      </c>
      <c r="H1313">
        <v>17.8</v>
      </c>
      <c r="I1313">
        <v>28.9</v>
      </c>
      <c r="J1313">
        <v>12.4</v>
      </c>
      <c r="K1313" t="s">
        <v>6</v>
      </c>
      <c r="L1313">
        <v>216</v>
      </c>
      <c r="M1313" t="s">
        <v>6</v>
      </c>
    </row>
    <row r="1314" spans="1:13" x14ac:dyDescent="0.2">
      <c r="A1314" s="1">
        <v>45474</v>
      </c>
      <c r="B1314" s="2">
        <v>0.95833333333333337</v>
      </c>
      <c r="C1314" s="3">
        <v>45474.958333333336</v>
      </c>
      <c r="D1314">
        <v>48.7</v>
      </c>
      <c r="E1314">
        <v>57.2</v>
      </c>
      <c r="F1314">
        <v>44.7</v>
      </c>
      <c r="G1314" t="s">
        <v>6</v>
      </c>
      <c r="H1314">
        <v>14.2</v>
      </c>
      <c r="I1314">
        <v>24.9</v>
      </c>
      <c r="J1314">
        <v>11.8</v>
      </c>
      <c r="K1314" t="s">
        <v>6</v>
      </c>
      <c r="L1314">
        <v>221</v>
      </c>
      <c r="M1314" t="s">
        <v>6</v>
      </c>
    </row>
    <row r="1315" spans="1:13" x14ac:dyDescent="0.2">
      <c r="A1315" s="1">
        <v>45475</v>
      </c>
      <c r="B1315" s="2">
        <v>0</v>
      </c>
      <c r="C1315" s="3">
        <v>45475</v>
      </c>
      <c r="D1315">
        <v>49.1</v>
      </c>
      <c r="E1315">
        <v>57.7</v>
      </c>
      <c r="F1315">
        <v>45.3</v>
      </c>
      <c r="G1315" t="s">
        <v>6</v>
      </c>
      <c r="H1315">
        <v>13.3</v>
      </c>
      <c r="I1315">
        <v>21</v>
      </c>
      <c r="J1315">
        <v>11.1</v>
      </c>
      <c r="K1315" t="s">
        <v>6</v>
      </c>
      <c r="L1315">
        <v>215</v>
      </c>
      <c r="M1315" t="s">
        <v>6</v>
      </c>
    </row>
    <row r="1316" spans="1:13" x14ac:dyDescent="0.2">
      <c r="A1316" s="1">
        <v>45475</v>
      </c>
      <c r="B1316" s="2">
        <v>4.1666666666666664E-2</v>
      </c>
      <c r="C1316" s="3">
        <v>45475.041666666664</v>
      </c>
      <c r="D1316">
        <v>75.900000000000006</v>
      </c>
      <c r="E1316">
        <v>114.7</v>
      </c>
      <c r="F1316">
        <v>50.5</v>
      </c>
      <c r="G1316" t="s">
        <v>6</v>
      </c>
      <c r="H1316">
        <v>15.7</v>
      </c>
      <c r="I1316">
        <v>26.6</v>
      </c>
      <c r="J1316">
        <v>11.4</v>
      </c>
      <c r="K1316" t="s">
        <v>6</v>
      </c>
      <c r="L1316">
        <v>208</v>
      </c>
      <c r="M1316" t="s">
        <v>6</v>
      </c>
    </row>
    <row r="1317" spans="1:13" x14ac:dyDescent="0.2">
      <c r="A1317" s="1">
        <v>45475</v>
      </c>
      <c r="B1317" s="2">
        <v>8.3333333333333329E-2</v>
      </c>
      <c r="C1317" s="3">
        <v>45475.083333333336</v>
      </c>
      <c r="D1317">
        <v>107.3</v>
      </c>
      <c r="E1317">
        <v>118.7</v>
      </c>
      <c r="F1317">
        <v>101</v>
      </c>
      <c r="G1317" t="s">
        <v>6</v>
      </c>
      <c r="H1317">
        <v>16.7</v>
      </c>
      <c r="I1317">
        <v>27.1</v>
      </c>
      <c r="J1317">
        <v>11.3</v>
      </c>
      <c r="K1317" t="s">
        <v>6</v>
      </c>
      <c r="L1317">
        <v>219</v>
      </c>
      <c r="M1317" t="s">
        <v>6</v>
      </c>
    </row>
    <row r="1318" spans="1:13" x14ac:dyDescent="0.2">
      <c r="A1318" s="1">
        <v>45475</v>
      </c>
      <c r="B1318" s="2">
        <v>0.125</v>
      </c>
      <c r="C1318" s="3">
        <v>45475.125</v>
      </c>
      <c r="D1318">
        <v>69.5</v>
      </c>
      <c r="E1318">
        <v>101</v>
      </c>
      <c r="F1318">
        <v>48.8</v>
      </c>
      <c r="G1318" t="s">
        <v>6</v>
      </c>
      <c r="H1318">
        <v>14.1</v>
      </c>
      <c r="I1318">
        <v>25.5</v>
      </c>
      <c r="J1318">
        <v>10.3</v>
      </c>
      <c r="K1318" t="s">
        <v>6</v>
      </c>
      <c r="L1318">
        <v>226</v>
      </c>
      <c r="M1318" t="s">
        <v>6</v>
      </c>
    </row>
    <row r="1319" spans="1:13" x14ac:dyDescent="0.2">
      <c r="A1319" s="1">
        <v>45475</v>
      </c>
      <c r="B1319" s="2">
        <v>0.16666666666666666</v>
      </c>
      <c r="C1319" s="3">
        <v>45475.166666666664</v>
      </c>
      <c r="D1319">
        <v>74</v>
      </c>
      <c r="E1319">
        <v>97.9</v>
      </c>
      <c r="F1319">
        <v>46.2</v>
      </c>
      <c r="G1319" t="s">
        <v>6</v>
      </c>
      <c r="H1319">
        <v>12.5</v>
      </c>
      <c r="I1319">
        <v>20.9</v>
      </c>
      <c r="J1319">
        <v>10.8</v>
      </c>
      <c r="K1319" t="s">
        <v>6</v>
      </c>
      <c r="L1319">
        <v>227</v>
      </c>
      <c r="M1319" t="s">
        <v>6</v>
      </c>
    </row>
    <row r="1320" spans="1:13" x14ac:dyDescent="0.2">
      <c r="A1320" s="1">
        <v>45475</v>
      </c>
      <c r="B1320" s="2">
        <v>0.20833333333333334</v>
      </c>
      <c r="C1320" s="3">
        <v>45475.208333333336</v>
      </c>
      <c r="D1320">
        <v>44.9</v>
      </c>
      <c r="E1320">
        <v>46.5</v>
      </c>
      <c r="F1320">
        <v>43.9</v>
      </c>
      <c r="G1320" t="s">
        <v>6</v>
      </c>
      <c r="H1320">
        <v>13.1</v>
      </c>
      <c r="I1320">
        <v>16.7</v>
      </c>
      <c r="J1320">
        <v>10.7</v>
      </c>
      <c r="K1320" t="s">
        <v>6</v>
      </c>
      <c r="L1320">
        <v>101</v>
      </c>
      <c r="M1320" t="s">
        <v>6</v>
      </c>
    </row>
    <row r="1321" spans="1:13" x14ac:dyDescent="0.2">
      <c r="A1321" s="1">
        <v>45475</v>
      </c>
      <c r="B1321" s="2">
        <v>0.25</v>
      </c>
      <c r="C1321" s="3">
        <v>45475.25</v>
      </c>
      <c r="D1321">
        <v>62.7</v>
      </c>
      <c r="E1321">
        <v>64.400000000000006</v>
      </c>
      <c r="F1321">
        <v>50.4</v>
      </c>
      <c r="G1321" t="s">
        <v>6</v>
      </c>
      <c r="H1321">
        <v>16.100000000000001</v>
      </c>
      <c r="I1321">
        <v>22.6</v>
      </c>
      <c r="J1321">
        <v>12.1</v>
      </c>
      <c r="K1321" t="s">
        <v>6</v>
      </c>
      <c r="L1321">
        <v>29</v>
      </c>
      <c r="M1321" t="s">
        <v>6</v>
      </c>
    </row>
    <row r="1322" spans="1:13" x14ac:dyDescent="0.2">
      <c r="A1322" s="1">
        <v>45475</v>
      </c>
      <c r="B1322" s="2">
        <v>0.29166666666666669</v>
      </c>
      <c r="C1322" s="3">
        <v>45475.291666666664</v>
      </c>
      <c r="D1322">
        <v>66.400000000000006</v>
      </c>
      <c r="E1322">
        <v>71</v>
      </c>
      <c r="F1322">
        <v>60.8</v>
      </c>
      <c r="G1322" t="s">
        <v>6</v>
      </c>
      <c r="H1322">
        <v>15.7</v>
      </c>
      <c r="I1322">
        <v>20.2</v>
      </c>
      <c r="J1322">
        <v>12.1</v>
      </c>
      <c r="K1322" t="s">
        <v>6</v>
      </c>
      <c r="L1322">
        <v>112</v>
      </c>
      <c r="M1322" t="s">
        <v>6</v>
      </c>
    </row>
    <row r="1323" spans="1:13" x14ac:dyDescent="0.2">
      <c r="A1323" s="13">
        <v>45475</v>
      </c>
      <c r="B1323" s="9">
        <v>0.33333333333333331</v>
      </c>
      <c r="C1323" s="8">
        <v>45475.333333333336</v>
      </c>
      <c r="D1323" s="10">
        <v>68.7</v>
      </c>
      <c r="E1323" s="10">
        <v>74.5</v>
      </c>
      <c r="F1323" s="10">
        <v>63.4</v>
      </c>
      <c r="G1323" s="10" t="s">
        <v>6</v>
      </c>
      <c r="H1323" s="10">
        <v>14.8</v>
      </c>
      <c r="I1323" s="10">
        <v>19.600000000000001</v>
      </c>
      <c r="J1323" s="10">
        <v>11.7</v>
      </c>
      <c r="K1323" s="10" t="s">
        <v>6</v>
      </c>
      <c r="L1323" s="10">
        <v>161</v>
      </c>
      <c r="M1323" t="s">
        <v>6</v>
      </c>
    </row>
    <row r="1324" spans="1:13" x14ac:dyDescent="0.2">
      <c r="A1324" s="14">
        <v>45475</v>
      </c>
      <c r="B1324" s="12">
        <v>0.375</v>
      </c>
      <c r="C1324" s="7">
        <v>45475.375</v>
      </c>
      <c r="D1324" s="11">
        <v>65.3</v>
      </c>
      <c r="E1324" s="11">
        <v>68.8</v>
      </c>
      <c r="F1324" s="11">
        <v>60.8</v>
      </c>
      <c r="G1324" s="11" t="s">
        <v>6</v>
      </c>
      <c r="H1324" s="11">
        <v>16.100000000000001</v>
      </c>
      <c r="I1324" s="11">
        <v>32.4</v>
      </c>
      <c r="J1324" s="11">
        <v>12.5</v>
      </c>
      <c r="K1324" s="11" t="s">
        <v>6</v>
      </c>
      <c r="L1324" s="11">
        <v>135</v>
      </c>
      <c r="M1324" t="s">
        <v>6</v>
      </c>
    </row>
    <row r="1325" spans="1:13" x14ac:dyDescent="0.2">
      <c r="A1325" s="1">
        <v>45475</v>
      </c>
      <c r="B1325" s="2">
        <v>0.41666666666666669</v>
      </c>
      <c r="C1325" s="3">
        <v>45475.416666666664</v>
      </c>
      <c r="D1325">
        <v>65.599999999999994</v>
      </c>
      <c r="E1325">
        <v>69.7</v>
      </c>
      <c r="F1325">
        <v>61.4</v>
      </c>
      <c r="G1325" t="s">
        <v>6</v>
      </c>
      <c r="H1325">
        <v>12.5</v>
      </c>
      <c r="I1325">
        <v>18.2</v>
      </c>
      <c r="J1325">
        <v>10.4</v>
      </c>
      <c r="K1325" t="s">
        <v>6</v>
      </c>
      <c r="L1325">
        <v>208</v>
      </c>
      <c r="M1325" t="s">
        <v>6</v>
      </c>
    </row>
    <row r="1326" spans="1:13" x14ac:dyDescent="0.2">
      <c r="A1326" s="1">
        <v>45475</v>
      </c>
      <c r="B1326" s="2">
        <v>0.45833333333333331</v>
      </c>
      <c r="C1326" s="3">
        <v>45475.458333333336</v>
      </c>
      <c r="D1326">
        <v>64.5</v>
      </c>
      <c r="E1326">
        <v>69.400000000000006</v>
      </c>
      <c r="F1326">
        <v>58.8</v>
      </c>
      <c r="G1326" t="s">
        <v>6</v>
      </c>
      <c r="H1326">
        <v>13.7</v>
      </c>
      <c r="I1326">
        <v>27.2</v>
      </c>
      <c r="J1326">
        <v>10.3</v>
      </c>
      <c r="K1326" t="s">
        <v>6</v>
      </c>
      <c r="L1326">
        <v>229</v>
      </c>
      <c r="M1326" t="s">
        <v>6</v>
      </c>
    </row>
    <row r="1327" spans="1:13" x14ac:dyDescent="0.2">
      <c r="A1327" s="1">
        <v>45475</v>
      </c>
      <c r="B1327" s="2">
        <v>0.5</v>
      </c>
      <c r="C1327" s="3">
        <v>45475.5</v>
      </c>
      <c r="D1327">
        <v>63.9</v>
      </c>
      <c r="E1327">
        <v>71.900000000000006</v>
      </c>
      <c r="F1327">
        <v>58.3</v>
      </c>
      <c r="G1327" t="s">
        <v>6</v>
      </c>
      <c r="H1327">
        <v>13.6</v>
      </c>
      <c r="I1327">
        <v>21.2</v>
      </c>
      <c r="J1327">
        <v>10.199999999999999</v>
      </c>
      <c r="K1327" t="s">
        <v>6</v>
      </c>
      <c r="L1327">
        <v>195</v>
      </c>
      <c r="M1327" t="s">
        <v>6</v>
      </c>
    </row>
    <row r="1328" spans="1:13" x14ac:dyDescent="0.2">
      <c r="A1328" s="1">
        <v>45475</v>
      </c>
      <c r="B1328" s="2">
        <v>0.54166666666666663</v>
      </c>
      <c r="C1328" s="3">
        <v>45475.541666666664</v>
      </c>
      <c r="D1328">
        <v>57.2</v>
      </c>
      <c r="E1328">
        <v>62</v>
      </c>
      <c r="F1328">
        <v>53.8</v>
      </c>
      <c r="G1328" t="s">
        <v>6</v>
      </c>
      <c r="H1328">
        <v>12.8</v>
      </c>
      <c r="I1328">
        <v>22.5</v>
      </c>
      <c r="J1328">
        <v>9.1</v>
      </c>
      <c r="K1328" t="s">
        <v>6</v>
      </c>
      <c r="L1328">
        <v>199</v>
      </c>
      <c r="M1328" t="s">
        <v>6</v>
      </c>
    </row>
    <row r="1329" spans="1:13" x14ac:dyDescent="0.2">
      <c r="A1329" s="1">
        <v>45475</v>
      </c>
      <c r="B1329" s="2">
        <v>0.58333333333333337</v>
      </c>
      <c r="C1329" s="3">
        <v>45475.583333333336</v>
      </c>
      <c r="D1329">
        <v>54.1</v>
      </c>
      <c r="E1329">
        <v>59.6</v>
      </c>
      <c r="F1329">
        <v>49.6</v>
      </c>
      <c r="G1329" t="s">
        <v>6</v>
      </c>
      <c r="H1329">
        <v>13.9</v>
      </c>
      <c r="I1329">
        <v>22.8</v>
      </c>
      <c r="J1329">
        <v>10.3</v>
      </c>
      <c r="K1329" t="s">
        <v>6</v>
      </c>
      <c r="L1329">
        <v>231</v>
      </c>
      <c r="M1329" t="s">
        <v>6</v>
      </c>
    </row>
    <row r="1330" spans="1:13" x14ac:dyDescent="0.2">
      <c r="A1330" s="1">
        <v>45475</v>
      </c>
      <c r="B1330" s="2">
        <v>0.625</v>
      </c>
      <c r="C1330" s="3">
        <v>45475.625</v>
      </c>
      <c r="D1330">
        <v>45.7</v>
      </c>
      <c r="E1330">
        <v>51.6</v>
      </c>
      <c r="F1330">
        <v>41.9</v>
      </c>
      <c r="G1330" t="s">
        <v>6</v>
      </c>
      <c r="H1330">
        <v>11.3</v>
      </c>
      <c r="I1330">
        <v>18</v>
      </c>
      <c r="J1330">
        <v>9.3000000000000007</v>
      </c>
      <c r="K1330" t="s">
        <v>6</v>
      </c>
      <c r="L1330">
        <v>197</v>
      </c>
      <c r="M1330" t="s">
        <v>6</v>
      </c>
    </row>
    <row r="1331" spans="1:13" x14ac:dyDescent="0.2">
      <c r="A1331" s="1">
        <v>45475</v>
      </c>
      <c r="B1331" s="2">
        <v>0.66666666666666663</v>
      </c>
      <c r="C1331" s="3">
        <v>45475.666666666664</v>
      </c>
      <c r="D1331">
        <v>41.1</v>
      </c>
      <c r="E1331">
        <v>42.5</v>
      </c>
      <c r="F1331">
        <v>40.1</v>
      </c>
      <c r="G1331" t="s">
        <v>6</v>
      </c>
      <c r="H1331">
        <v>10.7</v>
      </c>
      <c r="I1331">
        <v>15.4</v>
      </c>
      <c r="J1331">
        <v>9.4</v>
      </c>
      <c r="K1331" t="s">
        <v>6</v>
      </c>
      <c r="L1331">
        <v>66</v>
      </c>
      <c r="M1331" t="s">
        <v>6</v>
      </c>
    </row>
    <row r="1332" spans="1:13" x14ac:dyDescent="0.2">
      <c r="A1332" s="1">
        <v>45475</v>
      </c>
      <c r="B1332" s="2">
        <v>0.79166666666666663</v>
      </c>
      <c r="C1332" s="3">
        <v>45475.791666666664</v>
      </c>
      <c r="D1332">
        <v>95.2</v>
      </c>
      <c r="E1332">
        <v>95.3</v>
      </c>
      <c r="F1332">
        <v>94.9</v>
      </c>
      <c r="G1332" t="s">
        <v>6</v>
      </c>
      <c r="H1332">
        <v>14.2</v>
      </c>
      <c r="I1332">
        <v>14.4</v>
      </c>
      <c r="J1332">
        <v>14</v>
      </c>
      <c r="K1332" t="s">
        <v>6</v>
      </c>
      <c r="L1332">
        <v>3</v>
      </c>
      <c r="M1332" t="s">
        <v>6</v>
      </c>
    </row>
    <row r="1333" spans="1:13" x14ac:dyDescent="0.2">
      <c r="A1333" s="1">
        <v>45475</v>
      </c>
      <c r="B1333" s="2">
        <v>0.83333333333333337</v>
      </c>
      <c r="C1333" s="3">
        <v>45475.833333333336</v>
      </c>
      <c r="D1333">
        <v>108.7</v>
      </c>
      <c r="E1333">
        <v>115.9</v>
      </c>
      <c r="F1333">
        <v>100.3</v>
      </c>
      <c r="G1333" t="s">
        <v>6</v>
      </c>
      <c r="H1333">
        <v>16.399999999999999</v>
      </c>
      <c r="I1333">
        <v>27.3</v>
      </c>
      <c r="J1333">
        <v>12.9</v>
      </c>
      <c r="K1333" t="s">
        <v>6</v>
      </c>
      <c r="L1333">
        <v>72</v>
      </c>
      <c r="M1333" t="s">
        <v>6</v>
      </c>
    </row>
    <row r="1334" spans="1:13" x14ac:dyDescent="0.2">
      <c r="A1334" s="1">
        <v>45475</v>
      </c>
      <c r="B1334" s="2">
        <v>0.875</v>
      </c>
      <c r="C1334" s="3">
        <v>45475.875</v>
      </c>
      <c r="D1334">
        <v>110.3</v>
      </c>
      <c r="E1334">
        <v>119.2</v>
      </c>
      <c r="F1334">
        <v>100.5</v>
      </c>
      <c r="G1334" t="s">
        <v>6</v>
      </c>
      <c r="H1334">
        <v>14.2</v>
      </c>
      <c r="I1334">
        <v>26</v>
      </c>
      <c r="J1334">
        <v>12.1</v>
      </c>
      <c r="K1334" t="s">
        <v>6</v>
      </c>
      <c r="L1334">
        <v>225</v>
      </c>
      <c r="M1334" t="s">
        <v>6</v>
      </c>
    </row>
    <row r="1335" spans="1:13" x14ac:dyDescent="0.2">
      <c r="A1335" s="1">
        <v>45475</v>
      </c>
      <c r="B1335" s="2">
        <v>0.91666666666666663</v>
      </c>
      <c r="C1335" s="3">
        <v>45475.916666666664</v>
      </c>
      <c r="D1335">
        <v>76.099999999999994</v>
      </c>
      <c r="E1335">
        <v>105.8</v>
      </c>
      <c r="F1335">
        <v>51.9</v>
      </c>
      <c r="G1335" t="s">
        <v>6</v>
      </c>
      <c r="H1335">
        <v>13.7</v>
      </c>
      <c r="I1335">
        <v>22.7</v>
      </c>
      <c r="J1335">
        <v>11.5</v>
      </c>
      <c r="K1335" t="s">
        <v>6</v>
      </c>
      <c r="L1335">
        <v>225</v>
      </c>
      <c r="M1335" t="s">
        <v>6</v>
      </c>
    </row>
    <row r="1336" spans="1:13" x14ac:dyDescent="0.2">
      <c r="A1336" s="1">
        <v>45475</v>
      </c>
      <c r="B1336" s="2">
        <v>0.95833333333333337</v>
      </c>
      <c r="C1336" s="3">
        <v>45475.958333333336</v>
      </c>
      <c r="D1336">
        <v>53.9</v>
      </c>
      <c r="E1336">
        <v>59.2</v>
      </c>
      <c r="F1336">
        <v>49.8</v>
      </c>
      <c r="G1336" t="s">
        <v>6</v>
      </c>
      <c r="H1336">
        <v>17.600000000000001</v>
      </c>
      <c r="I1336">
        <v>26.7</v>
      </c>
      <c r="J1336">
        <v>12</v>
      </c>
      <c r="K1336" t="s">
        <v>6</v>
      </c>
      <c r="L1336">
        <v>223</v>
      </c>
      <c r="M1336" t="s">
        <v>6</v>
      </c>
    </row>
    <row r="1337" spans="1:13" x14ac:dyDescent="0.2">
      <c r="A1337" s="1">
        <v>45476</v>
      </c>
      <c r="B1337" s="2">
        <v>0</v>
      </c>
      <c r="C1337" s="3">
        <v>45476</v>
      </c>
      <c r="D1337">
        <v>45.8</v>
      </c>
      <c r="E1337">
        <v>53</v>
      </c>
      <c r="F1337">
        <v>41.5</v>
      </c>
      <c r="G1337" t="s">
        <v>6</v>
      </c>
      <c r="H1337">
        <v>15.7</v>
      </c>
      <c r="I1337">
        <v>25.8</v>
      </c>
      <c r="J1337">
        <v>12</v>
      </c>
      <c r="K1337" t="s">
        <v>6</v>
      </c>
      <c r="L1337">
        <v>214</v>
      </c>
      <c r="M1337" t="s">
        <v>6</v>
      </c>
    </row>
    <row r="1338" spans="1:13" x14ac:dyDescent="0.2">
      <c r="A1338" s="1">
        <v>45476</v>
      </c>
      <c r="B1338" s="2">
        <v>4.1666666666666664E-2</v>
      </c>
      <c r="C1338" s="3">
        <v>45476.041666666664</v>
      </c>
      <c r="D1338">
        <v>43.1</v>
      </c>
      <c r="E1338">
        <v>49.8</v>
      </c>
      <c r="F1338">
        <v>40.299999999999997</v>
      </c>
      <c r="G1338" t="s">
        <v>6</v>
      </c>
      <c r="H1338">
        <v>17.8</v>
      </c>
      <c r="I1338">
        <v>26.8</v>
      </c>
      <c r="J1338">
        <v>11.6</v>
      </c>
      <c r="K1338" t="s">
        <v>6</v>
      </c>
      <c r="L1338">
        <v>220</v>
      </c>
      <c r="M1338" t="s">
        <v>6</v>
      </c>
    </row>
    <row r="1339" spans="1:13" x14ac:dyDescent="0.2">
      <c r="A1339" s="1">
        <v>45476</v>
      </c>
      <c r="B1339" s="2">
        <v>8.3333333333333329E-2</v>
      </c>
      <c r="C1339" s="3">
        <v>45476.083333333336</v>
      </c>
      <c r="D1339">
        <v>49.8</v>
      </c>
      <c r="E1339">
        <v>56</v>
      </c>
      <c r="F1339">
        <v>43.9</v>
      </c>
      <c r="G1339" t="s">
        <v>6</v>
      </c>
      <c r="H1339">
        <v>13.8</v>
      </c>
      <c r="I1339">
        <v>22.4</v>
      </c>
      <c r="J1339">
        <v>11.2</v>
      </c>
      <c r="K1339" t="s">
        <v>6</v>
      </c>
      <c r="L1339">
        <v>213</v>
      </c>
      <c r="M1339" t="s">
        <v>6</v>
      </c>
    </row>
    <row r="1340" spans="1:13" x14ac:dyDescent="0.2">
      <c r="A1340" s="1">
        <v>45476</v>
      </c>
      <c r="B1340" s="2">
        <v>0.125</v>
      </c>
      <c r="C1340" s="3">
        <v>45476.125</v>
      </c>
      <c r="D1340">
        <v>55.7</v>
      </c>
      <c r="E1340">
        <v>64.7</v>
      </c>
      <c r="F1340">
        <v>45.7</v>
      </c>
      <c r="G1340" t="s">
        <v>6</v>
      </c>
      <c r="H1340">
        <v>18.8</v>
      </c>
      <c r="I1340">
        <v>25.4</v>
      </c>
      <c r="J1340">
        <v>11.4</v>
      </c>
      <c r="K1340" t="s">
        <v>6</v>
      </c>
      <c r="L1340">
        <v>204</v>
      </c>
      <c r="M1340" t="s">
        <v>6</v>
      </c>
    </row>
    <row r="1341" spans="1:13" x14ac:dyDescent="0.2">
      <c r="A1341" s="1">
        <v>45476</v>
      </c>
      <c r="B1341" s="2">
        <v>0.16666666666666666</v>
      </c>
      <c r="C1341" s="3">
        <v>45476.166666666664</v>
      </c>
      <c r="D1341">
        <v>52.3</v>
      </c>
      <c r="E1341">
        <v>62.2</v>
      </c>
      <c r="F1341">
        <v>45.4</v>
      </c>
      <c r="G1341" t="s">
        <v>6</v>
      </c>
      <c r="H1341">
        <v>14.6</v>
      </c>
      <c r="I1341">
        <v>29.3</v>
      </c>
      <c r="J1341">
        <v>10.9</v>
      </c>
      <c r="K1341" t="s">
        <v>6</v>
      </c>
      <c r="L1341">
        <v>227</v>
      </c>
      <c r="M1341" t="s">
        <v>6</v>
      </c>
    </row>
    <row r="1342" spans="1:13" x14ac:dyDescent="0.2">
      <c r="A1342" s="1">
        <v>45476</v>
      </c>
      <c r="B1342" s="2">
        <v>0.20833333333333334</v>
      </c>
      <c r="C1342" s="3">
        <v>45476.208333333336</v>
      </c>
      <c r="D1342">
        <v>45.4</v>
      </c>
      <c r="E1342">
        <v>46.8</v>
      </c>
      <c r="F1342">
        <v>44.5</v>
      </c>
      <c r="G1342" t="s">
        <v>6</v>
      </c>
      <c r="H1342">
        <v>14.6</v>
      </c>
      <c r="I1342">
        <v>18.899999999999999</v>
      </c>
      <c r="J1342">
        <v>11.2</v>
      </c>
      <c r="K1342" t="s">
        <v>6</v>
      </c>
      <c r="L1342">
        <v>37</v>
      </c>
      <c r="M1342" t="s">
        <v>6</v>
      </c>
    </row>
    <row r="1343" spans="1:13" x14ac:dyDescent="0.2">
      <c r="A1343" s="1">
        <v>45476</v>
      </c>
      <c r="B1343" s="2">
        <v>0.25</v>
      </c>
      <c r="C1343" s="3">
        <v>45476.25</v>
      </c>
      <c r="D1343">
        <v>67</v>
      </c>
      <c r="E1343">
        <v>71.099999999999994</v>
      </c>
      <c r="F1343">
        <v>61.1</v>
      </c>
      <c r="G1343" t="s">
        <v>6</v>
      </c>
      <c r="H1343">
        <v>14.3</v>
      </c>
      <c r="I1343">
        <v>18.399999999999999</v>
      </c>
      <c r="J1343">
        <v>12.5</v>
      </c>
      <c r="K1343" t="s">
        <v>6</v>
      </c>
      <c r="L1343">
        <v>86</v>
      </c>
      <c r="M1343" t="s">
        <v>6</v>
      </c>
    </row>
    <row r="1344" spans="1:13" x14ac:dyDescent="0.2">
      <c r="A1344" s="1">
        <v>45476</v>
      </c>
      <c r="B1344" s="2">
        <v>0.29166666666666669</v>
      </c>
      <c r="C1344" s="3">
        <v>45476.291666666664</v>
      </c>
      <c r="D1344">
        <v>65.8</v>
      </c>
      <c r="E1344">
        <v>70</v>
      </c>
      <c r="F1344">
        <v>60.6</v>
      </c>
      <c r="G1344" t="s">
        <v>6</v>
      </c>
      <c r="H1344">
        <v>16</v>
      </c>
      <c r="I1344">
        <v>20.7</v>
      </c>
      <c r="J1344">
        <v>13.4</v>
      </c>
      <c r="K1344" t="s">
        <v>6</v>
      </c>
      <c r="L1344">
        <v>54</v>
      </c>
      <c r="M1344" t="s">
        <v>6</v>
      </c>
    </row>
    <row r="1345" spans="1:13" x14ac:dyDescent="0.2">
      <c r="A1345" s="13">
        <v>45476</v>
      </c>
      <c r="B1345" s="9">
        <v>0.33333333333333331</v>
      </c>
      <c r="C1345" s="8">
        <v>45476.333333333336</v>
      </c>
      <c r="D1345" s="10">
        <v>61.3</v>
      </c>
      <c r="E1345" s="10">
        <v>64</v>
      </c>
      <c r="F1345" s="10">
        <v>57.2</v>
      </c>
      <c r="G1345" s="10" t="s">
        <v>6</v>
      </c>
      <c r="H1345" s="10">
        <v>13.6</v>
      </c>
      <c r="I1345" s="10">
        <v>16.2</v>
      </c>
      <c r="J1345" s="10">
        <v>11.1</v>
      </c>
      <c r="K1345" s="10" t="s">
        <v>6</v>
      </c>
      <c r="L1345" s="10">
        <v>105</v>
      </c>
      <c r="M1345" t="s">
        <v>6</v>
      </c>
    </row>
    <row r="1346" spans="1:13" x14ac:dyDescent="0.2">
      <c r="A1346" s="14">
        <v>45476</v>
      </c>
      <c r="B1346" s="12">
        <v>0.375</v>
      </c>
      <c r="C1346" s="7">
        <v>45476.375</v>
      </c>
      <c r="D1346" s="11">
        <v>61.5</v>
      </c>
      <c r="E1346" s="11">
        <v>63.8</v>
      </c>
      <c r="F1346" s="11">
        <v>58.5</v>
      </c>
      <c r="G1346" s="11" t="s">
        <v>6</v>
      </c>
      <c r="H1346" s="11">
        <v>15</v>
      </c>
      <c r="I1346" s="11">
        <v>19.399999999999999</v>
      </c>
      <c r="J1346" s="11">
        <v>12.5</v>
      </c>
      <c r="K1346" s="11" t="s">
        <v>6</v>
      </c>
      <c r="L1346">
        <v>124</v>
      </c>
      <c r="M1346" t="s">
        <v>6</v>
      </c>
    </row>
    <row r="1347" spans="1:13" x14ac:dyDescent="0.2">
      <c r="A1347" s="1">
        <v>45476</v>
      </c>
      <c r="B1347" s="2">
        <v>0.41666666666666669</v>
      </c>
      <c r="C1347" s="3">
        <v>45476.416666666664</v>
      </c>
      <c r="D1347">
        <v>59.1</v>
      </c>
      <c r="E1347">
        <v>60.8</v>
      </c>
      <c r="F1347">
        <v>55.4</v>
      </c>
      <c r="G1347" t="s">
        <v>6</v>
      </c>
      <c r="H1347">
        <v>15.3</v>
      </c>
      <c r="I1347">
        <v>19.2</v>
      </c>
      <c r="J1347">
        <v>12.1</v>
      </c>
      <c r="K1347" t="s">
        <v>6</v>
      </c>
      <c r="L1347">
        <v>79</v>
      </c>
      <c r="M1347" t="s">
        <v>6</v>
      </c>
    </row>
    <row r="1348" spans="1:13" x14ac:dyDescent="0.2">
      <c r="A1348" s="1">
        <v>45476</v>
      </c>
      <c r="B1348" s="2">
        <v>0.45833333333333331</v>
      </c>
      <c r="C1348" s="3">
        <v>45476.458333333336</v>
      </c>
      <c r="D1348">
        <v>57.9</v>
      </c>
      <c r="E1348">
        <v>61.6</v>
      </c>
      <c r="F1348">
        <v>54.9</v>
      </c>
      <c r="G1348" t="s">
        <v>6</v>
      </c>
      <c r="H1348">
        <v>12.8</v>
      </c>
      <c r="I1348">
        <v>16.899999999999999</v>
      </c>
      <c r="J1348">
        <v>10.7</v>
      </c>
      <c r="K1348" t="s">
        <v>6</v>
      </c>
      <c r="L1348">
        <v>166</v>
      </c>
      <c r="M1348" t="s">
        <v>6</v>
      </c>
    </row>
    <row r="1349" spans="1:13" x14ac:dyDescent="0.2">
      <c r="A1349" s="1">
        <v>45476</v>
      </c>
      <c r="B1349" s="2">
        <v>0.5</v>
      </c>
      <c r="C1349" s="3">
        <v>45476.5</v>
      </c>
      <c r="D1349">
        <v>53.6</v>
      </c>
      <c r="E1349">
        <v>57.2</v>
      </c>
      <c r="F1349">
        <v>50.5</v>
      </c>
      <c r="G1349" t="s">
        <v>6</v>
      </c>
      <c r="H1349">
        <v>12.9</v>
      </c>
      <c r="I1349">
        <v>18.5</v>
      </c>
      <c r="J1349">
        <v>10.199999999999999</v>
      </c>
      <c r="K1349" t="s">
        <v>6</v>
      </c>
      <c r="L1349">
        <v>154</v>
      </c>
      <c r="M1349" t="s">
        <v>6</v>
      </c>
    </row>
    <row r="1350" spans="1:13" x14ac:dyDescent="0.2">
      <c r="A1350" s="1">
        <v>45476</v>
      </c>
      <c r="B1350" s="2">
        <v>0.54166666666666663</v>
      </c>
      <c r="C1350" s="3">
        <v>45476.541666666664</v>
      </c>
      <c r="D1350">
        <v>58.4</v>
      </c>
      <c r="E1350">
        <v>63.4</v>
      </c>
      <c r="F1350">
        <v>50.6</v>
      </c>
      <c r="G1350" t="s">
        <v>6</v>
      </c>
      <c r="H1350">
        <v>13.1</v>
      </c>
      <c r="I1350">
        <v>19.399999999999999</v>
      </c>
      <c r="J1350">
        <v>11</v>
      </c>
      <c r="K1350" t="s">
        <v>6</v>
      </c>
      <c r="L1350">
        <v>125</v>
      </c>
      <c r="M1350" t="s">
        <v>6</v>
      </c>
    </row>
    <row r="1351" spans="1:13" x14ac:dyDescent="0.2">
      <c r="A1351" s="1">
        <v>45476</v>
      </c>
      <c r="B1351" s="2">
        <v>0.58333333333333337</v>
      </c>
      <c r="C1351" s="3">
        <v>45476.583333333336</v>
      </c>
      <c r="D1351">
        <v>57</v>
      </c>
      <c r="E1351">
        <v>61.7</v>
      </c>
      <c r="F1351">
        <v>51.6</v>
      </c>
      <c r="G1351" t="s">
        <v>6</v>
      </c>
      <c r="H1351">
        <v>12.1</v>
      </c>
      <c r="I1351">
        <v>17.2</v>
      </c>
      <c r="J1351">
        <v>10.6</v>
      </c>
      <c r="K1351" t="s">
        <v>6</v>
      </c>
      <c r="L1351">
        <v>228</v>
      </c>
      <c r="M1351" t="s">
        <v>6</v>
      </c>
    </row>
    <row r="1352" spans="1:13" x14ac:dyDescent="0.2">
      <c r="A1352" s="1">
        <v>45476</v>
      </c>
      <c r="B1352" s="2">
        <v>0.625</v>
      </c>
      <c r="C1352" s="3">
        <v>45476.625</v>
      </c>
      <c r="D1352">
        <v>48.4</v>
      </c>
      <c r="E1352">
        <v>53.1</v>
      </c>
      <c r="F1352">
        <v>43.7</v>
      </c>
      <c r="G1352" t="s">
        <v>6</v>
      </c>
      <c r="H1352">
        <v>14.3</v>
      </c>
      <c r="I1352">
        <v>30.4</v>
      </c>
      <c r="J1352">
        <v>9.4</v>
      </c>
      <c r="K1352" t="s">
        <v>6</v>
      </c>
      <c r="L1352">
        <v>230</v>
      </c>
      <c r="M1352" t="s">
        <v>6</v>
      </c>
    </row>
    <row r="1353" spans="1:13" x14ac:dyDescent="0.2">
      <c r="A1353" s="1">
        <v>45476</v>
      </c>
      <c r="B1353" s="2">
        <v>0.66666666666666663</v>
      </c>
      <c r="C1353" s="3">
        <v>45476.666666666664</v>
      </c>
      <c r="D1353">
        <v>43.4</v>
      </c>
      <c r="E1353">
        <v>46.1</v>
      </c>
      <c r="F1353">
        <v>41.2</v>
      </c>
      <c r="G1353" t="s">
        <v>6</v>
      </c>
      <c r="H1353">
        <v>12.6</v>
      </c>
      <c r="I1353">
        <v>17.7</v>
      </c>
      <c r="J1353">
        <v>9.4</v>
      </c>
      <c r="K1353" t="s">
        <v>6</v>
      </c>
      <c r="L1353">
        <v>209</v>
      </c>
      <c r="M1353" t="s">
        <v>6</v>
      </c>
    </row>
    <row r="1354" spans="1:13" x14ac:dyDescent="0.2">
      <c r="A1354" s="1">
        <v>45476</v>
      </c>
      <c r="B1354" s="2">
        <v>0.75</v>
      </c>
      <c r="C1354" s="3">
        <v>45476.75</v>
      </c>
      <c r="D1354">
        <v>96.1</v>
      </c>
      <c r="E1354">
        <v>97.2</v>
      </c>
      <c r="F1354">
        <v>93.9</v>
      </c>
      <c r="G1354" t="s">
        <v>6</v>
      </c>
      <c r="H1354">
        <v>14.2</v>
      </c>
      <c r="I1354">
        <v>16.5</v>
      </c>
      <c r="J1354">
        <v>12.4</v>
      </c>
      <c r="K1354" t="s">
        <v>6</v>
      </c>
      <c r="L1354">
        <v>10</v>
      </c>
      <c r="M1354" t="s">
        <v>6</v>
      </c>
    </row>
    <row r="1355" spans="1:13" x14ac:dyDescent="0.2">
      <c r="A1355" s="1">
        <v>45476</v>
      </c>
      <c r="B1355" s="2">
        <v>0.83333333333333337</v>
      </c>
      <c r="C1355" s="3">
        <v>45476.833333333336</v>
      </c>
      <c r="D1355">
        <v>71.5</v>
      </c>
      <c r="E1355">
        <v>79.3</v>
      </c>
      <c r="F1355">
        <v>60.5</v>
      </c>
      <c r="G1355" t="s">
        <v>6</v>
      </c>
      <c r="H1355">
        <v>15.5</v>
      </c>
      <c r="I1355">
        <v>24.2</v>
      </c>
      <c r="J1355">
        <v>13.2</v>
      </c>
      <c r="K1355" t="s">
        <v>6</v>
      </c>
      <c r="L1355">
        <v>69</v>
      </c>
      <c r="M1355" t="s">
        <v>6</v>
      </c>
    </row>
    <row r="1356" spans="1:13" x14ac:dyDescent="0.2">
      <c r="A1356" s="1">
        <v>45476</v>
      </c>
      <c r="B1356" s="2">
        <v>0.875</v>
      </c>
      <c r="C1356" s="3">
        <v>45476.875</v>
      </c>
      <c r="D1356">
        <v>78.400000000000006</v>
      </c>
      <c r="E1356">
        <v>98.8</v>
      </c>
      <c r="F1356">
        <v>64.7</v>
      </c>
      <c r="G1356" t="s">
        <v>6</v>
      </c>
      <c r="H1356">
        <v>17.600000000000001</v>
      </c>
      <c r="I1356">
        <v>28.6</v>
      </c>
      <c r="J1356">
        <v>13</v>
      </c>
      <c r="K1356" t="s">
        <v>6</v>
      </c>
      <c r="L1356">
        <v>215</v>
      </c>
      <c r="M1356" t="s">
        <v>6</v>
      </c>
    </row>
    <row r="1357" spans="1:13" x14ac:dyDescent="0.2">
      <c r="A1357" s="1">
        <v>45476</v>
      </c>
      <c r="B1357" s="2">
        <v>0.91666666666666663</v>
      </c>
      <c r="C1357" s="3">
        <v>45476.916666666664</v>
      </c>
      <c r="D1357">
        <v>49.6</v>
      </c>
      <c r="E1357">
        <v>66</v>
      </c>
      <c r="F1357">
        <v>43.7</v>
      </c>
      <c r="G1357" t="s">
        <v>6</v>
      </c>
      <c r="H1357">
        <v>13.8</v>
      </c>
      <c r="I1357">
        <v>17.5</v>
      </c>
      <c r="J1357">
        <v>12.4</v>
      </c>
      <c r="K1357" t="s">
        <v>6</v>
      </c>
      <c r="L1357">
        <v>219</v>
      </c>
      <c r="M1357" t="s">
        <v>6</v>
      </c>
    </row>
    <row r="1358" spans="1:13" x14ac:dyDescent="0.2">
      <c r="A1358" s="1">
        <v>45476</v>
      </c>
      <c r="B1358" s="2">
        <v>0.95833333333333337</v>
      </c>
      <c r="C1358" s="3">
        <v>45476.958333333336</v>
      </c>
      <c r="D1358">
        <v>44</v>
      </c>
      <c r="E1358">
        <v>48.5</v>
      </c>
      <c r="F1358">
        <v>40.200000000000003</v>
      </c>
      <c r="G1358" t="s">
        <v>6</v>
      </c>
      <c r="H1358">
        <v>15.4</v>
      </c>
      <c r="I1358">
        <v>25.7</v>
      </c>
      <c r="J1358">
        <v>12.7</v>
      </c>
      <c r="K1358" t="s">
        <v>6</v>
      </c>
      <c r="L1358">
        <v>218</v>
      </c>
      <c r="M1358" t="s">
        <v>6</v>
      </c>
    </row>
    <row r="1359" spans="1:13" x14ac:dyDescent="0.2">
      <c r="A1359" s="1">
        <v>45477</v>
      </c>
      <c r="B1359" s="2">
        <v>0</v>
      </c>
      <c r="C1359" s="3">
        <v>45477</v>
      </c>
      <c r="D1359">
        <v>46.8</v>
      </c>
      <c r="E1359">
        <v>55.1</v>
      </c>
      <c r="F1359">
        <v>40.200000000000003</v>
      </c>
      <c r="G1359" t="s">
        <v>6</v>
      </c>
      <c r="H1359">
        <v>14.6</v>
      </c>
      <c r="I1359">
        <v>26.2</v>
      </c>
      <c r="J1359">
        <v>12.7</v>
      </c>
      <c r="K1359" t="s">
        <v>6</v>
      </c>
      <c r="L1359">
        <v>220</v>
      </c>
      <c r="M1359" t="s">
        <v>6</v>
      </c>
    </row>
    <row r="1360" spans="1:13" x14ac:dyDescent="0.2">
      <c r="A1360" s="1">
        <v>45477</v>
      </c>
      <c r="B1360" s="2">
        <v>4.1666666666666664E-2</v>
      </c>
      <c r="C1360" s="3">
        <v>45477.041666666664</v>
      </c>
      <c r="D1360">
        <v>92.5</v>
      </c>
      <c r="E1360">
        <v>114.2</v>
      </c>
      <c r="F1360">
        <v>44.2</v>
      </c>
      <c r="G1360" t="s">
        <v>6</v>
      </c>
      <c r="H1360">
        <v>14.7</v>
      </c>
      <c r="I1360">
        <v>26</v>
      </c>
      <c r="J1360">
        <v>11.3</v>
      </c>
      <c r="K1360" t="s">
        <v>6</v>
      </c>
      <c r="L1360">
        <v>222</v>
      </c>
      <c r="M1360" t="s">
        <v>6</v>
      </c>
    </row>
    <row r="1361" spans="1:13" x14ac:dyDescent="0.2">
      <c r="A1361" s="1">
        <v>45477</v>
      </c>
      <c r="B1361" s="2">
        <v>8.3333333333333329E-2</v>
      </c>
      <c r="C1361" s="3">
        <v>45477.083333333336</v>
      </c>
      <c r="D1361">
        <v>84.5</v>
      </c>
      <c r="E1361">
        <v>112.3</v>
      </c>
      <c r="F1361">
        <v>59.3</v>
      </c>
      <c r="G1361" t="s">
        <v>6</v>
      </c>
      <c r="H1361">
        <v>13.7</v>
      </c>
      <c r="I1361">
        <v>19.7</v>
      </c>
      <c r="J1361">
        <v>12</v>
      </c>
      <c r="K1361" t="s">
        <v>6</v>
      </c>
      <c r="L1361">
        <v>152</v>
      </c>
      <c r="M1361" t="s">
        <v>6</v>
      </c>
    </row>
    <row r="1362" spans="1:13" x14ac:dyDescent="0.2">
      <c r="A1362" s="1">
        <v>45477</v>
      </c>
      <c r="B1362" s="2">
        <v>0.125</v>
      </c>
      <c r="C1362" s="3">
        <v>45477.125</v>
      </c>
      <c r="D1362">
        <v>66.900000000000006</v>
      </c>
      <c r="E1362">
        <v>76.900000000000006</v>
      </c>
      <c r="F1362">
        <v>57.4</v>
      </c>
      <c r="G1362" t="s">
        <v>6</v>
      </c>
      <c r="H1362">
        <v>14.1</v>
      </c>
      <c r="I1362">
        <v>23.9</v>
      </c>
      <c r="J1362">
        <v>11.9</v>
      </c>
      <c r="K1362" t="s">
        <v>6</v>
      </c>
      <c r="L1362">
        <v>218</v>
      </c>
      <c r="M1362" t="s">
        <v>6</v>
      </c>
    </row>
    <row r="1363" spans="1:13" x14ac:dyDescent="0.2">
      <c r="A1363" s="1">
        <v>45477</v>
      </c>
      <c r="B1363" s="2">
        <v>0.16666666666666666</v>
      </c>
      <c r="C1363" s="3">
        <v>45477.166666666664</v>
      </c>
      <c r="D1363">
        <v>54.2</v>
      </c>
      <c r="E1363">
        <v>57.6</v>
      </c>
      <c r="F1363">
        <v>50.3</v>
      </c>
      <c r="G1363" t="s">
        <v>6</v>
      </c>
      <c r="H1363">
        <v>13.1</v>
      </c>
      <c r="I1363">
        <v>18.5</v>
      </c>
      <c r="J1363">
        <v>11.6</v>
      </c>
      <c r="K1363" t="s">
        <v>6</v>
      </c>
      <c r="L1363">
        <v>196</v>
      </c>
      <c r="M1363" t="s">
        <v>6</v>
      </c>
    </row>
    <row r="1364" spans="1:13" x14ac:dyDescent="0.2">
      <c r="A1364" s="1">
        <v>45477</v>
      </c>
      <c r="B1364" s="2">
        <v>0.20833333333333334</v>
      </c>
      <c r="C1364" s="3">
        <v>45477.208333333336</v>
      </c>
      <c r="D1364">
        <v>51.2</v>
      </c>
      <c r="E1364">
        <v>63.1</v>
      </c>
      <c r="F1364">
        <v>47</v>
      </c>
      <c r="G1364" t="s">
        <v>6</v>
      </c>
      <c r="H1364">
        <v>14.1</v>
      </c>
      <c r="I1364">
        <v>32.799999999999997</v>
      </c>
      <c r="J1364">
        <v>11.1</v>
      </c>
      <c r="K1364" t="s">
        <v>6</v>
      </c>
      <c r="L1364">
        <v>227</v>
      </c>
      <c r="M1364" t="s">
        <v>6</v>
      </c>
    </row>
    <row r="1365" spans="1:13" x14ac:dyDescent="0.2">
      <c r="A1365" s="1">
        <v>45477</v>
      </c>
      <c r="B1365" s="2">
        <v>0.25</v>
      </c>
      <c r="C1365" s="3">
        <v>45477.25</v>
      </c>
      <c r="D1365">
        <v>47.2</v>
      </c>
      <c r="E1365">
        <v>55.8</v>
      </c>
      <c r="F1365">
        <v>43.2</v>
      </c>
      <c r="G1365" t="s">
        <v>6</v>
      </c>
      <c r="H1365">
        <v>14</v>
      </c>
      <c r="I1365">
        <v>21.6</v>
      </c>
      <c r="J1365">
        <v>11.2</v>
      </c>
      <c r="K1365" t="s">
        <v>6</v>
      </c>
      <c r="L1365">
        <v>213</v>
      </c>
      <c r="M1365" t="s">
        <v>6</v>
      </c>
    </row>
    <row r="1366" spans="1:13" x14ac:dyDescent="0.2">
      <c r="A1366" s="13">
        <v>45477</v>
      </c>
      <c r="B1366" s="9">
        <v>0.29166666666666669</v>
      </c>
      <c r="C1366" s="8">
        <v>45477.291666666664</v>
      </c>
      <c r="D1366" s="10">
        <v>52.1</v>
      </c>
      <c r="E1366" s="10">
        <v>62.9</v>
      </c>
      <c r="F1366" s="10">
        <v>46.4</v>
      </c>
      <c r="G1366" s="10" t="s">
        <v>6</v>
      </c>
      <c r="H1366" s="10">
        <v>16.600000000000001</v>
      </c>
      <c r="I1366" s="10">
        <v>21.6</v>
      </c>
      <c r="J1366" s="10">
        <v>13.8</v>
      </c>
      <c r="K1366" s="10" t="s">
        <v>6</v>
      </c>
      <c r="L1366">
        <v>138</v>
      </c>
      <c r="M1366" t="s">
        <v>6</v>
      </c>
    </row>
    <row r="1367" spans="1:13" x14ac:dyDescent="0.2">
      <c r="A1367" s="1">
        <v>45477</v>
      </c>
      <c r="B1367" s="2">
        <v>0.375</v>
      </c>
      <c r="C1367" s="3">
        <v>45477.375</v>
      </c>
      <c r="D1367">
        <v>59</v>
      </c>
      <c r="E1367">
        <v>67.400000000000006</v>
      </c>
      <c r="F1367">
        <v>55.9</v>
      </c>
      <c r="G1367" t="s">
        <v>6</v>
      </c>
      <c r="H1367">
        <v>15.9</v>
      </c>
      <c r="I1367">
        <v>21.9</v>
      </c>
      <c r="J1367">
        <v>13.6</v>
      </c>
      <c r="K1367" t="s">
        <v>6</v>
      </c>
      <c r="L1367">
        <v>62</v>
      </c>
      <c r="M1367" t="s">
        <v>6</v>
      </c>
    </row>
    <row r="1368" spans="1:13" x14ac:dyDescent="0.2">
      <c r="A1368" s="1">
        <v>45477</v>
      </c>
      <c r="B1368" s="2">
        <v>0.41666666666666669</v>
      </c>
      <c r="C1368" s="3">
        <v>45477.416666666664</v>
      </c>
      <c r="D1368">
        <v>60.5</v>
      </c>
      <c r="E1368">
        <v>67</v>
      </c>
      <c r="F1368">
        <v>56.5</v>
      </c>
      <c r="G1368" t="s">
        <v>6</v>
      </c>
      <c r="H1368">
        <v>16.3</v>
      </c>
      <c r="I1368">
        <v>20.2</v>
      </c>
      <c r="J1368">
        <v>12.7</v>
      </c>
      <c r="K1368" t="s">
        <v>6</v>
      </c>
      <c r="L1368">
        <v>220</v>
      </c>
      <c r="M1368" t="s">
        <v>6</v>
      </c>
    </row>
    <row r="1369" spans="1:13" x14ac:dyDescent="0.2">
      <c r="A1369" s="1">
        <v>45477</v>
      </c>
      <c r="B1369" s="2">
        <v>0.45833333333333331</v>
      </c>
      <c r="C1369" s="3">
        <v>45477.458333333336</v>
      </c>
      <c r="D1369">
        <v>64.3</v>
      </c>
      <c r="E1369">
        <v>77.900000000000006</v>
      </c>
      <c r="F1369">
        <v>58</v>
      </c>
      <c r="G1369" t="s">
        <v>6</v>
      </c>
      <c r="H1369">
        <v>14.5</v>
      </c>
      <c r="I1369">
        <v>17.8</v>
      </c>
      <c r="J1369">
        <v>11.6</v>
      </c>
      <c r="K1369" t="s">
        <v>6</v>
      </c>
      <c r="L1369">
        <v>44</v>
      </c>
      <c r="M1369" t="s">
        <v>6</v>
      </c>
    </row>
    <row r="1370" spans="1:13" x14ac:dyDescent="0.2">
      <c r="A1370" s="1">
        <v>45477</v>
      </c>
      <c r="B1370" s="2">
        <v>0.5</v>
      </c>
      <c r="C1370" s="3">
        <v>45477.5</v>
      </c>
      <c r="D1370">
        <v>77.5</v>
      </c>
      <c r="E1370">
        <v>78</v>
      </c>
      <c r="F1370">
        <v>76.7</v>
      </c>
      <c r="G1370" t="s">
        <v>6</v>
      </c>
      <c r="H1370">
        <v>22.7</v>
      </c>
      <c r="I1370">
        <v>28.4</v>
      </c>
      <c r="J1370">
        <v>14.5</v>
      </c>
      <c r="K1370" t="s">
        <v>6</v>
      </c>
      <c r="L1370">
        <v>6</v>
      </c>
      <c r="M1370" t="s">
        <v>6</v>
      </c>
    </row>
    <row r="1371" spans="1:13" x14ac:dyDescent="0.2">
      <c r="A1371" s="1">
        <v>45477</v>
      </c>
      <c r="B1371" s="2">
        <v>0.54166666666666663</v>
      </c>
      <c r="C1371" s="3">
        <v>45477.541666666664</v>
      </c>
      <c r="D1371">
        <v>63.7</v>
      </c>
      <c r="E1371">
        <v>75.400000000000006</v>
      </c>
      <c r="F1371">
        <v>52.3</v>
      </c>
      <c r="G1371" t="s">
        <v>6</v>
      </c>
      <c r="H1371">
        <v>14.4</v>
      </c>
      <c r="I1371">
        <v>17.5</v>
      </c>
      <c r="J1371">
        <v>11.5</v>
      </c>
      <c r="K1371" t="s">
        <v>6</v>
      </c>
      <c r="L1371">
        <v>106</v>
      </c>
      <c r="M1371" t="s">
        <v>6</v>
      </c>
    </row>
    <row r="1372" spans="1:13" x14ac:dyDescent="0.2">
      <c r="A1372" s="1">
        <v>45477</v>
      </c>
      <c r="B1372" s="2">
        <v>0.58333333333333337</v>
      </c>
      <c r="C1372" s="3">
        <v>45477.583333333336</v>
      </c>
      <c r="D1372">
        <v>57.9</v>
      </c>
      <c r="E1372">
        <v>64</v>
      </c>
      <c r="F1372">
        <v>52.2</v>
      </c>
      <c r="G1372" t="s">
        <v>6</v>
      </c>
      <c r="H1372">
        <v>12.7</v>
      </c>
      <c r="I1372">
        <v>18.899999999999999</v>
      </c>
      <c r="J1372">
        <v>10.8</v>
      </c>
      <c r="K1372" t="s">
        <v>6</v>
      </c>
      <c r="L1372">
        <v>219</v>
      </c>
      <c r="M1372" t="s">
        <v>6</v>
      </c>
    </row>
    <row r="1373" spans="1:13" x14ac:dyDescent="0.2">
      <c r="A1373" s="1">
        <v>45477</v>
      </c>
      <c r="B1373" s="2">
        <v>0.625</v>
      </c>
      <c r="C1373" s="3">
        <v>45477.625</v>
      </c>
      <c r="D1373">
        <v>69.5</v>
      </c>
      <c r="E1373">
        <v>79.8</v>
      </c>
      <c r="F1373">
        <v>58.9</v>
      </c>
      <c r="G1373" t="s">
        <v>6</v>
      </c>
      <c r="H1373">
        <v>15.9</v>
      </c>
      <c r="I1373">
        <v>24.6</v>
      </c>
      <c r="J1373">
        <v>12.1</v>
      </c>
      <c r="K1373" t="s">
        <v>6</v>
      </c>
      <c r="L1373">
        <v>76</v>
      </c>
      <c r="M1373" t="s">
        <v>6</v>
      </c>
    </row>
    <row r="1374" spans="1:13" x14ac:dyDescent="0.2">
      <c r="A1374" s="1">
        <v>45477</v>
      </c>
      <c r="B1374" s="2">
        <v>0.66666666666666663</v>
      </c>
      <c r="C1374" s="3">
        <v>45477.666666666664</v>
      </c>
      <c r="D1374">
        <v>59.9</v>
      </c>
      <c r="E1374">
        <v>61.5</v>
      </c>
      <c r="F1374">
        <v>58.1</v>
      </c>
      <c r="G1374" t="s">
        <v>6</v>
      </c>
      <c r="H1374">
        <v>17.100000000000001</v>
      </c>
      <c r="I1374">
        <v>20.399999999999999</v>
      </c>
      <c r="J1374">
        <v>14.9</v>
      </c>
      <c r="K1374" t="s">
        <v>6</v>
      </c>
      <c r="L1374">
        <v>38</v>
      </c>
      <c r="M1374" t="s">
        <v>6</v>
      </c>
    </row>
    <row r="1375" spans="1:13" x14ac:dyDescent="0.2">
      <c r="A1375" s="1">
        <v>45477</v>
      </c>
      <c r="B1375" s="2">
        <v>0.70833333333333337</v>
      </c>
      <c r="C1375" s="3">
        <v>45477.708333333336</v>
      </c>
      <c r="D1375">
        <v>56.6</v>
      </c>
      <c r="E1375">
        <v>59.9</v>
      </c>
      <c r="F1375">
        <v>54</v>
      </c>
      <c r="G1375" t="s">
        <v>6</v>
      </c>
      <c r="H1375">
        <v>16.3</v>
      </c>
      <c r="I1375">
        <v>20.5</v>
      </c>
      <c r="J1375">
        <v>12.6</v>
      </c>
      <c r="K1375" t="s">
        <v>6</v>
      </c>
      <c r="L1375">
        <v>65</v>
      </c>
      <c r="M1375" t="s">
        <v>6</v>
      </c>
    </row>
    <row r="1376" spans="1:13" x14ac:dyDescent="0.2">
      <c r="A1376" s="1">
        <v>45477</v>
      </c>
      <c r="B1376" s="2">
        <v>0.75</v>
      </c>
      <c r="C1376" s="3">
        <v>45477.75</v>
      </c>
      <c r="D1376">
        <v>55.9</v>
      </c>
      <c r="E1376">
        <v>57.8</v>
      </c>
      <c r="F1376">
        <v>55.1</v>
      </c>
      <c r="G1376" t="s">
        <v>6</v>
      </c>
      <c r="H1376">
        <v>12.5</v>
      </c>
      <c r="I1376">
        <v>14.4</v>
      </c>
      <c r="J1376">
        <v>11.4</v>
      </c>
      <c r="K1376" t="s">
        <v>6</v>
      </c>
      <c r="L1376">
        <v>20</v>
      </c>
      <c r="M1376" t="s">
        <v>6</v>
      </c>
    </row>
    <row r="1377" spans="1:13" x14ac:dyDescent="0.2">
      <c r="A1377" s="1">
        <v>45477</v>
      </c>
      <c r="B1377" s="2">
        <v>0.83333333333333337</v>
      </c>
      <c r="C1377" s="3">
        <v>45477.833333333336</v>
      </c>
      <c r="D1377">
        <v>91</v>
      </c>
      <c r="E1377">
        <v>104.3</v>
      </c>
      <c r="F1377">
        <v>55.5</v>
      </c>
      <c r="G1377" t="s">
        <v>6</v>
      </c>
      <c r="H1377">
        <v>16.100000000000001</v>
      </c>
      <c r="I1377">
        <v>27.1</v>
      </c>
      <c r="J1377">
        <v>12.2</v>
      </c>
      <c r="K1377" t="s">
        <v>6</v>
      </c>
      <c r="L1377">
        <v>203</v>
      </c>
      <c r="M1377" t="s">
        <v>6</v>
      </c>
    </row>
    <row r="1378" spans="1:13" x14ac:dyDescent="0.2">
      <c r="A1378" s="1">
        <v>45477</v>
      </c>
      <c r="B1378" s="2">
        <v>0.875</v>
      </c>
      <c r="C1378" s="3">
        <v>45477.875</v>
      </c>
      <c r="D1378">
        <v>94</v>
      </c>
      <c r="E1378">
        <v>109.5</v>
      </c>
      <c r="F1378">
        <v>81.8</v>
      </c>
      <c r="G1378" t="s">
        <v>6</v>
      </c>
      <c r="H1378">
        <v>14.2</v>
      </c>
      <c r="I1378">
        <v>25.7</v>
      </c>
      <c r="J1378">
        <v>12</v>
      </c>
      <c r="K1378" t="s">
        <v>6</v>
      </c>
      <c r="L1378">
        <v>209</v>
      </c>
      <c r="M1378" t="s">
        <v>6</v>
      </c>
    </row>
    <row r="1379" spans="1:13" x14ac:dyDescent="0.2">
      <c r="A1379" s="1">
        <v>45477</v>
      </c>
      <c r="B1379" s="2">
        <v>0.91666666666666663</v>
      </c>
      <c r="C1379" s="3">
        <v>45477.916666666664</v>
      </c>
      <c r="D1379">
        <v>97.9</v>
      </c>
      <c r="E1379">
        <v>104.5</v>
      </c>
      <c r="F1379">
        <v>92.8</v>
      </c>
      <c r="G1379" t="s">
        <v>6</v>
      </c>
      <c r="H1379">
        <v>14.6</v>
      </c>
      <c r="I1379">
        <v>24.3</v>
      </c>
      <c r="J1379">
        <v>12.1</v>
      </c>
      <c r="K1379" t="s">
        <v>6</v>
      </c>
      <c r="L1379">
        <v>213</v>
      </c>
      <c r="M1379" t="s">
        <v>6</v>
      </c>
    </row>
    <row r="1380" spans="1:13" x14ac:dyDescent="0.2">
      <c r="A1380" s="1">
        <v>45477</v>
      </c>
      <c r="B1380" s="2">
        <v>0.95833333333333337</v>
      </c>
      <c r="C1380" s="3">
        <v>45477.958333333336</v>
      </c>
      <c r="D1380">
        <v>94.3</v>
      </c>
      <c r="E1380">
        <v>114.3</v>
      </c>
      <c r="F1380">
        <v>60.3</v>
      </c>
      <c r="G1380" t="s">
        <v>6</v>
      </c>
      <c r="H1380">
        <v>15</v>
      </c>
      <c r="I1380">
        <v>25</v>
      </c>
      <c r="J1380">
        <v>11.4</v>
      </c>
      <c r="K1380" t="s">
        <v>6</v>
      </c>
      <c r="L1380">
        <v>218</v>
      </c>
      <c r="M1380" t="s">
        <v>6</v>
      </c>
    </row>
    <row r="1381" spans="1:13" x14ac:dyDescent="0.2">
      <c r="A1381" s="1">
        <v>45478</v>
      </c>
      <c r="B1381" s="2">
        <v>0</v>
      </c>
      <c r="C1381" s="3">
        <v>45478</v>
      </c>
      <c r="D1381">
        <v>100.7</v>
      </c>
      <c r="E1381">
        <v>112.1</v>
      </c>
      <c r="F1381">
        <v>97.4</v>
      </c>
      <c r="G1381" t="s">
        <v>6</v>
      </c>
      <c r="H1381">
        <v>14.4</v>
      </c>
      <c r="I1381">
        <v>23.5</v>
      </c>
      <c r="J1381">
        <v>11</v>
      </c>
      <c r="K1381" t="s">
        <v>6</v>
      </c>
      <c r="L1381">
        <v>210</v>
      </c>
      <c r="M1381" t="s">
        <v>6</v>
      </c>
    </row>
    <row r="1382" spans="1:13" x14ac:dyDescent="0.2">
      <c r="A1382" s="1">
        <v>45478</v>
      </c>
      <c r="B1382" s="2">
        <v>4.1666666666666664E-2</v>
      </c>
      <c r="C1382" s="3">
        <v>45478.041666666664</v>
      </c>
      <c r="D1382">
        <v>80.5</v>
      </c>
      <c r="E1382">
        <v>97.4</v>
      </c>
      <c r="F1382">
        <v>46.9</v>
      </c>
      <c r="G1382" t="s">
        <v>6</v>
      </c>
      <c r="H1382">
        <v>15.5</v>
      </c>
      <c r="I1382">
        <v>24.2</v>
      </c>
      <c r="J1382">
        <v>11.8</v>
      </c>
      <c r="K1382" t="s">
        <v>6</v>
      </c>
      <c r="L1382">
        <v>221</v>
      </c>
      <c r="M1382" t="s">
        <v>6</v>
      </c>
    </row>
    <row r="1383" spans="1:13" x14ac:dyDescent="0.2">
      <c r="A1383" s="1">
        <v>45478</v>
      </c>
      <c r="B1383" s="2">
        <v>8.3333333333333329E-2</v>
      </c>
      <c r="C1383" s="3">
        <v>45478.083333333336</v>
      </c>
      <c r="D1383">
        <v>77.7</v>
      </c>
      <c r="E1383">
        <v>113.7</v>
      </c>
      <c r="F1383">
        <v>47</v>
      </c>
      <c r="G1383" t="s">
        <v>6</v>
      </c>
      <c r="H1383">
        <v>14.2</v>
      </c>
      <c r="I1383">
        <v>25.3</v>
      </c>
      <c r="J1383">
        <v>11.7</v>
      </c>
      <c r="K1383" t="s">
        <v>6</v>
      </c>
      <c r="L1383">
        <v>215</v>
      </c>
      <c r="M1383" t="s">
        <v>6</v>
      </c>
    </row>
    <row r="1384" spans="1:13" x14ac:dyDescent="0.2">
      <c r="A1384" s="1">
        <v>45478</v>
      </c>
      <c r="B1384" s="2">
        <v>0.125</v>
      </c>
      <c r="C1384" s="3">
        <v>45478.125</v>
      </c>
      <c r="D1384">
        <v>98.1</v>
      </c>
      <c r="E1384">
        <v>108.4</v>
      </c>
      <c r="F1384">
        <v>83.3</v>
      </c>
      <c r="G1384" t="s">
        <v>6</v>
      </c>
      <c r="H1384">
        <v>13.6</v>
      </c>
      <c r="I1384">
        <v>23.2</v>
      </c>
      <c r="J1384">
        <v>11.1</v>
      </c>
      <c r="K1384" t="s">
        <v>6</v>
      </c>
      <c r="L1384">
        <v>215</v>
      </c>
      <c r="M1384" t="s">
        <v>6</v>
      </c>
    </row>
    <row r="1385" spans="1:13" x14ac:dyDescent="0.2">
      <c r="A1385" s="1">
        <v>45478</v>
      </c>
      <c r="B1385" s="2">
        <v>0.16666666666666666</v>
      </c>
      <c r="C1385" s="3">
        <v>45478.166666666664</v>
      </c>
      <c r="D1385">
        <v>102.4</v>
      </c>
      <c r="E1385">
        <v>114.8</v>
      </c>
      <c r="F1385">
        <v>88.8</v>
      </c>
      <c r="G1385" t="s">
        <v>6</v>
      </c>
      <c r="H1385">
        <v>13.4</v>
      </c>
      <c r="I1385">
        <v>23</v>
      </c>
      <c r="J1385">
        <v>11</v>
      </c>
      <c r="K1385" t="s">
        <v>6</v>
      </c>
      <c r="L1385">
        <v>209</v>
      </c>
      <c r="M1385" t="s">
        <v>6</v>
      </c>
    </row>
    <row r="1386" spans="1:13" x14ac:dyDescent="0.2">
      <c r="A1386" s="1">
        <v>45478</v>
      </c>
      <c r="B1386" s="2">
        <v>0.20833333333333334</v>
      </c>
      <c r="C1386" s="3">
        <v>45478.208333333336</v>
      </c>
      <c r="D1386">
        <v>103.6</v>
      </c>
      <c r="E1386">
        <v>111.5</v>
      </c>
      <c r="F1386">
        <v>83.4</v>
      </c>
      <c r="G1386" t="s">
        <v>6</v>
      </c>
      <c r="H1386">
        <v>14.9</v>
      </c>
      <c r="I1386">
        <v>24.2</v>
      </c>
      <c r="J1386">
        <v>11</v>
      </c>
      <c r="K1386" t="s">
        <v>6</v>
      </c>
      <c r="L1386">
        <v>206</v>
      </c>
      <c r="M1386" t="s">
        <v>6</v>
      </c>
    </row>
    <row r="1387" spans="1:13" x14ac:dyDescent="0.2">
      <c r="A1387" s="1">
        <v>45478</v>
      </c>
      <c r="B1387" s="2">
        <v>0.25</v>
      </c>
      <c r="C1387" s="3">
        <v>45478.25</v>
      </c>
      <c r="D1387">
        <v>88.4</v>
      </c>
      <c r="E1387">
        <v>104.8</v>
      </c>
      <c r="F1387">
        <v>44.9</v>
      </c>
      <c r="G1387" t="s">
        <v>6</v>
      </c>
      <c r="H1387">
        <v>12.8</v>
      </c>
      <c r="I1387">
        <v>23.8</v>
      </c>
      <c r="J1387">
        <v>10.6</v>
      </c>
      <c r="K1387" t="s">
        <v>6</v>
      </c>
      <c r="L1387">
        <v>187</v>
      </c>
      <c r="M1387" t="s">
        <v>6</v>
      </c>
    </row>
    <row r="1388" spans="1:13" x14ac:dyDescent="0.2">
      <c r="A1388" s="1">
        <v>45478</v>
      </c>
      <c r="B1388" s="2">
        <v>0.29166666666666669</v>
      </c>
      <c r="C1388" s="3">
        <v>45478.291666666664</v>
      </c>
      <c r="D1388">
        <v>101</v>
      </c>
      <c r="E1388">
        <v>117.4</v>
      </c>
      <c r="F1388">
        <v>89.2</v>
      </c>
      <c r="G1388" t="s">
        <v>6</v>
      </c>
      <c r="H1388">
        <v>15</v>
      </c>
      <c r="I1388">
        <v>18.600000000000001</v>
      </c>
      <c r="J1388">
        <v>11.6</v>
      </c>
      <c r="K1388" t="s">
        <v>6</v>
      </c>
      <c r="L1388">
        <v>195</v>
      </c>
      <c r="M1388" t="s">
        <v>6</v>
      </c>
    </row>
    <row r="1389" spans="1:13" x14ac:dyDescent="0.2">
      <c r="A1389" s="13">
        <v>45478</v>
      </c>
      <c r="B1389" s="9">
        <v>0.33333333333333331</v>
      </c>
      <c r="C1389" s="8">
        <v>45478.333333333336</v>
      </c>
      <c r="D1389" s="10">
        <v>81.900000000000006</v>
      </c>
      <c r="E1389" s="10">
        <v>94.1</v>
      </c>
      <c r="F1389" s="10">
        <v>69.7</v>
      </c>
      <c r="G1389" s="10" t="s">
        <v>6</v>
      </c>
      <c r="H1389" s="10">
        <v>15.6</v>
      </c>
      <c r="I1389" s="10">
        <v>22.4</v>
      </c>
      <c r="J1389" s="10">
        <v>10.8</v>
      </c>
      <c r="K1389" s="10" t="s">
        <v>6</v>
      </c>
      <c r="L1389" s="10">
        <v>171</v>
      </c>
      <c r="M1389" t="s">
        <v>6</v>
      </c>
    </row>
    <row r="1390" spans="1:13" x14ac:dyDescent="0.2">
      <c r="A1390" s="14">
        <v>45478</v>
      </c>
      <c r="B1390" s="12">
        <v>0.375</v>
      </c>
      <c r="C1390" s="7">
        <v>45478.375</v>
      </c>
      <c r="D1390" s="11">
        <v>72.8</v>
      </c>
      <c r="E1390" s="11">
        <v>74.5</v>
      </c>
      <c r="F1390" s="11">
        <v>72</v>
      </c>
      <c r="G1390" s="11" t="s">
        <v>6</v>
      </c>
      <c r="H1390" s="11">
        <v>14.2</v>
      </c>
      <c r="I1390" s="11">
        <v>15.5</v>
      </c>
      <c r="J1390" s="11">
        <v>13.2</v>
      </c>
      <c r="K1390" s="11" t="s">
        <v>6</v>
      </c>
      <c r="L1390" s="11">
        <v>9</v>
      </c>
      <c r="M1390" t="s">
        <v>6</v>
      </c>
    </row>
    <row r="1391" spans="1:13" x14ac:dyDescent="0.2">
      <c r="A1391" s="1">
        <v>45478</v>
      </c>
      <c r="B1391" s="2">
        <v>0.41666666666666669</v>
      </c>
      <c r="C1391" s="3">
        <v>45478.416666666664</v>
      </c>
      <c r="D1391">
        <v>75.900000000000006</v>
      </c>
      <c r="E1391">
        <v>77.8</v>
      </c>
      <c r="F1391">
        <v>73.3</v>
      </c>
      <c r="G1391" t="s">
        <v>6</v>
      </c>
      <c r="H1391">
        <v>14.1</v>
      </c>
      <c r="I1391">
        <v>16.7</v>
      </c>
      <c r="J1391">
        <v>11.7</v>
      </c>
      <c r="K1391" t="s">
        <v>6</v>
      </c>
      <c r="L1391">
        <v>24</v>
      </c>
      <c r="M1391" t="s">
        <v>6</v>
      </c>
    </row>
    <row r="1392" spans="1:13" x14ac:dyDescent="0.2">
      <c r="A1392" s="1">
        <v>45478</v>
      </c>
      <c r="B1392" s="2">
        <v>0.66666666666666663</v>
      </c>
      <c r="C1392" s="3">
        <v>45478.666666666664</v>
      </c>
      <c r="D1392">
        <v>93.2</v>
      </c>
      <c r="E1392">
        <v>100.2</v>
      </c>
      <c r="F1392">
        <v>76.8</v>
      </c>
      <c r="G1392" t="s">
        <v>6</v>
      </c>
      <c r="H1392">
        <v>17.899999999999999</v>
      </c>
      <c r="I1392">
        <v>21.5</v>
      </c>
      <c r="J1392">
        <v>13.7</v>
      </c>
      <c r="K1392" t="s">
        <v>6</v>
      </c>
      <c r="L1392">
        <v>78</v>
      </c>
      <c r="M1392" t="s">
        <v>6</v>
      </c>
    </row>
    <row r="1393" spans="1:13" x14ac:dyDescent="0.2">
      <c r="A1393" s="1">
        <v>45478</v>
      </c>
      <c r="B1393" s="2">
        <v>0.70833333333333337</v>
      </c>
      <c r="C1393" s="3">
        <v>45478.708333333336</v>
      </c>
      <c r="D1393">
        <v>88.7</v>
      </c>
      <c r="E1393">
        <v>100.2</v>
      </c>
      <c r="F1393">
        <v>73.900000000000006</v>
      </c>
      <c r="G1393" t="s">
        <v>6</v>
      </c>
      <c r="H1393">
        <v>17</v>
      </c>
      <c r="I1393">
        <v>34</v>
      </c>
      <c r="J1393">
        <v>11.2</v>
      </c>
      <c r="K1393" t="s">
        <v>6</v>
      </c>
      <c r="L1393">
        <v>174</v>
      </c>
      <c r="M1393" t="s">
        <v>6</v>
      </c>
    </row>
    <row r="1394" spans="1:13" x14ac:dyDescent="0.2">
      <c r="A1394" s="1">
        <v>45478</v>
      </c>
      <c r="B1394" s="2">
        <v>0.75</v>
      </c>
      <c r="C1394" s="3">
        <v>45478.75</v>
      </c>
      <c r="D1394">
        <v>88.3</v>
      </c>
      <c r="E1394">
        <v>95.7</v>
      </c>
      <c r="F1394">
        <v>80.400000000000006</v>
      </c>
      <c r="G1394" t="s">
        <v>6</v>
      </c>
      <c r="H1394">
        <v>15.1</v>
      </c>
      <c r="I1394">
        <v>21.4</v>
      </c>
      <c r="J1394">
        <v>11.2</v>
      </c>
      <c r="K1394" t="s">
        <v>6</v>
      </c>
      <c r="L1394">
        <v>204</v>
      </c>
      <c r="M1394" t="s">
        <v>6</v>
      </c>
    </row>
    <row r="1395" spans="1:13" x14ac:dyDescent="0.2">
      <c r="A1395" s="1">
        <v>45478</v>
      </c>
      <c r="B1395" s="2">
        <v>0.79166666666666663</v>
      </c>
      <c r="C1395" s="3">
        <v>45478.791666666664</v>
      </c>
      <c r="D1395">
        <v>87.9</v>
      </c>
      <c r="E1395">
        <v>95.4</v>
      </c>
      <c r="F1395">
        <v>81.2</v>
      </c>
      <c r="G1395" t="s">
        <v>6</v>
      </c>
      <c r="H1395">
        <v>16</v>
      </c>
      <c r="I1395">
        <v>19.899999999999999</v>
      </c>
      <c r="J1395">
        <v>13</v>
      </c>
      <c r="K1395" t="s">
        <v>6</v>
      </c>
      <c r="L1395">
        <v>90</v>
      </c>
      <c r="M1395" t="s">
        <v>6</v>
      </c>
    </row>
    <row r="1396" spans="1:13" x14ac:dyDescent="0.2">
      <c r="A1396" s="1">
        <v>45478</v>
      </c>
      <c r="B1396" s="2">
        <v>0.83333333333333337</v>
      </c>
      <c r="C1396" s="3">
        <v>45478.833333333336</v>
      </c>
      <c r="D1396">
        <v>104.3</v>
      </c>
      <c r="E1396">
        <v>112.9</v>
      </c>
      <c r="F1396">
        <v>89</v>
      </c>
      <c r="G1396" t="s">
        <v>6</v>
      </c>
      <c r="H1396">
        <v>16.3</v>
      </c>
      <c r="I1396">
        <v>27.5</v>
      </c>
      <c r="J1396">
        <v>13.1</v>
      </c>
      <c r="K1396" t="s">
        <v>6</v>
      </c>
      <c r="L1396">
        <v>215</v>
      </c>
      <c r="M1396" t="s">
        <v>6</v>
      </c>
    </row>
    <row r="1397" spans="1:13" x14ac:dyDescent="0.2">
      <c r="A1397" s="1">
        <v>45478</v>
      </c>
      <c r="B1397" s="2">
        <v>0.875</v>
      </c>
      <c r="C1397" s="3">
        <v>45478.875</v>
      </c>
      <c r="D1397">
        <v>102.8</v>
      </c>
      <c r="E1397">
        <v>115.5</v>
      </c>
      <c r="F1397">
        <v>87.3</v>
      </c>
      <c r="G1397" t="s">
        <v>6</v>
      </c>
      <c r="H1397">
        <v>15.5</v>
      </c>
      <c r="I1397">
        <v>25.4</v>
      </c>
      <c r="J1397">
        <v>12.3</v>
      </c>
      <c r="K1397" t="s">
        <v>6</v>
      </c>
      <c r="L1397">
        <v>209</v>
      </c>
      <c r="M1397" t="s">
        <v>6</v>
      </c>
    </row>
    <row r="1398" spans="1:13" x14ac:dyDescent="0.2">
      <c r="A1398" s="1">
        <v>45478</v>
      </c>
      <c r="B1398" s="2">
        <v>0.91666666666666663</v>
      </c>
      <c r="C1398" s="3">
        <v>45478.916666666664</v>
      </c>
      <c r="D1398">
        <v>105</v>
      </c>
      <c r="E1398">
        <v>114.4</v>
      </c>
      <c r="F1398">
        <v>92.2</v>
      </c>
      <c r="G1398" t="s">
        <v>6</v>
      </c>
      <c r="H1398">
        <v>17.600000000000001</v>
      </c>
      <c r="I1398">
        <v>30.6</v>
      </c>
      <c r="J1398">
        <v>13</v>
      </c>
      <c r="K1398" t="s">
        <v>6</v>
      </c>
      <c r="L1398">
        <v>212</v>
      </c>
      <c r="M1398" t="s">
        <v>6</v>
      </c>
    </row>
    <row r="1399" spans="1:13" x14ac:dyDescent="0.2">
      <c r="A1399" s="1">
        <v>45478</v>
      </c>
      <c r="B1399" s="2">
        <v>0.95833333333333337</v>
      </c>
      <c r="C1399" s="3">
        <v>45478.958333333336</v>
      </c>
      <c r="D1399">
        <v>87.4</v>
      </c>
      <c r="E1399">
        <v>105.5</v>
      </c>
      <c r="F1399">
        <v>71</v>
      </c>
      <c r="G1399" t="s">
        <v>6</v>
      </c>
      <c r="H1399">
        <v>17.3</v>
      </c>
      <c r="I1399">
        <v>28.2</v>
      </c>
      <c r="J1399">
        <v>12.9</v>
      </c>
      <c r="K1399" t="s">
        <v>6</v>
      </c>
      <c r="L1399">
        <v>214</v>
      </c>
      <c r="M1399" t="s">
        <v>6</v>
      </c>
    </row>
    <row r="1400" spans="1:13" x14ac:dyDescent="0.2">
      <c r="A1400" s="1">
        <v>45479</v>
      </c>
      <c r="B1400" s="2">
        <v>0</v>
      </c>
      <c r="C1400" s="3">
        <v>45479</v>
      </c>
      <c r="D1400">
        <v>59.4</v>
      </c>
      <c r="E1400">
        <v>79.599999999999994</v>
      </c>
      <c r="F1400">
        <v>43.3</v>
      </c>
      <c r="G1400" t="s">
        <v>6</v>
      </c>
      <c r="H1400">
        <v>14</v>
      </c>
      <c r="I1400">
        <v>24.6</v>
      </c>
      <c r="J1400">
        <v>11.8</v>
      </c>
      <c r="K1400" t="s">
        <v>6</v>
      </c>
      <c r="L1400">
        <v>223</v>
      </c>
      <c r="M1400" t="s">
        <v>6</v>
      </c>
    </row>
    <row r="1401" spans="1:13" x14ac:dyDescent="0.2">
      <c r="A1401" s="1">
        <v>45479</v>
      </c>
      <c r="B1401" s="2">
        <v>4.1666666666666664E-2</v>
      </c>
      <c r="C1401" s="3">
        <v>45479.041666666664</v>
      </c>
      <c r="D1401">
        <v>76</v>
      </c>
      <c r="E1401">
        <v>91.9</v>
      </c>
      <c r="F1401">
        <v>43.7</v>
      </c>
      <c r="G1401" t="s">
        <v>6</v>
      </c>
      <c r="H1401">
        <v>14.3</v>
      </c>
      <c r="I1401">
        <v>20</v>
      </c>
      <c r="J1401">
        <v>11.9</v>
      </c>
      <c r="K1401" t="s">
        <v>6</v>
      </c>
      <c r="L1401">
        <v>214</v>
      </c>
      <c r="M1401" t="s">
        <v>6</v>
      </c>
    </row>
    <row r="1402" spans="1:13" x14ac:dyDescent="0.2">
      <c r="A1402" s="1">
        <v>45479</v>
      </c>
      <c r="B1402" s="2">
        <v>8.3333333333333329E-2</v>
      </c>
      <c r="C1402" s="3">
        <v>45479.083333333336</v>
      </c>
      <c r="D1402">
        <v>63.3</v>
      </c>
      <c r="E1402">
        <v>78.099999999999994</v>
      </c>
      <c r="F1402">
        <v>45.9</v>
      </c>
      <c r="G1402" t="s">
        <v>6</v>
      </c>
      <c r="H1402">
        <v>18.600000000000001</v>
      </c>
      <c r="I1402">
        <v>30.4</v>
      </c>
      <c r="J1402">
        <v>12.4</v>
      </c>
      <c r="K1402" t="s">
        <v>6</v>
      </c>
      <c r="L1402">
        <v>146</v>
      </c>
      <c r="M1402" t="s">
        <v>6</v>
      </c>
    </row>
    <row r="1403" spans="1:13" x14ac:dyDescent="0.2">
      <c r="A1403" s="1">
        <v>45479</v>
      </c>
      <c r="B1403" s="2">
        <v>0.125</v>
      </c>
      <c r="C1403" s="3">
        <v>45479.125</v>
      </c>
      <c r="D1403">
        <v>62.8</v>
      </c>
      <c r="E1403">
        <v>78.5</v>
      </c>
      <c r="F1403">
        <v>51</v>
      </c>
      <c r="G1403" t="s">
        <v>6</v>
      </c>
      <c r="H1403">
        <v>17.2</v>
      </c>
      <c r="I1403">
        <v>28.7</v>
      </c>
      <c r="J1403">
        <v>12</v>
      </c>
      <c r="K1403" t="s">
        <v>6</v>
      </c>
      <c r="L1403">
        <v>225</v>
      </c>
      <c r="M1403" t="s">
        <v>6</v>
      </c>
    </row>
    <row r="1404" spans="1:13" x14ac:dyDescent="0.2">
      <c r="A1404" s="1">
        <v>45479</v>
      </c>
      <c r="B1404" s="2">
        <v>0.16666666666666666</v>
      </c>
      <c r="C1404" s="3">
        <v>45479.166666666664</v>
      </c>
      <c r="D1404">
        <v>53.2</v>
      </c>
      <c r="E1404">
        <v>58.6</v>
      </c>
      <c r="F1404">
        <v>46.3</v>
      </c>
      <c r="G1404" t="s">
        <v>6</v>
      </c>
      <c r="H1404">
        <v>13.4</v>
      </c>
      <c r="I1404">
        <v>23.3</v>
      </c>
      <c r="J1404">
        <v>11.1</v>
      </c>
      <c r="K1404" t="s">
        <v>6</v>
      </c>
      <c r="L1404">
        <v>218</v>
      </c>
      <c r="M1404" t="s">
        <v>6</v>
      </c>
    </row>
    <row r="1405" spans="1:13" x14ac:dyDescent="0.2">
      <c r="A1405" s="1">
        <v>45479</v>
      </c>
      <c r="B1405" s="2">
        <v>0.20833333333333334</v>
      </c>
      <c r="C1405" s="3">
        <v>45479.208333333336</v>
      </c>
      <c r="D1405">
        <v>48.1</v>
      </c>
      <c r="E1405">
        <v>53.1</v>
      </c>
      <c r="F1405">
        <v>43.7</v>
      </c>
      <c r="G1405" t="s">
        <v>6</v>
      </c>
      <c r="H1405">
        <v>13.6</v>
      </c>
      <c r="I1405">
        <v>22.8</v>
      </c>
      <c r="J1405">
        <v>10.8</v>
      </c>
      <c r="K1405" t="s">
        <v>6</v>
      </c>
      <c r="L1405">
        <v>221</v>
      </c>
      <c r="M1405" t="s">
        <v>6</v>
      </c>
    </row>
    <row r="1406" spans="1:13" x14ac:dyDescent="0.2">
      <c r="A1406" s="13">
        <v>45479</v>
      </c>
      <c r="B1406" s="9">
        <v>0.25</v>
      </c>
      <c r="C1406" s="8">
        <v>45479.25</v>
      </c>
      <c r="D1406" s="10">
        <v>51.8</v>
      </c>
      <c r="E1406" s="10">
        <v>92.2</v>
      </c>
      <c r="F1406" s="10">
        <v>42.9</v>
      </c>
      <c r="G1406" s="10" t="s">
        <v>6</v>
      </c>
      <c r="H1406" s="10">
        <v>14.3</v>
      </c>
      <c r="I1406" s="10">
        <v>18.399999999999999</v>
      </c>
      <c r="J1406" s="10">
        <v>11.5</v>
      </c>
      <c r="K1406" s="10" t="s">
        <v>6</v>
      </c>
      <c r="L1406" s="10">
        <v>90</v>
      </c>
      <c r="M1406" t="s">
        <v>6</v>
      </c>
    </row>
    <row r="1407" spans="1:13" x14ac:dyDescent="0.2">
      <c r="A1407" s="14">
        <v>45479</v>
      </c>
      <c r="B1407" s="12">
        <v>0.375</v>
      </c>
      <c r="C1407" s="7">
        <v>45479.375</v>
      </c>
      <c r="D1407" s="11">
        <v>59.9</v>
      </c>
      <c r="E1407" s="11">
        <v>63</v>
      </c>
      <c r="F1407" s="11">
        <v>55.9</v>
      </c>
      <c r="G1407" s="11" t="s">
        <v>6</v>
      </c>
      <c r="H1407" s="11">
        <v>18.5</v>
      </c>
      <c r="I1407" s="11">
        <v>22.2</v>
      </c>
      <c r="J1407" s="11">
        <v>14.8</v>
      </c>
      <c r="K1407" s="11" t="s">
        <v>6</v>
      </c>
      <c r="L1407" s="11">
        <v>52</v>
      </c>
      <c r="M1407" t="s">
        <v>6</v>
      </c>
    </row>
    <row r="1408" spans="1:13" x14ac:dyDescent="0.2">
      <c r="A1408" s="1">
        <v>45479</v>
      </c>
      <c r="B1408" s="2">
        <v>0.41666666666666669</v>
      </c>
      <c r="C1408" s="3">
        <v>45479.416666666664</v>
      </c>
      <c r="D1408">
        <v>66.2</v>
      </c>
      <c r="E1408">
        <v>76</v>
      </c>
      <c r="F1408">
        <v>57.4</v>
      </c>
      <c r="G1408" t="s">
        <v>6</v>
      </c>
      <c r="H1408">
        <v>15.4</v>
      </c>
      <c r="I1408">
        <v>23</v>
      </c>
      <c r="J1408">
        <v>12.3</v>
      </c>
      <c r="K1408" t="s">
        <v>6</v>
      </c>
      <c r="L1408">
        <v>175</v>
      </c>
      <c r="M1408" t="s">
        <v>6</v>
      </c>
    </row>
    <row r="1409" spans="1:13" x14ac:dyDescent="0.2">
      <c r="A1409" s="1">
        <v>45479</v>
      </c>
      <c r="B1409" s="2">
        <v>0.45833333333333331</v>
      </c>
      <c r="C1409" s="3">
        <v>45479.458333333336</v>
      </c>
      <c r="D1409">
        <v>59.8</v>
      </c>
      <c r="E1409">
        <v>61.1</v>
      </c>
      <c r="F1409">
        <v>59.6</v>
      </c>
      <c r="G1409" t="s">
        <v>6</v>
      </c>
      <c r="H1409">
        <v>13.8</v>
      </c>
      <c r="I1409">
        <v>17.399999999999999</v>
      </c>
      <c r="J1409">
        <v>12.1</v>
      </c>
      <c r="K1409" t="s">
        <v>6</v>
      </c>
      <c r="L1409">
        <v>29</v>
      </c>
      <c r="M1409" t="s">
        <v>6</v>
      </c>
    </row>
    <row r="1410" spans="1:13" x14ac:dyDescent="0.2">
      <c r="A1410" s="1">
        <v>45479</v>
      </c>
      <c r="B1410" s="2">
        <v>0.5</v>
      </c>
      <c r="C1410" s="3">
        <v>45479.5</v>
      </c>
      <c r="D1410">
        <v>60.5</v>
      </c>
      <c r="E1410">
        <v>60.5</v>
      </c>
      <c r="F1410">
        <v>60.5</v>
      </c>
      <c r="G1410" t="s">
        <v>6</v>
      </c>
      <c r="H1410">
        <v>14.3</v>
      </c>
      <c r="I1410">
        <v>14.3</v>
      </c>
      <c r="J1410">
        <v>14.3</v>
      </c>
      <c r="K1410" t="s">
        <v>6</v>
      </c>
      <c r="L1410">
        <v>1</v>
      </c>
      <c r="M1410" t="s">
        <v>6</v>
      </c>
    </row>
    <row r="1411" spans="1:13" x14ac:dyDescent="0.2">
      <c r="A1411" s="1">
        <v>45479</v>
      </c>
      <c r="B1411" s="2">
        <v>0.58333333333333337</v>
      </c>
      <c r="C1411" s="3">
        <v>45479.583333333336</v>
      </c>
      <c r="D1411">
        <v>65.5</v>
      </c>
      <c r="E1411">
        <v>67.900000000000006</v>
      </c>
      <c r="F1411">
        <v>63.7</v>
      </c>
      <c r="G1411" t="s">
        <v>6</v>
      </c>
      <c r="H1411">
        <v>14.5</v>
      </c>
      <c r="I1411">
        <v>16.899999999999999</v>
      </c>
      <c r="J1411">
        <v>12.8</v>
      </c>
      <c r="K1411" t="s">
        <v>6</v>
      </c>
      <c r="L1411">
        <v>28</v>
      </c>
      <c r="M1411" t="s">
        <v>6</v>
      </c>
    </row>
    <row r="1412" spans="1:13" x14ac:dyDescent="0.2">
      <c r="A1412" s="1">
        <v>45479</v>
      </c>
      <c r="B1412" s="2">
        <v>0.625</v>
      </c>
      <c r="C1412" s="3">
        <v>45479.625</v>
      </c>
      <c r="D1412">
        <v>59.6</v>
      </c>
      <c r="E1412">
        <v>69.8</v>
      </c>
      <c r="F1412">
        <v>54.2</v>
      </c>
      <c r="G1412" t="s">
        <v>6</v>
      </c>
      <c r="H1412">
        <v>12.4</v>
      </c>
      <c r="I1412">
        <v>22.6</v>
      </c>
      <c r="J1412">
        <v>9.6</v>
      </c>
      <c r="K1412" t="s">
        <v>6</v>
      </c>
      <c r="L1412">
        <v>170</v>
      </c>
      <c r="M1412" t="s">
        <v>6</v>
      </c>
    </row>
    <row r="1413" spans="1:13" x14ac:dyDescent="0.2">
      <c r="A1413" s="1">
        <v>45479</v>
      </c>
      <c r="B1413" s="2">
        <v>0.66666666666666663</v>
      </c>
      <c r="C1413" s="3">
        <v>45479.666666666664</v>
      </c>
      <c r="D1413">
        <v>60.9</v>
      </c>
      <c r="E1413">
        <v>67.3</v>
      </c>
      <c r="F1413">
        <v>57.3</v>
      </c>
      <c r="G1413" t="s">
        <v>6</v>
      </c>
      <c r="H1413">
        <v>11.3</v>
      </c>
      <c r="I1413">
        <v>15.1</v>
      </c>
      <c r="J1413">
        <v>9.4</v>
      </c>
      <c r="K1413" t="s">
        <v>6</v>
      </c>
      <c r="L1413">
        <v>203</v>
      </c>
      <c r="M1413" t="s">
        <v>6</v>
      </c>
    </row>
    <row r="1414" spans="1:13" x14ac:dyDescent="0.2">
      <c r="A1414" s="1">
        <v>45479</v>
      </c>
      <c r="B1414" s="2">
        <v>0.70833333333333337</v>
      </c>
      <c r="C1414" s="3">
        <v>45479.708333333336</v>
      </c>
      <c r="D1414">
        <v>60</v>
      </c>
      <c r="E1414">
        <v>74.2</v>
      </c>
      <c r="F1414">
        <v>53.3</v>
      </c>
      <c r="G1414" t="s">
        <v>6</v>
      </c>
      <c r="H1414">
        <v>12.3</v>
      </c>
      <c r="I1414">
        <v>24.5</v>
      </c>
      <c r="J1414">
        <v>9.1</v>
      </c>
      <c r="K1414" t="s">
        <v>6</v>
      </c>
      <c r="L1414">
        <v>216</v>
      </c>
      <c r="M1414" t="s">
        <v>6</v>
      </c>
    </row>
    <row r="1415" spans="1:13" x14ac:dyDescent="0.2">
      <c r="A1415" s="1">
        <v>45479</v>
      </c>
      <c r="B1415" s="2">
        <v>0.75</v>
      </c>
      <c r="C1415" s="3">
        <v>45479.75</v>
      </c>
      <c r="D1415">
        <v>58.2</v>
      </c>
      <c r="E1415">
        <v>63.4</v>
      </c>
      <c r="F1415">
        <v>53.9</v>
      </c>
      <c r="G1415" t="s">
        <v>6</v>
      </c>
      <c r="H1415">
        <v>12.3</v>
      </c>
      <c r="I1415">
        <v>19</v>
      </c>
      <c r="J1415">
        <v>10.5</v>
      </c>
      <c r="K1415" t="s">
        <v>6</v>
      </c>
      <c r="L1415">
        <v>126</v>
      </c>
      <c r="M1415" t="s">
        <v>6</v>
      </c>
    </row>
    <row r="1416" spans="1:13" x14ac:dyDescent="0.2">
      <c r="A1416" s="1">
        <v>45479</v>
      </c>
      <c r="B1416" s="2">
        <v>0.83333333333333337</v>
      </c>
      <c r="C1416" s="3">
        <v>45479.833333333336</v>
      </c>
      <c r="D1416">
        <v>58</v>
      </c>
      <c r="E1416">
        <v>65.599999999999994</v>
      </c>
      <c r="F1416">
        <v>53.2</v>
      </c>
      <c r="G1416" t="s">
        <v>6</v>
      </c>
      <c r="H1416">
        <v>12.6</v>
      </c>
      <c r="I1416">
        <v>20.9</v>
      </c>
      <c r="J1416">
        <v>10.5</v>
      </c>
      <c r="K1416" t="s">
        <v>6</v>
      </c>
      <c r="L1416">
        <v>165</v>
      </c>
      <c r="M1416" t="s">
        <v>6</v>
      </c>
    </row>
    <row r="1417" spans="1:13" x14ac:dyDescent="0.2">
      <c r="A1417" s="1">
        <v>45479</v>
      </c>
      <c r="B1417" s="2">
        <v>0.875</v>
      </c>
      <c r="C1417" s="3">
        <v>45479.875</v>
      </c>
      <c r="D1417">
        <v>64.3</v>
      </c>
      <c r="E1417">
        <v>71.599999999999994</v>
      </c>
      <c r="F1417">
        <v>57.8</v>
      </c>
      <c r="G1417" t="s">
        <v>6</v>
      </c>
      <c r="H1417">
        <v>13.6</v>
      </c>
      <c r="I1417">
        <v>20.8</v>
      </c>
      <c r="J1417">
        <v>11.1</v>
      </c>
      <c r="K1417" t="s">
        <v>6</v>
      </c>
      <c r="L1417">
        <v>218</v>
      </c>
      <c r="M1417" t="s">
        <v>6</v>
      </c>
    </row>
    <row r="1418" spans="1:13" x14ac:dyDescent="0.2">
      <c r="A1418" s="1">
        <v>45479</v>
      </c>
      <c r="B1418" s="2">
        <v>0.91666666666666663</v>
      </c>
      <c r="C1418" s="3">
        <v>45479.916666666664</v>
      </c>
      <c r="D1418">
        <v>64.900000000000006</v>
      </c>
      <c r="E1418">
        <v>81.8</v>
      </c>
      <c r="F1418">
        <v>56.9</v>
      </c>
      <c r="G1418" t="s">
        <v>6</v>
      </c>
      <c r="H1418">
        <v>13.4</v>
      </c>
      <c r="I1418">
        <v>25.9</v>
      </c>
      <c r="J1418">
        <v>10.4</v>
      </c>
      <c r="K1418" t="s">
        <v>6</v>
      </c>
      <c r="L1418">
        <v>169</v>
      </c>
      <c r="M1418" t="s">
        <v>6</v>
      </c>
    </row>
    <row r="1419" spans="1:13" x14ac:dyDescent="0.2">
      <c r="A1419" s="1">
        <v>45479</v>
      </c>
      <c r="B1419" s="2">
        <v>0.95833333333333337</v>
      </c>
      <c r="C1419" s="3">
        <v>45479.958333333336</v>
      </c>
      <c r="D1419">
        <v>58</v>
      </c>
      <c r="E1419">
        <v>68.400000000000006</v>
      </c>
      <c r="F1419">
        <v>50.4</v>
      </c>
      <c r="G1419" t="s">
        <v>6</v>
      </c>
      <c r="H1419">
        <v>13.7</v>
      </c>
      <c r="I1419">
        <v>23.3</v>
      </c>
      <c r="J1419">
        <v>11.2</v>
      </c>
      <c r="K1419" t="s">
        <v>6</v>
      </c>
      <c r="L1419">
        <v>223</v>
      </c>
      <c r="M1419" t="s">
        <v>6</v>
      </c>
    </row>
    <row r="1420" spans="1:13" x14ac:dyDescent="0.2">
      <c r="A1420" s="1">
        <v>45480</v>
      </c>
      <c r="B1420" s="2">
        <v>0</v>
      </c>
      <c r="C1420" s="3">
        <v>45480</v>
      </c>
      <c r="D1420">
        <v>51.5</v>
      </c>
      <c r="E1420">
        <v>54</v>
      </c>
      <c r="F1420">
        <v>49.6</v>
      </c>
      <c r="G1420" t="s">
        <v>6</v>
      </c>
      <c r="H1420">
        <v>16.399999999999999</v>
      </c>
      <c r="I1420">
        <v>24.8</v>
      </c>
      <c r="J1420">
        <v>10.9</v>
      </c>
      <c r="K1420" t="s">
        <v>6</v>
      </c>
      <c r="L1420">
        <v>220</v>
      </c>
      <c r="M1420" t="s">
        <v>6</v>
      </c>
    </row>
    <row r="1421" spans="1:13" x14ac:dyDescent="0.2">
      <c r="A1421" s="1">
        <v>45480</v>
      </c>
      <c r="B1421" s="2">
        <v>4.1666666666666664E-2</v>
      </c>
      <c r="C1421" s="3">
        <v>45480.041666666664</v>
      </c>
      <c r="D1421">
        <v>49.2</v>
      </c>
      <c r="E1421">
        <v>51.3</v>
      </c>
      <c r="F1421">
        <v>47.9</v>
      </c>
      <c r="G1421" t="s">
        <v>6</v>
      </c>
      <c r="H1421">
        <v>12.8</v>
      </c>
      <c r="I1421">
        <v>16.8</v>
      </c>
      <c r="J1421">
        <v>11.4</v>
      </c>
      <c r="K1421" t="s">
        <v>6</v>
      </c>
      <c r="L1421">
        <v>217</v>
      </c>
      <c r="M1421" t="s">
        <v>6</v>
      </c>
    </row>
    <row r="1422" spans="1:13" x14ac:dyDescent="0.2">
      <c r="A1422" s="1">
        <v>45480</v>
      </c>
      <c r="B1422" s="2">
        <v>8.3333333333333329E-2</v>
      </c>
      <c r="C1422" s="3">
        <v>45480.083333333336</v>
      </c>
      <c r="D1422">
        <v>47.3</v>
      </c>
      <c r="E1422">
        <v>49.3</v>
      </c>
      <c r="F1422">
        <v>45.5</v>
      </c>
      <c r="G1422" t="s">
        <v>6</v>
      </c>
      <c r="H1422">
        <v>14.3</v>
      </c>
      <c r="I1422">
        <v>25.5</v>
      </c>
      <c r="J1422">
        <v>11.1</v>
      </c>
      <c r="K1422" t="s">
        <v>6</v>
      </c>
      <c r="L1422">
        <v>222</v>
      </c>
      <c r="M1422" t="s">
        <v>6</v>
      </c>
    </row>
    <row r="1423" spans="1:13" x14ac:dyDescent="0.2">
      <c r="A1423" s="1">
        <v>45480</v>
      </c>
      <c r="B1423" s="2">
        <v>0.125</v>
      </c>
      <c r="C1423" s="3">
        <v>45480.125</v>
      </c>
      <c r="D1423">
        <v>46.9</v>
      </c>
      <c r="E1423">
        <v>50.6</v>
      </c>
      <c r="F1423">
        <v>45</v>
      </c>
      <c r="G1423" t="s">
        <v>6</v>
      </c>
      <c r="H1423">
        <v>15.1</v>
      </c>
      <c r="I1423">
        <v>26.2</v>
      </c>
      <c r="J1423">
        <v>11.7</v>
      </c>
      <c r="K1423" t="s">
        <v>6</v>
      </c>
      <c r="L1423">
        <v>217</v>
      </c>
      <c r="M1423" t="s">
        <v>6</v>
      </c>
    </row>
    <row r="1424" spans="1:13" x14ac:dyDescent="0.2">
      <c r="A1424" s="1">
        <v>45480</v>
      </c>
      <c r="B1424" s="2">
        <v>0.16666666666666666</v>
      </c>
      <c r="C1424" s="3">
        <v>45480.166666666664</v>
      </c>
      <c r="D1424">
        <v>93.9</v>
      </c>
      <c r="E1424">
        <v>116</v>
      </c>
      <c r="F1424">
        <v>47.9</v>
      </c>
      <c r="G1424" t="s">
        <v>6</v>
      </c>
      <c r="H1424">
        <v>12.9</v>
      </c>
      <c r="I1424">
        <v>18.5</v>
      </c>
      <c r="J1424">
        <v>11</v>
      </c>
      <c r="K1424" t="s">
        <v>6</v>
      </c>
      <c r="L1424">
        <v>215</v>
      </c>
      <c r="M1424" t="s">
        <v>6</v>
      </c>
    </row>
    <row r="1425" spans="1:13" x14ac:dyDescent="0.2">
      <c r="A1425" s="1">
        <v>45480</v>
      </c>
      <c r="B1425" s="2">
        <v>0.20833333333333334</v>
      </c>
      <c r="C1425" s="3">
        <v>45480.208333333336</v>
      </c>
      <c r="D1425">
        <v>97</v>
      </c>
      <c r="E1425">
        <v>112.7</v>
      </c>
      <c r="F1425">
        <v>78.599999999999994</v>
      </c>
      <c r="G1425" t="s">
        <v>6</v>
      </c>
      <c r="H1425">
        <v>12.9</v>
      </c>
      <c r="I1425">
        <v>18.399999999999999</v>
      </c>
      <c r="J1425">
        <v>10</v>
      </c>
      <c r="K1425" t="s">
        <v>6</v>
      </c>
      <c r="L1425">
        <v>222</v>
      </c>
      <c r="M1425" t="s">
        <v>6</v>
      </c>
    </row>
    <row r="1426" spans="1:13" x14ac:dyDescent="0.2">
      <c r="A1426" s="1">
        <v>45480</v>
      </c>
      <c r="B1426" s="2">
        <v>0.25</v>
      </c>
      <c r="C1426" s="3">
        <v>45480.25</v>
      </c>
      <c r="D1426">
        <v>94.4</v>
      </c>
      <c r="E1426">
        <v>106</v>
      </c>
      <c r="F1426">
        <v>84.3</v>
      </c>
      <c r="G1426" t="s">
        <v>6</v>
      </c>
      <c r="H1426">
        <v>14.5</v>
      </c>
      <c r="I1426">
        <v>24.9</v>
      </c>
      <c r="J1426">
        <v>11.3</v>
      </c>
      <c r="K1426" t="s">
        <v>6</v>
      </c>
      <c r="L1426">
        <v>228</v>
      </c>
      <c r="M1426" t="s">
        <v>6</v>
      </c>
    </row>
    <row r="1427" spans="1:13" x14ac:dyDescent="0.2">
      <c r="A1427" s="1">
        <v>45480</v>
      </c>
      <c r="B1427" s="2">
        <v>0.29166666666666669</v>
      </c>
      <c r="C1427" s="3">
        <v>45480.291666666664</v>
      </c>
      <c r="D1427">
        <v>74.8</v>
      </c>
      <c r="E1427">
        <v>84.3</v>
      </c>
      <c r="F1427">
        <v>70.5</v>
      </c>
      <c r="G1427" t="s">
        <v>6</v>
      </c>
      <c r="H1427">
        <v>13.7</v>
      </c>
      <c r="I1427">
        <v>23.9</v>
      </c>
      <c r="J1427">
        <v>11.4</v>
      </c>
      <c r="K1427" t="s">
        <v>6</v>
      </c>
      <c r="L1427">
        <v>130</v>
      </c>
      <c r="M1427" t="s">
        <v>6</v>
      </c>
    </row>
    <row r="1428" spans="1:13" x14ac:dyDescent="0.2">
      <c r="A1428" s="13">
        <v>45480</v>
      </c>
      <c r="B1428" s="9">
        <v>0.33333333333333331</v>
      </c>
      <c r="C1428" s="8">
        <v>45480.333333333336</v>
      </c>
      <c r="D1428" s="10">
        <v>61.7</v>
      </c>
      <c r="E1428" s="10">
        <v>63.9</v>
      </c>
      <c r="F1428" s="10">
        <v>59.8</v>
      </c>
      <c r="G1428" s="10" t="s">
        <v>6</v>
      </c>
      <c r="H1428" s="10">
        <v>33.700000000000003</v>
      </c>
      <c r="I1428" s="10">
        <v>35.299999999999997</v>
      </c>
      <c r="J1428" s="10">
        <v>28.3</v>
      </c>
      <c r="K1428" s="10" t="s">
        <v>6</v>
      </c>
      <c r="L1428" s="10">
        <v>30</v>
      </c>
      <c r="M1428" t="s">
        <v>6</v>
      </c>
    </row>
    <row r="1429" spans="1:13" x14ac:dyDescent="0.2">
      <c r="A1429" s="14">
        <v>45480</v>
      </c>
      <c r="B1429" s="12">
        <v>0.375</v>
      </c>
      <c r="C1429" s="7">
        <v>45480.375</v>
      </c>
      <c r="D1429" s="11">
        <v>63.6</v>
      </c>
      <c r="E1429" s="11">
        <v>63.6</v>
      </c>
      <c r="F1429" s="11">
        <v>63.6</v>
      </c>
      <c r="G1429" s="11" t="s">
        <v>6</v>
      </c>
      <c r="H1429" s="11">
        <v>34.5</v>
      </c>
      <c r="I1429" s="11">
        <v>34.5</v>
      </c>
      <c r="J1429" s="11">
        <v>34.5</v>
      </c>
      <c r="K1429" s="11" t="s">
        <v>6</v>
      </c>
      <c r="L1429">
        <v>1</v>
      </c>
      <c r="M1429" t="s">
        <v>6</v>
      </c>
    </row>
    <row r="1430" spans="1:13" x14ac:dyDescent="0.2">
      <c r="A1430" s="1">
        <v>45480</v>
      </c>
      <c r="B1430" s="2">
        <v>0.41666666666666669</v>
      </c>
      <c r="C1430" s="3">
        <v>45480.416666666664</v>
      </c>
      <c r="D1430">
        <v>60.8</v>
      </c>
      <c r="E1430">
        <v>61</v>
      </c>
      <c r="F1430">
        <v>60.6</v>
      </c>
      <c r="G1430" t="s">
        <v>6</v>
      </c>
      <c r="H1430">
        <v>20.9</v>
      </c>
      <c r="I1430">
        <v>23.2</v>
      </c>
      <c r="J1430">
        <v>19.3</v>
      </c>
      <c r="K1430" t="s">
        <v>6</v>
      </c>
      <c r="L1430">
        <v>4</v>
      </c>
      <c r="M1430" t="s">
        <v>6</v>
      </c>
    </row>
    <row r="1431" spans="1:13" x14ac:dyDescent="0.2">
      <c r="A1431" s="1">
        <v>45480</v>
      </c>
      <c r="B1431" s="2">
        <v>0.45833333333333331</v>
      </c>
      <c r="C1431" s="3">
        <v>45480.458333333336</v>
      </c>
      <c r="D1431">
        <v>62.6</v>
      </c>
      <c r="E1431">
        <v>64.099999999999994</v>
      </c>
      <c r="F1431">
        <v>61.4</v>
      </c>
      <c r="G1431" t="s">
        <v>6</v>
      </c>
      <c r="H1431">
        <v>25.3</v>
      </c>
      <c r="I1431">
        <v>37.200000000000003</v>
      </c>
      <c r="J1431">
        <v>13</v>
      </c>
      <c r="K1431" t="s">
        <v>6</v>
      </c>
      <c r="L1431">
        <v>18</v>
      </c>
      <c r="M1431" t="s">
        <v>6</v>
      </c>
    </row>
    <row r="1432" spans="1:13" x14ac:dyDescent="0.2">
      <c r="A1432" s="1">
        <v>45480</v>
      </c>
      <c r="B1432" s="2">
        <v>0.54166666666666663</v>
      </c>
      <c r="C1432" s="3">
        <v>45480.541666666664</v>
      </c>
      <c r="D1432">
        <v>60.7</v>
      </c>
      <c r="E1432">
        <v>62.8</v>
      </c>
      <c r="F1432">
        <v>59.2</v>
      </c>
      <c r="G1432" t="s">
        <v>6</v>
      </c>
      <c r="H1432">
        <v>15.5</v>
      </c>
      <c r="I1432">
        <v>19.100000000000001</v>
      </c>
      <c r="J1432">
        <v>12.9</v>
      </c>
      <c r="K1432" t="s">
        <v>6</v>
      </c>
      <c r="L1432">
        <v>13</v>
      </c>
      <c r="M1432" t="s">
        <v>6</v>
      </c>
    </row>
    <row r="1433" spans="1:13" x14ac:dyDescent="0.2">
      <c r="A1433" s="1">
        <v>45480</v>
      </c>
      <c r="B1433" s="2">
        <v>0.66666666666666663</v>
      </c>
      <c r="C1433" s="3">
        <v>45480.666666666664</v>
      </c>
      <c r="D1433">
        <v>60.4</v>
      </c>
      <c r="E1433">
        <v>60.8</v>
      </c>
      <c r="F1433">
        <v>59.4</v>
      </c>
      <c r="G1433" t="s">
        <v>6</v>
      </c>
      <c r="H1433">
        <v>21.2</v>
      </c>
      <c r="I1433">
        <v>24.4</v>
      </c>
      <c r="J1433">
        <v>14</v>
      </c>
      <c r="K1433" t="s">
        <v>6</v>
      </c>
      <c r="L1433">
        <v>5</v>
      </c>
      <c r="M1433" t="s">
        <v>6</v>
      </c>
    </row>
    <row r="1434" spans="1:13" x14ac:dyDescent="0.2">
      <c r="A1434" s="1">
        <v>45480</v>
      </c>
      <c r="B1434" s="2">
        <v>0.75</v>
      </c>
      <c r="C1434" s="3">
        <v>45480.75</v>
      </c>
      <c r="D1434">
        <v>60.8</v>
      </c>
      <c r="E1434">
        <v>60.8</v>
      </c>
      <c r="F1434">
        <v>60.8</v>
      </c>
      <c r="G1434" t="s">
        <v>6</v>
      </c>
      <c r="H1434">
        <v>23.2</v>
      </c>
      <c r="I1434">
        <v>23.2</v>
      </c>
      <c r="J1434">
        <v>23.2</v>
      </c>
      <c r="K1434" t="s">
        <v>6</v>
      </c>
      <c r="L1434">
        <v>1</v>
      </c>
      <c r="M1434" t="s">
        <v>6</v>
      </c>
    </row>
    <row r="1435" spans="1:13" x14ac:dyDescent="0.2">
      <c r="A1435" s="1">
        <v>45480</v>
      </c>
      <c r="B1435" s="2">
        <v>0.79166666666666663</v>
      </c>
      <c r="C1435" s="3">
        <v>45480.791666666664</v>
      </c>
      <c r="D1435">
        <v>57.9</v>
      </c>
      <c r="E1435">
        <v>60.2</v>
      </c>
      <c r="F1435">
        <v>55.8</v>
      </c>
      <c r="G1435" t="s">
        <v>6</v>
      </c>
      <c r="H1435">
        <v>16.5</v>
      </c>
      <c r="I1435">
        <v>30.6</v>
      </c>
      <c r="J1435">
        <v>12</v>
      </c>
      <c r="K1435" t="s">
        <v>6</v>
      </c>
      <c r="L1435">
        <v>54</v>
      </c>
      <c r="M1435" t="s">
        <v>6</v>
      </c>
    </row>
    <row r="1436" spans="1:13" x14ac:dyDescent="0.2">
      <c r="A1436" s="1">
        <v>45480</v>
      </c>
      <c r="B1436" s="2">
        <v>0.83333333333333337</v>
      </c>
      <c r="C1436" s="3">
        <v>45480.833333333336</v>
      </c>
      <c r="D1436">
        <v>71.900000000000006</v>
      </c>
      <c r="E1436">
        <v>91.2</v>
      </c>
      <c r="F1436">
        <v>49.8</v>
      </c>
      <c r="G1436" t="s">
        <v>6</v>
      </c>
      <c r="H1436">
        <v>20.100000000000001</v>
      </c>
      <c r="I1436">
        <v>31.4</v>
      </c>
      <c r="J1436">
        <v>11.6</v>
      </c>
      <c r="K1436" t="s">
        <v>6</v>
      </c>
      <c r="L1436">
        <v>170</v>
      </c>
      <c r="M1436" t="s">
        <v>6</v>
      </c>
    </row>
    <row r="1437" spans="1:13" x14ac:dyDescent="0.2">
      <c r="A1437" s="1">
        <v>45480</v>
      </c>
      <c r="B1437" s="2">
        <v>0.875</v>
      </c>
      <c r="C1437" s="3">
        <v>45480.875</v>
      </c>
      <c r="D1437">
        <v>53.2</v>
      </c>
      <c r="E1437">
        <v>65.3</v>
      </c>
      <c r="F1437">
        <v>46</v>
      </c>
      <c r="G1437" t="s">
        <v>6</v>
      </c>
      <c r="H1437">
        <v>13</v>
      </c>
      <c r="I1437">
        <v>25.5</v>
      </c>
      <c r="J1437">
        <v>11</v>
      </c>
      <c r="K1437" t="s">
        <v>6</v>
      </c>
      <c r="L1437">
        <v>227</v>
      </c>
      <c r="M1437" t="s">
        <v>6</v>
      </c>
    </row>
    <row r="1438" spans="1:13" x14ac:dyDescent="0.2">
      <c r="A1438" s="1">
        <v>45480</v>
      </c>
      <c r="B1438" s="2">
        <v>0.91666666666666663</v>
      </c>
      <c r="C1438" s="3">
        <v>45480.916666666664</v>
      </c>
      <c r="D1438">
        <v>45.7</v>
      </c>
      <c r="E1438">
        <v>47.8</v>
      </c>
      <c r="F1438">
        <v>44.2</v>
      </c>
      <c r="G1438" t="s">
        <v>6</v>
      </c>
      <c r="H1438">
        <v>14.3</v>
      </c>
      <c r="I1438">
        <v>26</v>
      </c>
      <c r="J1438">
        <v>11.6</v>
      </c>
      <c r="K1438" t="s">
        <v>6</v>
      </c>
      <c r="L1438">
        <v>228</v>
      </c>
      <c r="M1438" t="s">
        <v>6</v>
      </c>
    </row>
    <row r="1439" spans="1:13" x14ac:dyDescent="0.2">
      <c r="A1439" s="1">
        <v>45480</v>
      </c>
      <c r="B1439" s="2">
        <v>0.95833333333333337</v>
      </c>
      <c r="C1439" s="3">
        <v>45480.958333333336</v>
      </c>
      <c r="D1439">
        <v>43</v>
      </c>
      <c r="E1439">
        <v>48</v>
      </c>
      <c r="F1439">
        <v>40.200000000000003</v>
      </c>
      <c r="G1439" t="s">
        <v>6</v>
      </c>
      <c r="H1439">
        <v>14.1</v>
      </c>
      <c r="I1439">
        <v>23.8</v>
      </c>
      <c r="J1439">
        <v>11.8</v>
      </c>
      <c r="K1439" t="s">
        <v>6</v>
      </c>
      <c r="L1439">
        <v>205</v>
      </c>
      <c r="M1439" t="s">
        <v>6</v>
      </c>
    </row>
    <row r="1440" spans="1:13" x14ac:dyDescent="0.2">
      <c r="A1440" s="1">
        <v>45481</v>
      </c>
      <c r="B1440" s="2">
        <v>0</v>
      </c>
      <c r="C1440" s="3">
        <v>45481</v>
      </c>
      <c r="D1440">
        <v>103.2</v>
      </c>
      <c r="E1440">
        <v>116.2</v>
      </c>
      <c r="F1440">
        <v>82.9</v>
      </c>
      <c r="G1440" t="s">
        <v>6</v>
      </c>
      <c r="H1440">
        <v>15.5</v>
      </c>
      <c r="I1440">
        <v>24.2</v>
      </c>
      <c r="J1440">
        <v>11.4</v>
      </c>
      <c r="K1440" t="s">
        <v>6</v>
      </c>
      <c r="L1440">
        <v>194</v>
      </c>
      <c r="M1440" t="s">
        <v>6</v>
      </c>
    </row>
    <row r="1441" spans="1:13" x14ac:dyDescent="0.2">
      <c r="A1441" s="1">
        <v>45481</v>
      </c>
      <c r="B1441" s="2">
        <v>4.1666666666666664E-2</v>
      </c>
      <c r="C1441" s="3">
        <v>45481.041666666664</v>
      </c>
      <c r="D1441">
        <v>89.2</v>
      </c>
      <c r="E1441">
        <v>94.3</v>
      </c>
      <c r="F1441">
        <v>52.8</v>
      </c>
      <c r="G1441" t="s">
        <v>6</v>
      </c>
      <c r="H1441">
        <v>15.3</v>
      </c>
      <c r="I1441">
        <v>23.6</v>
      </c>
      <c r="J1441">
        <v>10.8</v>
      </c>
      <c r="K1441" t="s">
        <v>6</v>
      </c>
      <c r="L1441">
        <v>229</v>
      </c>
      <c r="M1441" t="s">
        <v>6</v>
      </c>
    </row>
    <row r="1442" spans="1:13" x14ac:dyDescent="0.2">
      <c r="A1442" s="1">
        <v>45481</v>
      </c>
      <c r="B1442" s="2">
        <v>8.3333333333333329E-2</v>
      </c>
      <c r="C1442" s="3">
        <v>45481.083333333336</v>
      </c>
      <c r="D1442">
        <v>91</v>
      </c>
      <c r="E1442">
        <v>125.5</v>
      </c>
      <c r="F1442">
        <v>52.1</v>
      </c>
      <c r="G1442" t="s">
        <v>6</v>
      </c>
      <c r="H1442">
        <v>13.9</v>
      </c>
      <c r="I1442">
        <v>23.3</v>
      </c>
      <c r="J1442">
        <v>10.8</v>
      </c>
      <c r="K1442" t="s">
        <v>6</v>
      </c>
      <c r="L1442">
        <v>226</v>
      </c>
      <c r="M1442" t="s">
        <v>6</v>
      </c>
    </row>
    <row r="1443" spans="1:13" x14ac:dyDescent="0.2">
      <c r="A1443" s="1">
        <v>45481</v>
      </c>
      <c r="B1443" s="2">
        <v>0.125</v>
      </c>
      <c r="C1443" s="3">
        <v>45481.125</v>
      </c>
      <c r="D1443">
        <v>70.900000000000006</v>
      </c>
      <c r="E1443">
        <v>98.4</v>
      </c>
      <c r="F1443">
        <v>43.2</v>
      </c>
      <c r="G1443" t="s">
        <v>6</v>
      </c>
      <c r="H1443">
        <v>16.100000000000001</v>
      </c>
      <c r="I1443">
        <v>24.1</v>
      </c>
      <c r="J1443">
        <v>11</v>
      </c>
      <c r="K1443" t="s">
        <v>6</v>
      </c>
      <c r="L1443">
        <v>226</v>
      </c>
      <c r="M1443" t="s">
        <v>6</v>
      </c>
    </row>
    <row r="1444" spans="1:13" x14ac:dyDescent="0.2">
      <c r="A1444" s="1">
        <v>45481</v>
      </c>
      <c r="B1444" s="2">
        <v>0.16666666666666666</v>
      </c>
      <c r="C1444" s="3">
        <v>45481.166666666664</v>
      </c>
      <c r="D1444">
        <v>43.4</v>
      </c>
      <c r="E1444">
        <v>46.6</v>
      </c>
      <c r="F1444">
        <v>40.1</v>
      </c>
      <c r="G1444" t="s">
        <v>6</v>
      </c>
      <c r="H1444">
        <v>17.2</v>
      </c>
      <c r="I1444">
        <v>24</v>
      </c>
      <c r="J1444">
        <v>10.8</v>
      </c>
      <c r="K1444" t="s">
        <v>6</v>
      </c>
      <c r="L1444">
        <v>140</v>
      </c>
      <c r="M1444" t="s">
        <v>6</v>
      </c>
    </row>
    <row r="1445" spans="1:13" x14ac:dyDescent="0.2">
      <c r="A1445" s="1">
        <v>45481</v>
      </c>
      <c r="B1445" s="2">
        <v>0.20833333333333334</v>
      </c>
      <c r="C1445" s="3">
        <v>45481.208333333336</v>
      </c>
      <c r="D1445">
        <v>43.5</v>
      </c>
      <c r="E1445">
        <v>49.3</v>
      </c>
      <c r="F1445">
        <v>40.1</v>
      </c>
      <c r="G1445" t="s">
        <v>6</v>
      </c>
      <c r="H1445">
        <v>15.7</v>
      </c>
      <c r="I1445">
        <v>25.8</v>
      </c>
      <c r="J1445">
        <v>11.4</v>
      </c>
      <c r="K1445" t="s">
        <v>6</v>
      </c>
      <c r="L1445">
        <v>169</v>
      </c>
      <c r="M1445" t="s">
        <v>6</v>
      </c>
    </row>
    <row r="1446" spans="1:13" x14ac:dyDescent="0.2">
      <c r="A1446" s="1">
        <v>45481</v>
      </c>
      <c r="B1446" s="2">
        <v>0.25</v>
      </c>
      <c r="C1446" s="3">
        <v>45481.25</v>
      </c>
      <c r="D1446">
        <v>44.8</v>
      </c>
      <c r="E1446">
        <v>50.6</v>
      </c>
      <c r="F1446">
        <v>41.8</v>
      </c>
      <c r="G1446" t="s">
        <v>6</v>
      </c>
      <c r="H1446">
        <v>13.4</v>
      </c>
      <c r="I1446">
        <v>20.2</v>
      </c>
      <c r="J1446">
        <v>10.8</v>
      </c>
      <c r="K1446" t="s">
        <v>6</v>
      </c>
      <c r="L1446">
        <v>191</v>
      </c>
      <c r="M1446" t="s">
        <v>6</v>
      </c>
    </row>
    <row r="1447" spans="1:13" x14ac:dyDescent="0.2">
      <c r="A1447" s="1">
        <v>45481</v>
      </c>
      <c r="B1447" s="2">
        <v>0.29166666666666669</v>
      </c>
      <c r="C1447" s="3">
        <v>45481.291666666664</v>
      </c>
      <c r="D1447">
        <v>43.1</v>
      </c>
      <c r="E1447">
        <v>44</v>
      </c>
      <c r="F1447">
        <v>41.5</v>
      </c>
      <c r="G1447" t="s">
        <v>6</v>
      </c>
      <c r="H1447">
        <v>17.899999999999999</v>
      </c>
      <c r="I1447">
        <v>28.2</v>
      </c>
      <c r="J1447">
        <v>13.7</v>
      </c>
      <c r="K1447" t="s">
        <v>6</v>
      </c>
      <c r="L1447">
        <v>64</v>
      </c>
      <c r="M1447" t="s">
        <v>6</v>
      </c>
    </row>
    <row r="1448" spans="1:13" x14ac:dyDescent="0.2">
      <c r="A1448" s="13">
        <v>45481</v>
      </c>
      <c r="B1448" s="9">
        <v>0.33333333333333331</v>
      </c>
      <c r="C1448" s="8">
        <v>45481.333333333336</v>
      </c>
      <c r="D1448" s="10">
        <v>42.6</v>
      </c>
      <c r="E1448" s="10">
        <v>43.2</v>
      </c>
      <c r="F1448" s="10">
        <v>40.5</v>
      </c>
      <c r="G1448" s="10" t="s">
        <v>6</v>
      </c>
      <c r="H1448" s="10">
        <v>18.600000000000001</v>
      </c>
      <c r="I1448" s="10">
        <v>23.5</v>
      </c>
      <c r="J1448" s="10">
        <v>15.9</v>
      </c>
      <c r="K1448" s="10" t="s">
        <v>6</v>
      </c>
      <c r="L1448">
        <v>38</v>
      </c>
      <c r="M1448" t="s">
        <v>6</v>
      </c>
    </row>
    <row r="1449" spans="1:13" x14ac:dyDescent="0.2">
      <c r="A1449" s="1">
        <v>45481</v>
      </c>
      <c r="B1449" s="2">
        <v>0.625</v>
      </c>
      <c r="C1449" s="3">
        <v>45481.625</v>
      </c>
      <c r="D1449">
        <v>60.5</v>
      </c>
      <c r="E1449">
        <v>62.2</v>
      </c>
      <c r="F1449">
        <v>59</v>
      </c>
      <c r="G1449" t="s">
        <v>6</v>
      </c>
      <c r="H1449">
        <v>18.5</v>
      </c>
      <c r="I1449">
        <v>21.8</v>
      </c>
      <c r="J1449">
        <v>13.1</v>
      </c>
      <c r="K1449" t="s">
        <v>6</v>
      </c>
      <c r="L1449">
        <v>24</v>
      </c>
      <c r="M1449" t="s">
        <v>6</v>
      </c>
    </row>
    <row r="1450" spans="1:13" x14ac:dyDescent="0.2">
      <c r="A1450" s="1">
        <v>45481</v>
      </c>
      <c r="B1450" s="2">
        <v>0.66666666666666663</v>
      </c>
      <c r="C1450" s="3">
        <v>45481.666666666664</v>
      </c>
      <c r="D1450">
        <v>51.9</v>
      </c>
      <c r="E1450">
        <v>60.5</v>
      </c>
      <c r="F1450">
        <v>46.1</v>
      </c>
      <c r="G1450" t="s">
        <v>6</v>
      </c>
      <c r="H1450">
        <v>11.4</v>
      </c>
      <c r="I1450">
        <v>18.8</v>
      </c>
      <c r="J1450">
        <v>9.1999999999999993</v>
      </c>
      <c r="K1450" t="s">
        <v>6</v>
      </c>
      <c r="L1450">
        <v>225</v>
      </c>
      <c r="M1450" t="s">
        <v>6</v>
      </c>
    </row>
    <row r="1451" spans="1:13" x14ac:dyDescent="0.2">
      <c r="A1451" s="1">
        <v>45481</v>
      </c>
      <c r="B1451" s="2">
        <v>0.70833333333333337</v>
      </c>
      <c r="C1451" s="3">
        <v>45481.708333333336</v>
      </c>
      <c r="D1451">
        <v>59.4</v>
      </c>
      <c r="E1451">
        <v>104.1</v>
      </c>
      <c r="F1451">
        <v>46.3</v>
      </c>
      <c r="G1451" t="s">
        <v>6</v>
      </c>
      <c r="H1451">
        <v>12.5</v>
      </c>
      <c r="I1451">
        <v>20.399999999999999</v>
      </c>
      <c r="J1451">
        <v>10.8</v>
      </c>
      <c r="K1451" t="s">
        <v>6</v>
      </c>
      <c r="L1451">
        <v>64</v>
      </c>
      <c r="M1451" t="s">
        <v>6</v>
      </c>
    </row>
    <row r="1452" spans="1:13" x14ac:dyDescent="0.2">
      <c r="A1452" s="1">
        <v>45481</v>
      </c>
      <c r="B1452" s="2">
        <v>0.75</v>
      </c>
      <c r="C1452" s="3">
        <v>45481.75</v>
      </c>
      <c r="D1452">
        <v>99.2</v>
      </c>
      <c r="E1452">
        <v>108.3</v>
      </c>
      <c r="F1452">
        <v>91.4</v>
      </c>
      <c r="G1452" t="s">
        <v>6</v>
      </c>
      <c r="H1452">
        <v>14.6</v>
      </c>
      <c r="I1452">
        <v>21.3</v>
      </c>
      <c r="J1452">
        <v>11.5</v>
      </c>
      <c r="K1452" t="s">
        <v>6</v>
      </c>
      <c r="L1452">
        <v>93</v>
      </c>
      <c r="M1452" t="s">
        <v>6</v>
      </c>
    </row>
    <row r="1453" spans="1:13" x14ac:dyDescent="0.2">
      <c r="A1453" s="1">
        <v>45481</v>
      </c>
      <c r="B1453" s="2">
        <v>0.79166666666666663</v>
      </c>
      <c r="C1453" s="3">
        <v>45481.791666666664</v>
      </c>
      <c r="D1453">
        <v>107.9</v>
      </c>
      <c r="E1453">
        <v>126.9</v>
      </c>
      <c r="F1453">
        <v>95.8</v>
      </c>
      <c r="G1453" t="s">
        <v>6</v>
      </c>
      <c r="H1453">
        <v>16</v>
      </c>
      <c r="I1453">
        <v>23.3</v>
      </c>
      <c r="J1453">
        <v>11.9</v>
      </c>
      <c r="K1453" t="s">
        <v>6</v>
      </c>
      <c r="L1453">
        <v>122</v>
      </c>
      <c r="M1453" t="s">
        <v>6</v>
      </c>
    </row>
    <row r="1454" spans="1:13" x14ac:dyDescent="0.2">
      <c r="A1454" s="1">
        <v>45481</v>
      </c>
      <c r="B1454" s="2">
        <v>0.83333333333333337</v>
      </c>
      <c r="C1454" s="3">
        <v>45481.833333333336</v>
      </c>
      <c r="D1454">
        <v>105.9</v>
      </c>
      <c r="E1454">
        <v>116.6</v>
      </c>
      <c r="F1454">
        <v>95</v>
      </c>
      <c r="G1454" t="s">
        <v>6</v>
      </c>
      <c r="H1454">
        <v>17.8</v>
      </c>
      <c r="I1454">
        <v>27.5</v>
      </c>
      <c r="J1454">
        <v>12.5</v>
      </c>
      <c r="K1454" t="s">
        <v>6</v>
      </c>
      <c r="L1454">
        <v>211</v>
      </c>
      <c r="M1454" t="s">
        <v>6</v>
      </c>
    </row>
    <row r="1455" spans="1:13" x14ac:dyDescent="0.2">
      <c r="A1455" s="1">
        <v>45481</v>
      </c>
      <c r="B1455" s="2">
        <v>0.875</v>
      </c>
      <c r="C1455" s="3">
        <v>45481.875</v>
      </c>
      <c r="D1455">
        <v>87.5</v>
      </c>
      <c r="E1455">
        <v>112.8</v>
      </c>
      <c r="F1455">
        <v>41.8</v>
      </c>
      <c r="G1455" t="s">
        <v>6</v>
      </c>
      <c r="H1455">
        <v>15.1</v>
      </c>
      <c r="I1455">
        <v>28.2</v>
      </c>
      <c r="J1455">
        <v>11.6</v>
      </c>
      <c r="K1455" t="s">
        <v>6</v>
      </c>
      <c r="L1455">
        <v>230</v>
      </c>
      <c r="M1455" t="s">
        <v>6</v>
      </c>
    </row>
    <row r="1456" spans="1:13" x14ac:dyDescent="0.2">
      <c r="A1456" s="1">
        <v>45481</v>
      </c>
      <c r="B1456" s="2">
        <v>0.91666666666666663</v>
      </c>
      <c r="C1456" s="3">
        <v>45481.916666666664</v>
      </c>
      <c r="D1456">
        <v>43.6</v>
      </c>
      <c r="E1456">
        <v>50.1</v>
      </c>
      <c r="F1456">
        <v>40.1</v>
      </c>
      <c r="G1456" t="s">
        <v>6</v>
      </c>
      <c r="H1456">
        <v>14.5</v>
      </c>
      <c r="I1456">
        <v>24.9</v>
      </c>
      <c r="J1456">
        <v>12.1</v>
      </c>
      <c r="K1456" t="s">
        <v>6</v>
      </c>
      <c r="L1456">
        <v>218</v>
      </c>
      <c r="M1456" t="s">
        <v>6</v>
      </c>
    </row>
    <row r="1457" spans="1:13" x14ac:dyDescent="0.2">
      <c r="A1457" s="1">
        <v>45481</v>
      </c>
      <c r="B1457" s="2">
        <v>0.95833333333333337</v>
      </c>
      <c r="C1457" s="3">
        <v>45481.958333333336</v>
      </c>
      <c r="D1457">
        <v>55.2</v>
      </c>
      <c r="E1457">
        <v>60.2</v>
      </c>
      <c r="F1457">
        <v>45.6</v>
      </c>
      <c r="G1457" t="s">
        <v>6</v>
      </c>
      <c r="H1457">
        <v>12.9</v>
      </c>
      <c r="I1457">
        <v>18.899999999999999</v>
      </c>
      <c r="J1457">
        <v>11.8</v>
      </c>
      <c r="K1457" t="s">
        <v>6</v>
      </c>
      <c r="L1457">
        <v>223</v>
      </c>
      <c r="M1457" t="s">
        <v>6</v>
      </c>
    </row>
    <row r="1458" spans="1:13" x14ac:dyDescent="0.2">
      <c r="A1458" s="1">
        <v>45482</v>
      </c>
      <c r="B1458" s="2">
        <v>0</v>
      </c>
      <c r="C1458" s="3">
        <v>45482</v>
      </c>
      <c r="D1458">
        <v>63.3</v>
      </c>
      <c r="E1458">
        <v>108.4</v>
      </c>
      <c r="F1458">
        <v>47.7</v>
      </c>
      <c r="G1458" t="s">
        <v>6</v>
      </c>
      <c r="H1458">
        <v>12.6</v>
      </c>
      <c r="I1458">
        <v>15.1</v>
      </c>
      <c r="J1458">
        <v>11.5</v>
      </c>
      <c r="K1458" t="s">
        <v>6</v>
      </c>
      <c r="L1458">
        <v>219</v>
      </c>
      <c r="M1458" t="s">
        <v>6</v>
      </c>
    </row>
    <row r="1459" spans="1:13" x14ac:dyDescent="0.2">
      <c r="A1459" s="1">
        <v>45482</v>
      </c>
      <c r="B1459" s="2">
        <v>4.1666666666666664E-2</v>
      </c>
      <c r="C1459" s="3">
        <v>45482.041666666664</v>
      </c>
      <c r="D1459">
        <v>93.7</v>
      </c>
      <c r="E1459">
        <v>105.7</v>
      </c>
      <c r="F1459">
        <v>64.599999999999994</v>
      </c>
      <c r="G1459" t="s">
        <v>6</v>
      </c>
      <c r="H1459">
        <v>12.6</v>
      </c>
      <c r="I1459">
        <v>22.3</v>
      </c>
      <c r="J1459">
        <v>11.2</v>
      </c>
      <c r="K1459" t="s">
        <v>6</v>
      </c>
      <c r="L1459">
        <v>225</v>
      </c>
      <c r="M1459" t="s">
        <v>6</v>
      </c>
    </row>
    <row r="1460" spans="1:13" x14ac:dyDescent="0.2">
      <c r="A1460" s="1">
        <v>45482</v>
      </c>
      <c r="B1460" s="2">
        <v>8.3333333333333329E-2</v>
      </c>
      <c r="C1460" s="3">
        <v>45482.083333333336</v>
      </c>
      <c r="D1460">
        <v>88.4</v>
      </c>
      <c r="E1460">
        <v>109.5</v>
      </c>
      <c r="F1460">
        <v>66.900000000000006</v>
      </c>
      <c r="G1460" t="s">
        <v>6</v>
      </c>
      <c r="H1460">
        <v>12.5</v>
      </c>
      <c r="I1460">
        <v>16</v>
      </c>
      <c r="J1460">
        <v>10.9</v>
      </c>
      <c r="K1460" t="s">
        <v>6</v>
      </c>
      <c r="L1460">
        <v>224</v>
      </c>
      <c r="M1460" t="s">
        <v>6</v>
      </c>
    </row>
    <row r="1461" spans="1:13" x14ac:dyDescent="0.2">
      <c r="A1461" s="1">
        <v>45482</v>
      </c>
      <c r="B1461" s="2">
        <v>0.125</v>
      </c>
      <c r="C1461" s="3">
        <v>45482.125</v>
      </c>
      <c r="D1461">
        <v>97.9</v>
      </c>
      <c r="E1461">
        <v>117.4</v>
      </c>
      <c r="F1461">
        <v>78.5</v>
      </c>
      <c r="G1461" t="s">
        <v>6</v>
      </c>
      <c r="H1461">
        <v>14.6</v>
      </c>
      <c r="I1461">
        <v>24.6</v>
      </c>
      <c r="J1461">
        <v>11.2</v>
      </c>
      <c r="K1461" t="s">
        <v>6</v>
      </c>
      <c r="L1461">
        <v>215</v>
      </c>
      <c r="M1461" t="s">
        <v>6</v>
      </c>
    </row>
    <row r="1462" spans="1:13" x14ac:dyDescent="0.2">
      <c r="A1462" s="1">
        <v>45482</v>
      </c>
      <c r="B1462" s="2">
        <v>0.16666666666666666</v>
      </c>
      <c r="C1462" s="3">
        <v>45482.166666666664</v>
      </c>
      <c r="D1462">
        <v>68</v>
      </c>
      <c r="E1462">
        <v>95.9</v>
      </c>
      <c r="F1462">
        <v>55.3</v>
      </c>
      <c r="G1462" t="s">
        <v>6</v>
      </c>
      <c r="H1462">
        <v>14.9</v>
      </c>
      <c r="I1462">
        <v>27.9</v>
      </c>
      <c r="J1462">
        <v>11.1</v>
      </c>
      <c r="K1462" t="s">
        <v>6</v>
      </c>
      <c r="L1462">
        <v>226</v>
      </c>
      <c r="M1462" t="s">
        <v>6</v>
      </c>
    </row>
    <row r="1463" spans="1:13" x14ac:dyDescent="0.2">
      <c r="A1463" s="1">
        <v>45482</v>
      </c>
      <c r="B1463" s="2">
        <v>0.20833333333333334</v>
      </c>
      <c r="C1463" s="3">
        <v>45482.208333333336</v>
      </c>
      <c r="D1463">
        <v>51</v>
      </c>
      <c r="E1463">
        <v>59.7</v>
      </c>
      <c r="F1463">
        <v>41.2</v>
      </c>
      <c r="G1463" t="s">
        <v>6</v>
      </c>
      <c r="H1463">
        <v>15.8</v>
      </c>
      <c r="I1463">
        <v>25.2</v>
      </c>
      <c r="J1463">
        <v>11.1</v>
      </c>
      <c r="K1463" t="s">
        <v>6</v>
      </c>
      <c r="L1463">
        <v>220</v>
      </c>
      <c r="M1463" t="s">
        <v>6</v>
      </c>
    </row>
    <row r="1464" spans="1:13" x14ac:dyDescent="0.2">
      <c r="A1464" s="1">
        <v>45482</v>
      </c>
      <c r="B1464" s="2">
        <v>0.25</v>
      </c>
      <c r="C1464" s="3">
        <v>45482.25</v>
      </c>
      <c r="D1464">
        <v>51.6</v>
      </c>
      <c r="E1464">
        <v>56.5</v>
      </c>
      <c r="F1464">
        <v>47.2</v>
      </c>
      <c r="G1464" t="s">
        <v>6</v>
      </c>
      <c r="H1464">
        <v>15.9</v>
      </c>
      <c r="I1464">
        <v>23.1</v>
      </c>
      <c r="J1464">
        <v>10.8</v>
      </c>
      <c r="K1464" t="s">
        <v>6</v>
      </c>
      <c r="L1464">
        <v>158</v>
      </c>
      <c r="M1464" t="s">
        <v>6</v>
      </c>
    </row>
    <row r="1465" spans="1:13" x14ac:dyDescent="0.2">
      <c r="A1465" s="1">
        <v>45482</v>
      </c>
      <c r="B1465" s="2">
        <v>0.29166666666666669</v>
      </c>
      <c r="C1465" s="3">
        <v>45482.291666666664</v>
      </c>
      <c r="D1465">
        <v>47.4</v>
      </c>
      <c r="E1465">
        <v>48.6</v>
      </c>
      <c r="F1465">
        <v>45.6</v>
      </c>
      <c r="G1465" t="s">
        <v>6</v>
      </c>
      <c r="H1465">
        <v>15.8</v>
      </c>
      <c r="I1465">
        <v>33.4</v>
      </c>
      <c r="J1465">
        <v>12.5</v>
      </c>
      <c r="K1465" t="s">
        <v>6</v>
      </c>
      <c r="L1465">
        <v>54</v>
      </c>
      <c r="M1465" t="s">
        <v>6</v>
      </c>
    </row>
    <row r="1466" spans="1:13" x14ac:dyDescent="0.2">
      <c r="A1466" s="13">
        <v>45482</v>
      </c>
      <c r="B1466" s="9">
        <v>0.33333333333333331</v>
      </c>
      <c r="C1466" s="8">
        <v>45482.333333333336</v>
      </c>
      <c r="D1466" s="10">
        <v>45.9</v>
      </c>
      <c r="E1466" s="10">
        <v>47</v>
      </c>
      <c r="F1466" s="10">
        <v>44.6</v>
      </c>
      <c r="G1466" s="10" t="s">
        <v>6</v>
      </c>
      <c r="H1466" s="10">
        <v>17.5</v>
      </c>
      <c r="I1466" s="10">
        <v>27.1</v>
      </c>
      <c r="J1466" s="10">
        <v>14.3</v>
      </c>
      <c r="K1466" s="10" t="s">
        <v>6</v>
      </c>
      <c r="L1466" s="10">
        <v>27</v>
      </c>
      <c r="M1466" t="s">
        <v>6</v>
      </c>
    </row>
    <row r="1467" spans="1:13" x14ac:dyDescent="0.2">
      <c r="A1467" s="14">
        <v>45482</v>
      </c>
      <c r="B1467" s="12">
        <v>0.45833333333333331</v>
      </c>
      <c r="C1467" s="7">
        <v>45482.458333333336</v>
      </c>
      <c r="D1467" s="11">
        <v>65.7</v>
      </c>
      <c r="E1467" s="11">
        <v>68.400000000000006</v>
      </c>
      <c r="F1467" s="11">
        <v>61.1</v>
      </c>
      <c r="G1467" s="11" t="s">
        <v>6</v>
      </c>
      <c r="H1467" s="11">
        <v>15</v>
      </c>
      <c r="I1467" s="11">
        <v>22</v>
      </c>
      <c r="J1467" s="11">
        <v>11.7</v>
      </c>
      <c r="K1467" s="11" t="s">
        <v>6</v>
      </c>
      <c r="L1467" s="11">
        <v>138</v>
      </c>
      <c r="M1467" t="s">
        <v>6</v>
      </c>
    </row>
    <row r="1468" spans="1:13" x14ac:dyDescent="0.2">
      <c r="A1468" s="1">
        <v>45482</v>
      </c>
      <c r="B1468" s="2">
        <v>0.5</v>
      </c>
      <c r="C1468" s="3">
        <v>45482.5</v>
      </c>
      <c r="D1468">
        <v>63.3</v>
      </c>
      <c r="E1468">
        <v>67.5</v>
      </c>
      <c r="F1468">
        <v>60.3</v>
      </c>
      <c r="G1468" t="s">
        <v>6</v>
      </c>
      <c r="H1468">
        <v>14.7</v>
      </c>
      <c r="I1468">
        <v>19.5</v>
      </c>
      <c r="J1468">
        <v>11.9</v>
      </c>
      <c r="K1468" t="s">
        <v>6</v>
      </c>
      <c r="L1468">
        <v>104</v>
      </c>
      <c r="M1468" t="s">
        <v>6</v>
      </c>
    </row>
    <row r="1469" spans="1:13" x14ac:dyDescent="0.2">
      <c r="A1469" s="1">
        <v>45482</v>
      </c>
      <c r="B1469" s="2">
        <v>0.66666666666666663</v>
      </c>
      <c r="C1469" s="3">
        <v>45482.666666666664</v>
      </c>
      <c r="D1469">
        <v>75.400000000000006</v>
      </c>
      <c r="E1469">
        <v>75.400000000000006</v>
      </c>
      <c r="F1469">
        <v>75.400000000000006</v>
      </c>
      <c r="G1469" t="s">
        <v>6</v>
      </c>
      <c r="H1469">
        <v>15.2</v>
      </c>
      <c r="I1469">
        <v>18</v>
      </c>
      <c r="J1469">
        <v>10.5</v>
      </c>
      <c r="K1469" t="s">
        <v>6</v>
      </c>
      <c r="L1469">
        <v>4</v>
      </c>
      <c r="M1469" t="s">
        <v>6</v>
      </c>
    </row>
    <row r="1470" spans="1:13" x14ac:dyDescent="0.2">
      <c r="A1470" s="1">
        <v>45482</v>
      </c>
      <c r="B1470" s="2">
        <v>0.79166666666666663</v>
      </c>
      <c r="C1470" s="3">
        <v>45482.791666666664</v>
      </c>
      <c r="D1470">
        <v>98.5</v>
      </c>
      <c r="E1470">
        <v>116.9</v>
      </c>
      <c r="F1470">
        <v>85</v>
      </c>
      <c r="G1470" t="s">
        <v>6</v>
      </c>
      <c r="H1470">
        <v>21.5</v>
      </c>
      <c r="I1470">
        <v>34.799999999999997</v>
      </c>
      <c r="J1470">
        <v>12.9</v>
      </c>
      <c r="K1470" t="s">
        <v>6</v>
      </c>
      <c r="L1470">
        <v>148</v>
      </c>
      <c r="M1470" t="s">
        <v>6</v>
      </c>
    </row>
    <row r="1471" spans="1:13" x14ac:dyDescent="0.2">
      <c r="A1471" s="1">
        <v>45482</v>
      </c>
      <c r="B1471" s="2">
        <v>0.83333333333333337</v>
      </c>
      <c r="C1471" s="3">
        <v>45482.833333333336</v>
      </c>
      <c r="D1471">
        <v>87.9</v>
      </c>
      <c r="E1471">
        <v>106.1</v>
      </c>
      <c r="F1471">
        <v>78.099999999999994</v>
      </c>
      <c r="G1471" t="s">
        <v>6</v>
      </c>
      <c r="H1471">
        <v>16.5</v>
      </c>
      <c r="I1471">
        <v>32.299999999999997</v>
      </c>
      <c r="J1471">
        <v>11.8</v>
      </c>
      <c r="K1471" t="s">
        <v>6</v>
      </c>
      <c r="L1471">
        <v>207</v>
      </c>
      <c r="M1471" t="s">
        <v>6</v>
      </c>
    </row>
    <row r="1472" spans="1:13" x14ac:dyDescent="0.2">
      <c r="A1472" s="1">
        <v>45482</v>
      </c>
      <c r="B1472" s="2">
        <v>0.875</v>
      </c>
      <c r="C1472" s="3">
        <v>45482.875</v>
      </c>
      <c r="D1472">
        <v>85.5</v>
      </c>
      <c r="E1472">
        <v>111.4</v>
      </c>
      <c r="F1472">
        <v>59.7</v>
      </c>
      <c r="G1472" t="s">
        <v>6</v>
      </c>
      <c r="H1472">
        <v>18.7</v>
      </c>
      <c r="I1472">
        <v>34.6</v>
      </c>
      <c r="J1472">
        <v>12.6</v>
      </c>
      <c r="K1472" t="s">
        <v>6</v>
      </c>
      <c r="L1472">
        <v>214</v>
      </c>
      <c r="M1472" t="s">
        <v>6</v>
      </c>
    </row>
    <row r="1473" spans="1:13" x14ac:dyDescent="0.2">
      <c r="A1473" s="1">
        <v>45482</v>
      </c>
      <c r="B1473" s="2">
        <v>0.91666666666666663</v>
      </c>
      <c r="C1473" s="3">
        <v>45482.916666666664</v>
      </c>
      <c r="D1473">
        <v>102.9</v>
      </c>
      <c r="E1473">
        <v>110.2</v>
      </c>
      <c r="F1473">
        <v>101.3</v>
      </c>
      <c r="G1473" t="s">
        <v>6</v>
      </c>
      <c r="H1473">
        <v>15</v>
      </c>
      <c r="I1473">
        <v>25</v>
      </c>
      <c r="J1473">
        <v>11.4</v>
      </c>
      <c r="K1473" t="s">
        <v>6</v>
      </c>
      <c r="L1473">
        <v>226</v>
      </c>
      <c r="M1473" t="s">
        <v>6</v>
      </c>
    </row>
    <row r="1474" spans="1:13" x14ac:dyDescent="0.2">
      <c r="A1474" s="1">
        <v>45482</v>
      </c>
      <c r="B1474" s="2">
        <v>0.95833333333333337</v>
      </c>
      <c r="C1474" s="3">
        <v>45482.958333333336</v>
      </c>
      <c r="D1474">
        <v>53.8</v>
      </c>
      <c r="E1474">
        <v>101.3</v>
      </c>
      <c r="F1474">
        <v>46.3</v>
      </c>
      <c r="G1474" t="s">
        <v>6</v>
      </c>
      <c r="H1474">
        <v>13.5</v>
      </c>
      <c r="I1474">
        <v>24.8</v>
      </c>
      <c r="J1474">
        <v>11.3</v>
      </c>
      <c r="K1474" t="s">
        <v>6</v>
      </c>
      <c r="L1474">
        <v>213</v>
      </c>
      <c r="M1474" t="s">
        <v>6</v>
      </c>
    </row>
    <row r="1475" spans="1:13" x14ac:dyDescent="0.2">
      <c r="A1475" s="1">
        <v>45483</v>
      </c>
      <c r="B1475" s="2">
        <v>0</v>
      </c>
      <c r="C1475" s="3">
        <v>45483</v>
      </c>
      <c r="D1475">
        <v>47.4</v>
      </c>
      <c r="E1475">
        <v>52.9</v>
      </c>
      <c r="F1475">
        <v>43.9</v>
      </c>
      <c r="G1475" t="s">
        <v>6</v>
      </c>
      <c r="H1475">
        <v>16.7</v>
      </c>
      <c r="I1475">
        <v>26.2</v>
      </c>
      <c r="J1475">
        <v>11.8</v>
      </c>
      <c r="K1475" t="s">
        <v>6</v>
      </c>
      <c r="L1475">
        <v>216</v>
      </c>
      <c r="M1475" t="s">
        <v>6</v>
      </c>
    </row>
    <row r="1476" spans="1:13" x14ac:dyDescent="0.2">
      <c r="A1476" s="1">
        <v>45483</v>
      </c>
      <c r="B1476" s="2">
        <v>4.1666666666666664E-2</v>
      </c>
      <c r="C1476" s="3">
        <v>45483.041666666664</v>
      </c>
      <c r="D1476">
        <v>41.9</v>
      </c>
      <c r="E1476">
        <v>45.2</v>
      </c>
      <c r="F1476">
        <v>40.1</v>
      </c>
      <c r="G1476" t="s">
        <v>6</v>
      </c>
      <c r="H1476">
        <v>20</v>
      </c>
      <c r="I1476">
        <v>25.1</v>
      </c>
      <c r="J1476">
        <v>12</v>
      </c>
      <c r="K1476" t="s">
        <v>6</v>
      </c>
      <c r="L1476">
        <v>176</v>
      </c>
      <c r="M1476" t="s">
        <v>6</v>
      </c>
    </row>
    <row r="1477" spans="1:13" x14ac:dyDescent="0.2">
      <c r="A1477" s="1">
        <v>45483</v>
      </c>
      <c r="B1477" s="2">
        <v>8.3333333333333329E-2</v>
      </c>
      <c r="C1477" s="3">
        <v>45483.083333333336</v>
      </c>
      <c r="D1477">
        <v>40.299999999999997</v>
      </c>
      <c r="E1477">
        <v>41.4</v>
      </c>
      <c r="F1477">
        <v>40.1</v>
      </c>
      <c r="G1477" t="s">
        <v>6</v>
      </c>
      <c r="H1477">
        <v>21.4</v>
      </c>
      <c r="I1477">
        <v>26</v>
      </c>
      <c r="J1477">
        <v>12.8</v>
      </c>
      <c r="K1477" t="s">
        <v>6</v>
      </c>
      <c r="L1477">
        <v>56</v>
      </c>
      <c r="M1477" t="s">
        <v>6</v>
      </c>
    </row>
    <row r="1478" spans="1:13" x14ac:dyDescent="0.2">
      <c r="A1478" s="1">
        <v>45483</v>
      </c>
      <c r="B1478" s="2">
        <v>0.125</v>
      </c>
      <c r="C1478" s="3">
        <v>45483.125</v>
      </c>
      <c r="D1478">
        <v>55.2</v>
      </c>
      <c r="E1478">
        <v>61.4</v>
      </c>
      <c r="F1478">
        <v>47.6</v>
      </c>
      <c r="G1478" t="s">
        <v>6</v>
      </c>
      <c r="H1478">
        <v>12.8</v>
      </c>
      <c r="I1478">
        <v>21.4</v>
      </c>
      <c r="J1478">
        <v>11.1</v>
      </c>
      <c r="K1478" t="s">
        <v>6</v>
      </c>
      <c r="L1478">
        <v>206</v>
      </c>
      <c r="M1478" t="s">
        <v>6</v>
      </c>
    </row>
    <row r="1479" spans="1:13" x14ac:dyDescent="0.2">
      <c r="A1479" s="1">
        <v>45483</v>
      </c>
      <c r="B1479" s="2">
        <v>0.16666666666666666</v>
      </c>
      <c r="C1479" s="3">
        <v>45483.166666666664</v>
      </c>
      <c r="D1479">
        <v>45.8</v>
      </c>
      <c r="E1479">
        <v>53.6</v>
      </c>
      <c r="F1479">
        <v>40.200000000000003</v>
      </c>
      <c r="G1479" t="s">
        <v>6</v>
      </c>
      <c r="H1479">
        <v>13.4</v>
      </c>
      <c r="I1479">
        <v>18.600000000000001</v>
      </c>
      <c r="J1479">
        <v>11.2</v>
      </c>
      <c r="K1479" t="s">
        <v>6</v>
      </c>
      <c r="L1479">
        <v>217</v>
      </c>
      <c r="M1479" t="s">
        <v>6</v>
      </c>
    </row>
    <row r="1480" spans="1:13" x14ac:dyDescent="0.2">
      <c r="A1480" s="1">
        <v>45483</v>
      </c>
      <c r="B1480" s="2">
        <v>0.20833333333333334</v>
      </c>
      <c r="C1480" s="3">
        <v>45483.208333333336</v>
      </c>
      <c r="D1480">
        <v>45.2</v>
      </c>
      <c r="E1480">
        <v>47.2</v>
      </c>
      <c r="F1480">
        <v>41.4</v>
      </c>
      <c r="G1480" t="s">
        <v>6</v>
      </c>
      <c r="H1480">
        <v>15.6</v>
      </c>
      <c r="I1480">
        <v>24.7</v>
      </c>
      <c r="J1480">
        <v>11.9</v>
      </c>
      <c r="K1480" t="s">
        <v>6</v>
      </c>
      <c r="L1480">
        <v>95</v>
      </c>
      <c r="M1480" t="s">
        <v>6</v>
      </c>
    </row>
    <row r="1481" spans="1:13" x14ac:dyDescent="0.2">
      <c r="A1481" s="1">
        <v>45483</v>
      </c>
      <c r="B1481" s="2">
        <v>0.25</v>
      </c>
      <c r="C1481" s="3">
        <v>45483.25</v>
      </c>
      <c r="D1481">
        <v>45.8</v>
      </c>
      <c r="E1481">
        <v>50.7</v>
      </c>
      <c r="F1481">
        <v>41.2</v>
      </c>
      <c r="G1481" t="s">
        <v>6</v>
      </c>
      <c r="H1481">
        <v>17.399999999999999</v>
      </c>
      <c r="I1481">
        <v>33.1</v>
      </c>
      <c r="J1481">
        <v>12.4</v>
      </c>
      <c r="K1481" t="s">
        <v>6</v>
      </c>
      <c r="L1481">
        <v>71</v>
      </c>
      <c r="M1481" t="s">
        <v>6</v>
      </c>
    </row>
    <row r="1482" spans="1:13" x14ac:dyDescent="0.2">
      <c r="A1482" s="1">
        <v>45483</v>
      </c>
      <c r="B1482" s="2">
        <v>0.29166666666666669</v>
      </c>
      <c r="C1482" s="3">
        <v>45483.291666666664</v>
      </c>
      <c r="D1482">
        <v>50.7</v>
      </c>
      <c r="E1482">
        <v>50.7</v>
      </c>
      <c r="F1482">
        <v>50.7</v>
      </c>
      <c r="G1482" t="s">
        <v>6</v>
      </c>
      <c r="H1482">
        <v>19.8</v>
      </c>
      <c r="I1482">
        <v>19.8</v>
      </c>
      <c r="J1482">
        <v>19.8</v>
      </c>
      <c r="K1482" t="s">
        <v>6</v>
      </c>
      <c r="L1482">
        <v>1</v>
      </c>
      <c r="M1482" t="s">
        <v>6</v>
      </c>
    </row>
    <row r="1483" spans="1:13" x14ac:dyDescent="0.2">
      <c r="A1483" s="13">
        <v>45483</v>
      </c>
      <c r="B1483" s="9">
        <v>0.33333333333333331</v>
      </c>
      <c r="C1483" s="8">
        <v>45483.333333333336</v>
      </c>
      <c r="D1483" s="10">
        <v>50.2</v>
      </c>
      <c r="E1483" s="10">
        <v>51.2</v>
      </c>
      <c r="F1483" s="10">
        <v>49.6</v>
      </c>
      <c r="G1483" s="10" t="s">
        <v>6</v>
      </c>
      <c r="H1483" s="10">
        <v>16.100000000000001</v>
      </c>
      <c r="I1483" s="10">
        <v>18.8</v>
      </c>
      <c r="J1483" s="10">
        <v>13.6</v>
      </c>
      <c r="K1483" s="10" t="s">
        <v>6</v>
      </c>
      <c r="L1483" s="10">
        <v>10</v>
      </c>
      <c r="M1483" t="s">
        <v>6</v>
      </c>
    </row>
    <row r="1484" spans="1:13" x14ac:dyDescent="0.2">
      <c r="A1484" s="14">
        <v>45483</v>
      </c>
      <c r="B1484" s="12">
        <v>0.375</v>
      </c>
      <c r="C1484" s="7">
        <v>45483.375</v>
      </c>
      <c r="D1484" s="11">
        <v>46.2</v>
      </c>
      <c r="E1484" s="11">
        <v>51.1</v>
      </c>
      <c r="F1484" s="11">
        <v>42.8</v>
      </c>
      <c r="G1484" s="11" t="s">
        <v>6</v>
      </c>
      <c r="H1484" s="11">
        <v>13.2</v>
      </c>
      <c r="I1484" s="11">
        <v>34.1</v>
      </c>
      <c r="J1484" s="11">
        <v>10.1</v>
      </c>
      <c r="K1484" s="11" t="s">
        <v>6</v>
      </c>
      <c r="L1484" s="11">
        <v>165</v>
      </c>
      <c r="M1484" t="s">
        <v>6</v>
      </c>
    </row>
    <row r="1485" spans="1:13" x14ac:dyDescent="0.2">
      <c r="A1485" s="1">
        <v>45483</v>
      </c>
      <c r="B1485" s="2">
        <v>0.41666666666666669</v>
      </c>
      <c r="C1485" s="3">
        <v>45483.416666666664</v>
      </c>
      <c r="D1485">
        <v>41.6</v>
      </c>
      <c r="E1485">
        <v>44</v>
      </c>
      <c r="F1485">
        <v>40.1</v>
      </c>
      <c r="G1485" t="s">
        <v>6</v>
      </c>
      <c r="H1485">
        <v>11.7</v>
      </c>
      <c r="I1485">
        <v>15.7</v>
      </c>
      <c r="J1485">
        <v>10</v>
      </c>
      <c r="K1485" t="s">
        <v>6</v>
      </c>
      <c r="L1485">
        <v>124</v>
      </c>
      <c r="M1485" t="s">
        <v>6</v>
      </c>
    </row>
    <row r="1486" spans="1:13" x14ac:dyDescent="0.2">
      <c r="A1486" s="1">
        <v>45483</v>
      </c>
      <c r="B1486" s="2">
        <v>0.5</v>
      </c>
      <c r="C1486" s="3">
        <v>45483.5</v>
      </c>
      <c r="D1486">
        <v>69.900000000000006</v>
      </c>
      <c r="E1486">
        <v>69.900000000000006</v>
      </c>
      <c r="F1486">
        <v>69.900000000000006</v>
      </c>
      <c r="G1486" t="s">
        <v>6</v>
      </c>
      <c r="H1486">
        <v>14.4</v>
      </c>
      <c r="I1486">
        <v>14.4</v>
      </c>
      <c r="J1486">
        <v>14.4</v>
      </c>
      <c r="K1486" t="s">
        <v>6</v>
      </c>
      <c r="L1486">
        <v>1</v>
      </c>
      <c r="M1486" t="s">
        <v>6</v>
      </c>
    </row>
    <row r="1487" spans="1:13" x14ac:dyDescent="0.2">
      <c r="A1487" s="1">
        <v>45483</v>
      </c>
      <c r="B1487" s="2">
        <v>0.58333333333333337</v>
      </c>
      <c r="C1487" s="3">
        <v>45483.583333333336</v>
      </c>
      <c r="D1487">
        <v>41.2</v>
      </c>
      <c r="E1487">
        <v>43.3</v>
      </c>
      <c r="F1487">
        <v>40.200000000000003</v>
      </c>
      <c r="G1487" t="s">
        <v>6</v>
      </c>
      <c r="H1487">
        <v>11.8</v>
      </c>
      <c r="I1487">
        <v>23.3</v>
      </c>
      <c r="J1487">
        <v>8.8000000000000007</v>
      </c>
      <c r="K1487" t="s">
        <v>6</v>
      </c>
      <c r="L1487">
        <v>183</v>
      </c>
      <c r="M1487" t="s">
        <v>6</v>
      </c>
    </row>
    <row r="1488" spans="1:13" x14ac:dyDescent="0.2">
      <c r="A1488" s="1">
        <v>45483</v>
      </c>
      <c r="B1488" s="2">
        <v>0.625</v>
      </c>
      <c r="C1488" s="3">
        <v>45483.625</v>
      </c>
      <c r="D1488">
        <v>40.200000000000003</v>
      </c>
      <c r="E1488">
        <v>40.5</v>
      </c>
      <c r="F1488">
        <v>40.1</v>
      </c>
      <c r="G1488" t="s">
        <v>6</v>
      </c>
      <c r="H1488">
        <v>12.7</v>
      </c>
      <c r="I1488">
        <v>18.2</v>
      </c>
      <c r="J1488">
        <v>9.6999999999999993</v>
      </c>
      <c r="K1488" t="s">
        <v>6</v>
      </c>
      <c r="L1488">
        <v>83</v>
      </c>
      <c r="M1488" t="s">
        <v>6</v>
      </c>
    </row>
    <row r="1489" spans="1:13" x14ac:dyDescent="0.2">
      <c r="A1489" s="1">
        <v>45483</v>
      </c>
      <c r="B1489" s="2">
        <v>0.66666666666666663</v>
      </c>
      <c r="C1489" s="3">
        <v>45483.666666666664</v>
      </c>
      <c r="D1489">
        <v>44.9</v>
      </c>
      <c r="E1489">
        <v>48.3</v>
      </c>
      <c r="F1489">
        <v>40.1</v>
      </c>
      <c r="G1489" t="s">
        <v>6</v>
      </c>
      <c r="H1489">
        <v>22.6</v>
      </c>
      <c r="I1489">
        <v>40.6</v>
      </c>
      <c r="J1489">
        <v>13.9</v>
      </c>
      <c r="K1489" t="s">
        <v>6</v>
      </c>
      <c r="L1489">
        <v>98</v>
      </c>
      <c r="M1489" t="s">
        <v>6</v>
      </c>
    </row>
    <row r="1490" spans="1:13" x14ac:dyDescent="0.2">
      <c r="A1490" s="1">
        <v>45483</v>
      </c>
      <c r="B1490" s="2">
        <v>0.79166666666666663</v>
      </c>
      <c r="C1490" s="3">
        <v>45483.791666666664</v>
      </c>
      <c r="D1490">
        <v>110.1</v>
      </c>
      <c r="E1490">
        <v>124.5</v>
      </c>
      <c r="F1490">
        <v>98</v>
      </c>
      <c r="G1490" t="s">
        <v>6</v>
      </c>
      <c r="H1490">
        <v>28.4</v>
      </c>
      <c r="I1490">
        <v>34.6</v>
      </c>
      <c r="J1490">
        <v>18.899999999999999</v>
      </c>
      <c r="K1490" t="s">
        <v>6</v>
      </c>
      <c r="L1490">
        <v>98</v>
      </c>
      <c r="M1490" t="s">
        <v>6</v>
      </c>
    </row>
    <row r="1491" spans="1:13" x14ac:dyDescent="0.2">
      <c r="A1491" s="1">
        <v>45483</v>
      </c>
      <c r="B1491" s="2">
        <v>0.83333333333333337</v>
      </c>
      <c r="C1491" s="3">
        <v>45483.833333333336</v>
      </c>
      <c r="D1491">
        <v>111.8</v>
      </c>
      <c r="E1491">
        <v>122.6</v>
      </c>
      <c r="F1491">
        <v>102.6</v>
      </c>
      <c r="G1491" t="s">
        <v>6</v>
      </c>
      <c r="H1491">
        <v>15.3</v>
      </c>
      <c r="I1491">
        <v>25.9</v>
      </c>
      <c r="J1491">
        <v>11.3</v>
      </c>
      <c r="K1491" t="s">
        <v>6</v>
      </c>
      <c r="L1491">
        <v>230</v>
      </c>
      <c r="M1491" t="s">
        <v>6</v>
      </c>
    </row>
    <row r="1492" spans="1:13" x14ac:dyDescent="0.2">
      <c r="A1492" s="1">
        <v>45483</v>
      </c>
      <c r="B1492" s="2">
        <v>0.875</v>
      </c>
      <c r="C1492" s="3">
        <v>45483.875</v>
      </c>
      <c r="D1492">
        <v>58.9</v>
      </c>
      <c r="E1492">
        <v>111.3</v>
      </c>
      <c r="F1492">
        <v>48.4</v>
      </c>
      <c r="G1492" t="s">
        <v>6</v>
      </c>
      <c r="H1492">
        <v>15.5</v>
      </c>
      <c r="I1492">
        <v>27.4</v>
      </c>
      <c r="J1492">
        <v>11.1</v>
      </c>
      <c r="K1492" t="s">
        <v>6</v>
      </c>
      <c r="L1492">
        <v>218</v>
      </c>
      <c r="M1492" t="s">
        <v>6</v>
      </c>
    </row>
    <row r="1493" spans="1:13" x14ac:dyDescent="0.2">
      <c r="A1493" s="1">
        <v>45483</v>
      </c>
      <c r="B1493" s="2">
        <v>0.91666666666666663</v>
      </c>
      <c r="C1493" s="3">
        <v>45483.916666666664</v>
      </c>
      <c r="D1493">
        <v>46.3</v>
      </c>
      <c r="E1493">
        <v>53.1</v>
      </c>
      <c r="F1493">
        <v>41.9</v>
      </c>
      <c r="G1493" t="s">
        <v>6</v>
      </c>
      <c r="H1493">
        <v>14.8</v>
      </c>
      <c r="I1493">
        <v>24.9</v>
      </c>
      <c r="J1493">
        <v>11.1</v>
      </c>
      <c r="K1493" t="s">
        <v>6</v>
      </c>
      <c r="L1493">
        <v>216</v>
      </c>
      <c r="M1493" t="s">
        <v>6</v>
      </c>
    </row>
    <row r="1494" spans="1:13" x14ac:dyDescent="0.2">
      <c r="A1494" s="1">
        <v>45483</v>
      </c>
      <c r="B1494" s="2">
        <v>0.95833333333333337</v>
      </c>
      <c r="C1494" s="3">
        <v>45483.958333333336</v>
      </c>
      <c r="D1494">
        <v>49.6</v>
      </c>
      <c r="E1494">
        <v>65.599999999999994</v>
      </c>
      <c r="F1494">
        <v>40.299999999999997</v>
      </c>
      <c r="G1494" t="s">
        <v>6</v>
      </c>
      <c r="H1494">
        <v>12.9</v>
      </c>
      <c r="I1494">
        <v>20.7</v>
      </c>
      <c r="J1494">
        <v>11</v>
      </c>
      <c r="K1494" t="s">
        <v>6</v>
      </c>
      <c r="L1494">
        <v>211</v>
      </c>
      <c r="M1494" t="s">
        <v>6</v>
      </c>
    </row>
    <row r="1495" spans="1:13" x14ac:dyDescent="0.2">
      <c r="A1495" s="1">
        <v>45484</v>
      </c>
      <c r="B1495" s="2">
        <v>0</v>
      </c>
      <c r="C1495" s="3">
        <v>45484</v>
      </c>
      <c r="D1495">
        <v>51</v>
      </c>
      <c r="E1495">
        <v>61.7</v>
      </c>
      <c r="F1495">
        <v>44.2</v>
      </c>
      <c r="G1495" t="s">
        <v>6</v>
      </c>
      <c r="H1495">
        <v>12.4</v>
      </c>
      <c r="I1495">
        <v>17</v>
      </c>
      <c r="J1495">
        <v>11</v>
      </c>
      <c r="K1495" t="s">
        <v>6</v>
      </c>
      <c r="L1495">
        <v>223</v>
      </c>
      <c r="M1495" t="s">
        <v>6</v>
      </c>
    </row>
    <row r="1496" spans="1:13" x14ac:dyDescent="0.2">
      <c r="A1496" s="1">
        <v>45484</v>
      </c>
      <c r="B1496" s="2">
        <v>4.1666666666666664E-2</v>
      </c>
      <c r="C1496" s="3">
        <v>45484.041666666664</v>
      </c>
      <c r="D1496">
        <v>48.3</v>
      </c>
      <c r="E1496">
        <v>54.1</v>
      </c>
      <c r="F1496">
        <v>43.7</v>
      </c>
      <c r="G1496" t="s">
        <v>6</v>
      </c>
      <c r="H1496">
        <v>12.8</v>
      </c>
      <c r="I1496">
        <v>21.1</v>
      </c>
      <c r="J1496">
        <v>11</v>
      </c>
      <c r="K1496" t="s">
        <v>6</v>
      </c>
      <c r="L1496">
        <v>215</v>
      </c>
      <c r="M1496" t="s">
        <v>6</v>
      </c>
    </row>
    <row r="1497" spans="1:13" x14ac:dyDescent="0.2">
      <c r="A1497" s="1">
        <v>45484</v>
      </c>
      <c r="B1497" s="2">
        <v>8.3333333333333329E-2</v>
      </c>
      <c r="C1497" s="3">
        <v>45484.083333333336</v>
      </c>
      <c r="D1497">
        <v>47.1</v>
      </c>
      <c r="E1497">
        <v>53</v>
      </c>
      <c r="F1497">
        <v>42.8</v>
      </c>
      <c r="G1497" t="s">
        <v>6</v>
      </c>
      <c r="H1497">
        <v>12.4</v>
      </c>
      <c r="I1497">
        <v>22.5</v>
      </c>
      <c r="J1497">
        <v>10.8</v>
      </c>
      <c r="K1497" t="s">
        <v>6</v>
      </c>
      <c r="L1497">
        <v>221</v>
      </c>
      <c r="M1497" t="s">
        <v>6</v>
      </c>
    </row>
    <row r="1498" spans="1:13" x14ac:dyDescent="0.2">
      <c r="A1498" s="1">
        <v>45484</v>
      </c>
      <c r="B1498" s="2">
        <v>0.125</v>
      </c>
      <c r="C1498" s="3">
        <v>45484.125</v>
      </c>
      <c r="D1498">
        <v>100.8</v>
      </c>
      <c r="E1498">
        <v>126</v>
      </c>
      <c r="F1498">
        <v>44.8</v>
      </c>
      <c r="G1498" t="s">
        <v>6</v>
      </c>
      <c r="H1498">
        <v>12</v>
      </c>
      <c r="I1498">
        <v>16.2</v>
      </c>
      <c r="J1498">
        <v>10.5</v>
      </c>
      <c r="K1498" t="s">
        <v>6</v>
      </c>
      <c r="L1498">
        <v>227</v>
      </c>
      <c r="M1498" t="s">
        <v>6</v>
      </c>
    </row>
    <row r="1499" spans="1:13" x14ac:dyDescent="0.2">
      <c r="A1499" s="1">
        <v>45484</v>
      </c>
      <c r="B1499" s="2">
        <v>0.16666666666666666</v>
      </c>
      <c r="C1499" s="3">
        <v>45484.166666666664</v>
      </c>
      <c r="D1499">
        <v>83.7</v>
      </c>
      <c r="E1499">
        <v>100.3</v>
      </c>
      <c r="F1499">
        <v>65.900000000000006</v>
      </c>
      <c r="G1499" t="s">
        <v>6</v>
      </c>
      <c r="H1499">
        <v>12.9</v>
      </c>
      <c r="I1499">
        <v>22.8</v>
      </c>
      <c r="J1499">
        <v>10.7</v>
      </c>
      <c r="K1499" t="s">
        <v>6</v>
      </c>
      <c r="L1499">
        <v>230</v>
      </c>
      <c r="M1499" t="s">
        <v>6</v>
      </c>
    </row>
    <row r="1500" spans="1:13" x14ac:dyDescent="0.2">
      <c r="A1500" s="1">
        <v>45484</v>
      </c>
      <c r="B1500" s="2">
        <v>0.20833333333333334</v>
      </c>
      <c r="C1500" s="3">
        <v>45484.208333333336</v>
      </c>
      <c r="D1500">
        <v>79.400000000000006</v>
      </c>
      <c r="E1500">
        <v>94.7</v>
      </c>
      <c r="F1500">
        <v>69.5</v>
      </c>
      <c r="G1500" t="s">
        <v>6</v>
      </c>
      <c r="H1500">
        <v>12.9</v>
      </c>
      <c r="I1500">
        <v>23.1</v>
      </c>
      <c r="J1500">
        <v>10.5</v>
      </c>
      <c r="K1500" t="s">
        <v>6</v>
      </c>
      <c r="L1500">
        <v>224</v>
      </c>
      <c r="M1500" t="s">
        <v>6</v>
      </c>
    </row>
    <row r="1501" spans="1:13" x14ac:dyDescent="0.2">
      <c r="A1501" s="13">
        <v>45484</v>
      </c>
      <c r="B1501" s="9">
        <v>0.25</v>
      </c>
      <c r="C1501" s="8">
        <v>45484.25</v>
      </c>
      <c r="D1501" s="10">
        <v>71.3</v>
      </c>
      <c r="E1501" s="10">
        <v>75.2</v>
      </c>
      <c r="F1501" s="10">
        <v>64.8</v>
      </c>
      <c r="G1501" s="10" t="s">
        <v>6</v>
      </c>
      <c r="H1501" s="10">
        <v>15</v>
      </c>
      <c r="I1501" s="10">
        <v>24.5</v>
      </c>
      <c r="J1501" s="10">
        <v>11</v>
      </c>
      <c r="K1501" s="10" t="s">
        <v>6</v>
      </c>
      <c r="L1501" s="10">
        <v>75</v>
      </c>
      <c r="M1501" t="s">
        <v>6</v>
      </c>
    </row>
    <row r="1502" spans="1:13" x14ac:dyDescent="0.2">
      <c r="A1502" s="14">
        <v>45484</v>
      </c>
      <c r="B1502" s="12">
        <v>0.375</v>
      </c>
      <c r="C1502" s="7">
        <v>45484.375</v>
      </c>
      <c r="D1502" s="11">
        <v>78.3</v>
      </c>
      <c r="E1502" s="11">
        <v>80.2</v>
      </c>
      <c r="F1502" s="11">
        <v>75.8</v>
      </c>
      <c r="G1502" s="11" t="s">
        <v>6</v>
      </c>
      <c r="H1502" s="11">
        <v>15.3</v>
      </c>
      <c r="I1502" s="11">
        <v>23.5</v>
      </c>
      <c r="J1502" s="11">
        <v>11.4</v>
      </c>
      <c r="K1502" s="11" t="s">
        <v>6</v>
      </c>
      <c r="L1502" s="11">
        <v>11</v>
      </c>
      <c r="M1502" t="s">
        <v>6</v>
      </c>
    </row>
    <row r="1503" spans="1:13" x14ac:dyDescent="0.2">
      <c r="A1503" s="1">
        <v>45484</v>
      </c>
      <c r="B1503" s="2">
        <v>0.41666666666666669</v>
      </c>
      <c r="C1503" s="3">
        <v>45484.416666666664</v>
      </c>
      <c r="D1503">
        <v>75.3</v>
      </c>
      <c r="E1503">
        <v>79.599999999999994</v>
      </c>
      <c r="F1503">
        <v>68.7</v>
      </c>
      <c r="G1503" t="s">
        <v>6</v>
      </c>
      <c r="H1503">
        <v>14.3</v>
      </c>
      <c r="I1503">
        <v>18.100000000000001</v>
      </c>
      <c r="J1503">
        <v>11.3</v>
      </c>
      <c r="K1503" t="s">
        <v>6</v>
      </c>
      <c r="L1503">
        <v>168</v>
      </c>
      <c r="M1503" t="s">
        <v>6</v>
      </c>
    </row>
    <row r="1504" spans="1:13" x14ac:dyDescent="0.2">
      <c r="A1504" s="1">
        <v>45484</v>
      </c>
      <c r="B1504" s="2">
        <v>0.45833333333333331</v>
      </c>
      <c r="C1504" s="3">
        <v>45484.458333333336</v>
      </c>
      <c r="D1504">
        <v>70.8</v>
      </c>
      <c r="E1504">
        <v>78.8</v>
      </c>
      <c r="F1504">
        <v>62.6</v>
      </c>
      <c r="G1504" t="s">
        <v>6</v>
      </c>
      <c r="H1504">
        <v>18.8</v>
      </c>
      <c r="I1504">
        <v>37.1</v>
      </c>
      <c r="J1504">
        <v>11.2</v>
      </c>
      <c r="K1504" t="s">
        <v>6</v>
      </c>
      <c r="L1504">
        <v>210</v>
      </c>
      <c r="M1504" t="s">
        <v>6</v>
      </c>
    </row>
    <row r="1505" spans="1:13" x14ac:dyDescent="0.2">
      <c r="A1505" s="1">
        <v>45484</v>
      </c>
      <c r="B1505" s="2">
        <v>0.5</v>
      </c>
      <c r="C1505" s="3">
        <v>45484.5</v>
      </c>
      <c r="D1505">
        <v>78.099999999999994</v>
      </c>
      <c r="E1505">
        <v>80.599999999999994</v>
      </c>
      <c r="F1505">
        <v>72.3</v>
      </c>
      <c r="G1505" t="s">
        <v>6</v>
      </c>
      <c r="H1505">
        <v>14.2</v>
      </c>
      <c r="I1505">
        <v>19.7</v>
      </c>
      <c r="J1505">
        <v>11.6</v>
      </c>
      <c r="K1505" t="s">
        <v>6</v>
      </c>
      <c r="L1505">
        <v>135</v>
      </c>
      <c r="M1505" t="s">
        <v>6</v>
      </c>
    </row>
    <row r="1506" spans="1:13" x14ac:dyDescent="0.2">
      <c r="A1506" s="1">
        <v>45484</v>
      </c>
      <c r="B1506" s="2">
        <v>0.54166666666666663</v>
      </c>
      <c r="C1506" s="3">
        <v>45484.541666666664</v>
      </c>
      <c r="D1506">
        <v>79.3</v>
      </c>
      <c r="E1506">
        <v>80.900000000000006</v>
      </c>
      <c r="F1506">
        <v>75.599999999999994</v>
      </c>
      <c r="G1506" t="s">
        <v>6</v>
      </c>
      <c r="H1506">
        <v>11.9</v>
      </c>
      <c r="I1506">
        <v>16.7</v>
      </c>
      <c r="J1506">
        <v>9.9</v>
      </c>
      <c r="K1506" t="s">
        <v>6</v>
      </c>
      <c r="L1506">
        <v>206</v>
      </c>
      <c r="M1506" t="s">
        <v>6</v>
      </c>
    </row>
    <row r="1507" spans="1:13" x14ac:dyDescent="0.2">
      <c r="A1507" s="1">
        <v>45484</v>
      </c>
      <c r="B1507" s="2">
        <v>0.58333333333333337</v>
      </c>
      <c r="C1507" s="3">
        <v>45484.583333333336</v>
      </c>
      <c r="D1507">
        <v>79.2</v>
      </c>
      <c r="E1507">
        <v>80.400000000000006</v>
      </c>
      <c r="F1507">
        <v>75.400000000000006</v>
      </c>
      <c r="G1507" t="s">
        <v>6</v>
      </c>
      <c r="H1507">
        <v>12.6</v>
      </c>
      <c r="I1507">
        <v>26.2</v>
      </c>
      <c r="J1507">
        <v>10.4</v>
      </c>
      <c r="K1507" t="s">
        <v>6</v>
      </c>
      <c r="L1507">
        <v>194</v>
      </c>
      <c r="M1507" t="s">
        <v>6</v>
      </c>
    </row>
    <row r="1508" spans="1:13" x14ac:dyDescent="0.2">
      <c r="A1508" s="1">
        <v>45484</v>
      </c>
      <c r="B1508" s="2">
        <v>0.625</v>
      </c>
      <c r="C1508" s="3">
        <v>45484.625</v>
      </c>
      <c r="D1508">
        <v>78.400000000000006</v>
      </c>
      <c r="E1508">
        <v>80.3</v>
      </c>
      <c r="F1508">
        <v>72.3</v>
      </c>
      <c r="G1508" t="s">
        <v>6</v>
      </c>
      <c r="H1508">
        <v>11.7</v>
      </c>
      <c r="I1508">
        <v>17.3</v>
      </c>
      <c r="J1508">
        <v>9.5</v>
      </c>
      <c r="K1508" t="s">
        <v>6</v>
      </c>
      <c r="L1508">
        <v>170</v>
      </c>
      <c r="M1508" t="s">
        <v>6</v>
      </c>
    </row>
    <row r="1509" spans="1:13" x14ac:dyDescent="0.2">
      <c r="A1509" s="1">
        <v>45484</v>
      </c>
      <c r="B1509" s="2">
        <v>0.66666666666666663</v>
      </c>
      <c r="C1509" s="3">
        <v>45484.666666666664</v>
      </c>
      <c r="D1509">
        <v>79.3</v>
      </c>
      <c r="E1509">
        <v>80.900000000000006</v>
      </c>
      <c r="F1509">
        <v>77.599999999999994</v>
      </c>
      <c r="G1509" t="s">
        <v>6</v>
      </c>
      <c r="H1509">
        <v>11.9</v>
      </c>
      <c r="I1509">
        <v>16.5</v>
      </c>
      <c r="J1509">
        <v>10.199999999999999</v>
      </c>
      <c r="K1509" t="s">
        <v>6</v>
      </c>
      <c r="L1509">
        <v>154</v>
      </c>
      <c r="M1509" t="s">
        <v>6</v>
      </c>
    </row>
    <row r="1510" spans="1:13" x14ac:dyDescent="0.2">
      <c r="A1510" s="1">
        <v>45484</v>
      </c>
      <c r="B1510" s="2">
        <v>0.70833333333333337</v>
      </c>
      <c r="C1510" s="3">
        <v>45484.708333333336</v>
      </c>
      <c r="D1510">
        <v>79.400000000000006</v>
      </c>
      <c r="E1510">
        <v>80.400000000000006</v>
      </c>
      <c r="F1510">
        <v>77.400000000000006</v>
      </c>
      <c r="G1510" t="s">
        <v>6</v>
      </c>
      <c r="H1510">
        <v>12.1</v>
      </c>
      <c r="I1510">
        <v>15.5</v>
      </c>
      <c r="J1510">
        <v>9.5</v>
      </c>
      <c r="K1510" t="s">
        <v>6</v>
      </c>
      <c r="L1510">
        <v>115</v>
      </c>
      <c r="M1510" t="s">
        <v>6</v>
      </c>
    </row>
    <row r="1511" spans="1:13" x14ac:dyDescent="0.2">
      <c r="A1511" s="1">
        <v>45484</v>
      </c>
      <c r="B1511" s="2">
        <v>0.79166666666666663</v>
      </c>
      <c r="C1511" s="3">
        <v>45484.791666666664</v>
      </c>
      <c r="D1511">
        <v>78.2</v>
      </c>
      <c r="E1511">
        <v>78.5</v>
      </c>
      <c r="F1511">
        <v>77.8</v>
      </c>
      <c r="G1511" t="s">
        <v>6</v>
      </c>
      <c r="H1511">
        <v>14.2</v>
      </c>
      <c r="I1511">
        <v>14.9</v>
      </c>
      <c r="J1511">
        <v>13.4</v>
      </c>
      <c r="K1511" t="s">
        <v>6</v>
      </c>
      <c r="L1511">
        <v>6</v>
      </c>
      <c r="M1511" t="s">
        <v>6</v>
      </c>
    </row>
    <row r="1512" spans="1:13" x14ac:dyDescent="0.2">
      <c r="A1512" s="1">
        <v>45484</v>
      </c>
      <c r="B1512" s="2">
        <v>0.83333333333333337</v>
      </c>
      <c r="C1512" s="3">
        <v>45484.833333333336</v>
      </c>
      <c r="D1512">
        <v>93.5</v>
      </c>
      <c r="E1512">
        <v>102</v>
      </c>
      <c r="F1512">
        <v>76.5</v>
      </c>
      <c r="G1512" t="s">
        <v>6</v>
      </c>
      <c r="H1512">
        <v>18.899999999999999</v>
      </c>
      <c r="I1512">
        <v>27.6</v>
      </c>
      <c r="J1512">
        <v>12.3</v>
      </c>
      <c r="K1512" t="s">
        <v>6</v>
      </c>
      <c r="L1512">
        <v>97</v>
      </c>
      <c r="M1512" t="s">
        <v>6</v>
      </c>
    </row>
    <row r="1513" spans="1:13" x14ac:dyDescent="0.2">
      <c r="A1513" s="1">
        <v>45484</v>
      </c>
      <c r="B1513" s="2">
        <v>0.875</v>
      </c>
      <c r="C1513" s="3">
        <v>45484.875</v>
      </c>
      <c r="D1513">
        <v>96.8</v>
      </c>
      <c r="E1513">
        <v>110.9</v>
      </c>
      <c r="F1513">
        <v>77.400000000000006</v>
      </c>
      <c r="G1513" t="s">
        <v>6</v>
      </c>
      <c r="H1513">
        <v>17</v>
      </c>
      <c r="I1513">
        <v>26.1</v>
      </c>
      <c r="J1513">
        <v>11.4</v>
      </c>
      <c r="K1513" t="s">
        <v>6</v>
      </c>
      <c r="L1513">
        <v>223</v>
      </c>
      <c r="M1513" t="s">
        <v>6</v>
      </c>
    </row>
    <row r="1514" spans="1:13" x14ac:dyDescent="0.2">
      <c r="A1514" s="1">
        <v>45484</v>
      </c>
      <c r="B1514" s="2">
        <v>0.91666666666666663</v>
      </c>
      <c r="C1514" s="3">
        <v>45484.916666666664</v>
      </c>
      <c r="D1514">
        <v>92.8</v>
      </c>
      <c r="E1514">
        <v>117.8</v>
      </c>
      <c r="F1514">
        <v>73.099999999999994</v>
      </c>
      <c r="G1514" t="s">
        <v>6</v>
      </c>
      <c r="H1514">
        <v>12.6</v>
      </c>
      <c r="I1514">
        <v>21.5</v>
      </c>
      <c r="J1514">
        <v>10.8</v>
      </c>
      <c r="K1514" t="s">
        <v>6</v>
      </c>
      <c r="L1514">
        <v>216</v>
      </c>
      <c r="M1514" t="s">
        <v>6</v>
      </c>
    </row>
    <row r="1515" spans="1:13" x14ac:dyDescent="0.2">
      <c r="A1515" s="1">
        <v>45484</v>
      </c>
      <c r="B1515" s="2">
        <v>0.95833333333333337</v>
      </c>
      <c r="C1515" s="3">
        <v>45484.958333333336</v>
      </c>
      <c r="D1515">
        <v>111.1</v>
      </c>
      <c r="E1515">
        <v>116.4</v>
      </c>
      <c r="F1515">
        <v>110.6</v>
      </c>
      <c r="G1515" t="s">
        <v>6</v>
      </c>
      <c r="H1515">
        <v>12</v>
      </c>
      <c r="I1515">
        <v>16.100000000000001</v>
      </c>
      <c r="J1515">
        <v>10.7</v>
      </c>
      <c r="K1515" t="s">
        <v>6</v>
      </c>
      <c r="L1515">
        <v>215</v>
      </c>
      <c r="M1515" t="s">
        <v>6</v>
      </c>
    </row>
    <row r="1516" spans="1:13" x14ac:dyDescent="0.2">
      <c r="A1516" s="1">
        <v>45485</v>
      </c>
      <c r="B1516" s="2">
        <v>0</v>
      </c>
      <c r="C1516" s="3">
        <v>45485</v>
      </c>
      <c r="D1516">
        <v>104.5</v>
      </c>
      <c r="E1516">
        <v>124.3</v>
      </c>
      <c r="F1516">
        <v>57.3</v>
      </c>
      <c r="G1516" t="s">
        <v>6</v>
      </c>
      <c r="H1516">
        <v>12</v>
      </c>
      <c r="I1516">
        <v>14.2</v>
      </c>
      <c r="J1516">
        <v>10.4</v>
      </c>
      <c r="K1516" t="s">
        <v>6</v>
      </c>
      <c r="L1516">
        <v>223</v>
      </c>
      <c r="M1516" t="s">
        <v>6</v>
      </c>
    </row>
    <row r="1517" spans="1:13" x14ac:dyDescent="0.2">
      <c r="A1517" s="1">
        <v>45485</v>
      </c>
      <c r="B1517" s="2">
        <v>4.1666666666666664E-2</v>
      </c>
      <c r="C1517" s="3">
        <v>45485.041666666664</v>
      </c>
      <c r="D1517">
        <v>118.4</v>
      </c>
      <c r="E1517">
        <v>129.6</v>
      </c>
      <c r="F1517">
        <v>109.4</v>
      </c>
      <c r="G1517" t="s">
        <v>6</v>
      </c>
      <c r="H1517">
        <v>11.6</v>
      </c>
      <c r="I1517">
        <v>14.4</v>
      </c>
      <c r="J1517">
        <v>10.5</v>
      </c>
      <c r="K1517" t="s">
        <v>6</v>
      </c>
      <c r="L1517">
        <v>224</v>
      </c>
      <c r="M1517" t="s">
        <v>6</v>
      </c>
    </row>
    <row r="1518" spans="1:13" x14ac:dyDescent="0.2">
      <c r="A1518" s="1">
        <v>45485</v>
      </c>
      <c r="B1518" s="2">
        <v>8.3333333333333329E-2</v>
      </c>
      <c r="C1518" s="3">
        <v>45485.083333333336</v>
      </c>
      <c r="D1518">
        <v>99.1</v>
      </c>
      <c r="E1518">
        <v>130.80000000000001</v>
      </c>
      <c r="F1518">
        <v>46.5</v>
      </c>
      <c r="G1518" t="s">
        <v>6</v>
      </c>
      <c r="H1518">
        <v>14</v>
      </c>
      <c r="I1518">
        <v>23.1</v>
      </c>
      <c r="J1518">
        <v>10.6</v>
      </c>
      <c r="K1518" t="s">
        <v>6</v>
      </c>
      <c r="L1518">
        <v>216</v>
      </c>
      <c r="M1518" t="s">
        <v>6</v>
      </c>
    </row>
    <row r="1519" spans="1:13" x14ac:dyDescent="0.2">
      <c r="A1519" s="1">
        <v>45485</v>
      </c>
      <c r="B1519" s="2">
        <v>0.125</v>
      </c>
      <c r="C1519" s="3">
        <v>45485.125</v>
      </c>
      <c r="D1519">
        <v>49.8</v>
      </c>
      <c r="E1519">
        <v>56.5</v>
      </c>
      <c r="F1519">
        <v>45.5</v>
      </c>
      <c r="G1519" t="s">
        <v>6</v>
      </c>
      <c r="H1519">
        <v>13.6</v>
      </c>
      <c r="I1519">
        <v>23.3</v>
      </c>
      <c r="J1519">
        <v>11.3</v>
      </c>
      <c r="K1519" t="s">
        <v>6</v>
      </c>
      <c r="L1519">
        <v>205</v>
      </c>
      <c r="M1519" t="s">
        <v>6</v>
      </c>
    </row>
    <row r="1520" spans="1:13" x14ac:dyDescent="0.2">
      <c r="A1520" s="1">
        <v>45485</v>
      </c>
      <c r="B1520" s="2">
        <v>0.16666666666666666</v>
      </c>
      <c r="C1520" s="3">
        <v>45485.166666666664</v>
      </c>
      <c r="D1520">
        <v>51.9</v>
      </c>
      <c r="E1520">
        <v>55</v>
      </c>
      <c r="F1520">
        <v>50.1</v>
      </c>
      <c r="G1520" t="s">
        <v>6</v>
      </c>
      <c r="H1520">
        <v>13.2</v>
      </c>
      <c r="I1520">
        <v>25.2</v>
      </c>
      <c r="J1520">
        <v>10.7</v>
      </c>
      <c r="K1520" t="s">
        <v>6</v>
      </c>
      <c r="L1520">
        <v>224</v>
      </c>
      <c r="M1520" t="s">
        <v>6</v>
      </c>
    </row>
    <row r="1521" spans="1:13" x14ac:dyDescent="0.2">
      <c r="A1521" s="1">
        <v>45485</v>
      </c>
      <c r="B1521" s="2">
        <v>0.20833333333333334</v>
      </c>
      <c r="C1521" s="3">
        <v>45485.208333333336</v>
      </c>
      <c r="D1521">
        <v>102.8</v>
      </c>
      <c r="E1521">
        <v>122.8</v>
      </c>
      <c r="F1521">
        <v>55</v>
      </c>
      <c r="G1521" t="s">
        <v>6</v>
      </c>
      <c r="H1521">
        <v>11.7</v>
      </c>
      <c r="I1521">
        <v>16.2</v>
      </c>
      <c r="J1521">
        <v>10.3</v>
      </c>
      <c r="K1521" t="s">
        <v>6</v>
      </c>
      <c r="L1521">
        <v>220</v>
      </c>
      <c r="M1521" t="s">
        <v>6</v>
      </c>
    </row>
    <row r="1522" spans="1:13" x14ac:dyDescent="0.2">
      <c r="A1522" s="1">
        <v>45485</v>
      </c>
      <c r="B1522" s="2">
        <v>0.25</v>
      </c>
      <c r="C1522" s="3">
        <v>45485.25</v>
      </c>
      <c r="D1522">
        <v>98.4</v>
      </c>
      <c r="E1522">
        <v>109.1</v>
      </c>
      <c r="F1522">
        <v>88.9</v>
      </c>
      <c r="G1522" t="s">
        <v>6</v>
      </c>
      <c r="H1522">
        <v>12</v>
      </c>
      <c r="I1522">
        <v>16.8</v>
      </c>
      <c r="J1522">
        <v>10.4</v>
      </c>
      <c r="K1522" t="s">
        <v>6</v>
      </c>
      <c r="L1522">
        <v>120</v>
      </c>
      <c r="M1522" t="s">
        <v>6</v>
      </c>
    </row>
    <row r="1523" spans="1:13" x14ac:dyDescent="0.2">
      <c r="A1523" s="13">
        <v>45485</v>
      </c>
      <c r="B1523" s="9">
        <v>0.29166666666666669</v>
      </c>
      <c r="C1523" s="8">
        <v>45485.291666666664</v>
      </c>
      <c r="D1523" s="10">
        <v>92.3</v>
      </c>
      <c r="E1523" s="10">
        <v>105.1</v>
      </c>
      <c r="F1523" s="10">
        <v>49.8</v>
      </c>
      <c r="G1523" s="10" t="s">
        <v>6</v>
      </c>
      <c r="H1523" s="10">
        <v>17.100000000000001</v>
      </c>
      <c r="I1523" s="10">
        <v>26.4</v>
      </c>
      <c r="J1523" s="10">
        <v>13.1</v>
      </c>
      <c r="K1523" s="10" t="s">
        <v>6</v>
      </c>
      <c r="L1523" s="10">
        <v>50</v>
      </c>
      <c r="M1523" t="s">
        <v>6</v>
      </c>
    </row>
    <row r="1524" spans="1:13" x14ac:dyDescent="0.2">
      <c r="A1524" s="14">
        <v>45485</v>
      </c>
      <c r="B1524" s="12">
        <v>0.625</v>
      </c>
      <c r="C1524" s="7">
        <v>45485.625</v>
      </c>
      <c r="D1524" s="11">
        <v>78.2</v>
      </c>
      <c r="E1524" s="11">
        <v>88.9</v>
      </c>
      <c r="F1524" s="11">
        <v>69.099999999999994</v>
      </c>
      <c r="G1524" s="11" t="s">
        <v>6</v>
      </c>
      <c r="H1524" s="11">
        <v>15.8</v>
      </c>
      <c r="I1524" s="11">
        <v>22.2</v>
      </c>
      <c r="J1524" s="11">
        <v>12.5</v>
      </c>
      <c r="K1524" s="11" t="s">
        <v>6</v>
      </c>
      <c r="L1524" s="11">
        <v>76</v>
      </c>
      <c r="M1524" t="s">
        <v>6</v>
      </c>
    </row>
    <row r="1525" spans="1:13" x14ac:dyDescent="0.2">
      <c r="A1525" s="1">
        <v>45485</v>
      </c>
      <c r="B1525" s="2">
        <v>0.66666666666666663</v>
      </c>
      <c r="C1525" s="3">
        <v>45485.666666666664</v>
      </c>
      <c r="D1525">
        <v>65.599999999999994</v>
      </c>
      <c r="E1525">
        <v>69.5</v>
      </c>
      <c r="F1525">
        <v>63.1</v>
      </c>
      <c r="G1525" t="s">
        <v>6</v>
      </c>
      <c r="H1525">
        <v>15.9</v>
      </c>
      <c r="I1525">
        <v>21.1</v>
      </c>
      <c r="J1525">
        <v>12.6</v>
      </c>
      <c r="K1525" t="s">
        <v>6</v>
      </c>
      <c r="L1525">
        <v>42</v>
      </c>
      <c r="M1525" t="s">
        <v>6</v>
      </c>
    </row>
    <row r="1526" spans="1:13" x14ac:dyDescent="0.2">
      <c r="A1526" s="1">
        <v>45485</v>
      </c>
      <c r="B1526" s="2">
        <v>0.70833333333333337</v>
      </c>
      <c r="C1526" s="3">
        <v>45485.708333333336</v>
      </c>
      <c r="D1526">
        <v>58.8</v>
      </c>
      <c r="E1526">
        <v>61.7</v>
      </c>
      <c r="F1526">
        <v>53.2</v>
      </c>
      <c r="G1526" t="s">
        <v>6</v>
      </c>
      <c r="H1526">
        <v>16.2</v>
      </c>
      <c r="I1526">
        <v>21.8</v>
      </c>
      <c r="J1526">
        <v>12.3</v>
      </c>
      <c r="K1526" t="s">
        <v>6</v>
      </c>
      <c r="L1526">
        <v>91</v>
      </c>
      <c r="M1526" t="s">
        <v>6</v>
      </c>
    </row>
    <row r="1527" spans="1:13" x14ac:dyDescent="0.2">
      <c r="A1527" s="1">
        <v>45485</v>
      </c>
      <c r="B1527" s="2">
        <v>0.75</v>
      </c>
      <c r="C1527" s="3">
        <v>45485.75</v>
      </c>
      <c r="D1527">
        <v>60.3</v>
      </c>
      <c r="E1527">
        <v>77.400000000000006</v>
      </c>
      <c r="F1527">
        <v>52.1</v>
      </c>
      <c r="G1527" t="s">
        <v>6</v>
      </c>
      <c r="H1527">
        <v>16.8</v>
      </c>
      <c r="I1527">
        <v>22.4</v>
      </c>
      <c r="J1527">
        <v>12.8</v>
      </c>
      <c r="K1527" t="s">
        <v>6</v>
      </c>
      <c r="L1527">
        <v>84</v>
      </c>
      <c r="M1527" t="s">
        <v>6</v>
      </c>
    </row>
    <row r="1528" spans="1:13" x14ac:dyDescent="0.2">
      <c r="A1528" s="1">
        <v>45485</v>
      </c>
      <c r="B1528" s="2">
        <v>0.79166666666666663</v>
      </c>
      <c r="C1528" s="3">
        <v>45485.791666666664</v>
      </c>
      <c r="D1528">
        <v>71.3</v>
      </c>
      <c r="E1528">
        <v>105.5</v>
      </c>
      <c r="F1528">
        <v>63.4</v>
      </c>
      <c r="G1528" t="s">
        <v>6</v>
      </c>
      <c r="H1528">
        <v>18.2</v>
      </c>
      <c r="I1528">
        <v>21.4</v>
      </c>
      <c r="J1528">
        <v>16.3</v>
      </c>
      <c r="K1528" t="s">
        <v>6</v>
      </c>
      <c r="L1528">
        <v>46</v>
      </c>
      <c r="M1528" t="s">
        <v>6</v>
      </c>
    </row>
    <row r="1529" spans="1:13" x14ac:dyDescent="0.2">
      <c r="A1529" s="1">
        <v>45485</v>
      </c>
      <c r="B1529" s="2">
        <v>0.83333333333333337</v>
      </c>
      <c r="C1529" s="3">
        <v>45485.833333333336</v>
      </c>
      <c r="D1529">
        <v>84.9</v>
      </c>
      <c r="E1529">
        <v>105.8</v>
      </c>
      <c r="F1529">
        <v>60.7</v>
      </c>
      <c r="G1529" t="s">
        <v>6</v>
      </c>
      <c r="H1529">
        <v>17.2</v>
      </c>
      <c r="I1529">
        <v>29.4</v>
      </c>
      <c r="J1529">
        <v>11.2</v>
      </c>
      <c r="K1529" t="s">
        <v>6</v>
      </c>
      <c r="L1529">
        <v>209</v>
      </c>
      <c r="M1529" t="s">
        <v>6</v>
      </c>
    </row>
    <row r="1530" spans="1:13" x14ac:dyDescent="0.2">
      <c r="A1530" s="1">
        <v>45485</v>
      </c>
      <c r="B1530" s="2">
        <v>0.875</v>
      </c>
      <c r="C1530" s="3">
        <v>45485.875</v>
      </c>
      <c r="D1530">
        <v>83.8</v>
      </c>
      <c r="E1530">
        <v>103.3</v>
      </c>
      <c r="F1530">
        <v>56.8</v>
      </c>
      <c r="G1530" t="s">
        <v>6</v>
      </c>
      <c r="H1530">
        <v>14.1</v>
      </c>
      <c r="I1530">
        <v>25.2</v>
      </c>
      <c r="J1530">
        <v>11.1</v>
      </c>
      <c r="K1530" t="s">
        <v>6</v>
      </c>
      <c r="L1530">
        <v>223</v>
      </c>
      <c r="M1530" t="s">
        <v>6</v>
      </c>
    </row>
    <row r="1531" spans="1:13" x14ac:dyDescent="0.2">
      <c r="A1531" s="1">
        <v>45485</v>
      </c>
      <c r="B1531" s="2">
        <v>0.91666666666666663</v>
      </c>
      <c r="C1531" s="3">
        <v>45485.916666666664</v>
      </c>
      <c r="D1531">
        <v>52.5</v>
      </c>
      <c r="E1531">
        <v>61.8</v>
      </c>
      <c r="F1531">
        <v>47.8</v>
      </c>
      <c r="G1531" t="s">
        <v>6</v>
      </c>
      <c r="H1531">
        <v>12.5</v>
      </c>
      <c r="I1531">
        <v>19.399999999999999</v>
      </c>
      <c r="J1531">
        <v>11</v>
      </c>
      <c r="K1531" t="s">
        <v>6</v>
      </c>
      <c r="L1531">
        <v>223</v>
      </c>
      <c r="M1531" t="s">
        <v>6</v>
      </c>
    </row>
    <row r="1532" spans="1:13" x14ac:dyDescent="0.2">
      <c r="A1532" s="1">
        <v>45485</v>
      </c>
      <c r="B1532" s="2">
        <v>0.95833333333333337</v>
      </c>
      <c r="C1532" s="3">
        <v>45485.958333333336</v>
      </c>
      <c r="D1532">
        <v>48.2</v>
      </c>
      <c r="E1532">
        <v>55.5</v>
      </c>
      <c r="F1532">
        <v>44.6</v>
      </c>
      <c r="G1532" t="s">
        <v>6</v>
      </c>
      <c r="H1532">
        <v>13.3</v>
      </c>
      <c r="I1532">
        <v>21.6</v>
      </c>
      <c r="J1532">
        <v>10.8</v>
      </c>
      <c r="K1532" t="s">
        <v>6</v>
      </c>
      <c r="L1532">
        <v>218</v>
      </c>
      <c r="M1532" t="s">
        <v>6</v>
      </c>
    </row>
    <row r="1533" spans="1:13" x14ac:dyDescent="0.2">
      <c r="A1533" s="1">
        <v>45486</v>
      </c>
      <c r="B1533" s="2">
        <v>0</v>
      </c>
      <c r="C1533" s="3">
        <v>45486</v>
      </c>
      <c r="D1533">
        <v>46.5</v>
      </c>
      <c r="E1533">
        <v>54.9</v>
      </c>
      <c r="F1533">
        <v>43.7</v>
      </c>
      <c r="G1533" t="s">
        <v>6</v>
      </c>
      <c r="H1533">
        <v>14.4</v>
      </c>
      <c r="I1533">
        <v>21.8</v>
      </c>
      <c r="J1533">
        <v>10.1</v>
      </c>
      <c r="K1533" t="s">
        <v>6</v>
      </c>
      <c r="L1533">
        <v>208</v>
      </c>
      <c r="M1533" t="s">
        <v>6</v>
      </c>
    </row>
    <row r="1534" spans="1:13" x14ac:dyDescent="0.2">
      <c r="A1534" s="1">
        <v>45486</v>
      </c>
      <c r="B1534" s="2">
        <v>4.1666666666666664E-2</v>
      </c>
      <c r="C1534" s="3">
        <v>45486.041666666664</v>
      </c>
      <c r="D1534">
        <v>54.4</v>
      </c>
      <c r="E1534">
        <v>62.1</v>
      </c>
      <c r="F1534">
        <v>48</v>
      </c>
      <c r="G1534" t="s">
        <v>6</v>
      </c>
      <c r="H1534">
        <v>13.7</v>
      </c>
      <c r="I1534">
        <v>22.7</v>
      </c>
      <c r="J1534">
        <v>10.199999999999999</v>
      </c>
      <c r="K1534" t="s">
        <v>6</v>
      </c>
      <c r="L1534">
        <v>224</v>
      </c>
      <c r="M1534" t="s">
        <v>6</v>
      </c>
    </row>
    <row r="1535" spans="1:13" x14ac:dyDescent="0.2">
      <c r="A1535" s="1">
        <v>45486</v>
      </c>
      <c r="B1535" s="2">
        <v>8.3333333333333329E-2</v>
      </c>
      <c r="C1535" s="3">
        <v>45486.083333333336</v>
      </c>
      <c r="D1535">
        <v>55.4</v>
      </c>
      <c r="E1535">
        <v>68.900000000000006</v>
      </c>
      <c r="F1535">
        <v>47.5</v>
      </c>
      <c r="G1535" t="s">
        <v>6</v>
      </c>
      <c r="H1535">
        <v>12.4</v>
      </c>
      <c r="I1535">
        <v>20.2</v>
      </c>
      <c r="J1535">
        <v>10.5</v>
      </c>
      <c r="K1535" t="s">
        <v>6</v>
      </c>
      <c r="L1535">
        <v>228</v>
      </c>
      <c r="M1535" t="s">
        <v>6</v>
      </c>
    </row>
    <row r="1536" spans="1:13" x14ac:dyDescent="0.2">
      <c r="A1536" s="1">
        <v>45486</v>
      </c>
      <c r="B1536" s="2">
        <v>0.125</v>
      </c>
      <c r="C1536" s="3">
        <v>45486.125</v>
      </c>
      <c r="D1536">
        <v>51</v>
      </c>
      <c r="E1536">
        <v>58.4</v>
      </c>
      <c r="F1536">
        <v>44.7</v>
      </c>
      <c r="G1536" t="s">
        <v>6</v>
      </c>
      <c r="H1536">
        <v>13.2</v>
      </c>
      <c r="I1536">
        <v>21.8</v>
      </c>
      <c r="J1536">
        <v>10.199999999999999</v>
      </c>
      <c r="K1536" t="s">
        <v>6</v>
      </c>
      <c r="L1536">
        <v>225</v>
      </c>
      <c r="M1536" t="s">
        <v>6</v>
      </c>
    </row>
    <row r="1537" spans="1:13" x14ac:dyDescent="0.2">
      <c r="A1537" s="1">
        <v>45486</v>
      </c>
      <c r="B1537" s="2">
        <v>0.16666666666666666</v>
      </c>
      <c r="C1537" s="3">
        <v>45486.166666666664</v>
      </c>
      <c r="D1537">
        <v>51</v>
      </c>
      <c r="E1537">
        <v>68.900000000000006</v>
      </c>
      <c r="F1537">
        <v>44.6</v>
      </c>
      <c r="G1537" t="s">
        <v>6</v>
      </c>
      <c r="H1537">
        <v>11.5</v>
      </c>
      <c r="I1537">
        <v>16.3</v>
      </c>
      <c r="J1537">
        <v>9.9</v>
      </c>
      <c r="K1537" t="s">
        <v>6</v>
      </c>
      <c r="L1537">
        <v>228</v>
      </c>
      <c r="M1537" t="s">
        <v>6</v>
      </c>
    </row>
    <row r="1538" spans="1:13" x14ac:dyDescent="0.2">
      <c r="A1538" s="1">
        <v>45486</v>
      </c>
      <c r="B1538" s="2">
        <v>0.20833333333333334</v>
      </c>
      <c r="C1538" s="3">
        <v>45486.208333333336</v>
      </c>
      <c r="D1538">
        <v>51.8</v>
      </c>
      <c r="E1538">
        <v>68</v>
      </c>
      <c r="F1538">
        <v>47.2</v>
      </c>
      <c r="G1538" t="s">
        <v>6</v>
      </c>
      <c r="H1538">
        <v>13.2</v>
      </c>
      <c r="I1538">
        <v>22.6</v>
      </c>
      <c r="J1538">
        <v>10.5</v>
      </c>
      <c r="K1538" t="s">
        <v>6</v>
      </c>
      <c r="L1538">
        <v>214</v>
      </c>
      <c r="M1538" t="s">
        <v>6</v>
      </c>
    </row>
    <row r="1539" spans="1:13" x14ac:dyDescent="0.2">
      <c r="A1539" s="1">
        <v>45486</v>
      </c>
      <c r="B1539" s="2">
        <v>0.25</v>
      </c>
      <c r="C1539" s="3">
        <v>45486.25</v>
      </c>
      <c r="D1539">
        <v>50.1</v>
      </c>
      <c r="E1539">
        <v>58.5</v>
      </c>
      <c r="F1539">
        <v>42.6</v>
      </c>
      <c r="G1539" t="s">
        <v>6</v>
      </c>
      <c r="H1539">
        <v>13.1</v>
      </c>
      <c r="I1539">
        <v>20.100000000000001</v>
      </c>
      <c r="J1539">
        <v>10.5</v>
      </c>
      <c r="K1539" t="s">
        <v>6</v>
      </c>
      <c r="L1539">
        <v>222</v>
      </c>
      <c r="M1539" t="s">
        <v>6</v>
      </c>
    </row>
    <row r="1540" spans="1:13" x14ac:dyDescent="0.2">
      <c r="A1540" s="13">
        <v>45486</v>
      </c>
      <c r="B1540" s="9">
        <v>0.29166666666666669</v>
      </c>
      <c r="C1540" s="8">
        <v>45486.291666666664</v>
      </c>
      <c r="D1540" s="10">
        <v>51.3</v>
      </c>
      <c r="E1540" s="10">
        <v>56.2</v>
      </c>
      <c r="F1540" s="10">
        <v>47.7</v>
      </c>
      <c r="G1540" s="10" t="s">
        <v>6</v>
      </c>
      <c r="H1540" s="10">
        <v>16.2</v>
      </c>
      <c r="I1540" s="10">
        <v>33.1</v>
      </c>
      <c r="J1540" s="10">
        <v>10.4</v>
      </c>
      <c r="K1540" s="10" t="s">
        <v>6</v>
      </c>
      <c r="L1540" s="10">
        <v>180</v>
      </c>
      <c r="M1540" t="s">
        <v>6</v>
      </c>
    </row>
    <row r="1541" spans="1:13" x14ac:dyDescent="0.2">
      <c r="A1541" s="14">
        <v>45486</v>
      </c>
      <c r="B1541" s="12">
        <v>0.375</v>
      </c>
      <c r="C1541" s="7">
        <v>45486.375</v>
      </c>
      <c r="D1541" s="11">
        <v>52.6</v>
      </c>
      <c r="E1541" s="11">
        <v>54</v>
      </c>
      <c r="F1541" s="11">
        <v>50.9</v>
      </c>
      <c r="G1541" s="11" t="s">
        <v>6</v>
      </c>
      <c r="H1541" s="11">
        <v>14.3</v>
      </c>
      <c r="I1541" s="11">
        <v>15.8</v>
      </c>
      <c r="J1541" s="11">
        <v>12.9</v>
      </c>
      <c r="K1541" s="11" t="s">
        <v>6</v>
      </c>
      <c r="L1541" s="11">
        <v>20</v>
      </c>
      <c r="M1541" t="s">
        <v>6</v>
      </c>
    </row>
    <row r="1542" spans="1:13" x14ac:dyDescent="0.2">
      <c r="A1542" s="1">
        <v>45486</v>
      </c>
      <c r="B1542" s="2">
        <v>0.41666666666666669</v>
      </c>
      <c r="C1542" s="3">
        <v>45486.416666666664</v>
      </c>
      <c r="D1542">
        <v>58</v>
      </c>
      <c r="E1542">
        <v>61.6</v>
      </c>
      <c r="F1542">
        <v>52.9</v>
      </c>
      <c r="G1542" t="s">
        <v>6</v>
      </c>
      <c r="H1542">
        <v>11.1</v>
      </c>
      <c r="I1542">
        <v>12.6</v>
      </c>
      <c r="J1542">
        <v>9.6999999999999993</v>
      </c>
      <c r="K1542" t="s">
        <v>6</v>
      </c>
      <c r="L1542">
        <v>106</v>
      </c>
      <c r="M1542" t="s">
        <v>6</v>
      </c>
    </row>
    <row r="1543" spans="1:13" x14ac:dyDescent="0.2">
      <c r="A1543" s="1">
        <v>45486</v>
      </c>
      <c r="B1543" s="2">
        <v>0.45833333333333331</v>
      </c>
      <c r="C1543" s="3">
        <v>45486.458333333336</v>
      </c>
      <c r="D1543">
        <v>64.099999999999994</v>
      </c>
      <c r="E1543">
        <v>78.900000000000006</v>
      </c>
      <c r="F1543">
        <v>57.1</v>
      </c>
      <c r="G1543" t="s">
        <v>6</v>
      </c>
      <c r="H1543">
        <v>10.3</v>
      </c>
      <c r="I1543">
        <v>17.3</v>
      </c>
      <c r="J1543">
        <v>8.8000000000000007</v>
      </c>
      <c r="K1543" t="s">
        <v>6</v>
      </c>
      <c r="L1543">
        <v>199</v>
      </c>
      <c r="M1543" t="s">
        <v>6</v>
      </c>
    </row>
    <row r="1544" spans="1:13" x14ac:dyDescent="0.2">
      <c r="A1544" s="1">
        <v>45486</v>
      </c>
      <c r="B1544" s="2">
        <v>0.5</v>
      </c>
      <c r="C1544" s="3">
        <v>45486.5</v>
      </c>
      <c r="D1544">
        <v>59.2</v>
      </c>
      <c r="E1544">
        <v>64.5</v>
      </c>
      <c r="F1544">
        <v>55</v>
      </c>
      <c r="G1544" t="s">
        <v>6</v>
      </c>
      <c r="H1544">
        <v>11.3</v>
      </c>
      <c r="I1544">
        <v>14.3</v>
      </c>
      <c r="J1544">
        <v>9.4</v>
      </c>
      <c r="K1544" t="s">
        <v>6</v>
      </c>
      <c r="L1544">
        <v>64</v>
      </c>
      <c r="M1544" t="s">
        <v>6</v>
      </c>
    </row>
    <row r="1545" spans="1:13" x14ac:dyDescent="0.2">
      <c r="A1545" s="1">
        <v>45486</v>
      </c>
      <c r="B1545" s="2">
        <v>0.54166666666666663</v>
      </c>
      <c r="C1545" s="3">
        <v>45486.541666666664</v>
      </c>
      <c r="D1545">
        <v>55.9</v>
      </c>
      <c r="E1545">
        <v>59</v>
      </c>
      <c r="F1545">
        <v>53.2</v>
      </c>
      <c r="G1545" t="s">
        <v>6</v>
      </c>
      <c r="H1545">
        <v>18.5</v>
      </c>
      <c r="I1545">
        <v>22.3</v>
      </c>
      <c r="J1545">
        <v>14.5</v>
      </c>
      <c r="K1545" t="s">
        <v>6</v>
      </c>
      <c r="L1545">
        <v>42</v>
      </c>
      <c r="M1545" t="s">
        <v>6</v>
      </c>
    </row>
    <row r="1546" spans="1:13" x14ac:dyDescent="0.2">
      <c r="A1546" s="1">
        <v>45486</v>
      </c>
      <c r="B1546" s="2">
        <v>0.58333333333333337</v>
      </c>
      <c r="C1546" s="3">
        <v>45486.583333333336</v>
      </c>
      <c r="D1546">
        <v>57.2</v>
      </c>
      <c r="E1546">
        <v>58.9</v>
      </c>
      <c r="F1546">
        <v>56.2</v>
      </c>
      <c r="G1546" t="s">
        <v>6</v>
      </c>
      <c r="H1546">
        <v>20.5</v>
      </c>
      <c r="I1546">
        <v>33.5</v>
      </c>
      <c r="J1546">
        <v>14.2</v>
      </c>
      <c r="K1546" t="s">
        <v>6</v>
      </c>
      <c r="L1546">
        <v>7</v>
      </c>
      <c r="M1546" t="s">
        <v>6</v>
      </c>
    </row>
    <row r="1547" spans="1:13" x14ac:dyDescent="0.2">
      <c r="A1547" s="1">
        <v>45486</v>
      </c>
      <c r="B1547" s="2">
        <v>0.625</v>
      </c>
      <c r="C1547" s="3">
        <v>45486.625</v>
      </c>
      <c r="D1547">
        <v>60</v>
      </c>
      <c r="E1547">
        <v>61.6</v>
      </c>
      <c r="F1547">
        <v>58.5</v>
      </c>
      <c r="G1547" t="s">
        <v>6</v>
      </c>
      <c r="H1547">
        <v>16.5</v>
      </c>
      <c r="I1547">
        <v>20.3</v>
      </c>
      <c r="J1547">
        <v>13.9</v>
      </c>
      <c r="K1547" t="s">
        <v>6</v>
      </c>
      <c r="L1547">
        <v>34</v>
      </c>
      <c r="M1547" t="s">
        <v>6</v>
      </c>
    </row>
    <row r="1548" spans="1:13" x14ac:dyDescent="0.2">
      <c r="A1548" s="1">
        <v>45486</v>
      </c>
      <c r="B1548" s="2">
        <v>0.66666666666666663</v>
      </c>
      <c r="C1548" s="3">
        <v>45486.666666666664</v>
      </c>
      <c r="D1548">
        <v>62.2</v>
      </c>
      <c r="E1548">
        <v>71.900000000000006</v>
      </c>
      <c r="F1548">
        <v>55.2</v>
      </c>
      <c r="G1548" t="s">
        <v>6</v>
      </c>
      <c r="H1548">
        <v>13.9</v>
      </c>
      <c r="I1548">
        <v>23.9</v>
      </c>
      <c r="J1548">
        <v>10.6</v>
      </c>
      <c r="K1548" t="s">
        <v>6</v>
      </c>
      <c r="L1548">
        <v>183</v>
      </c>
      <c r="M1548" t="s">
        <v>6</v>
      </c>
    </row>
    <row r="1549" spans="1:13" x14ac:dyDescent="0.2">
      <c r="A1549" s="1">
        <v>45486</v>
      </c>
      <c r="B1549" s="2">
        <v>0.70833333333333337</v>
      </c>
      <c r="C1549" s="3">
        <v>45486.708333333336</v>
      </c>
      <c r="D1549">
        <v>62.1</v>
      </c>
      <c r="E1549">
        <v>68.400000000000006</v>
      </c>
      <c r="F1549">
        <v>58.3</v>
      </c>
      <c r="G1549" t="s">
        <v>6</v>
      </c>
      <c r="H1549">
        <v>12.5</v>
      </c>
      <c r="I1549">
        <v>18.399999999999999</v>
      </c>
      <c r="J1549">
        <v>10.7</v>
      </c>
      <c r="K1549" t="s">
        <v>6</v>
      </c>
      <c r="L1549">
        <v>40</v>
      </c>
      <c r="M1549" t="s">
        <v>6</v>
      </c>
    </row>
    <row r="1550" spans="1:13" x14ac:dyDescent="0.2">
      <c r="A1550" s="1">
        <v>45486</v>
      </c>
      <c r="B1550" s="2">
        <v>0.75</v>
      </c>
      <c r="C1550" s="3">
        <v>45486.75</v>
      </c>
      <c r="D1550">
        <v>79.8</v>
      </c>
      <c r="E1550">
        <v>89.8</v>
      </c>
      <c r="F1550">
        <v>58.8</v>
      </c>
      <c r="G1550" t="s">
        <v>6</v>
      </c>
      <c r="H1550">
        <v>18.399999999999999</v>
      </c>
      <c r="I1550">
        <v>21.9</v>
      </c>
      <c r="J1550">
        <v>15.4</v>
      </c>
      <c r="K1550" t="s">
        <v>6</v>
      </c>
      <c r="L1550">
        <v>121</v>
      </c>
      <c r="M1550" t="s">
        <v>6</v>
      </c>
    </row>
    <row r="1551" spans="1:13" x14ac:dyDescent="0.2">
      <c r="A1551" s="1">
        <v>45486</v>
      </c>
      <c r="B1551" s="2">
        <v>0.79166666666666663</v>
      </c>
      <c r="C1551" s="3">
        <v>45486.791666666664</v>
      </c>
      <c r="D1551">
        <v>86.1</v>
      </c>
      <c r="E1551">
        <v>93.3</v>
      </c>
      <c r="F1551">
        <v>79.2</v>
      </c>
      <c r="G1551" t="s">
        <v>6</v>
      </c>
      <c r="H1551">
        <v>18.399999999999999</v>
      </c>
      <c r="I1551">
        <v>31.1</v>
      </c>
      <c r="J1551">
        <v>12.2</v>
      </c>
      <c r="K1551" t="s">
        <v>6</v>
      </c>
      <c r="L1551">
        <v>179</v>
      </c>
      <c r="M1551" t="s">
        <v>6</v>
      </c>
    </row>
    <row r="1552" spans="1:13" x14ac:dyDescent="0.2">
      <c r="A1552" s="1">
        <v>45486</v>
      </c>
      <c r="B1552" s="2">
        <v>0.83333333333333337</v>
      </c>
      <c r="C1552" s="3">
        <v>45486.833333333336</v>
      </c>
      <c r="D1552">
        <v>49.5</v>
      </c>
      <c r="E1552">
        <v>58.5</v>
      </c>
      <c r="F1552">
        <v>44.8</v>
      </c>
      <c r="G1552" t="s">
        <v>6</v>
      </c>
      <c r="H1552">
        <v>15.4</v>
      </c>
      <c r="I1552">
        <v>25.7</v>
      </c>
      <c r="J1552">
        <v>11.4</v>
      </c>
      <c r="K1552" t="s">
        <v>6</v>
      </c>
      <c r="L1552">
        <v>94</v>
      </c>
      <c r="M1552" t="s">
        <v>6</v>
      </c>
    </row>
    <row r="1553" spans="1:13" x14ac:dyDescent="0.2">
      <c r="A1553" s="1">
        <v>45486</v>
      </c>
      <c r="B1553" s="2">
        <v>0.875</v>
      </c>
      <c r="C1553" s="3">
        <v>45486.875</v>
      </c>
      <c r="D1553">
        <v>47.2</v>
      </c>
      <c r="E1553">
        <v>55.2</v>
      </c>
      <c r="F1553">
        <v>42.1</v>
      </c>
      <c r="G1553" t="s">
        <v>6</v>
      </c>
      <c r="H1553">
        <v>12.4</v>
      </c>
      <c r="I1553">
        <v>19.7</v>
      </c>
      <c r="J1553">
        <v>10.6</v>
      </c>
      <c r="K1553" t="s">
        <v>6</v>
      </c>
      <c r="L1553">
        <v>224</v>
      </c>
      <c r="M1553" t="s">
        <v>6</v>
      </c>
    </row>
    <row r="1554" spans="1:13" x14ac:dyDescent="0.2">
      <c r="A1554" s="1">
        <v>45486</v>
      </c>
      <c r="B1554" s="2">
        <v>0.91666666666666663</v>
      </c>
      <c r="C1554" s="3">
        <v>45486.916666666664</v>
      </c>
      <c r="D1554">
        <v>43.5</v>
      </c>
      <c r="E1554">
        <v>45.9</v>
      </c>
      <c r="F1554">
        <v>41.8</v>
      </c>
      <c r="G1554" t="s">
        <v>6</v>
      </c>
      <c r="H1554">
        <v>12.7</v>
      </c>
      <c r="I1554">
        <v>20.8</v>
      </c>
      <c r="J1554">
        <v>10.8</v>
      </c>
      <c r="K1554" t="s">
        <v>6</v>
      </c>
      <c r="L1554">
        <v>216</v>
      </c>
      <c r="M1554" t="s">
        <v>6</v>
      </c>
    </row>
    <row r="1555" spans="1:13" x14ac:dyDescent="0.2">
      <c r="A1555" s="1">
        <v>45486</v>
      </c>
      <c r="B1555" s="2">
        <v>0.95833333333333337</v>
      </c>
      <c r="C1555" s="3">
        <v>45486.958333333336</v>
      </c>
      <c r="D1555">
        <v>45.1</v>
      </c>
      <c r="E1555">
        <v>48.2</v>
      </c>
      <c r="F1555">
        <v>41.6</v>
      </c>
      <c r="G1555" t="s">
        <v>6</v>
      </c>
      <c r="H1555">
        <v>13.6</v>
      </c>
      <c r="I1555">
        <v>24.3</v>
      </c>
      <c r="J1555">
        <v>10.7</v>
      </c>
      <c r="K1555" t="s">
        <v>6</v>
      </c>
      <c r="L1555">
        <v>215</v>
      </c>
      <c r="M1555" t="s">
        <v>6</v>
      </c>
    </row>
    <row r="1556" spans="1:13" x14ac:dyDescent="0.2">
      <c r="A1556" s="1">
        <v>45487</v>
      </c>
      <c r="B1556" s="2">
        <v>0</v>
      </c>
      <c r="C1556" s="3">
        <v>45487</v>
      </c>
      <c r="D1556">
        <v>42.9</v>
      </c>
      <c r="E1556">
        <v>45.6</v>
      </c>
      <c r="F1556">
        <v>40.1</v>
      </c>
      <c r="G1556" t="s">
        <v>6</v>
      </c>
      <c r="H1556">
        <v>14.6</v>
      </c>
      <c r="I1556">
        <v>25.3</v>
      </c>
      <c r="J1556">
        <v>10.6</v>
      </c>
      <c r="K1556" t="s">
        <v>6</v>
      </c>
      <c r="L1556">
        <v>214</v>
      </c>
      <c r="M1556" t="s">
        <v>6</v>
      </c>
    </row>
    <row r="1557" spans="1:13" x14ac:dyDescent="0.2">
      <c r="A1557" s="1">
        <v>45487</v>
      </c>
      <c r="B1557" s="2">
        <v>4.1666666666666664E-2</v>
      </c>
      <c r="C1557" s="3">
        <v>45487.041666666664</v>
      </c>
      <c r="D1557">
        <v>44.4</v>
      </c>
      <c r="E1557">
        <v>48.3</v>
      </c>
      <c r="F1557">
        <v>41.6</v>
      </c>
      <c r="G1557" t="s">
        <v>6</v>
      </c>
      <c r="H1557">
        <v>13.1</v>
      </c>
      <c r="I1557">
        <v>22.8</v>
      </c>
      <c r="J1557">
        <v>10.8</v>
      </c>
      <c r="K1557" t="s">
        <v>6</v>
      </c>
      <c r="L1557">
        <v>217</v>
      </c>
      <c r="M1557" t="s">
        <v>6</v>
      </c>
    </row>
    <row r="1558" spans="1:13" x14ac:dyDescent="0.2">
      <c r="A1558" s="1">
        <v>45487</v>
      </c>
      <c r="B1558" s="2">
        <v>8.3333333333333329E-2</v>
      </c>
      <c r="C1558" s="3">
        <v>45487.083333333336</v>
      </c>
      <c r="D1558">
        <v>41.4</v>
      </c>
      <c r="E1558">
        <v>45</v>
      </c>
      <c r="F1558">
        <v>40.1</v>
      </c>
      <c r="G1558" t="s">
        <v>6</v>
      </c>
      <c r="H1558">
        <v>14.6</v>
      </c>
      <c r="I1558">
        <v>22.6</v>
      </c>
      <c r="J1558">
        <v>11</v>
      </c>
      <c r="K1558" t="s">
        <v>6</v>
      </c>
      <c r="L1558">
        <v>129</v>
      </c>
      <c r="M1558" t="s">
        <v>6</v>
      </c>
    </row>
    <row r="1559" spans="1:13" x14ac:dyDescent="0.2">
      <c r="A1559" s="1">
        <v>45487</v>
      </c>
      <c r="B1559" s="2">
        <v>0.125</v>
      </c>
      <c r="C1559" s="3">
        <v>45487.125</v>
      </c>
      <c r="D1559">
        <v>42.8</v>
      </c>
      <c r="E1559">
        <v>48.5</v>
      </c>
      <c r="F1559">
        <v>40.6</v>
      </c>
      <c r="G1559" t="s">
        <v>6</v>
      </c>
      <c r="H1559">
        <v>12.4</v>
      </c>
      <c r="I1559">
        <v>20.100000000000001</v>
      </c>
      <c r="J1559">
        <v>10.9</v>
      </c>
      <c r="K1559" t="s">
        <v>6</v>
      </c>
      <c r="L1559">
        <v>214</v>
      </c>
      <c r="M1559" t="s">
        <v>6</v>
      </c>
    </row>
    <row r="1560" spans="1:13" x14ac:dyDescent="0.2">
      <c r="A1560" s="1">
        <v>45487</v>
      </c>
      <c r="B1560" s="2">
        <v>0.16666666666666666</v>
      </c>
      <c r="C1560" s="3">
        <v>45487.166666666664</v>
      </c>
      <c r="D1560">
        <v>43.3</v>
      </c>
      <c r="E1560">
        <v>51.4</v>
      </c>
      <c r="F1560">
        <v>40.200000000000003</v>
      </c>
      <c r="G1560" t="s">
        <v>6</v>
      </c>
      <c r="H1560">
        <v>12.9</v>
      </c>
      <c r="I1560">
        <v>23.2</v>
      </c>
      <c r="J1560">
        <v>10.6</v>
      </c>
      <c r="K1560" t="s">
        <v>6</v>
      </c>
      <c r="L1560">
        <v>204</v>
      </c>
      <c r="M1560" t="s">
        <v>6</v>
      </c>
    </row>
    <row r="1561" spans="1:13" x14ac:dyDescent="0.2">
      <c r="A1561" s="1">
        <v>45487</v>
      </c>
      <c r="B1561" s="2">
        <v>0.20833333333333334</v>
      </c>
      <c r="C1561" s="3">
        <v>45487.208333333336</v>
      </c>
      <c r="D1561">
        <v>48.9</v>
      </c>
      <c r="E1561">
        <v>55.8</v>
      </c>
      <c r="F1561">
        <v>45.2</v>
      </c>
      <c r="G1561" t="s">
        <v>6</v>
      </c>
      <c r="H1561">
        <v>13.2</v>
      </c>
      <c r="I1561">
        <v>21.9</v>
      </c>
      <c r="J1561">
        <v>10.4</v>
      </c>
      <c r="K1561" t="s">
        <v>6</v>
      </c>
      <c r="L1561">
        <v>222</v>
      </c>
      <c r="M1561" t="s">
        <v>6</v>
      </c>
    </row>
    <row r="1562" spans="1:13" x14ac:dyDescent="0.2">
      <c r="A1562" s="13">
        <v>45487</v>
      </c>
      <c r="B1562" s="9">
        <v>0.25</v>
      </c>
      <c r="C1562" s="8">
        <v>45487.25</v>
      </c>
      <c r="D1562" s="10">
        <v>45</v>
      </c>
      <c r="E1562" s="10">
        <v>49.6</v>
      </c>
      <c r="F1562" s="10">
        <v>42.8</v>
      </c>
      <c r="G1562" s="10" t="s">
        <v>6</v>
      </c>
      <c r="H1562" s="10">
        <v>12.5</v>
      </c>
      <c r="I1562" s="10">
        <v>21.1</v>
      </c>
      <c r="J1562" s="10">
        <v>10.1</v>
      </c>
      <c r="K1562" s="10" t="s">
        <v>6</v>
      </c>
      <c r="L1562" s="10">
        <v>168</v>
      </c>
      <c r="M1562" t="s">
        <v>6</v>
      </c>
    </row>
    <row r="1563" spans="1:13" x14ac:dyDescent="0.2">
      <c r="A1563" s="14">
        <v>45487</v>
      </c>
      <c r="B1563" s="12">
        <v>0.41666666666666669</v>
      </c>
      <c r="C1563" s="7">
        <v>45487.416666666664</v>
      </c>
      <c r="D1563" s="11">
        <v>57</v>
      </c>
      <c r="E1563" s="11">
        <v>58.9</v>
      </c>
      <c r="F1563" s="11">
        <v>54.7</v>
      </c>
      <c r="G1563" s="11" t="s">
        <v>6</v>
      </c>
      <c r="H1563" s="11">
        <v>14.5</v>
      </c>
      <c r="I1563" s="11">
        <v>17.3</v>
      </c>
      <c r="J1563" s="11">
        <v>12.8</v>
      </c>
      <c r="K1563" s="11" t="s">
        <v>6</v>
      </c>
      <c r="L1563" s="11">
        <v>16</v>
      </c>
      <c r="M1563" t="s">
        <v>6</v>
      </c>
    </row>
    <row r="1564" spans="1:13" x14ac:dyDescent="0.2">
      <c r="A1564" s="1">
        <v>45487</v>
      </c>
      <c r="B1564" s="2">
        <v>0.45833333333333331</v>
      </c>
      <c r="C1564" s="3">
        <v>45487.458333333336</v>
      </c>
      <c r="D1564">
        <v>59.1</v>
      </c>
      <c r="E1564">
        <v>61.9</v>
      </c>
      <c r="F1564">
        <v>56.2</v>
      </c>
      <c r="G1564" t="s">
        <v>6</v>
      </c>
      <c r="H1564">
        <v>14.1</v>
      </c>
      <c r="I1564">
        <v>17.3</v>
      </c>
      <c r="J1564">
        <v>12.2</v>
      </c>
      <c r="K1564" t="s">
        <v>6</v>
      </c>
      <c r="L1564">
        <v>111</v>
      </c>
      <c r="M1564" t="s">
        <v>6</v>
      </c>
    </row>
    <row r="1565" spans="1:13" x14ac:dyDescent="0.2">
      <c r="A1565" s="1">
        <v>45487</v>
      </c>
      <c r="B1565" s="2">
        <v>0.66666666666666663</v>
      </c>
      <c r="C1565" s="3">
        <v>45487.666666666664</v>
      </c>
      <c r="D1565">
        <v>58.7</v>
      </c>
      <c r="E1565">
        <v>59.1</v>
      </c>
      <c r="F1565">
        <v>58.4</v>
      </c>
      <c r="G1565" t="s">
        <v>6</v>
      </c>
      <c r="H1565">
        <v>16.100000000000001</v>
      </c>
      <c r="I1565">
        <v>16.600000000000001</v>
      </c>
      <c r="J1565">
        <v>15.6</v>
      </c>
      <c r="K1565" t="s">
        <v>6</v>
      </c>
      <c r="L1565">
        <v>4</v>
      </c>
      <c r="M1565" t="s">
        <v>6</v>
      </c>
    </row>
    <row r="1566" spans="1:13" x14ac:dyDescent="0.2">
      <c r="A1566" s="1">
        <v>45487</v>
      </c>
      <c r="B1566" s="2">
        <v>0.75</v>
      </c>
      <c r="C1566" s="3">
        <v>45487.75</v>
      </c>
      <c r="D1566">
        <v>60.1</v>
      </c>
      <c r="E1566">
        <v>65</v>
      </c>
      <c r="F1566">
        <v>55.9</v>
      </c>
      <c r="G1566" t="s">
        <v>6</v>
      </c>
      <c r="H1566">
        <v>15.1</v>
      </c>
      <c r="I1566">
        <v>21.6</v>
      </c>
      <c r="J1566">
        <v>10.9</v>
      </c>
      <c r="K1566" t="s">
        <v>6</v>
      </c>
      <c r="L1566">
        <v>76</v>
      </c>
      <c r="M1566" t="s">
        <v>6</v>
      </c>
    </row>
    <row r="1567" spans="1:13" x14ac:dyDescent="0.2">
      <c r="A1567" s="1">
        <v>45487</v>
      </c>
      <c r="B1567" s="2">
        <v>0.79166666666666663</v>
      </c>
      <c r="C1567" s="3">
        <v>45487.791666666664</v>
      </c>
      <c r="D1567">
        <v>58.7</v>
      </c>
      <c r="E1567">
        <v>62.4</v>
      </c>
      <c r="F1567">
        <v>55.2</v>
      </c>
      <c r="G1567" t="s">
        <v>6</v>
      </c>
      <c r="H1567">
        <v>16.8</v>
      </c>
      <c r="I1567">
        <v>20.100000000000001</v>
      </c>
      <c r="J1567">
        <v>14.5</v>
      </c>
      <c r="K1567" t="s">
        <v>6</v>
      </c>
      <c r="L1567">
        <v>46</v>
      </c>
      <c r="M1567" t="s">
        <v>6</v>
      </c>
    </row>
    <row r="1568" spans="1:13" x14ac:dyDescent="0.2">
      <c r="A1568" s="1">
        <v>45487</v>
      </c>
      <c r="B1568" s="2">
        <v>0.83333333333333337</v>
      </c>
      <c r="C1568" s="3">
        <v>45487.833333333336</v>
      </c>
      <c r="D1568">
        <v>51.9</v>
      </c>
      <c r="E1568">
        <v>61.6</v>
      </c>
      <c r="F1568">
        <v>46</v>
      </c>
      <c r="G1568" t="s">
        <v>6</v>
      </c>
      <c r="H1568">
        <v>18.8</v>
      </c>
      <c r="I1568">
        <v>27.7</v>
      </c>
      <c r="J1568">
        <v>12.2</v>
      </c>
      <c r="K1568" t="s">
        <v>6</v>
      </c>
      <c r="L1568">
        <v>208</v>
      </c>
      <c r="M1568" t="s">
        <v>6</v>
      </c>
    </row>
    <row r="1569" spans="1:13" x14ac:dyDescent="0.2">
      <c r="A1569" s="1">
        <v>45487</v>
      </c>
      <c r="B1569" s="2">
        <v>0.875</v>
      </c>
      <c r="C1569" s="3">
        <v>45487.875</v>
      </c>
      <c r="D1569">
        <v>45.6</v>
      </c>
      <c r="E1569">
        <v>54.9</v>
      </c>
      <c r="F1569">
        <v>40.9</v>
      </c>
      <c r="G1569" t="s">
        <v>6</v>
      </c>
      <c r="H1569">
        <v>14.5</v>
      </c>
      <c r="I1569">
        <v>26</v>
      </c>
      <c r="J1569">
        <v>11.7</v>
      </c>
      <c r="K1569" t="s">
        <v>6</v>
      </c>
      <c r="L1569">
        <v>222</v>
      </c>
      <c r="M1569" t="s">
        <v>6</v>
      </c>
    </row>
    <row r="1570" spans="1:13" x14ac:dyDescent="0.2">
      <c r="A1570" s="1">
        <v>45487</v>
      </c>
      <c r="B1570" s="2">
        <v>0.91666666666666663</v>
      </c>
      <c r="C1570" s="3">
        <v>45487.916666666664</v>
      </c>
      <c r="D1570">
        <v>46.6</v>
      </c>
      <c r="E1570">
        <v>50.7</v>
      </c>
      <c r="F1570">
        <v>42.5</v>
      </c>
      <c r="G1570" t="s">
        <v>6</v>
      </c>
      <c r="H1570">
        <v>13.8</v>
      </c>
      <c r="I1570">
        <v>24.4</v>
      </c>
      <c r="J1570">
        <v>11.3</v>
      </c>
      <c r="K1570" t="s">
        <v>6</v>
      </c>
      <c r="L1570">
        <v>220</v>
      </c>
      <c r="M1570" t="s">
        <v>6</v>
      </c>
    </row>
    <row r="1571" spans="1:13" x14ac:dyDescent="0.2">
      <c r="A1571" s="1">
        <v>45487</v>
      </c>
      <c r="B1571" s="2">
        <v>0.95833333333333337</v>
      </c>
      <c r="C1571" s="3">
        <v>45487.958333333336</v>
      </c>
      <c r="D1571">
        <v>44.8</v>
      </c>
      <c r="E1571">
        <v>52.3</v>
      </c>
      <c r="F1571">
        <v>40.700000000000003</v>
      </c>
      <c r="G1571" t="s">
        <v>6</v>
      </c>
      <c r="H1571">
        <v>13.1</v>
      </c>
      <c r="I1571">
        <v>19.8</v>
      </c>
      <c r="J1571">
        <v>11.3</v>
      </c>
      <c r="K1571" t="s">
        <v>6</v>
      </c>
      <c r="L1571">
        <v>216</v>
      </c>
      <c r="M1571" t="s">
        <v>6</v>
      </c>
    </row>
    <row r="1572" spans="1:13" x14ac:dyDescent="0.2">
      <c r="A1572" s="1">
        <v>45488</v>
      </c>
      <c r="B1572" s="2">
        <v>0</v>
      </c>
      <c r="C1572" s="3">
        <v>45488</v>
      </c>
      <c r="D1572">
        <v>45</v>
      </c>
      <c r="E1572">
        <v>49.3</v>
      </c>
      <c r="F1572">
        <v>40.700000000000003</v>
      </c>
      <c r="G1572" t="s">
        <v>6</v>
      </c>
      <c r="H1572">
        <v>13.6</v>
      </c>
      <c r="I1572">
        <v>24.8</v>
      </c>
      <c r="J1572">
        <v>11.1</v>
      </c>
      <c r="K1572" t="s">
        <v>6</v>
      </c>
      <c r="L1572">
        <v>225</v>
      </c>
      <c r="M1572" t="s">
        <v>6</v>
      </c>
    </row>
    <row r="1573" spans="1:13" x14ac:dyDescent="0.2">
      <c r="A1573" s="1">
        <v>45488</v>
      </c>
      <c r="B1573" s="2">
        <v>4.1666666666666664E-2</v>
      </c>
      <c r="C1573" s="3">
        <v>45488.041666666664</v>
      </c>
      <c r="D1573">
        <v>48.2</v>
      </c>
      <c r="E1573">
        <v>53.3</v>
      </c>
      <c r="F1573">
        <v>45.2</v>
      </c>
      <c r="G1573" t="s">
        <v>6</v>
      </c>
      <c r="H1573">
        <v>13.5</v>
      </c>
      <c r="I1573">
        <v>21.6</v>
      </c>
      <c r="J1573">
        <v>11.4</v>
      </c>
      <c r="K1573" t="s">
        <v>6</v>
      </c>
      <c r="L1573">
        <v>212</v>
      </c>
      <c r="M1573" t="s">
        <v>6</v>
      </c>
    </row>
    <row r="1574" spans="1:13" x14ac:dyDescent="0.2">
      <c r="A1574" s="1">
        <v>45488</v>
      </c>
      <c r="B1574" s="2">
        <v>8.3333333333333329E-2</v>
      </c>
      <c r="C1574" s="3">
        <v>45488.083333333336</v>
      </c>
      <c r="D1574">
        <v>43.6</v>
      </c>
      <c r="E1574">
        <v>50.9</v>
      </c>
      <c r="F1574">
        <v>40.1</v>
      </c>
      <c r="G1574" t="s">
        <v>6</v>
      </c>
      <c r="H1574">
        <v>20.7</v>
      </c>
      <c r="I1574">
        <v>37.4</v>
      </c>
      <c r="J1574">
        <v>11.2</v>
      </c>
      <c r="K1574" t="s">
        <v>6</v>
      </c>
      <c r="L1574">
        <v>197</v>
      </c>
      <c r="M1574" t="s">
        <v>6</v>
      </c>
    </row>
    <row r="1575" spans="1:13" x14ac:dyDescent="0.2">
      <c r="A1575" s="1">
        <v>45488</v>
      </c>
      <c r="B1575" s="2">
        <v>0.125</v>
      </c>
      <c r="C1575" s="3">
        <v>45488.125</v>
      </c>
      <c r="D1575">
        <v>54.8</v>
      </c>
      <c r="E1575">
        <v>68.7</v>
      </c>
      <c r="F1575">
        <v>41.6</v>
      </c>
      <c r="G1575" t="s">
        <v>6</v>
      </c>
      <c r="H1575">
        <v>14.1</v>
      </c>
      <c r="I1575">
        <v>22.7</v>
      </c>
      <c r="J1575">
        <v>11</v>
      </c>
      <c r="K1575" t="s">
        <v>6</v>
      </c>
      <c r="L1575">
        <v>183</v>
      </c>
      <c r="M1575" t="s">
        <v>6</v>
      </c>
    </row>
    <row r="1576" spans="1:13" x14ac:dyDescent="0.2">
      <c r="A1576" s="1">
        <v>45488</v>
      </c>
      <c r="B1576" s="2">
        <v>0.16666666666666666</v>
      </c>
      <c r="C1576" s="3">
        <v>45488.166666666664</v>
      </c>
      <c r="D1576">
        <v>59.8</v>
      </c>
      <c r="E1576">
        <v>83.8</v>
      </c>
      <c r="F1576">
        <v>45.6</v>
      </c>
      <c r="G1576" t="s">
        <v>6</v>
      </c>
      <c r="H1576">
        <v>12.4</v>
      </c>
      <c r="I1576">
        <v>27.2</v>
      </c>
      <c r="J1576">
        <v>11.1</v>
      </c>
      <c r="K1576" t="s">
        <v>6</v>
      </c>
      <c r="L1576">
        <v>229</v>
      </c>
      <c r="M1576" t="s">
        <v>6</v>
      </c>
    </row>
    <row r="1577" spans="1:13" x14ac:dyDescent="0.2">
      <c r="A1577" s="1">
        <v>45488</v>
      </c>
      <c r="B1577" s="2">
        <v>0.20833333333333334</v>
      </c>
      <c r="C1577" s="3">
        <v>45488.208333333336</v>
      </c>
      <c r="D1577">
        <v>58.1</v>
      </c>
      <c r="E1577">
        <v>75.8</v>
      </c>
      <c r="F1577">
        <v>42.6</v>
      </c>
      <c r="G1577" t="s">
        <v>6</v>
      </c>
      <c r="H1577">
        <v>14</v>
      </c>
      <c r="I1577">
        <v>25</v>
      </c>
      <c r="J1577">
        <v>10.8</v>
      </c>
      <c r="K1577" t="s">
        <v>6</v>
      </c>
      <c r="L1577">
        <v>229</v>
      </c>
      <c r="M1577" t="s">
        <v>6</v>
      </c>
    </row>
    <row r="1578" spans="1:13" x14ac:dyDescent="0.2">
      <c r="A1578" s="1">
        <v>45488</v>
      </c>
      <c r="B1578" s="2">
        <v>0.25</v>
      </c>
      <c r="C1578" s="3">
        <v>45488.25</v>
      </c>
      <c r="D1578">
        <v>47.7</v>
      </c>
      <c r="E1578">
        <v>51.4</v>
      </c>
      <c r="F1578">
        <v>42.4</v>
      </c>
      <c r="G1578" t="s">
        <v>6</v>
      </c>
      <c r="H1578">
        <v>15</v>
      </c>
      <c r="I1578">
        <v>27.6</v>
      </c>
      <c r="J1578">
        <v>10.6</v>
      </c>
      <c r="K1578" t="s">
        <v>6</v>
      </c>
      <c r="L1578">
        <v>111</v>
      </c>
      <c r="M1578" t="s">
        <v>6</v>
      </c>
    </row>
    <row r="1579" spans="1:13" x14ac:dyDescent="0.2">
      <c r="A1579" s="1">
        <v>45488</v>
      </c>
      <c r="B1579" s="2">
        <v>0.29166666666666669</v>
      </c>
      <c r="C1579" s="3">
        <v>45488.291666666664</v>
      </c>
      <c r="D1579">
        <v>46.6</v>
      </c>
      <c r="E1579">
        <v>47.3</v>
      </c>
      <c r="F1579">
        <v>45.6</v>
      </c>
      <c r="G1579" t="s">
        <v>6</v>
      </c>
      <c r="H1579">
        <v>16.100000000000001</v>
      </c>
      <c r="I1579">
        <v>22.1</v>
      </c>
      <c r="J1579">
        <v>13.1</v>
      </c>
      <c r="K1579" t="s">
        <v>6</v>
      </c>
      <c r="L1579">
        <v>26</v>
      </c>
      <c r="M1579" t="s">
        <v>6</v>
      </c>
    </row>
    <row r="1580" spans="1:13" x14ac:dyDescent="0.2">
      <c r="A1580" s="13">
        <v>45488</v>
      </c>
      <c r="B1580" s="9">
        <v>0.33333333333333331</v>
      </c>
      <c r="C1580" s="8">
        <v>45488.333333333336</v>
      </c>
      <c r="D1580" s="10">
        <v>45.7</v>
      </c>
      <c r="E1580" s="10">
        <v>48.1</v>
      </c>
      <c r="F1580" s="10">
        <v>45</v>
      </c>
      <c r="G1580" s="10" t="s">
        <v>6</v>
      </c>
      <c r="H1580" s="10">
        <v>17.600000000000001</v>
      </c>
      <c r="I1580" s="10">
        <v>23</v>
      </c>
      <c r="J1580" s="10">
        <v>13.2</v>
      </c>
      <c r="K1580" s="10" t="s">
        <v>6</v>
      </c>
      <c r="L1580" s="10">
        <v>20</v>
      </c>
      <c r="M1580" t="s">
        <v>6</v>
      </c>
    </row>
    <row r="1581" spans="1:13" x14ac:dyDescent="0.2">
      <c r="A1581" s="14">
        <v>45488</v>
      </c>
      <c r="B1581" s="12">
        <v>0.375</v>
      </c>
      <c r="C1581" s="7">
        <v>45488.375</v>
      </c>
      <c r="D1581" s="11">
        <v>48.4</v>
      </c>
      <c r="E1581" s="11">
        <v>49.7</v>
      </c>
      <c r="F1581" s="11">
        <v>47.1</v>
      </c>
      <c r="G1581" s="11" t="s">
        <v>6</v>
      </c>
      <c r="H1581" s="11">
        <v>13.7</v>
      </c>
      <c r="I1581" s="11">
        <v>19.100000000000001</v>
      </c>
      <c r="J1581" s="11">
        <v>11.6</v>
      </c>
      <c r="K1581" s="11" t="s">
        <v>6</v>
      </c>
      <c r="L1581" s="11">
        <v>68</v>
      </c>
      <c r="M1581" t="s">
        <v>6</v>
      </c>
    </row>
    <row r="1582" spans="1:13" x14ac:dyDescent="0.2">
      <c r="A1582" s="1">
        <v>45488</v>
      </c>
      <c r="B1582" s="2">
        <v>0.41666666666666669</v>
      </c>
      <c r="C1582" s="3">
        <v>45488.416666666664</v>
      </c>
      <c r="D1582">
        <v>48.2</v>
      </c>
      <c r="E1582">
        <v>49.3</v>
      </c>
      <c r="F1582">
        <v>47.6</v>
      </c>
      <c r="G1582" t="s">
        <v>6</v>
      </c>
      <c r="H1582">
        <v>16.100000000000001</v>
      </c>
      <c r="I1582">
        <v>20.9</v>
      </c>
      <c r="J1582">
        <v>12.9</v>
      </c>
      <c r="K1582" t="s">
        <v>6</v>
      </c>
      <c r="L1582">
        <v>69</v>
      </c>
      <c r="M1582" t="s">
        <v>6</v>
      </c>
    </row>
    <row r="1583" spans="1:13" x14ac:dyDescent="0.2">
      <c r="A1583" s="1">
        <v>45488</v>
      </c>
      <c r="B1583" s="2">
        <v>0.45833333333333331</v>
      </c>
      <c r="C1583" s="3">
        <v>45488.458333333336</v>
      </c>
      <c r="D1583">
        <v>46.4</v>
      </c>
      <c r="E1583">
        <v>47.9</v>
      </c>
      <c r="F1583">
        <v>44.7</v>
      </c>
      <c r="G1583" t="s">
        <v>6</v>
      </c>
      <c r="H1583">
        <v>13.5</v>
      </c>
      <c r="I1583">
        <v>18.5</v>
      </c>
      <c r="J1583">
        <v>10.4</v>
      </c>
      <c r="K1583" t="s">
        <v>6</v>
      </c>
      <c r="L1583">
        <v>40</v>
      </c>
      <c r="M1583" t="s">
        <v>6</v>
      </c>
    </row>
    <row r="1584" spans="1:13" x14ac:dyDescent="0.2">
      <c r="A1584" s="1">
        <v>45488</v>
      </c>
      <c r="B1584" s="2">
        <v>0.5</v>
      </c>
      <c r="C1584" s="3">
        <v>45488.5</v>
      </c>
      <c r="D1584">
        <v>45</v>
      </c>
      <c r="E1584">
        <v>46.9</v>
      </c>
      <c r="F1584">
        <v>43.7</v>
      </c>
      <c r="G1584" t="s">
        <v>6</v>
      </c>
      <c r="H1584">
        <v>12.8</v>
      </c>
      <c r="I1584">
        <v>19.3</v>
      </c>
      <c r="J1584">
        <v>10.1</v>
      </c>
      <c r="K1584" t="s">
        <v>6</v>
      </c>
      <c r="L1584">
        <v>189</v>
      </c>
      <c r="M1584" t="s">
        <v>6</v>
      </c>
    </row>
    <row r="1585" spans="1:13" x14ac:dyDescent="0.2">
      <c r="A1585" s="1">
        <v>45488</v>
      </c>
      <c r="B1585" s="2">
        <v>0.54166666666666663</v>
      </c>
      <c r="C1585" s="3">
        <v>45488.541666666664</v>
      </c>
      <c r="D1585">
        <v>43.3</v>
      </c>
      <c r="E1585">
        <v>45.8</v>
      </c>
      <c r="F1585">
        <v>42.6</v>
      </c>
      <c r="G1585" t="s">
        <v>6</v>
      </c>
      <c r="H1585">
        <v>13.2</v>
      </c>
      <c r="I1585">
        <v>21.6</v>
      </c>
      <c r="J1585">
        <v>10.8</v>
      </c>
      <c r="K1585" t="s">
        <v>6</v>
      </c>
      <c r="L1585">
        <v>225</v>
      </c>
      <c r="M1585" t="s">
        <v>6</v>
      </c>
    </row>
    <row r="1586" spans="1:13" x14ac:dyDescent="0.2">
      <c r="A1586" s="1">
        <v>45488</v>
      </c>
      <c r="B1586" s="2">
        <v>0.58333333333333337</v>
      </c>
      <c r="C1586" s="3">
        <v>45488.583333333336</v>
      </c>
      <c r="D1586">
        <v>41.7</v>
      </c>
      <c r="E1586">
        <v>43.2</v>
      </c>
      <c r="F1586">
        <v>40.700000000000003</v>
      </c>
      <c r="G1586" t="s">
        <v>6</v>
      </c>
      <c r="H1586">
        <v>13.7</v>
      </c>
      <c r="I1586">
        <v>17.3</v>
      </c>
      <c r="J1586">
        <v>11.2</v>
      </c>
      <c r="K1586" t="s">
        <v>6</v>
      </c>
      <c r="L1586">
        <v>100</v>
      </c>
      <c r="M1586" t="s">
        <v>6</v>
      </c>
    </row>
    <row r="1587" spans="1:13" x14ac:dyDescent="0.2">
      <c r="A1587" s="1">
        <v>45488</v>
      </c>
      <c r="B1587" s="2">
        <v>0.625</v>
      </c>
      <c r="C1587" s="3">
        <v>45488.625</v>
      </c>
      <c r="D1587">
        <v>40.9</v>
      </c>
      <c r="E1587">
        <v>42.5</v>
      </c>
      <c r="F1587">
        <v>40.1</v>
      </c>
      <c r="G1587" t="s">
        <v>6</v>
      </c>
      <c r="H1587">
        <v>11.7</v>
      </c>
      <c r="I1587">
        <v>14.8</v>
      </c>
      <c r="J1587">
        <v>9.9</v>
      </c>
      <c r="K1587" t="s">
        <v>6</v>
      </c>
      <c r="L1587">
        <v>166</v>
      </c>
      <c r="M1587" t="s">
        <v>6</v>
      </c>
    </row>
    <row r="1588" spans="1:13" x14ac:dyDescent="0.2">
      <c r="A1588" s="1">
        <v>45488</v>
      </c>
      <c r="B1588" s="2">
        <v>0.66666666666666663</v>
      </c>
      <c r="C1588" s="3">
        <v>45488.666666666664</v>
      </c>
      <c r="D1588">
        <v>43.3</v>
      </c>
      <c r="E1588">
        <v>45.4</v>
      </c>
      <c r="F1588">
        <v>40.1</v>
      </c>
      <c r="G1588" t="s">
        <v>6</v>
      </c>
      <c r="H1588">
        <v>11.4</v>
      </c>
      <c r="I1588">
        <v>13</v>
      </c>
      <c r="J1588">
        <v>9.5</v>
      </c>
      <c r="K1588" t="s">
        <v>6</v>
      </c>
      <c r="L1588">
        <v>32</v>
      </c>
      <c r="M1588" t="s">
        <v>6</v>
      </c>
    </row>
    <row r="1589" spans="1:13" x14ac:dyDescent="0.2">
      <c r="A1589" s="1">
        <v>45488</v>
      </c>
      <c r="B1589" s="2">
        <v>0.70833333333333337</v>
      </c>
      <c r="C1589" s="3">
        <v>45488.708333333336</v>
      </c>
      <c r="D1589">
        <v>43</v>
      </c>
      <c r="E1589">
        <v>46.4</v>
      </c>
      <c r="F1589">
        <v>41.8</v>
      </c>
      <c r="G1589" t="s">
        <v>6</v>
      </c>
      <c r="H1589">
        <v>12.3</v>
      </c>
      <c r="I1589">
        <v>17.2</v>
      </c>
      <c r="J1589">
        <v>10.6</v>
      </c>
      <c r="K1589" t="s">
        <v>6</v>
      </c>
      <c r="L1589">
        <v>70</v>
      </c>
      <c r="M1589" t="s">
        <v>6</v>
      </c>
    </row>
    <row r="1590" spans="1:13" x14ac:dyDescent="0.2">
      <c r="A1590" s="1">
        <v>45488</v>
      </c>
      <c r="B1590" s="2">
        <v>0.79166666666666663</v>
      </c>
      <c r="C1590" s="3">
        <v>45488.791666666664</v>
      </c>
      <c r="D1590">
        <v>57.1</v>
      </c>
      <c r="E1590">
        <v>66</v>
      </c>
      <c r="F1590">
        <v>50.9</v>
      </c>
      <c r="G1590" t="s">
        <v>6</v>
      </c>
      <c r="H1590">
        <v>24.8</v>
      </c>
      <c r="I1590">
        <v>34.700000000000003</v>
      </c>
      <c r="J1590">
        <v>13.4</v>
      </c>
      <c r="K1590" t="s">
        <v>6</v>
      </c>
      <c r="L1590">
        <v>86</v>
      </c>
      <c r="M1590" t="s">
        <v>6</v>
      </c>
    </row>
    <row r="1591" spans="1:13" x14ac:dyDescent="0.2">
      <c r="A1591" s="1">
        <v>45488</v>
      </c>
      <c r="B1591" s="2">
        <v>0.83333333333333337</v>
      </c>
      <c r="C1591" s="3">
        <v>45488.833333333336</v>
      </c>
      <c r="D1591">
        <v>47.5</v>
      </c>
      <c r="E1591">
        <v>55.8</v>
      </c>
      <c r="F1591">
        <v>42.8</v>
      </c>
      <c r="G1591" t="s">
        <v>6</v>
      </c>
      <c r="H1591">
        <v>15.1</v>
      </c>
      <c r="I1591">
        <v>23.1</v>
      </c>
      <c r="J1591">
        <v>12.2</v>
      </c>
      <c r="K1591" t="s">
        <v>6</v>
      </c>
      <c r="L1591">
        <v>223</v>
      </c>
      <c r="M1591" t="s">
        <v>6</v>
      </c>
    </row>
    <row r="1592" spans="1:13" x14ac:dyDescent="0.2">
      <c r="A1592" s="1">
        <v>45488</v>
      </c>
      <c r="B1592" s="2">
        <v>0.875</v>
      </c>
      <c r="C1592" s="3">
        <v>45488.875</v>
      </c>
      <c r="D1592">
        <v>48.5</v>
      </c>
      <c r="E1592">
        <v>56.6</v>
      </c>
      <c r="F1592">
        <v>43.6</v>
      </c>
      <c r="G1592" t="s">
        <v>6</v>
      </c>
      <c r="H1592">
        <v>16.100000000000001</v>
      </c>
      <c r="I1592">
        <v>25.6</v>
      </c>
      <c r="J1592">
        <v>12.4</v>
      </c>
      <c r="K1592" t="s">
        <v>6</v>
      </c>
      <c r="L1592">
        <v>212</v>
      </c>
      <c r="M1592" t="s">
        <v>6</v>
      </c>
    </row>
    <row r="1593" spans="1:13" x14ac:dyDescent="0.2">
      <c r="A1593" s="1">
        <v>45488</v>
      </c>
      <c r="B1593" s="2">
        <v>0.91666666666666663</v>
      </c>
      <c r="C1593" s="3">
        <v>45488.916666666664</v>
      </c>
      <c r="D1593">
        <v>51.3</v>
      </c>
      <c r="E1593">
        <v>55.2</v>
      </c>
      <c r="F1593">
        <v>45.3</v>
      </c>
      <c r="G1593" t="s">
        <v>6</v>
      </c>
      <c r="H1593">
        <v>15.5</v>
      </c>
      <c r="I1593">
        <v>25.1</v>
      </c>
      <c r="J1593">
        <v>11.8</v>
      </c>
      <c r="K1593" t="s">
        <v>6</v>
      </c>
      <c r="L1593">
        <v>209</v>
      </c>
      <c r="M1593" t="s">
        <v>6</v>
      </c>
    </row>
    <row r="1594" spans="1:13" x14ac:dyDescent="0.2">
      <c r="A1594" s="1">
        <v>45488</v>
      </c>
      <c r="B1594" s="2">
        <v>0.95833333333333337</v>
      </c>
      <c r="C1594" s="3">
        <v>45488.958333333336</v>
      </c>
      <c r="D1594">
        <v>51.2</v>
      </c>
      <c r="E1594">
        <v>60.6</v>
      </c>
      <c r="F1594">
        <v>46.6</v>
      </c>
      <c r="G1594" t="s">
        <v>6</v>
      </c>
      <c r="H1594">
        <v>13.7</v>
      </c>
      <c r="I1594">
        <v>21.8</v>
      </c>
      <c r="J1594">
        <v>12.2</v>
      </c>
      <c r="K1594" t="s">
        <v>6</v>
      </c>
      <c r="L1594">
        <v>219</v>
      </c>
      <c r="M1594" t="s">
        <v>6</v>
      </c>
    </row>
    <row r="1595" spans="1:13" x14ac:dyDescent="0.2">
      <c r="A1595" s="1">
        <v>45489</v>
      </c>
      <c r="B1595" s="2">
        <v>0</v>
      </c>
      <c r="C1595" s="3">
        <v>45489</v>
      </c>
      <c r="D1595">
        <v>56.2</v>
      </c>
      <c r="E1595">
        <v>64.099999999999994</v>
      </c>
      <c r="F1595">
        <v>46.1</v>
      </c>
      <c r="G1595" t="s">
        <v>6</v>
      </c>
      <c r="H1595">
        <v>16.3</v>
      </c>
      <c r="I1595">
        <v>25.6</v>
      </c>
      <c r="J1595">
        <v>11.3</v>
      </c>
      <c r="K1595" t="s">
        <v>6</v>
      </c>
      <c r="L1595">
        <v>216</v>
      </c>
      <c r="M1595" t="s">
        <v>6</v>
      </c>
    </row>
    <row r="1596" spans="1:13" x14ac:dyDescent="0.2">
      <c r="A1596" s="1">
        <v>45489</v>
      </c>
      <c r="B1596" s="2">
        <v>4.1666666666666664E-2</v>
      </c>
      <c r="C1596" s="3">
        <v>45489.041666666664</v>
      </c>
      <c r="D1596">
        <v>57.1</v>
      </c>
      <c r="E1596">
        <v>72.8</v>
      </c>
      <c r="F1596">
        <v>41.3</v>
      </c>
      <c r="G1596" t="s">
        <v>6</v>
      </c>
      <c r="H1596">
        <v>13.9</v>
      </c>
      <c r="I1596">
        <v>20.9</v>
      </c>
      <c r="J1596">
        <v>11.4</v>
      </c>
      <c r="K1596" t="s">
        <v>6</v>
      </c>
      <c r="L1596">
        <v>222</v>
      </c>
      <c r="M1596" t="s">
        <v>6</v>
      </c>
    </row>
    <row r="1597" spans="1:13" x14ac:dyDescent="0.2">
      <c r="A1597" s="1">
        <v>45489</v>
      </c>
      <c r="B1597" s="2">
        <v>8.3333333333333329E-2</v>
      </c>
      <c r="C1597" s="3">
        <v>45489.083333333336</v>
      </c>
      <c r="D1597">
        <v>47.7</v>
      </c>
      <c r="E1597">
        <v>57.8</v>
      </c>
      <c r="F1597">
        <v>42.9</v>
      </c>
      <c r="G1597" t="s">
        <v>6</v>
      </c>
      <c r="H1597">
        <v>13.2</v>
      </c>
      <c r="I1597">
        <v>21</v>
      </c>
      <c r="J1597">
        <v>10.9</v>
      </c>
      <c r="K1597" t="s">
        <v>6</v>
      </c>
      <c r="L1597">
        <v>218</v>
      </c>
      <c r="M1597" t="s">
        <v>6</v>
      </c>
    </row>
    <row r="1598" spans="1:13" x14ac:dyDescent="0.2">
      <c r="A1598" s="1">
        <v>45489</v>
      </c>
      <c r="B1598" s="2">
        <v>0.125</v>
      </c>
      <c r="C1598" s="3">
        <v>45489.125</v>
      </c>
      <c r="D1598">
        <v>54.7</v>
      </c>
      <c r="E1598">
        <v>78.7</v>
      </c>
      <c r="F1598">
        <v>41.1</v>
      </c>
      <c r="G1598" t="s">
        <v>6</v>
      </c>
      <c r="H1598">
        <v>13.7</v>
      </c>
      <c r="I1598">
        <v>22.3</v>
      </c>
      <c r="J1598">
        <v>11.4</v>
      </c>
      <c r="K1598" t="s">
        <v>6</v>
      </c>
      <c r="L1598">
        <v>224</v>
      </c>
      <c r="M1598" t="s">
        <v>6</v>
      </c>
    </row>
    <row r="1599" spans="1:13" x14ac:dyDescent="0.2">
      <c r="A1599" s="1">
        <v>45489</v>
      </c>
      <c r="B1599" s="2">
        <v>0.16666666666666666</v>
      </c>
      <c r="C1599" s="3">
        <v>45489.166666666664</v>
      </c>
      <c r="D1599">
        <v>60.6</v>
      </c>
      <c r="E1599">
        <v>70.5</v>
      </c>
      <c r="F1599">
        <v>51.5</v>
      </c>
      <c r="G1599" t="s">
        <v>6</v>
      </c>
      <c r="H1599">
        <v>15</v>
      </c>
      <c r="I1599">
        <v>26.3</v>
      </c>
      <c r="J1599">
        <v>11.1</v>
      </c>
      <c r="K1599" t="s">
        <v>6</v>
      </c>
      <c r="L1599">
        <v>218</v>
      </c>
      <c r="M1599" t="s">
        <v>6</v>
      </c>
    </row>
    <row r="1600" spans="1:13" x14ac:dyDescent="0.2">
      <c r="A1600" s="1">
        <v>45489</v>
      </c>
      <c r="B1600" s="2">
        <v>0.20833333333333334</v>
      </c>
      <c r="C1600" s="3">
        <v>45489.208333333336</v>
      </c>
      <c r="D1600">
        <v>45.8</v>
      </c>
      <c r="E1600">
        <v>54</v>
      </c>
      <c r="F1600">
        <v>41.5</v>
      </c>
      <c r="G1600" t="s">
        <v>6</v>
      </c>
      <c r="H1600">
        <v>12.1</v>
      </c>
      <c r="I1600">
        <v>16.899999999999999</v>
      </c>
      <c r="J1600">
        <v>10.8</v>
      </c>
      <c r="K1600" t="s">
        <v>6</v>
      </c>
      <c r="L1600">
        <v>222</v>
      </c>
      <c r="M1600" t="s">
        <v>6</v>
      </c>
    </row>
    <row r="1601" spans="1:13" x14ac:dyDescent="0.2">
      <c r="A1601" s="1">
        <v>45489</v>
      </c>
      <c r="B1601" s="2">
        <v>0.25</v>
      </c>
      <c r="C1601" s="3">
        <v>45489.25</v>
      </c>
      <c r="D1601">
        <v>42.5</v>
      </c>
      <c r="E1601">
        <v>73.5</v>
      </c>
      <c r="F1601">
        <v>40.700000000000003</v>
      </c>
      <c r="G1601" t="s">
        <v>6</v>
      </c>
      <c r="H1601">
        <v>12.6</v>
      </c>
      <c r="I1601">
        <v>24.4</v>
      </c>
      <c r="J1601">
        <v>11.1</v>
      </c>
      <c r="K1601" t="s">
        <v>6</v>
      </c>
      <c r="L1601">
        <v>111</v>
      </c>
      <c r="M1601" t="s">
        <v>6</v>
      </c>
    </row>
    <row r="1602" spans="1:13" x14ac:dyDescent="0.2">
      <c r="A1602" s="1">
        <v>45489</v>
      </c>
      <c r="B1602" s="2">
        <v>0.29166666666666669</v>
      </c>
      <c r="C1602" s="3">
        <v>45489.291666666664</v>
      </c>
      <c r="D1602">
        <v>72</v>
      </c>
      <c r="E1602">
        <v>78</v>
      </c>
      <c r="F1602">
        <v>68.8</v>
      </c>
      <c r="G1602" t="s">
        <v>6</v>
      </c>
      <c r="H1602">
        <v>15.3</v>
      </c>
      <c r="I1602">
        <v>19.899999999999999</v>
      </c>
      <c r="J1602">
        <v>10.9</v>
      </c>
      <c r="K1602" t="s">
        <v>6</v>
      </c>
      <c r="L1602">
        <v>20</v>
      </c>
      <c r="M1602" t="s">
        <v>6</v>
      </c>
    </row>
    <row r="1603" spans="1:13" x14ac:dyDescent="0.2">
      <c r="A1603" s="13">
        <v>45489</v>
      </c>
      <c r="B1603" s="9">
        <v>0.33333333333333331</v>
      </c>
      <c r="C1603" s="8">
        <v>45489.333333333336</v>
      </c>
      <c r="D1603" s="10">
        <v>69.8</v>
      </c>
      <c r="E1603" s="10">
        <v>71</v>
      </c>
      <c r="F1603" s="10">
        <v>68.599999999999994</v>
      </c>
      <c r="G1603" s="10" t="s">
        <v>6</v>
      </c>
      <c r="H1603" s="10">
        <v>12</v>
      </c>
      <c r="I1603" s="10">
        <v>12.2</v>
      </c>
      <c r="J1603" s="10">
        <v>11.8</v>
      </c>
      <c r="K1603" s="10" t="s">
        <v>6</v>
      </c>
      <c r="L1603" s="10">
        <v>2</v>
      </c>
      <c r="M1603" t="s">
        <v>6</v>
      </c>
    </row>
    <row r="1604" spans="1:13" x14ac:dyDescent="0.2">
      <c r="A1604" s="14">
        <v>45489</v>
      </c>
      <c r="B1604" s="12">
        <v>0.54166666666666663</v>
      </c>
      <c r="C1604" s="7">
        <v>45489.541666666664</v>
      </c>
      <c r="D1604" s="11">
        <v>63.1</v>
      </c>
      <c r="E1604" s="11">
        <v>64.599999999999994</v>
      </c>
      <c r="F1604" s="11">
        <v>62.7</v>
      </c>
      <c r="G1604" s="11" t="s">
        <v>6</v>
      </c>
      <c r="H1604" s="11">
        <v>15.6</v>
      </c>
      <c r="I1604" s="11">
        <v>17.3</v>
      </c>
      <c r="J1604" s="11">
        <v>13.6</v>
      </c>
      <c r="K1604" s="11" t="s">
        <v>6</v>
      </c>
      <c r="L1604" s="11">
        <v>12</v>
      </c>
      <c r="M1604" t="s">
        <v>6</v>
      </c>
    </row>
    <row r="1605" spans="1:13" x14ac:dyDescent="0.2">
      <c r="A1605" s="1">
        <v>45489</v>
      </c>
      <c r="B1605" s="2">
        <v>0.58333333333333337</v>
      </c>
      <c r="C1605" s="3">
        <v>45489.583333333336</v>
      </c>
      <c r="D1605">
        <v>57.1</v>
      </c>
      <c r="E1605">
        <v>64.599999999999994</v>
      </c>
      <c r="F1605">
        <v>48.8</v>
      </c>
      <c r="G1605" t="s">
        <v>6</v>
      </c>
      <c r="H1605">
        <v>13.5</v>
      </c>
      <c r="I1605">
        <v>22.8</v>
      </c>
      <c r="J1605">
        <v>11</v>
      </c>
      <c r="K1605" t="s">
        <v>6</v>
      </c>
      <c r="L1605">
        <v>230</v>
      </c>
      <c r="M1605" t="s">
        <v>6</v>
      </c>
    </row>
    <row r="1606" spans="1:13" x14ac:dyDescent="0.2">
      <c r="A1606" s="1">
        <v>45489</v>
      </c>
      <c r="B1606" s="2">
        <v>0.625</v>
      </c>
      <c r="C1606" s="3">
        <v>45489.625</v>
      </c>
      <c r="D1606">
        <v>52</v>
      </c>
      <c r="E1606">
        <v>58</v>
      </c>
      <c r="F1606">
        <v>48.6</v>
      </c>
      <c r="G1606" t="s">
        <v>6</v>
      </c>
      <c r="H1606">
        <v>13.6</v>
      </c>
      <c r="I1606">
        <v>19</v>
      </c>
      <c r="J1606">
        <v>11</v>
      </c>
      <c r="K1606" t="s">
        <v>6</v>
      </c>
      <c r="L1606">
        <v>207</v>
      </c>
      <c r="M1606" t="s">
        <v>6</v>
      </c>
    </row>
    <row r="1607" spans="1:13" x14ac:dyDescent="0.2">
      <c r="A1607" s="1">
        <v>45489</v>
      </c>
      <c r="B1607" s="2">
        <v>0.66666666666666663</v>
      </c>
      <c r="C1607" s="3">
        <v>45489.666666666664</v>
      </c>
      <c r="D1607">
        <v>52.5</v>
      </c>
      <c r="E1607">
        <v>54</v>
      </c>
      <c r="F1607">
        <v>51.5</v>
      </c>
      <c r="G1607" t="s">
        <v>6</v>
      </c>
      <c r="H1607">
        <v>30.2</v>
      </c>
      <c r="I1607">
        <v>35.799999999999997</v>
      </c>
      <c r="J1607">
        <v>19.399999999999999</v>
      </c>
      <c r="K1607" t="s">
        <v>6</v>
      </c>
      <c r="L1607">
        <v>26</v>
      </c>
      <c r="M1607" t="s">
        <v>6</v>
      </c>
    </row>
    <row r="1608" spans="1:13" x14ac:dyDescent="0.2">
      <c r="A1608" s="1">
        <v>45489</v>
      </c>
      <c r="B1608" s="2">
        <v>0.70833333333333337</v>
      </c>
      <c r="C1608" s="3">
        <v>45489.708333333336</v>
      </c>
      <c r="D1608">
        <v>52.2</v>
      </c>
      <c r="E1608">
        <v>55.1</v>
      </c>
      <c r="F1608">
        <v>49.6</v>
      </c>
      <c r="G1608" t="s">
        <v>6</v>
      </c>
      <c r="H1608">
        <v>16.600000000000001</v>
      </c>
      <c r="I1608">
        <v>28.9</v>
      </c>
      <c r="J1608">
        <v>12</v>
      </c>
      <c r="K1608" t="s">
        <v>6</v>
      </c>
      <c r="L1608">
        <v>186</v>
      </c>
      <c r="M1608" t="s">
        <v>6</v>
      </c>
    </row>
    <row r="1609" spans="1:13" x14ac:dyDescent="0.2">
      <c r="A1609" s="1">
        <v>45489</v>
      </c>
      <c r="B1609" s="2">
        <v>0.75</v>
      </c>
      <c r="C1609" s="3">
        <v>45489.75</v>
      </c>
      <c r="D1609">
        <v>61</v>
      </c>
      <c r="E1609">
        <v>65</v>
      </c>
      <c r="F1609">
        <v>55.2</v>
      </c>
      <c r="G1609" t="s">
        <v>6</v>
      </c>
      <c r="H1609">
        <v>28.7</v>
      </c>
      <c r="I1609">
        <v>35.4</v>
      </c>
      <c r="J1609">
        <v>14.7</v>
      </c>
      <c r="K1609" t="s">
        <v>6</v>
      </c>
      <c r="L1609">
        <v>78</v>
      </c>
      <c r="M1609" t="s">
        <v>6</v>
      </c>
    </row>
    <row r="1610" spans="1:13" x14ac:dyDescent="0.2">
      <c r="A1610" s="1">
        <v>45489</v>
      </c>
      <c r="B1610" s="2">
        <v>0.79166666666666663</v>
      </c>
      <c r="C1610" s="3">
        <v>45489.791666666664</v>
      </c>
      <c r="D1610">
        <v>61.3</v>
      </c>
      <c r="E1610">
        <v>66.3</v>
      </c>
      <c r="F1610">
        <v>58.5</v>
      </c>
      <c r="G1610" t="s">
        <v>6</v>
      </c>
      <c r="H1610">
        <v>27</v>
      </c>
      <c r="I1610">
        <v>36.4</v>
      </c>
      <c r="J1610">
        <v>12.8</v>
      </c>
      <c r="K1610" t="s">
        <v>6</v>
      </c>
      <c r="L1610">
        <v>151</v>
      </c>
      <c r="M1610" t="s">
        <v>6</v>
      </c>
    </row>
    <row r="1611" spans="1:13" x14ac:dyDescent="0.2">
      <c r="A1611" s="1">
        <v>45489</v>
      </c>
      <c r="B1611" s="2">
        <v>0.83333333333333337</v>
      </c>
      <c r="C1611" s="3">
        <v>45489.833333333336</v>
      </c>
      <c r="D1611">
        <v>49.7</v>
      </c>
      <c r="E1611">
        <v>65.400000000000006</v>
      </c>
      <c r="F1611">
        <v>41.6</v>
      </c>
      <c r="G1611" t="s">
        <v>6</v>
      </c>
      <c r="H1611">
        <v>19.899999999999999</v>
      </c>
      <c r="I1611">
        <v>31.5</v>
      </c>
      <c r="J1611">
        <v>12.5</v>
      </c>
      <c r="K1611" t="s">
        <v>6</v>
      </c>
      <c r="L1611">
        <v>220</v>
      </c>
      <c r="M1611" t="s">
        <v>6</v>
      </c>
    </row>
    <row r="1612" spans="1:13" x14ac:dyDescent="0.2">
      <c r="A1612" s="1">
        <v>45489</v>
      </c>
      <c r="B1612" s="2">
        <v>0.875</v>
      </c>
      <c r="C1612" s="3">
        <v>45489.875</v>
      </c>
      <c r="D1612">
        <v>41.7</v>
      </c>
      <c r="E1612">
        <v>44.3</v>
      </c>
      <c r="F1612">
        <v>40.700000000000003</v>
      </c>
      <c r="G1612" t="s">
        <v>6</v>
      </c>
      <c r="H1612">
        <v>18</v>
      </c>
      <c r="I1612">
        <v>27.2</v>
      </c>
      <c r="J1612">
        <v>12.3</v>
      </c>
      <c r="K1612" t="s">
        <v>6</v>
      </c>
      <c r="L1612">
        <v>162</v>
      </c>
      <c r="M1612" t="s">
        <v>6</v>
      </c>
    </row>
    <row r="1613" spans="1:13" x14ac:dyDescent="0.2">
      <c r="A1613" s="1">
        <v>45489</v>
      </c>
      <c r="B1613" s="2">
        <v>0.91666666666666663</v>
      </c>
      <c r="C1613" s="3">
        <v>45489.916666666664</v>
      </c>
      <c r="D1613">
        <v>41</v>
      </c>
      <c r="E1613">
        <v>43.1</v>
      </c>
      <c r="F1613">
        <v>40.1</v>
      </c>
      <c r="G1613" t="s">
        <v>6</v>
      </c>
      <c r="H1613">
        <v>16.399999999999999</v>
      </c>
      <c r="I1613">
        <v>28.7</v>
      </c>
      <c r="J1613">
        <v>12.7</v>
      </c>
      <c r="K1613" t="s">
        <v>6</v>
      </c>
      <c r="L1613">
        <v>46</v>
      </c>
      <c r="M1613" t="s">
        <v>6</v>
      </c>
    </row>
    <row r="1614" spans="1:13" x14ac:dyDescent="0.2">
      <c r="A1614" s="1">
        <v>45489</v>
      </c>
      <c r="B1614" s="2">
        <v>0.95833333333333337</v>
      </c>
      <c r="C1614" s="3">
        <v>45489.958333333336</v>
      </c>
      <c r="D1614">
        <v>46.9</v>
      </c>
      <c r="E1614">
        <v>57.5</v>
      </c>
      <c r="F1614">
        <v>40.700000000000003</v>
      </c>
      <c r="G1614" t="s">
        <v>6</v>
      </c>
      <c r="H1614">
        <v>13.8</v>
      </c>
      <c r="I1614">
        <v>19.399999999999999</v>
      </c>
      <c r="J1614">
        <v>11.8</v>
      </c>
      <c r="K1614" t="s">
        <v>6</v>
      </c>
      <c r="L1614">
        <v>219</v>
      </c>
      <c r="M1614" t="s">
        <v>6</v>
      </c>
    </row>
    <row r="1615" spans="1:13" x14ac:dyDescent="0.2">
      <c r="A1615" s="1">
        <v>45490</v>
      </c>
      <c r="B1615" s="2">
        <v>0</v>
      </c>
      <c r="C1615" s="3">
        <v>45490</v>
      </c>
      <c r="D1615">
        <v>50.6</v>
      </c>
      <c r="E1615">
        <v>67</v>
      </c>
      <c r="F1615">
        <v>43.8</v>
      </c>
      <c r="G1615" t="s">
        <v>6</v>
      </c>
      <c r="H1615">
        <v>13.6</v>
      </c>
      <c r="I1615">
        <v>18.600000000000001</v>
      </c>
      <c r="J1615">
        <v>11.1</v>
      </c>
      <c r="K1615" t="s">
        <v>6</v>
      </c>
      <c r="L1615">
        <v>200</v>
      </c>
      <c r="M1615" t="s">
        <v>6</v>
      </c>
    </row>
    <row r="1616" spans="1:13" x14ac:dyDescent="0.2">
      <c r="A1616" s="1">
        <v>45490</v>
      </c>
      <c r="B1616" s="2">
        <v>4.1666666666666664E-2</v>
      </c>
      <c r="C1616" s="3">
        <v>45490.041666666664</v>
      </c>
      <c r="D1616">
        <v>42.9</v>
      </c>
      <c r="E1616">
        <v>47.2</v>
      </c>
      <c r="F1616">
        <v>40.200000000000003</v>
      </c>
      <c r="G1616" t="s">
        <v>6</v>
      </c>
      <c r="H1616">
        <v>14.2</v>
      </c>
      <c r="I1616">
        <v>23.3</v>
      </c>
      <c r="J1616">
        <v>12.2</v>
      </c>
      <c r="K1616" t="s">
        <v>6</v>
      </c>
      <c r="L1616">
        <v>132</v>
      </c>
      <c r="M1616" t="s">
        <v>6</v>
      </c>
    </row>
    <row r="1617" spans="1:13" x14ac:dyDescent="0.2">
      <c r="A1617" s="1">
        <v>45490</v>
      </c>
      <c r="B1617" s="2">
        <v>8.3333333333333329E-2</v>
      </c>
      <c r="C1617" s="3">
        <v>45490.083333333336</v>
      </c>
      <c r="D1617">
        <v>41.1</v>
      </c>
      <c r="E1617">
        <v>43.3</v>
      </c>
      <c r="F1617">
        <v>40.1</v>
      </c>
      <c r="G1617" t="s">
        <v>6</v>
      </c>
      <c r="H1617">
        <v>12.5</v>
      </c>
      <c r="I1617">
        <v>15.7</v>
      </c>
      <c r="J1617">
        <v>10.9</v>
      </c>
      <c r="K1617" t="s">
        <v>6</v>
      </c>
      <c r="L1617">
        <v>92</v>
      </c>
      <c r="M1617" t="s">
        <v>6</v>
      </c>
    </row>
    <row r="1618" spans="1:13" x14ac:dyDescent="0.2">
      <c r="A1618" s="1">
        <v>45490</v>
      </c>
      <c r="B1618" s="2">
        <v>0.125</v>
      </c>
      <c r="C1618" s="3">
        <v>45490.125</v>
      </c>
      <c r="D1618">
        <v>42.9</v>
      </c>
      <c r="E1618">
        <v>48</v>
      </c>
      <c r="F1618">
        <v>40.6</v>
      </c>
      <c r="G1618" t="s">
        <v>6</v>
      </c>
      <c r="H1618">
        <v>13</v>
      </c>
      <c r="I1618">
        <v>25.1</v>
      </c>
      <c r="J1618">
        <v>9.6</v>
      </c>
      <c r="K1618" t="s">
        <v>6</v>
      </c>
      <c r="L1618">
        <v>223</v>
      </c>
      <c r="M1618" t="s">
        <v>6</v>
      </c>
    </row>
    <row r="1619" spans="1:13" x14ac:dyDescent="0.2">
      <c r="A1619" s="1">
        <v>45490</v>
      </c>
      <c r="B1619" s="2">
        <v>0.16666666666666666</v>
      </c>
      <c r="C1619" s="3">
        <v>45490.166666666664</v>
      </c>
      <c r="D1619">
        <v>44.1</v>
      </c>
      <c r="E1619">
        <v>47.3</v>
      </c>
      <c r="F1619">
        <v>41.1</v>
      </c>
      <c r="G1619" t="s">
        <v>6</v>
      </c>
      <c r="H1619">
        <v>12.6</v>
      </c>
      <c r="I1619">
        <v>15.6</v>
      </c>
      <c r="J1619">
        <v>11.2</v>
      </c>
      <c r="K1619" t="s">
        <v>6</v>
      </c>
      <c r="L1619">
        <v>223</v>
      </c>
      <c r="M1619" t="s">
        <v>6</v>
      </c>
    </row>
    <row r="1620" spans="1:13" x14ac:dyDescent="0.2">
      <c r="A1620" s="13">
        <v>45490</v>
      </c>
      <c r="B1620" s="9">
        <v>0.20833333333333334</v>
      </c>
      <c r="C1620" s="8">
        <v>45490.208333333336</v>
      </c>
      <c r="D1620" s="10">
        <v>40.5</v>
      </c>
      <c r="E1620" s="10">
        <v>41.1</v>
      </c>
      <c r="F1620" s="10">
        <v>40.200000000000003</v>
      </c>
      <c r="G1620" s="10" t="s">
        <v>6</v>
      </c>
      <c r="H1620" s="10">
        <v>12.4</v>
      </c>
      <c r="I1620" s="10">
        <v>13.3</v>
      </c>
      <c r="J1620" s="10">
        <v>12</v>
      </c>
      <c r="K1620" s="10" t="s">
        <v>6</v>
      </c>
      <c r="L1620" s="10">
        <v>13</v>
      </c>
      <c r="M1620" t="s">
        <v>6</v>
      </c>
    </row>
    <row r="1621" spans="1:13" x14ac:dyDescent="0.2">
      <c r="A1621" s="14">
        <v>45490</v>
      </c>
      <c r="B1621" s="12">
        <v>0.58333333333333337</v>
      </c>
      <c r="C1621" s="7">
        <v>45490.583333333336</v>
      </c>
      <c r="D1621" s="11">
        <v>40.9</v>
      </c>
      <c r="E1621" s="11">
        <v>41.2</v>
      </c>
      <c r="F1621" s="11">
        <v>40.5</v>
      </c>
      <c r="G1621" s="11" t="s">
        <v>6</v>
      </c>
      <c r="H1621" s="11">
        <v>11.5</v>
      </c>
      <c r="I1621" s="11">
        <v>11.6</v>
      </c>
      <c r="J1621" s="11">
        <v>11.4</v>
      </c>
      <c r="K1621" s="11" t="s">
        <v>6</v>
      </c>
      <c r="L1621" s="11">
        <v>4</v>
      </c>
      <c r="M1621" t="s">
        <v>6</v>
      </c>
    </row>
    <row r="1622" spans="1:13" x14ac:dyDescent="0.2">
      <c r="A1622" s="1">
        <v>45490</v>
      </c>
      <c r="B1622" s="2">
        <v>0.79166666666666663</v>
      </c>
      <c r="C1622" s="3">
        <v>45490.791666666664</v>
      </c>
      <c r="D1622">
        <v>55.3</v>
      </c>
      <c r="E1622">
        <v>68.5</v>
      </c>
      <c r="F1622">
        <v>42.3</v>
      </c>
      <c r="G1622" t="s">
        <v>6</v>
      </c>
      <c r="H1622">
        <v>15.5</v>
      </c>
      <c r="I1622">
        <v>23.5</v>
      </c>
      <c r="J1622">
        <v>11.6</v>
      </c>
      <c r="K1622" t="s">
        <v>6</v>
      </c>
      <c r="L1622">
        <v>155</v>
      </c>
      <c r="M1622" t="s">
        <v>6</v>
      </c>
    </row>
    <row r="1623" spans="1:13" x14ac:dyDescent="0.2">
      <c r="A1623" s="1">
        <v>45490</v>
      </c>
      <c r="B1623" s="2">
        <v>0.83333333333333337</v>
      </c>
      <c r="C1623" s="3">
        <v>45490.833333333336</v>
      </c>
      <c r="D1623">
        <v>43.7</v>
      </c>
      <c r="E1623">
        <v>46.8</v>
      </c>
      <c r="F1623">
        <v>40.9</v>
      </c>
      <c r="G1623" t="s">
        <v>6</v>
      </c>
      <c r="H1623">
        <v>13.2</v>
      </c>
      <c r="I1623">
        <v>17.2</v>
      </c>
      <c r="J1623">
        <v>12.1</v>
      </c>
      <c r="K1623" t="s">
        <v>6</v>
      </c>
      <c r="L1623">
        <v>114</v>
      </c>
      <c r="M1623" t="s">
        <v>6</v>
      </c>
    </row>
    <row r="1624" spans="1:13" x14ac:dyDescent="0.2">
      <c r="A1624" s="1">
        <v>45490</v>
      </c>
      <c r="B1624" s="2">
        <v>0.875</v>
      </c>
      <c r="C1624" s="3">
        <v>45490.875</v>
      </c>
      <c r="D1624">
        <v>47.5</v>
      </c>
      <c r="E1624">
        <v>50.9</v>
      </c>
      <c r="F1624">
        <v>42</v>
      </c>
      <c r="G1624" t="s">
        <v>6</v>
      </c>
      <c r="H1624">
        <v>13.9</v>
      </c>
      <c r="I1624">
        <v>22.6</v>
      </c>
      <c r="J1624">
        <v>11.9</v>
      </c>
      <c r="K1624" t="s">
        <v>6</v>
      </c>
      <c r="L1624">
        <v>114</v>
      </c>
      <c r="M1624" t="s">
        <v>6</v>
      </c>
    </row>
    <row r="1625" spans="1:13" x14ac:dyDescent="0.2">
      <c r="A1625" s="1">
        <v>45490</v>
      </c>
      <c r="B1625" s="2">
        <v>0.91666666666666663</v>
      </c>
      <c r="C1625" s="3">
        <v>45490.916666666664</v>
      </c>
      <c r="D1625">
        <v>46.1</v>
      </c>
      <c r="E1625">
        <v>54.9</v>
      </c>
      <c r="F1625">
        <v>40.4</v>
      </c>
      <c r="G1625" t="s">
        <v>6</v>
      </c>
      <c r="H1625">
        <v>13.5</v>
      </c>
      <c r="I1625">
        <v>26.3</v>
      </c>
      <c r="J1625">
        <v>12</v>
      </c>
      <c r="K1625" t="s">
        <v>6</v>
      </c>
      <c r="L1625">
        <v>220</v>
      </c>
      <c r="M1625" t="s">
        <v>6</v>
      </c>
    </row>
    <row r="1626" spans="1:13" x14ac:dyDescent="0.2">
      <c r="A1626" s="1">
        <v>45490</v>
      </c>
      <c r="B1626" s="2">
        <v>0.95833333333333337</v>
      </c>
      <c r="C1626" s="3">
        <v>45490.958333333336</v>
      </c>
      <c r="D1626">
        <v>48.8</v>
      </c>
      <c r="E1626">
        <v>62.9</v>
      </c>
      <c r="F1626">
        <v>40.1</v>
      </c>
      <c r="G1626" t="s">
        <v>6</v>
      </c>
      <c r="H1626">
        <v>14</v>
      </c>
      <c r="I1626">
        <v>25.3</v>
      </c>
      <c r="J1626">
        <v>11.7</v>
      </c>
      <c r="K1626" t="s">
        <v>6</v>
      </c>
      <c r="L1626">
        <v>190</v>
      </c>
      <c r="M1626" t="s">
        <v>6</v>
      </c>
    </row>
    <row r="1627" spans="1:13" x14ac:dyDescent="0.2">
      <c r="A1627" s="1">
        <v>45491</v>
      </c>
      <c r="B1627" s="2">
        <v>0</v>
      </c>
      <c r="C1627" s="3">
        <v>45491</v>
      </c>
      <c r="D1627">
        <v>51.6</v>
      </c>
      <c r="E1627">
        <v>64.7</v>
      </c>
      <c r="F1627">
        <v>43.5</v>
      </c>
      <c r="G1627" t="s">
        <v>6</v>
      </c>
      <c r="H1627">
        <v>13.2</v>
      </c>
      <c r="I1627">
        <v>22.1</v>
      </c>
      <c r="J1627">
        <v>11.1</v>
      </c>
      <c r="K1627" t="s">
        <v>6</v>
      </c>
      <c r="L1627">
        <v>220</v>
      </c>
      <c r="M1627" t="s">
        <v>6</v>
      </c>
    </row>
    <row r="1628" spans="1:13" x14ac:dyDescent="0.2">
      <c r="A1628" s="1">
        <v>45491</v>
      </c>
      <c r="B1628" s="2">
        <v>4.1666666666666664E-2</v>
      </c>
      <c r="C1628" s="3">
        <v>45491.041666666664</v>
      </c>
      <c r="D1628">
        <v>51.9</v>
      </c>
      <c r="E1628">
        <v>60.7</v>
      </c>
      <c r="F1628">
        <v>43.4</v>
      </c>
      <c r="G1628" t="s">
        <v>6</v>
      </c>
      <c r="H1628">
        <v>14.1</v>
      </c>
      <c r="I1628">
        <v>25.8</v>
      </c>
      <c r="J1628">
        <v>11.6</v>
      </c>
      <c r="K1628" t="s">
        <v>6</v>
      </c>
      <c r="L1628">
        <v>226</v>
      </c>
      <c r="M1628" t="s">
        <v>6</v>
      </c>
    </row>
    <row r="1629" spans="1:13" x14ac:dyDescent="0.2">
      <c r="A1629" s="1">
        <v>45491</v>
      </c>
      <c r="B1629" s="2">
        <v>8.3333333333333329E-2</v>
      </c>
      <c r="C1629" s="3">
        <v>45491.083333333336</v>
      </c>
      <c r="D1629">
        <v>49.6</v>
      </c>
      <c r="E1629">
        <v>61</v>
      </c>
      <c r="F1629">
        <v>44.1</v>
      </c>
      <c r="G1629" t="s">
        <v>6</v>
      </c>
      <c r="H1629">
        <v>12.6</v>
      </c>
      <c r="I1629">
        <v>20.8</v>
      </c>
      <c r="J1629">
        <v>10.9</v>
      </c>
      <c r="K1629" t="s">
        <v>6</v>
      </c>
      <c r="L1629">
        <v>227</v>
      </c>
      <c r="M1629" t="s">
        <v>6</v>
      </c>
    </row>
    <row r="1630" spans="1:13" x14ac:dyDescent="0.2">
      <c r="A1630" s="1">
        <v>45491</v>
      </c>
      <c r="B1630" s="2">
        <v>0.125</v>
      </c>
      <c r="C1630" s="3">
        <v>45491.125</v>
      </c>
      <c r="D1630">
        <v>49.6</v>
      </c>
      <c r="E1630">
        <v>58.5</v>
      </c>
      <c r="F1630">
        <v>44</v>
      </c>
      <c r="G1630" t="s">
        <v>6</v>
      </c>
      <c r="H1630">
        <v>12.6</v>
      </c>
      <c r="I1630">
        <v>19.7</v>
      </c>
      <c r="J1630">
        <v>10.9</v>
      </c>
      <c r="K1630" t="s">
        <v>6</v>
      </c>
      <c r="L1630">
        <v>218</v>
      </c>
      <c r="M1630" t="s">
        <v>6</v>
      </c>
    </row>
    <row r="1631" spans="1:13" x14ac:dyDescent="0.2">
      <c r="A1631" s="1">
        <v>45491</v>
      </c>
      <c r="B1631" s="2">
        <v>0.16666666666666666</v>
      </c>
      <c r="C1631" s="3">
        <v>45491.166666666664</v>
      </c>
      <c r="D1631">
        <v>48.3</v>
      </c>
      <c r="E1631">
        <v>55.1</v>
      </c>
      <c r="F1631">
        <v>41.6</v>
      </c>
      <c r="G1631" t="s">
        <v>6</v>
      </c>
      <c r="H1631">
        <v>13.5</v>
      </c>
      <c r="I1631">
        <v>23.7</v>
      </c>
      <c r="J1631">
        <v>10.8</v>
      </c>
      <c r="K1631" t="s">
        <v>6</v>
      </c>
      <c r="L1631">
        <v>223</v>
      </c>
      <c r="M1631" t="s">
        <v>6</v>
      </c>
    </row>
    <row r="1632" spans="1:13" x14ac:dyDescent="0.2">
      <c r="A1632" s="1">
        <v>45491</v>
      </c>
      <c r="B1632" s="2">
        <v>0.20833333333333334</v>
      </c>
      <c r="C1632" s="3">
        <v>45491.208333333336</v>
      </c>
      <c r="D1632">
        <v>47.8</v>
      </c>
      <c r="E1632">
        <v>62.9</v>
      </c>
      <c r="F1632">
        <v>42.4</v>
      </c>
      <c r="G1632" t="s">
        <v>6</v>
      </c>
      <c r="H1632">
        <v>13.8</v>
      </c>
      <c r="I1632">
        <v>21.6</v>
      </c>
      <c r="J1632">
        <v>11.3</v>
      </c>
      <c r="K1632" t="s">
        <v>6</v>
      </c>
      <c r="L1632">
        <v>190</v>
      </c>
      <c r="M1632" t="s">
        <v>6</v>
      </c>
    </row>
    <row r="1633" spans="1:13" x14ac:dyDescent="0.2">
      <c r="A1633" s="1">
        <v>45491</v>
      </c>
      <c r="B1633" s="2">
        <v>0.25</v>
      </c>
      <c r="C1633" s="3">
        <v>45491.25</v>
      </c>
      <c r="D1633">
        <v>44.3</v>
      </c>
      <c r="E1633">
        <v>47.6</v>
      </c>
      <c r="F1633">
        <v>41.4</v>
      </c>
      <c r="G1633" t="s">
        <v>6</v>
      </c>
      <c r="H1633">
        <v>13.2</v>
      </c>
      <c r="I1633">
        <v>25</v>
      </c>
      <c r="J1633">
        <v>10.7</v>
      </c>
      <c r="K1633" t="s">
        <v>6</v>
      </c>
      <c r="L1633">
        <v>211</v>
      </c>
      <c r="M1633" t="s">
        <v>6</v>
      </c>
    </row>
    <row r="1634" spans="1:13" x14ac:dyDescent="0.2">
      <c r="A1634" s="13">
        <v>45491</v>
      </c>
      <c r="B1634" s="9">
        <v>0.29166666666666669</v>
      </c>
      <c r="C1634" s="8">
        <v>45491.291666666664</v>
      </c>
      <c r="D1634" s="10">
        <v>45.3</v>
      </c>
      <c r="E1634" s="10">
        <v>53.3</v>
      </c>
      <c r="F1634" s="10">
        <v>40.200000000000003</v>
      </c>
      <c r="G1634" s="10" t="s">
        <v>6</v>
      </c>
      <c r="H1634" s="10">
        <v>14.6</v>
      </c>
      <c r="I1634" s="10">
        <v>24.2</v>
      </c>
      <c r="J1634" s="10">
        <v>11</v>
      </c>
      <c r="K1634" s="10" t="s">
        <v>6</v>
      </c>
      <c r="L1634" s="10">
        <v>179</v>
      </c>
      <c r="M1634" t="s">
        <v>6</v>
      </c>
    </row>
    <row r="1635" spans="1:13" x14ac:dyDescent="0.2">
      <c r="A1635" s="14">
        <v>45491</v>
      </c>
      <c r="B1635" s="12">
        <v>0.5</v>
      </c>
      <c r="C1635" s="7">
        <v>45491.5</v>
      </c>
      <c r="D1635" s="11">
        <v>48</v>
      </c>
      <c r="E1635" s="11">
        <v>48</v>
      </c>
      <c r="F1635" s="11">
        <v>47.8</v>
      </c>
      <c r="G1635" s="11" t="s">
        <v>6</v>
      </c>
      <c r="H1635" s="11">
        <v>27.3</v>
      </c>
      <c r="I1635" s="11">
        <v>30.9</v>
      </c>
      <c r="J1635" s="11">
        <v>21</v>
      </c>
      <c r="K1635" s="11" t="s">
        <v>6</v>
      </c>
      <c r="L1635" s="11">
        <v>8</v>
      </c>
      <c r="M1635" t="s">
        <v>6</v>
      </c>
    </row>
    <row r="1636" spans="1:13" x14ac:dyDescent="0.2">
      <c r="A1636" s="1">
        <v>45491</v>
      </c>
      <c r="B1636" s="2">
        <v>0.54166666666666663</v>
      </c>
      <c r="C1636" s="3">
        <v>45491.541666666664</v>
      </c>
      <c r="D1636">
        <v>47.4</v>
      </c>
      <c r="E1636">
        <v>48</v>
      </c>
      <c r="F1636">
        <v>46.9</v>
      </c>
      <c r="G1636" t="s">
        <v>6</v>
      </c>
      <c r="H1636">
        <v>20.2</v>
      </c>
      <c r="I1636">
        <v>29.9</v>
      </c>
      <c r="J1636">
        <v>16.899999999999999</v>
      </c>
      <c r="K1636" t="s">
        <v>6</v>
      </c>
      <c r="L1636">
        <v>12</v>
      </c>
      <c r="M1636" t="s">
        <v>6</v>
      </c>
    </row>
    <row r="1637" spans="1:13" x14ac:dyDescent="0.2">
      <c r="A1637" s="1">
        <v>45491</v>
      </c>
      <c r="B1637" s="2">
        <v>0.58333333333333337</v>
      </c>
      <c r="C1637" s="3">
        <v>45491.583333333336</v>
      </c>
      <c r="D1637">
        <v>46.4</v>
      </c>
      <c r="E1637">
        <v>47</v>
      </c>
      <c r="F1637">
        <v>46.1</v>
      </c>
      <c r="G1637" t="s">
        <v>6</v>
      </c>
      <c r="H1637">
        <v>21</v>
      </c>
      <c r="I1637">
        <v>31.6</v>
      </c>
      <c r="J1637">
        <v>13.6</v>
      </c>
      <c r="K1637" t="s">
        <v>6</v>
      </c>
      <c r="L1637">
        <v>32</v>
      </c>
      <c r="M1637" t="s">
        <v>6</v>
      </c>
    </row>
    <row r="1638" spans="1:13" x14ac:dyDescent="0.2">
      <c r="A1638" s="1">
        <v>45491</v>
      </c>
      <c r="B1638" s="2">
        <v>0.625</v>
      </c>
      <c r="C1638" s="3">
        <v>45491.625</v>
      </c>
      <c r="D1638">
        <v>46.8</v>
      </c>
      <c r="E1638">
        <v>47.4</v>
      </c>
      <c r="F1638">
        <v>45.6</v>
      </c>
      <c r="G1638" t="s">
        <v>6</v>
      </c>
      <c r="H1638">
        <v>22.3</v>
      </c>
      <c r="I1638">
        <v>32.4</v>
      </c>
      <c r="J1638">
        <v>15.8</v>
      </c>
      <c r="K1638" t="s">
        <v>6</v>
      </c>
      <c r="L1638">
        <v>15</v>
      </c>
      <c r="M1638" t="s">
        <v>6</v>
      </c>
    </row>
    <row r="1639" spans="1:13" x14ac:dyDescent="0.2">
      <c r="A1639" s="1">
        <v>45491</v>
      </c>
      <c r="B1639" s="2">
        <v>0.66666666666666663</v>
      </c>
      <c r="C1639" s="3">
        <v>45491.666666666664</v>
      </c>
      <c r="D1639">
        <v>46.8</v>
      </c>
      <c r="E1639">
        <v>47.4</v>
      </c>
      <c r="F1639">
        <v>46.4</v>
      </c>
      <c r="G1639" t="s">
        <v>6</v>
      </c>
      <c r="H1639">
        <v>25.9</v>
      </c>
      <c r="I1639">
        <v>32.6</v>
      </c>
      <c r="J1639">
        <v>17.899999999999999</v>
      </c>
      <c r="K1639" t="s">
        <v>6</v>
      </c>
      <c r="L1639">
        <v>14</v>
      </c>
      <c r="M1639" t="s">
        <v>6</v>
      </c>
    </row>
    <row r="1640" spans="1:13" x14ac:dyDescent="0.2">
      <c r="A1640" s="1">
        <v>45491</v>
      </c>
      <c r="B1640" s="2">
        <v>0.70833333333333337</v>
      </c>
      <c r="C1640" s="3">
        <v>45491.708333333336</v>
      </c>
      <c r="D1640">
        <v>46.4</v>
      </c>
      <c r="E1640">
        <v>46.4</v>
      </c>
      <c r="F1640">
        <v>46.4</v>
      </c>
      <c r="G1640" t="s">
        <v>6</v>
      </c>
      <c r="H1640">
        <v>18.899999999999999</v>
      </c>
      <c r="I1640">
        <v>22.7</v>
      </c>
      <c r="J1640">
        <v>14.4</v>
      </c>
      <c r="K1640" t="s">
        <v>6</v>
      </c>
      <c r="L1640">
        <v>5</v>
      </c>
      <c r="M1640" t="s">
        <v>6</v>
      </c>
    </row>
    <row r="1641" spans="1:13" x14ac:dyDescent="0.2">
      <c r="A1641" s="1">
        <v>45491</v>
      </c>
      <c r="B1641" s="2">
        <v>0.75</v>
      </c>
      <c r="C1641" s="3">
        <v>45491.75</v>
      </c>
      <c r="D1641">
        <v>45.9</v>
      </c>
      <c r="E1641">
        <v>46.4</v>
      </c>
      <c r="F1641">
        <v>45.7</v>
      </c>
      <c r="G1641" t="s">
        <v>6</v>
      </c>
      <c r="H1641">
        <v>17.3</v>
      </c>
      <c r="I1641">
        <v>21.7</v>
      </c>
      <c r="J1641">
        <v>13</v>
      </c>
      <c r="K1641" t="s">
        <v>6</v>
      </c>
      <c r="L1641">
        <v>7</v>
      </c>
      <c r="M1641" t="s">
        <v>6</v>
      </c>
    </row>
    <row r="1642" spans="1:13" x14ac:dyDescent="0.2">
      <c r="A1642" s="1">
        <v>45491</v>
      </c>
      <c r="B1642" s="2">
        <v>0.79166666666666663</v>
      </c>
      <c r="C1642" s="3">
        <v>45491.791666666664</v>
      </c>
      <c r="D1642">
        <v>43.7</v>
      </c>
      <c r="E1642">
        <v>43.7</v>
      </c>
      <c r="F1642">
        <v>43.7</v>
      </c>
      <c r="G1642" t="s">
        <v>6</v>
      </c>
      <c r="H1642">
        <v>12.3</v>
      </c>
      <c r="I1642">
        <v>12.3</v>
      </c>
      <c r="J1642">
        <v>12.3</v>
      </c>
      <c r="K1642" t="s">
        <v>6</v>
      </c>
      <c r="L1642">
        <v>1</v>
      </c>
      <c r="M1642" t="s">
        <v>6</v>
      </c>
    </row>
    <row r="1643" spans="1:13" x14ac:dyDescent="0.2">
      <c r="A1643" s="1">
        <v>45491</v>
      </c>
      <c r="B1643" s="2">
        <v>0.83333333333333337</v>
      </c>
      <c r="C1643" s="3">
        <v>45491.833333333336</v>
      </c>
      <c r="D1643">
        <v>45.5</v>
      </c>
      <c r="E1643">
        <v>51.4</v>
      </c>
      <c r="F1643">
        <v>43.5</v>
      </c>
      <c r="G1643" t="s">
        <v>6</v>
      </c>
      <c r="H1643">
        <v>16.3</v>
      </c>
      <c r="I1643">
        <v>21.5</v>
      </c>
      <c r="J1643">
        <v>11.8</v>
      </c>
      <c r="K1643" t="s">
        <v>6</v>
      </c>
      <c r="L1643">
        <v>111</v>
      </c>
      <c r="M1643" t="s">
        <v>6</v>
      </c>
    </row>
    <row r="1644" spans="1:13" x14ac:dyDescent="0.2">
      <c r="A1644" s="1">
        <v>45491</v>
      </c>
      <c r="B1644" s="2">
        <v>0.875</v>
      </c>
      <c r="C1644" s="3">
        <v>45491.875</v>
      </c>
      <c r="D1644">
        <v>44.9</v>
      </c>
      <c r="E1644">
        <v>51.3</v>
      </c>
      <c r="F1644">
        <v>42.1</v>
      </c>
      <c r="G1644" t="s">
        <v>6</v>
      </c>
      <c r="H1644">
        <v>21.6</v>
      </c>
      <c r="I1644">
        <v>34.299999999999997</v>
      </c>
      <c r="J1644">
        <v>11.8</v>
      </c>
      <c r="K1644" t="s">
        <v>6</v>
      </c>
      <c r="L1644">
        <v>215</v>
      </c>
      <c r="M1644" t="s">
        <v>6</v>
      </c>
    </row>
    <row r="1645" spans="1:13" x14ac:dyDescent="0.2">
      <c r="A1645" s="1">
        <v>45491</v>
      </c>
      <c r="B1645" s="2">
        <v>0.91666666666666663</v>
      </c>
      <c r="C1645" s="3">
        <v>45491.916666666664</v>
      </c>
      <c r="D1645">
        <v>46.4</v>
      </c>
      <c r="E1645">
        <v>50.7</v>
      </c>
      <c r="F1645">
        <v>41.3</v>
      </c>
      <c r="G1645" t="s">
        <v>6</v>
      </c>
      <c r="H1645">
        <v>15.6</v>
      </c>
      <c r="I1645">
        <v>31.7</v>
      </c>
      <c r="J1645">
        <v>12.1</v>
      </c>
      <c r="K1645" t="s">
        <v>6</v>
      </c>
      <c r="L1645">
        <v>216</v>
      </c>
      <c r="M1645" t="s">
        <v>6</v>
      </c>
    </row>
    <row r="1646" spans="1:13" x14ac:dyDescent="0.2">
      <c r="A1646" s="1">
        <v>45491</v>
      </c>
      <c r="B1646" s="2">
        <v>0.95833333333333337</v>
      </c>
      <c r="C1646" s="3">
        <v>45491.958333333336</v>
      </c>
      <c r="D1646">
        <v>47.9</v>
      </c>
      <c r="E1646">
        <v>53.6</v>
      </c>
      <c r="F1646">
        <v>41.7</v>
      </c>
      <c r="G1646" t="s">
        <v>6</v>
      </c>
      <c r="H1646">
        <v>14.3</v>
      </c>
      <c r="I1646">
        <v>24.5</v>
      </c>
      <c r="J1646">
        <v>11.8</v>
      </c>
      <c r="K1646" t="s">
        <v>6</v>
      </c>
      <c r="L1646">
        <v>220</v>
      </c>
      <c r="M1646" t="s">
        <v>6</v>
      </c>
    </row>
    <row r="1647" spans="1:13" x14ac:dyDescent="0.2">
      <c r="A1647" s="1">
        <v>45492</v>
      </c>
      <c r="B1647" s="2">
        <v>0</v>
      </c>
      <c r="C1647" s="3">
        <v>45492</v>
      </c>
      <c r="D1647">
        <v>46.3</v>
      </c>
      <c r="E1647">
        <v>51.2</v>
      </c>
      <c r="F1647">
        <v>40.9</v>
      </c>
      <c r="G1647" t="s">
        <v>6</v>
      </c>
      <c r="H1647">
        <v>13.9</v>
      </c>
      <c r="I1647">
        <v>24.3</v>
      </c>
      <c r="J1647">
        <v>11.6</v>
      </c>
      <c r="K1647" t="s">
        <v>6</v>
      </c>
      <c r="L1647">
        <v>225</v>
      </c>
      <c r="M1647" t="s">
        <v>6</v>
      </c>
    </row>
    <row r="1648" spans="1:13" x14ac:dyDescent="0.2">
      <c r="A1648" s="1">
        <v>45492</v>
      </c>
      <c r="B1648" s="2">
        <v>4.1666666666666664E-2</v>
      </c>
      <c r="C1648" s="3">
        <v>45492.041666666664</v>
      </c>
      <c r="D1648">
        <v>44.2</v>
      </c>
      <c r="E1648">
        <v>47.9</v>
      </c>
      <c r="F1648">
        <v>40.299999999999997</v>
      </c>
      <c r="G1648" t="s">
        <v>6</v>
      </c>
      <c r="H1648">
        <v>13.4</v>
      </c>
      <c r="I1648">
        <v>25.5</v>
      </c>
      <c r="J1648">
        <v>11.2</v>
      </c>
      <c r="K1648" t="s">
        <v>6</v>
      </c>
      <c r="L1648">
        <v>216</v>
      </c>
      <c r="M1648" t="s">
        <v>6</v>
      </c>
    </row>
    <row r="1649" spans="1:13" x14ac:dyDescent="0.2">
      <c r="A1649" s="1">
        <v>45492</v>
      </c>
      <c r="B1649" s="2">
        <v>8.3333333333333329E-2</v>
      </c>
      <c r="C1649" s="3">
        <v>45492.083333333336</v>
      </c>
      <c r="D1649">
        <v>45.5</v>
      </c>
      <c r="E1649">
        <v>52.1</v>
      </c>
      <c r="F1649">
        <v>42.3</v>
      </c>
      <c r="G1649" t="s">
        <v>6</v>
      </c>
      <c r="H1649">
        <v>13.4</v>
      </c>
      <c r="I1649">
        <v>23.4</v>
      </c>
      <c r="J1649">
        <v>11.3</v>
      </c>
      <c r="K1649" t="s">
        <v>6</v>
      </c>
      <c r="L1649">
        <v>229</v>
      </c>
      <c r="M1649" t="s">
        <v>6</v>
      </c>
    </row>
    <row r="1650" spans="1:13" x14ac:dyDescent="0.2">
      <c r="A1650" s="1">
        <v>45492</v>
      </c>
      <c r="B1650" s="2">
        <v>0.125</v>
      </c>
      <c r="C1650" s="3">
        <v>45492.125</v>
      </c>
      <c r="D1650">
        <v>46.5</v>
      </c>
      <c r="E1650">
        <v>57.9</v>
      </c>
      <c r="F1650">
        <v>41</v>
      </c>
      <c r="G1650" t="s">
        <v>6</v>
      </c>
      <c r="H1650">
        <v>13.3</v>
      </c>
      <c r="I1650">
        <v>25.6</v>
      </c>
      <c r="J1650">
        <v>10.8</v>
      </c>
      <c r="K1650" t="s">
        <v>6</v>
      </c>
      <c r="L1650">
        <v>213</v>
      </c>
      <c r="M1650" t="s">
        <v>6</v>
      </c>
    </row>
    <row r="1651" spans="1:13" x14ac:dyDescent="0.2">
      <c r="A1651" s="1">
        <v>45492</v>
      </c>
      <c r="B1651" s="2">
        <v>0.16666666666666666</v>
      </c>
      <c r="C1651" s="3">
        <v>45492.166666666664</v>
      </c>
      <c r="D1651">
        <v>45.2</v>
      </c>
      <c r="E1651">
        <v>49.3</v>
      </c>
      <c r="F1651">
        <v>41.6</v>
      </c>
      <c r="G1651" t="s">
        <v>6</v>
      </c>
      <c r="H1651">
        <v>12.3</v>
      </c>
      <c r="I1651">
        <v>17.7</v>
      </c>
      <c r="J1651">
        <v>10.1</v>
      </c>
      <c r="K1651" t="s">
        <v>6</v>
      </c>
      <c r="L1651">
        <v>227</v>
      </c>
      <c r="M1651" t="s">
        <v>6</v>
      </c>
    </row>
    <row r="1652" spans="1:13" x14ac:dyDescent="0.2">
      <c r="A1652" s="1">
        <v>45492</v>
      </c>
      <c r="B1652" s="2">
        <v>0.20833333333333334</v>
      </c>
      <c r="C1652" s="3">
        <v>45492.208333333336</v>
      </c>
      <c r="D1652">
        <v>44.8</v>
      </c>
      <c r="E1652">
        <v>48</v>
      </c>
      <c r="F1652">
        <v>42.1</v>
      </c>
      <c r="G1652" t="s">
        <v>6</v>
      </c>
      <c r="H1652">
        <v>13.8</v>
      </c>
      <c r="I1652">
        <v>30.6</v>
      </c>
      <c r="J1652">
        <v>10.7</v>
      </c>
      <c r="K1652" t="s">
        <v>6</v>
      </c>
      <c r="L1652">
        <v>209</v>
      </c>
      <c r="M1652" t="s">
        <v>6</v>
      </c>
    </row>
    <row r="1653" spans="1:13" x14ac:dyDescent="0.2">
      <c r="A1653" s="1">
        <v>45492</v>
      </c>
      <c r="B1653" s="2">
        <v>0.25</v>
      </c>
      <c r="C1653" s="3">
        <v>45492.25</v>
      </c>
      <c r="D1653">
        <v>56.1</v>
      </c>
      <c r="E1653">
        <v>71.8</v>
      </c>
      <c r="F1653">
        <v>45.4</v>
      </c>
      <c r="G1653" t="s">
        <v>6</v>
      </c>
      <c r="H1653">
        <v>32.9</v>
      </c>
      <c r="I1653">
        <v>35</v>
      </c>
      <c r="J1653">
        <v>20</v>
      </c>
      <c r="K1653" t="s">
        <v>6</v>
      </c>
      <c r="L1653">
        <v>79</v>
      </c>
      <c r="M1653" t="s">
        <v>6</v>
      </c>
    </row>
    <row r="1654" spans="1:13" x14ac:dyDescent="0.2">
      <c r="A1654" s="1">
        <v>45492</v>
      </c>
      <c r="B1654" s="2">
        <v>0.29166666666666669</v>
      </c>
      <c r="C1654" s="3">
        <v>45492.291666666664</v>
      </c>
      <c r="D1654">
        <v>74.099999999999994</v>
      </c>
      <c r="E1654">
        <v>83.5</v>
      </c>
      <c r="F1654">
        <v>64.3</v>
      </c>
      <c r="G1654" t="s">
        <v>6</v>
      </c>
      <c r="H1654">
        <v>34.6</v>
      </c>
      <c r="I1654">
        <v>35.5</v>
      </c>
      <c r="J1654">
        <v>33.299999999999997</v>
      </c>
      <c r="K1654" t="s">
        <v>6</v>
      </c>
      <c r="L1654">
        <v>85</v>
      </c>
      <c r="M1654" t="s">
        <v>6</v>
      </c>
    </row>
    <row r="1655" spans="1:13" x14ac:dyDescent="0.2">
      <c r="A1655" s="13">
        <v>45492</v>
      </c>
      <c r="B1655" s="9">
        <v>0.33333333333333331</v>
      </c>
      <c r="C1655" s="8">
        <v>45492.333333333336</v>
      </c>
      <c r="D1655" s="10">
        <v>70.7</v>
      </c>
      <c r="E1655" s="10">
        <v>79.599999999999994</v>
      </c>
      <c r="F1655" s="10">
        <v>62.2</v>
      </c>
      <c r="G1655" s="10" t="s">
        <v>6</v>
      </c>
      <c r="H1655" s="10">
        <v>25.3</v>
      </c>
      <c r="I1655" s="10">
        <v>35.299999999999997</v>
      </c>
      <c r="J1655" s="10">
        <v>10.8</v>
      </c>
      <c r="K1655" s="10" t="s">
        <v>6</v>
      </c>
      <c r="L1655" s="10">
        <v>121</v>
      </c>
      <c r="M1655" t="s">
        <v>6</v>
      </c>
    </row>
    <row r="1656" spans="1:13" x14ac:dyDescent="0.2">
      <c r="A1656" s="14">
        <v>45492</v>
      </c>
      <c r="B1656" s="12">
        <v>0.375</v>
      </c>
      <c r="C1656" s="7">
        <v>45492.375</v>
      </c>
      <c r="D1656" s="11">
        <v>71.599999999999994</v>
      </c>
      <c r="E1656" s="11">
        <v>79.5</v>
      </c>
      <c r="F1656" s="11">
        <v>57.5</v>
      </c>
      <c r="G1656" s="11" t="s">
        <v>6</v>
      </c>
      <c r="H1656" s="11">
        <v>34.5</v>
      </c>
      <c r="I1656" s="11">
        <v>35.799999999999997</v>
      </c>
      <c r="J1656" s="11">
        <v>32.200000000000003</v>
      </c>
      <c r="K1656" s="11" t="s">
        <v>6</v>
      </c>
      <c r="L1656" s="11">
        <v>106</v>
      </c>
      <c r="M1656" t="s">
        <v>6</v>
      </c>
    </row>
    <row r="1657" spans="1:13" x14ac:dyDescent="0.2">
      <c r="A1657" s="1">
        <v>45492</v>
      </c>
      <c r="B1657" s="2">
        <v>0.41666666666666669</v>
      </c>
      <c r="C1657" s="3">
        <v>45492.416666666664</v>
      </c>
      <c r="D1657">
        <v>69.900000000000006</v>
      </c>
      <c r="E1657">
        <v>78.7</v>
      </c>
      <c r="F1657">
        <v>57.7</v>
      </c>
      <c r="G1657" t="s">
        <v>6</v>
      </c>
      <c r="H1657">
        <v>34.5</v>
      </c>
      <c r="I1657">
        <v>35.6</v>
      </c>
      <c r="J1657">
        <v>32.4</v>
      </c>
      <c r="K1657" t="s">
        <v>6</v>
      </c>
      <c r="L1657">
        <v>79</v>
      </c>
      <c r="M1657" t="s">
        <v>6</v>
      </c>
    </row>
    <row r="1658" spans="1:13" x14ac:dyDescent="0.2">
      <c r="A1658" s="1">
        <v>45492</v>
      </c>
      <c r="B1658" s="2">
        <v>0.45833333333333331</v>
      </c>
      <c r="C1658" s="3">
        <v>45492.458333333336</v>
      </c>
      <c r="D1658">
        <v>65</v>
      </c>
      <c r="E1658">
        <v>76.5</v>
      </c>
      <c r="F1658">
        <v>53.6</v>
      </c>
      <c r="G1658" t="s">
        <v>6</v>
      </c>
      <c r="H1658">
        <v>34.4</v>
      </c>
      <c r="I1658">
        <v>35.299999999999997</v>
      </c>
      <c r="J1658">
        <v>31.5</v>
      </c>
      <c r="K1658" t="s">
        <v>6</v>
      </c>
      <c r="L1658">
        <v>95</v>
      </c>
      <c r="M1658" t="s">
        <v>6</v>
      </c>
    </row>
    <row r="1659" spans="1:13" x14ac:dyDescent="0.2">
      <c r="A1659" s="1">
        <v>45492</v>
      </c>
      <c r="B1659" s="2">
        <v>0.5</v>
      </c>
      <c r="C1659" s="3">
        <v>45492.5</v>
      </c>
      <c r="D1659">
        <v>66.400000000000006</v>
      </c>
      <c r="E1659">
        <v>77</v>
      </c>
      <c r="F1659">
        <v>56.6</v>
      </c>
      <c r="G1659" t="s">
        <v>6</v>
      </c>
      <c r="H1659">
        <v>34.5</v>
      </c>
      <c r="I1659">
        <v>35.6</v>
      </c>
      <c r="J1659">
        <v>32.1</v>
      </c>
      <c r="K1659" t="s">
        <v>6</v>
      </c>
      <c r="L1659">
        <v>87</v>
      </c>
      <c r="M1659" t="s">
        <v>6</v>
      </c>
    </row>
    <row r="1660" spans="1:13" x14ac:dyDescent="0.2">
      <c r="A1660" s="1">
        <v>45492</v>
      </c>
      <c r="B1660" s="2">
        <v>0.54166666666666663</v>
      </c>
      <c r="C1660" s="3">
        <v>45492.541666666664</v>
      </c>
      <c r="D1660">
        <v>66.5</v>
      </c>
      <c r="E1660">
        <v>73.5</v>
      </c>
      <c r="F1660">
        <v>58.6</v>
      </c>
      <c r="G1660" t="s">
        <v>6</v>
      </c>
      <c r="H1660">
        <v>15.4</v>
      </c>
      <c r="I1660">
        <v>35.200000000000003</v>
      </c>
      <c r="J1660">
        <v>8.6999999999999993</v>
      </c>
      <c r="K1660" t="s">
        <v>6</v>
      </c>
      <c r="L1660">
        <v>182</v>
      </c>
      <c r="M1660" t="s">
        <v>6</v>
      </c>
    </row>
    <row r="1661" spans="1:13" x14ac:dyDescent="0.2">
      <c r="A1661" s="1">
        <v>45492</v>
      </c>
      <c r="B1661" s="2">
        <v>0.58333333333333337</v>
      </c>
      <c r="C1661" s="3">
        <v>45492.583333333336</v>
      </c>
      <c r="D1661">
        <v>72.8</v>
      </c>
      <c r="E1661">
        <v>78.3</v>
      </c>
      <c r="F1661">
        <v>68</v>
      </c>
      <c r="G1661" t="s">
        <v>6</v>
      </c>
      <c r="H1661">
        <v>24.5</v>
      </c>
      <c r="I1661">
        <v>35.200000000000003</v>
      </c>
      <c r="J1661">
        <v>9.3000000000000007</v>
      </c>
      <c r="K1661" t="s">
        <v>6</v>
      </c>
      <c r="L1661">
        <v>126</v>
      </c>
      <c r="M1661" t="s">
        <v>6</v>
      </c>
    </row>
    <row r="1662" spans="1:13" x14ac:dyDescent="0.2">
      <c r="A1662" s="1">
        <v>45492</v>
      </c>
      <c r="B1662" s="2">
        <v>0.625</v>
      </c>
      <c r="C1662" s="3">
        <v>45492.625</v>
      </c>
      <c r="D1662">
        <v>71.400000000000006</v>
      </c>
      <c r="E1662">
        <v>79.2</v>
      </c>
      <c r="F1662">
        <v>61.9</v>
      </c>
      <c r="G1662" t="s">
        <v>6</v>
      </c>
      <c r="H1662">
        <v>17.899999999999999</v>
      </c>
      <c r="I1662">
        <v>34.799999999999997</v>
      </c>
      <c r="J1662">
        <v>10.1</v>
      </c>
      <c r="K1662" t="s">
        <v>6</v>
      </c>
      <c r="L1662">
        <v>148</v>
      </c>
      <c r="M1662" t="s">
        <v>6</v>
      </c>
    </row>
    <row r="1663" spans="1:13" x14ac:dyDescent="0.2">
      <c r="A1663" s="1">
        <v>45492</v>
      </c>
      <c r="B1663" s="2">
        <v>0.66666666666666663</v>
      </c>
      <c r="C1663" s="3">
        <v>45492.666666666664</v>
      </c>
      <c r="D1663">
        <v>68</v>
      </c>
      <c r="E1663">
        <v>76.7</v>
      </c>
      <c r="F1663">
        <v>56.3</v>
      </c>
      <c r="G1663" t="s">
        <v>6</v>
      </c>
      <c r="H1663">
        <v>16.3</v>
      </c>
      <c r="I1663">
        <v>33.799999999999997</v>
      </c>
      <c r="J1663">
        <v>8.9</v>
      </c>
      <c r="K1663" t="s">
        <v>6</v>
      </c>
      <c r="L1663">
        <v>205</v>
      </c>
      <c r="M1663" t="s">
        <v>6</v>
      </c>
    </row>
    <row r="1664" spans="1:13" x14ac:dyDescent="0.2">
      <c r="A1664" s="1">
        <v>45492</v>
      </c>
      <c r="B1664" s="2">
        <v>0.70833333333333337</v>
      </c>
      <c r="C1664" s="3">
        <v>45492.708333333336</v>
      </c>
      <c r="D1664">
        <v>60.4</v>
      </c>
      <c r="E1664">
        <v>72.599999999999994</v>
      </c>
      <c r="F1664">
        <v>51.8</v>
      </c>
      <c r="G1664" t="s">
        <v>6</v>
      </c>
      <c r="H1664">
        <v>33.9</v>
      </c>
      <c r="I1664">
        <v>35</v>
      </c>
      <c r="J1664">
        <v>30.8</v>
      </c>
      <c r="K1664" t="s">
        <v>6</v>
      </c>
      <c r="L1664">
        <v>49</v>
      </c>
      <c r="M1664" t="s">
        <v>6</v>
      </c>
    </row>
    <row r="1665" spans="1:13" x14ac:dyDescent="0.2">
      <c r="A1665" s="1">
        <v>45492</v>
      </c>
      <c r="B1665" s="2">
        <v>0.75</v>
      </c>
      <c r="C1665" s="3">
        <v>45492.75</v>
      </c>
      <c r="D1665">
        <v>57.2</v>
      </c>
      <c r="E1665">
        <v>59.1</v>
      </c>
      <c r="F1665">
        <v>53</v>
      </c>
      <c r="G1665" t="s">
        <v>6</v>
      </c>
      <c r="H1665">
        <v>33.9</v>
      </c>
      <c r="I1665">
        <v>35.200000000000003</v>
      </c>
      <c r="J1665">
        <v>27.9</v>
      </c>
      <c r="K1665" t="s">
        <v>6</v>
      </c>
      <c r="L1665">
        <v>46</v>
      </c>
      <c r="M1665" t="s">
        <v>6</v>
      </c>
    </row>
    <row r="1666" spans="1:13" x14ac:dyDescent="0.2">
      <c r="A1666" s="1">
        <v>45492</v>
      </c>
      <c r="B1666" s="2">
        <v>0.79166666666666663</v>
      </c>
      <c r="C1666" s="3">
        <v>45492.791666666664</v>
      </c>
      <c r="D1666">
        <v>57.5</v>
      </c>
      <c r="E1666">
        <v>61.3</v>
      </c>
      <c r="F1666">
        <v>53</v>
      </c>
      <c r="G1666" t="s">
        <v>6</v>
      </c>
      <c r="H1666">
        <v>31.5</v>
      </c>
      <c r="I1666">
        <v>36.700000000000003</v>
      </c>
      <c r="J1666">
        <v>21.8</v>
      </c>
      <c r="K1666" t="s">
        <v>6</v>
      </c>
      <c r="L1666">
        <v>162</v>
      </c>
      <c r="M1666" t="s">
        <v>6</v>
      </c>
    </row>
    <row r="1667" spans="1:13" x14ac:dyDescent="0.2">
      <c r="A1667" s="1">
        <v>45492</v>
      </c>
      <c r="B1667" s="2">
        <v>0.83333333333333337</v>
      </c>
      <c r="C1667" s="3">
        <v>45492.833333333336</v>
      </c>
      <c r="D1667">
        <v>50.1</v>
      </c>
      <c r="E1667">
        <v>58.5</v>
      </c>
      <c r="F1667">
        <v>44.4</v>
      </c>
      <c r="G1667" t="s">
        <v>6</v>
      </c>
      <c r="H1667">
        <v>16.7</v>
      </c>
      <c r="I1667">
        <v>28.3</v>
      </c>
      <c r="J1667">
        <v>11.2</v>
      </c>
      <c r="K1667" t="s">
        <v>6</v>
      </c>
      <c r="L1667">
        <v>221</v>
      </c>
      <c r="M1667" t="s">
        <v>6</v>
      </c>
    </row>
    <row r="1668" spans="1:13" x14ac:dyDescent="0.2">
      <c r="A1668" s="1">
        <v>45492</v>
      </c>
      <c r="B1668" s="2">
        <v>0.875</v>
      </c>
      <c r="C1668" s="3">
        <v>45492.875</v>
      </c>
      <c r="D1668">
        <v>45.2</v>
      </c>
      <c r="E1668">
        <v>55.9</v>
      </c>
      <c r="F1668">
        <v>42.4</v>
      </c>
      <c r="G1668" t="s">
        <v>6</v>
      </c>
      <c r="H1668">
        <v>12.9</v>
      </c>
      <c r="I1668">
        <v>20</v>
      </c>
      <c r="J1668">
        <v>11.2</v>
      </c>
      <c r="K1668" t="s">
        <v>6</v>
      </c>
      <c r="L1668">
        <v>225</v>
      </c>
      <c r="M1668" t="s">
        <v>6</v>
      </c>
    </row>
    <row r="1669" spans="1:13" x14ac:dyDescent="0.2">
      <c r="A1669" s="1">
        <v>45492</v>
      </c>
      <c r="B1669" s="2">
        <v>0.91666666666666663</v>
      </c>
      <c r="C1669" s="3">
        <v>45492.916666666664</v>
      </c>
      <c r="D1669">
        <v>43.8</v>
      </c>
      <c r="E1669">
        <v>46.4</v>
      </c>
      <c r="F1669">
        <v>40.5</v>
      </c>
      <c r="G1669" t="s">
        <v>6</v>
      </c>
      <c r="H1669">
        <v>12.4</v>
      </c>
      <c r="I1669">
        <v>15.1</v>
      </c>
      <c r="J1669">
        <v>11</v>
      </c>
      <c r="K1669" t="s">
        <v>6</v>
      </c>
      <c r="L1669">
        <v>216</v>
      </c>
      <c r="M1669" t="s">
        <v>6</v>
      </c>
    </row>
    <row r="1670" spans="1:13" x14ac:dyDescent="0.2">
      <c r="A1670" s="1">
        <v>45492</v>
      </c>
      <c r="B1670" s="2">
        <v>0.95833333333333337</v>
      </c>
      <c r="C1670" s="3">
        <v>45492.958333333336</v>
      </c>
      <c r="D1670">
        <v>52.3</v>
      </c>
      <c r="E1670">
        <v>61.7</v>
      </c>
      <c r="F1670">
        <v>41.3</v>
      </c>
      <c r="G1670" t="s">
        <v>6</v>
      </c>
      <c r="H1670">
        <v>12.2</v>
      </c>
      <c r="I1670">
        <v>18.3</v>
      </c>
      <c r="J1670">
        <v>10.4</v>
      </c>
      <c r="K1670" t="s">
        <v>6</v>
      </c>
      <c r="L1670">
        <v>213</v>
      </c>
      <c r="M1670" t="s">
        <v>6</v>
      </c>
    </row>
    <row r="1671" spans="1:13" x14ac:dyDescent="0.2">
      <c r="A1671" s="1">
        <v>45493</v>
      </c>
      <c r="B1671" s="2">
        <v>0</v>
      </c>
      <c r="C1671" s="3">
        <v>45493</v>
      </c>
      <c r="D1671">
        <v>45.3</v>
      </c>
      <c r="E1671">
        <v>54</v>
      </c>
      <c r="F1671">
        <v>40.5</v>
      </c>
      <c r="G1671" t="s">
        <v>6</v>
      </c>
      <c r="H1671">
        <v>12.4</v>
      </c>
      <c r="I1671">
        <v>18.600000000000001</v>
      </c>
      <c r="J1671">
        <v>10.4</v>
      </c>
      <c r="K1671" t="s">
        <v>6</v>
      </c>
      <c r="L1671">
        <v>218</v>
      </c>
      <c r="M1671" t="s">
        <v>6</v>
      </c>
    </row>
    <row r="1672" spans="1:13" x14ac:dyDescent="0.2">
      <c r="A1672" s="1">
        <v>45493</v>
      </c>
      <c r="B1672" s="2">
        <v>4.1666666666666664E-2</v>
      </c>
      <c r="C1672" s="3">
        <v>45493.041666666664</v>
      </c>
      <c r="D1672">
        <v>43.7</v>
      </c>
      <c r="E1672">
        <v>48.2</v>
      </c>
      <c r="F1672">
        <v>41.6</v>
      </c>
      <c r="G1672" t="s">
        <v>6</v>
      </c>
      <c r="H1672">
        <v>14.8</v>
      </c>
      <c r="I1672">
        <v>23.2</v>
      </c>
      <c r="J1672">
        <v>10.4</v>
      </c>
      <c r="K1672" t="s">
        <v>6</v>
      </c>
      <c r="L1672">
        <v>217</v>
      </c>
      <c r="M1672" t="s">
        <v>6</v>
      </c>
    </row>
    <row r="1673" spans="1:13" x14ac:dyDescent="0.2">
      <c r="A1673" s="1">
        <v>45493</v>
      </c>
      <c r="B1673" s="2">
        <v>8.3333333333333329E-2</v>
      </c>
      <c r="C1673" s="3">
        <v>45493.083333333336</v>
      </c>
      <c r="D1673">
        <v>40.9</v>
      </c>
      <c r="E1673">
        <v>43.4</v>
      </c>
      <c r="F1673">
        <v>40.1</v>
      </c>
      <c r="G1673" t="s">
        <v>6</v>
      </c>
      <c r="H1673">
        <v>12.2</v>
      </c>
      <c r="I1673">
        <v>15.7</v>
      </c>
      <c r="J1673">
        <v>10.7</v>
      </c>
      <c r="K1673" t="s">
        <v>6</v>
      </c>
      <c r="L1673">
        <v>86</v>
      </c>
      <c r="M1673" t="s">
        <v>6</v>
      </c>
    </row>
    <row r="1674" spans="1:13" x14ac:dyDescent="0.2">
      <c r="A1674" s="1">
        <v>45493</v>
      </c>
      <c r="B1674" s="2">
        <v>0.125</v>
      </c>
      <c r="C1674" s="3">
        <v>45493.125</v>
      </c>
      <c r="D1674">
        <v>41.3</v>
      </c>
      <c r="E1674">
        <v>44.4</v>
      </c>
      <c r="F1674">
        <v>40.1</v>
      </c>
      <c r="G1674" t="s">
        <v>6</v>
      </c>
      <c r="H1674">
        <v>14.6</v>
      </c>
      <c r="I1674">
        <v>23</v>
      </c>
      <c r="J1674">
        <v>11.2</v>
      </c>
      <c r="K1674" t="s">
        <v>6</v>
      </c>
      <c r="L1674">
        <v>167</v>
      </c>
      <c r="M1674" t="s">
        <v>6</v>
      </c>
    </row>
    <row r="1675" spans="1:13" x14ac:dyDescent="0.2">
      <c r="A1675" s="1">
        <v>45493</v>
      </c>
      <c r="B1675" s="2">
        <v>0.16666666666666666</v>
      </c>
      <c r="C1675" s="3">
        <v>45493.166666666664</v>
      </c>
      <c r="D1675">
        <v>44.9</v>
      </c>
      <c r="E1675">
        <v>50.1</v>
      </c>
      <c r="F1675">
        <v>40.1</v>
      </c>
      <c r="G1675" t="s">
        <v>6</v>
      </c>
      <c r="H1675">
        <v>11.8</v>
      </c>
      <c r="I1675">
        <v>15</v>
      </c>
      <c r="J1675">
        <v>10.5</v>
      </c>
      <c r="K1675" t="s">
        <v>6</v>
      </c>
      <c r="L1675">
        <v>150</v>
      </c>
      <c r="M1675" t="s">
        <v>6</v>
      </c>
    </row>
    <row r="1676" spans="1:13" x14ac:dyDescent="0.2">
      <c r="A1676" s="1">
        <v>45493</v>
      </c>
      <c r="B1676" s="2">
        <v>0.20833333333333334</v>
      </c>
      <c r="C1676" s="3">
        <v>45493.208333333336</v>
      </c>
      <c r="D1676">
        <v>45.5</v>
      </c>
      <c r="E1676">
        <v>51.3</v>
      </c>
      <c r="F1676">
        <v>40.1</v>
      </c>
      <c r="G1676" t="s">
        <v>6</v>
      </c>
      <c r="H1676">
        <v>11.9</v>
      </c>
      <c r="I1676">
        <v>15</v>
      </c>
      <c r="J1676">
        <v>10.4</v>
      </c>
      <c r="K1676" t="s">
        <v>6</v>
      </c>
      <c r="L1676">
        <v>221</v>
      </c>
      <c r="M1676" t="s">
        <v>6</v>
      </c>
    </row>
    <row r="1677" spans="1:13" x14ac:dyDescent="0.2">
      <c r="A1677" s="1">
        <v>45493</v>
      </c>
      <c r="B1677" s="2">
        <v>0.25</v>
      </c>
      <c r="C1677" s="3">
        <v>45493.25</v>
      </c>
      <c r="D1677">
        <v>50.1</v>
      </c>
      <c r="E1677">
        <v>56.4</v>
      </c>
      <c r="F1677">
        <v>44.9</v>
      </c>
      <c r="G1677" t="s">
        <v>6</v>
      </c>
      <c r="H1677">
        <v>14.6</v>
      </c>
      <c r="I1677">
        <v>29.7</v>
      </c>
      <c r="J1677">
        <v>11.1</v>
      </c>
      <c r="K1677" t="s">
        <v>6</v>
      </c>
      <c r="L1677">
        <v>193</v>
      </c>
      <c r="M1677" t="s">
        <v>6</v>
      </c>
    </row>
    <row r="1678" spans="1:13" x14ac:dyDescent="0.2">
      <c r="A1678" s="13">
        <v>45493</v>
      </c>
      <c r="B1678" s="9">
        <v>0.29166666666666669</v>
      </c>
      <c r="C1678" s="8">
        <v>45493.291666666664</v>
      </c>
      <c r="D1678" s="10">
        <v>49.9</v>
      </c>
      <c r="E1678" s="10">
        <v>50.5</v>
      </c>
      <c r="F1678" s="10">
        <v>48.6</v>
      </c>
      <c r="G1678" s="10" t="s">
        <v>6</v>
      </c>
      <c r="H1678" s="10">
        <v>22.9</v>
      </c>
      <c r="I1678" s="10">
        <v>34</v>
      </c>
      <c r="J1678" s="10">
        <v>15.2</v>
      </c>
      <c r="K1678" s="10" t="s">
        <v>6</v>
      </c>
      <c r="L1678" s="10">
        <v>26</v>
      </c>
      <c r="M1678" t="s">
        <v>6</v>
      </c>
    </row>
    <row r="1679" spans="1:13" x14ac:dyDescent="0.2">
      <c r="A1679" s="14">
        <v>45493</v>
      </c>
      <c r="B1679" s="12">
        <v>0.375</v>
      </c>
      <c r="C1679" s="7">
        <v>45493.375</v>
      </c>
      <c r="D1679" s="11">
        <v>52.3</v>
      </c>
      <c r="E1679" s="11">
        <v>55.7</v>
      </c>
      <c r="F1679" s="11">
        <v>47.6</v>
      </c>
      <c r="G1679" s="11" t="s">
        <v>6</v>
      </c>
      <c r="H1679" s="11">
        <v>14.1</v>
      </c>
      <c r="I1679" s="11">
        <v>19.3</v>
      </c>
      <c r="J1679" s="11">
        <v>10.9</v>
      </c>
      <c r="K1679" s="11" t="s">
        <v>6</v>
      </c>
      <c r="L1679" s="11">
        <v>52</v>
      </c>
      <c r="M1679" t="s">
        <v>6</v>
      </c>
    </row>
    <row r="1680" spans="1:13" x14ac:dyDescent="0.2">
      <c r="A1680" s="1">
        <v>45493</v>
      </c>
      <c r="B1680" s="2">
        <v>0.41666666666666669</v>
      </c>
      <c r="C1680" s="3">
        <v>45493.416666666664</v>
      </c>
      <c r="D1680">
        <v>59.4</v>
      </c>
      <c r="E1680">
        <v>66</v>
      </c>
      <c r="F1680">
        <v>55.1</v>
      </c>
      <c r="G1680" t="s">
        <v>6</v>
      </c>
      <c r="H1680">
        <v>12.6</v>
      </c>
      <c r="I1680">
        <v>17.600000000000001</v>
      </c>
      <c r="J1680">
        <v>10.6</v>
      </c>
      <c r="K1680" t="s">
        <v>6</v>
      </c>
      <c r="L1680">
        <v>133</v>
      </c>
      <c r="M1680" t="s">
        <v>6</v>
      </c>
    </row>
    <row r="1681" spans="1:13" x14ac:dyDescent="0.2">
      <c r="A1681" s="1">
        <v>45493</v>
      </c>
      <c r="B1681" s="2">
        <v>0.45833333333333331</v>
      </c>
      <c r="C1681" s="3">
        <v>45493.458333333336</v>
      </c>
      <c r="D1681">
        <v>59.4</v>
      </c>
      <c r="E1681">
        <v>65.900000000000006</v>
      </c>
      <c r="F1681">
        <v>54.8</v>
      </c>
      <c r="G1681" t="s">
        <v>6</v>
      </c>
      <c r="H1681">
        <v>11.5</v>
      </c>
      <c r="I1681">
        <v>15.7</v>
      </c>
      <c r="J1681">
        <v>9.4</v>
      </c>
      <c r="K1681" t="s">
        <v>6</v>
      </c>
      <c r="L1681">
        <v>125</v>
      </c>
      <c r="M1681" t="s">
        <v>6</v>
      </c>
    </row>
    <row r="1682" spans="1:13" x14ac:dyDescent="0.2">
      <c r="A1682" s="1">
        <v>45493</v>
      </c>
      <c r="B1682" s="2">
        <v>0.5</v>
      </c>
      <c r="C1682" s="3">
        <v>45493.5</v>
      </c>
      <c r="D1682">
        <v>66.3</v>
      </c>
      <c r="E1682">
        <v>69.2</v>
      </c>
      <c r="F1682">
        <v>62.8</v>
      </c>
      <c r="G1682" t="s">
        <v>6</v>
      </c>
      <c r="H1682">
        <v>10.9</v>
      </c>
      <c r="I1682">
        <v>14.4</v>
      </c>
      <c r="J1682">
        <v>9.6</v>
      </c>
      <c r="K1682" t="s">
        <v>6</v>
      </c>
      <c r="L1682">
        <v>48</v>
      </c>
      <c r="M1682" t="s">
        <v>6</v>
      </c>
    </row>
    <row r="1683" spans="1:13" x14ac:dyDescent="0.2">
      <c r="A1683" s="1">
        <v>45493</v>
      </c>
      <c r="B1683" s="2">
        <v>0.54166666666666663</v>
      </c>
      <c r="C1683" s="3">
        <v>45493.541666666664</v>
      </c>
      <c r="D1683">
        <v>60.8</v>
      </c>
      <c r="E1683">
        <v>64.5</v>
      </c>
      <c r="F1683">
        <v>56.1</v>
      </c>
      <c r="G1683" t="s">
        <v>6</v>
      </c>
      <c r="H1683">
        <v>9.9</v>
      </c>
      <c r="I1683">
        <v>13.1</v>
      </c>
      <c r="J1683">
        <v>8.6999999999999993</v>
      </c>
      <c r="K1683" t="s">
        <v>6</v>
      </c>
      <c r="L1683">
        <v>164</v>
      </c>
      <c r="M1683" t="s">
        <v>6</v>
      </c>
    </row>
    <row r="1684" spans="1:13" x14ac:dyDescent="0.2">
      <c r="A1684" s="1">
        <v>45493</v>
      </c>
      <c r="B1684" s="2">
        <v>0.58333333333333337</v>
      </c>
      <c r="C1684" s="3">
        <v>45493.583333333336</v>
      </c>
      <c r="D1684">
        <v>58.4</v>
      </c>
      <c r="E1684">
        <v>63.3</v>
      </c>
      <c r="F1684">
        <v>53.9</v>
      </c>
      <c r="G1684" t="s">
        <v>6</v>
      </c>
      <c r="H1684">
        <v>10.6</v>
      </c>
      <c r="I1684">
        <v>14.4</v>
      </c>
      <c r="J1684">
        <v>8.9</v>
      </c>
      <c r="K1684" t="s">
        <v>6</v>
      </c>
      <c r="L1684">
        <v>162</v>
      </c>
      <c r="M1684" t="s">
        <v>6</v>
      </c>
    </row>
    <row r="1685" spans="1:13" x14ac:dyDescent="0.2">
      <c r="A1685" s="1">
        <v>45493</v>
      </c>
      <c r="B1685" s="2">
        <v>0.625</v>
      </c>
      <c r="C1685" s="3">
        <v>45493.625</v>
      </c>
      <c r="D1685">
        <v>56.4</v>
      </c>
      <c r="E1685">
        <v>60.5</v>
      </c>
      <c r="F1685">
        <v>50.9</v>
      </c>
      <c r="G1685" t="s">
        <v>6</v>
      </c>
      <c r="H1685">
        <v>15.9</v>
      </c>
      <c r="I1685">
        <v>21.7</v>
      </c>
      <c r="J1685">
        <v>9.4</v>
      </c>
      <c r="K1685" t="s">
        <v>6</v>
      </c>
      <c r="L1685">
        <v>134</v>
      </c>
      <c r="M1685" t="s">
        <v>6</v>
      </c>
    </row>
    <row r="1686" spans="1:13" x14ac:dyDescent="0.2">
      <c r="A1686" s="1">
        <v>45493</v>
      </c>
      <c r="B1686" s="2">
        <v>0.75</v>
      </c>
      <c r="C1686" s="3">
        <v>45493.75</v>
      </c>
      <c r="D1686">
        <v>56.9</v>
      </c>
      <c r="E1686">
        <v>59.9</v>
      </c>
      <c r="F1686">
        <v>53</v>
      </c>
      <c r="G1686" t="s">
        <v>6</v>
      </c>
      <c r="H1686">
        <v>15</v>
      </c>
      <c r="I1686">
        <v>20.9</v>
      </c>
      <c r="J1686">
        <v>11.4</v>
      </c>
      <c r="K1686" t="s">
        <v>6</v>
      </c>
      <c r="L1686">
        <v>57</v>
      </c>
      <c r="M1686" t="s">
        <v>6</v>
      </c>
    </row>
    <row r="1687" spans="1:13" x14ac:dyDescent="0.2">
      <c r="A1687" s="1">
        <v>45493</v>
      </c>
      <c r="B1687" s="2">
        <v>0.79166666666666663</v>
      </c>
      <c r="C1687" s="3">
        <v>45493.791666666664</v>
      </c>
      <c r="D1687">
        <v>57.1</v>
      </c>
      <c r="E1687">
        <v>61.8</v>
      </c>
      <c r="F1687">
        <v>53.1</v>
      </c>
      <c r="G1687" t="s">
        <v>6</v>
      </c>
      <c r="H1687">
        <v>19.2</v>
      </c>
      <c r="I1687">
        <v>28.9</v>
      </c>
      <c r="J1687">
        <v>15</v>
      </c>
      <c r="K1687" t="s">
        <v>6</v>
      </c>
      <c r="L1687">
        <v>73</v>
      </c>
      <c r="M1687" t="s">
        <v>6</v>
      </c>
    </row>
    <row r="1688" spans="1:13" x14ac:dyDescent="0.2">
      <c r="A1688" s="1">
        <v>45493</v>
      </c>
      <c r="B1688" s="2">
        <v>0.83333333333333337</v>
      </c>
      <c r="C1688" s="3">
        <v>45493.833333333336</v>
      </c>
      <c r="D1688">
        <v>48.4</v>
      </c>
      <c r="E1688">
        <v>58.2</v>
      </c>
      <c r="F1688">
        <v>42.8</v>
      </c>
      <c r="G1688" t="s">
        <v>6</v>
      </c>
      <c r="H1688">
        <v>14.8</v>
      </c>
      <c r="I1688">
        <v>29.6</v>
      </c>
      <c r="J1688">
        <v>11.9</v>
      </c>
      <c r="K1688" t="s">
        <v>6</v>
      </c>
      <c r="L1688">
        <v>207</v>
      </c>
      <c r="M1688" t="s">
        <v>6</v>
      </c>
    </row>
    <row r="1689" spans="1:13" x14ac:dyDescent="0.2">
      <c r="A1689" s="1">
        <v>45493</v>
      </c>
      <c r="B1689" s="2">
        <v>0.875</v>
      </c>
      <c r="C1689" s="3">
        <v>45493.875</v>
      </c>
      <c r="D1689">
        <v>45.4</v>
      </c>
      <c r="E1689">
        <v>50.6</v>
      </c>
      <c r="F1689">
        <v>42.8</v>
      </c>
      <c r="G1689" t="s">
        <v>6</v>
      </c>
      <c r="H1689">
        <v>13.5</v>
      </c>
      <c r="I1689">
        <v>22.9</v>
      </c>
      <c r="J1689">
        <v>11</v>
      </c>
      <c r="K1689" t="s">
        <v>6</v>
      </c>
      <c r="L1689">
        <v>220</v>
      </c>
      <c r="M1689" t="s">
        <v>6</v>
      </c>
    </row>
    <row r="1690" spans="1:13" x14ac:dyDescent="0.2">
      <c r="A1690" s="1">
        <v>45493</v>
      </c>
      <c r="B1690" s="2">
        <v>0.91666666666666663</v>
      </c>
      <c r="C1690" s="3">
        <v>45493.916666666664</v>
      </c>
      <c r="D1690">
        <v>46.2</v>
      </c>
      <c r="E1690">
        <v>50.8</v>
      </c>
      <c r="F1690">
        <v>42.4</v>
      </c>
      <c r="G1690" t="s">
        <v>6</v>
      </c>
      <c r="H1690">
        <v>13.4</v>
      </c>
      <c r="I1690">
        <v>22.3</v>
      </c>
      <c r="J1690">
        <v>10.7</v>
      </c>
      <c r="K1690" t="s">
        <v>6</v>
      </c>
      <c r="L1690">
        <v>222</v>
      </c>
      <c r="M1690" t="s">
        <v>6</v>
      </c>
    </row>
    <row r="1691" spans="1:13" x14ac:dyDescent="0.2">
      <c r="A1691" s="1">
        <v>45493</v>
      </c>
      <c r="B1691" s="2">
        <v>0.95833333333333337</v>
      </c>
      <c r="C1691" s="3">
        <v>45493.958333333336</v>
      </c>
      <c r="D1691">
        <v>43.5</v>
      </c>
      <c r="E1691">
        <v>47.9</v>
      </c>
      <c r="F1691">
        <v>40.1</v>
      </c>
      <c r="G1691" t="s">
        <v>6</v>
      </c>
      <c r="H1691">
        <v>12.4</v>
      </c>
      <c r="I1691">
        <v>18.8</v>
      </c>
      <c r="J1691">
        <v>10.9</v>
      </c>
      <c r="K1691" t="s">
        <v>6</v>
      </c>
      <c r="L1691">
        <v>215</v>
      </c>
      <c r="M1691" t="s">
        <v>6</v>
      </c>
    </row>
    <row r="1692" spans="1:13" x14ac:dyDescent="0.2">
      <c r="A1692" s="1">
        <v>45494</v>
      </c>
      <c r="B1692" s="2">
        <v>0</v>
      </c>
      <c r="C1692" s="3">
        <v>45494</v>
      </c>
      <c r="D1692">
        <v>43.8</v>
      </c>
      <c r="E1692">
        <v>47</v>
      </c>
      <c r="F1692">
        <v>40.200000000000003</v>
      </c>
      <c r="G1692" t="s">
        <v>6</v>
      </c>
      <c r="H1692">
        <v>12.6</v>
      </c>
      <c r="I1692">
        <v>16.600000000000001</v>
      </c>
      <c r="J1692">
        <v>11.4</v>
      </c>
      <c r="K1692" t="s">
        <v>6</v>
      </c>
      <c r="L1692">
        <v>200</v>
      </c>
      <c r="M1692" t="s">
        <v>6</v>
      </c>
    </row>
    <row r="1693" spans="1:13" x14ac:dyDescent="0.2">
      <c r="A1693" s="1">
        <v>45494</v>
      </c>
      <c r="B1693" s="2">
        <v>4.1666666666666664E-2</v>
      </c>
      <c r="C1693" s="3">
        <v>45494.041666666664</v>
      </c>
      <c r="D1693">
        <v>44.7</v>
      </c>
      <c r="E1693">
        <v>48.3</v>
      </c>
      <c r="F1693">
        <v>41.2</v>
      </c>
      <c r="G1693" t="s">
        <v>6</v>
      </c>
      <c r="H1693">
        <v>12.8</v>
      </c>
      <c r="I1693">
        <v>20.2</v>
      </c>
      <c r="J1693">
        <v>11.2</v>
      </c>
      <c r="K1693" t="s">
        <v>6</v>
      </c>
      <c r="L1693">
        <v>213</v>
      </c>
      <c r="M1693" t="s">
        <v>6</v>
      </c>
    </row>
    <row r="1694" spans="1:13" x14ac:dyDescent="0.2">
      <c r="A1694" s="1">
        <v>45494</v>
      </c>
      <c r="B1694" s="2">
        <v>8.3333333333333329E-2</v>
      </c>
      <c r="C1694" s="3">
        <v>45494.083333333336</v>
      </c>
      <c r="D1694">
        <v>41.5</v>
      </c>
      <c r="E1694">
        <v>44.3</v>
      </c>
      <c r="F1694">
        <v>40.1</v>
      </c>
      <c r="G1694" t="s">
        <v>6</v>
      </c>
      <c r="H1694">
        <v>15.7</v>
      </c>
      <c r="I1694">
        <v>25.4</v>
      </c>
      <c r="J1694">
        <v>10.4</v>
      </c>
      <c r="K1694" t="s">
        <v>6</v>
      </c>
      <c r="L1694">
        <v>157</v>
      </c>
      <c r="M1694" t="s">
        <v>6</v>
      </c>
    </row>
    <row r="1695" spans="1:13" x14ac:dyDescent="0.2">
      <c r="A1695" s="1">
        <v>45494</v>
      </c>
      <c r="B1695" s="2">
        <v>0.125</v>
      </c>
      <c r="C1695" s="3">
        <v>45494.125</v>
      </c>
      <c r="D1695">
        <v>40.4</v>
      </c>
      <c r="E1695">
        <v>40.6</v>
      </c>
      <c r="F1695">
        <v>40.200000000000003</v>
      </c>
      <c r="G1695" t="s">
        <v>6</v>
      </c>
      <c r="H1695">
        <v>23.6</v>
      </c>
      <c r="I1695">
        <v>23.7</v>
      </c>
      <c r="J1695">
        <v>23.4</v>
      </c>
      <c r="K1695" t="s">
        <v>6</v>
      </c>
      <c r="L1695">
        <v>5</v>
      </c>
      <c r="M1695" t="s">
        <v>6</v>
      </c>
    </row>
    <row r="1696" spans="1:13" x14ac:dyDescent="0.2">
      <c r="A1696" s="1">
        <v>45494</v>
      </c>
      <c r="B1696" s="2">
        <v>0.16666666666666666</v>
      </c>
      <c r="C1696" s="3">
        <v>45494.166666666664</v>
      </c>
      <c r="D1696">
        <v>40.299999999999997</v>
      </c>
      <c r="E1696">
        <v>40.5</v>
      </c>
      <c r="F1696">
        <v>40.1</v>
      </c>
      <c r="G1696" t="s">
        <v>6</v>
      </c>
      <c r="H1696">
        <v>12.5</v>
      </c>
      <c r="I1696">
        <v>13.8</v>
      </c>
      <c r="J1696">
        <v>11.8</v>
      </c>
      <c r="K1696" t="s">
        <v>6</v>
      </c>
      <c r="L1696">
        <v>6</v>
      </c>
      <c r="M1696" t="s">
        <v>6</v>
      </c>
    </row>
    <row r="1697" spans="1:13" x14ac:dyDescent="0.2">
      <c r="A1697" s="1">
        <v>45494</v>
      </c>
      <c r="B1697" s="2">
        <v>0.20833333333333334</v>
      </c>
      <c r="C1697" s="3">
        <v>45494.208333333336</v>
      </c>
      <c r="D1697">
        <v>42.7</v>
      </c>
      <c r="E1697">
        <v>45.8</v>
      </c>
      <c r="F1697">
        <v>40.200000000000003</v>
      </c>
      <c r="G1697" t="s">
        <v>6</v>
      </c>
      <c r="H1697">
        <v>13</v>
      </c>
      <c r="I1697">
        <v>24.3</v>
      </c>
      <c r="J1697">
        <v>10.199999999999999</v>
      </c>
      <c r="K1697" t="s">
        <v>6</v>
      </c>
      <c r="L1697">
        <v>142</v>
      </c>
      <c r="M1697" t="s">
        <v>6</v>
      </c>
    </row>
    <row r="1698" spans="1:13" x14ac:dyDescent="0.2">
      <c r="A1698" s="13">
        <v>45494</v>
      </c>
      <c r="B1698" s="9">
        <v>0.25</v>
      </c>
      <c r="C1698" s="8">
        <v>45494.25</v>
      </c>
      <c r="D1698" s="10">
        <v>41.8</v>
      </c>
      <c r="E1698" s="10">
        <v>44.9</v>
      </c>
      <c r="F1698" s="10">
        <v>40.1</v>
      </c>
      <c r="G1698" s="10" t="s">
        <v>6</v>
      </c>
      <c r="H1698" s="10">
        <v>12</v>
      </c>
      <c r="I1698" s="10">
        <v>20.3</v>
      </c>
      <c r="J1698" s="10">
        <v>9.9</v>
      </c>
      <c r="K1698" s="10" t="s">
        <v>6</v>
      </c>
      <c r="L1698" s="10">
        <v>128</v>
      </c>
      <c r="M1698" t="s">
        <v>6</v>
      </c>
    </row>
    <row r="1699" spans="1:13" x14ac:dyDescent="0.2">
      <c r="A1699" s="14">
        <v>45494</v>
      </c>
      <c r="B1699" s="12">
        <v>0.58333333333333337</v>
      </c>
      <c r="C1699" s="7">
        <v>45494.583333333336</v>
      </c>
      <c r="D1699" s="11">
        <v>68.7</v>
      </c>
      <c r="E1699" s="11">
        <v>73.8</v>
      </c>
      <c r="F1699" s="11">
        <v>62.1</v>
      </c>
      <c r="G1699" s="11" t="s">
        <v>6</v>
      </c>
      <c r="H1699" s="11">
        <v>26.7</v>
      </c>
      <c r="I1699" s="11">
        <v>34.200000000000003</v>
      </c>
      <c r="J1699" s="11">
        <v>15.4</v>
      </c>
      <c r="K1699" s="11" t="s">
        <v>6</v>
      </c>
      <c r="L1699" s="11">
        <v>11</v>
      </c>
      <c r="M1699" t="s">
        <v>6</v>
      </c>
    </row>
    <row r="1700" spans="1:13" x14ac:dyDescent="0.2">
      <c r="A1700" s="1">
        <v>45494</v>
      </c>
      <c r="B1700" s="2">
        <v>0.66666666666666663</v>
      </c>
      <c r="C1700" s="3">
        <v>45494.666666666664</v>
      </c>
      <c r="D1700">
        <v>71.7</v>
      </c>
      <c r="E1700">
        <v>72.099999999999994</v>
      </c>
      <c r="F1700">
        <v>71.400000000000006</v>
      </c>
      <c r="G1700" t="s">
        <v>6</v>
      </c>
      <c r="H1700">
        <v>26.2</v>
      </c>
      <c r="I1700">
        <v>28.2</v>
      </c>
      <c r="J1700">
        <v>24.6</v>
      </c>
      <c r="K1700" t="s">
        <v>6</v>
      </c>
      <c r="L1700">
        <v>3</v>
      </c>
      <c r="M1700" t="s">
        <v>6</v>
      </c>
    </row>
    <row r="1701" spans="1:13" x14ac:dyDescent="0.2">
      <c r="A1701" s="1">
        <v>45494</v>
      </c>
      <c r="B1701" s="2">
        <v>0.70833333333333337</v>
      </c>
      <c r="C1701" s="3">
        <v>45494.708333333336</v>
      </c>
      <c r="D1701">
        <v>61.5</v>
      </c>
      <c r="E1701">
        <v>68</v>
      </c>
      <c r="F1701">
        <v>51.4</v>
      </c>
      <c r="G1701" t="s">
        <v>6</v>
      </c>
      <c r="H1701">
        <v>20.5</v>
      </c>
      <c r="I1701">
        <v>32.799999999999997</v>
      </c>
      <c r="J1701">
        <v>13.7</v>
      </c>
      <c r="K1701" t="s">
        <v>6</v>
      </c>
      <c r="L1701">
        <v>124</v>
      </c>
      <c r="M1701" t="s">
        <v>6</v>
      </c>
    </row>
    <row r="1702" spans="1:13" x14ac:dyDescent="0.2">
      <c r="A1702" s="1">
        <v>45494</v>
      </c>
      <c r="B1702" s="2">
        <v>0.75</v>
      </c>
      <c r="C1702" s="3">
        <v>45494.75</v>
      </c>
      <c r="D1702">
        <v>49.1</v>
      </c>
      <c r="E1702">
        <v>66.5</v>
      </c>
      <c r="F1702">
        <v>42.1</v>
      </c>
      <c r="G1702" t="s">
        <v>6</v>
      </c>
      <c r="H1702">
        <v>20.6</v>
      </c>
      <c r="I1702">
        <v>31.3</v>
      </c>
      <c r="J1702">
        <v>13.6</v>
      </c>
      <c r="K1702" t="s">
        <v>6</v>
      </c>
      <c r="L1702">
        <v>119</v>
      </c>
      <c r="M1702" t="s">
        <v>6</v>
      </c>
    </row>
    <row r="1703" spans="1:13" x14ac:dyDescent="0.2">
      <c r="A1703" s="1">
        <v>45494</v>
      </c>
      <c r="B1703" s="2">
        <v>0.79166666666666663</v>
      </c>
      <c r="C1703" s="3">
        <v>45494.791666666664</v>
      </c>
      <c r="D1703">
        <v>44.4</v>
      </c>
      <c r="E1703">
        <v>47.7</v>
      </c>
      <c r="F1703">
        <v>42.1</v>
      </c>
      <c r="G1703" t="s">
        <v>6</v>
      </c>
      <c r="H1703">
        <v>20.2</v>
      </c>
      <c r="I1703">
        <v>28.8</v>
      </c>
      <c r="J1703">
        <v>12.3</v>
      </c>
      <c r="K1703" t="s">
        <v>6</v>
      </c>
      <c r="L1703">
        <v>110</v>
      </c>
      <c r="M1703" t="s">
        <v>6</v>
      </c>
    </row>
    <row r="1704" spans="1:13" x14ac:dyDescent="0.2">
      <c r="A1704" s="1">
        <v>45494</v>
      </c>
      <c r="B1704" s="2">
        <v>0.83333333333333337</v>
      </c>
      <c r="C1704" s="3">
        <v>45494.833333333336</v>
      </c>
      <c r="D1704">
        <v>47.8</v>
      </c>
      <c r="E1704">
        <v>62</v>
      </c>
      <c r="F1704">
        <v>41.6</v>
      </c>
      <c r="G1704" t="s">
        <v>6</v>
      </c>
      <c r="H1704">
        <v>17.399999999999999</v>
      </c>
      <c r="I1704">
        <v>28.9</v>
      </c>
      <c r="J1704">
        <v>11.8</v>
      </c>
      <c r="K1704" t="s">
        <v>6</v>
      </c>
      <c r="L1704">
        <v>211</v>
      </c>
      <c r="M1704" t="s">
        <v>6</v>
      </c>
    </row>
    <row r="1705" spans="1:13" x14ac:dyDescent="0.2">
      <c r="A1705" s="1">
        <v>45494</v>
      </c>
      <c r="B1705" s="2">
        <v>0.875</v>
      </c>
      <c r="C1705" s="3">
        <v>45494.875</v>
      </c>
      <c r="D1705">
        <v>42.8</v>
      </c>
      <c r="E1705">
        <v>46.7</v>
      </c>
      <c r="F1705">
        <v>40.1</v>
      </c>
      <c r="G1705" t="s">
        <v>6</v>
      </c>
      <c r="H1705">
        <v>12.7</v>
      </c>
      <c r="I1705">
        <v>15.4</v>
      </c>
      <c r="J1705">
        <v>11.5</v>
      </c>
      <c r="K1705" t="s">
        <v>6</v>
      </c>
      <c r="L1705">
        <v>163</v>
      </c>
      <c r="M1705" t="s">
        <v>6</v>
      </c>
    </row>
    <row r="1706" spans="1:13" x14ac:dyDescent="0.2">
      <c r="A1706" s="1">
        <v>45494</v>
      </c>
      <c r="B1706" s="2">
        <v>0.91666666666666663</v>
      </c>
      <c r="C1706" s="3">
        <v>45494.916666666664</v>
      </c>
      <c r="D1706">
        <v>43.7</v>
      </c>
      <c r="E1706">
        <v>48.7</v>
      </c>
      <c r="F1706">
        <v>40.1</v>
      </c>
      <c r="G1706" t="s">
        <v>6</v>
      </c>
      <c r="H1706">
        <v>12.7</v>
      </c>
      <c r="I1706">
        <v>18.8</v>
      </c>
      <c r="J1706">
        <v>10.8</v>
      </c>
      <c r="K1706" t="s">
        <v>6</v>
      </c>
      <c r="L1706">
        <v>194</v>
      </c>
      <c r="M1706" t="s">
        <v>6</v>
      </c>
    </row>
    <row r="1707" spans="1:13" x14ac:dyDescent="0.2">
      <c r="A1707" s="1">
        <v>45494</v>
      </c>
      <c r="B1707" s="2">
        <v>0.95833333333333337</v>
      </c>
      <c r="C1707" s="3">
        <v>45494.958333333336</v>
      </c>
      <c r="D1707">
        <v>41.8</v>
      </c>
      <c r="E1707">
        <v>43.3</v>
      </c>
      <c r="F1707">
        <v>40.1</v>
      </c>
      <c r="G1707" t="s">
        <v>6</v>
      </c>
      <c r="H1707">
        <v>12.6</v>
      </c>
      <c r="I1707">
        <v>17.8</v>
      </c>
      <c r="J1707">
        <v>11.2</v>
      </c>
      <c r="K1707" t="s">
        <v>6</v>
      </c>
      <c r="L1707">
        <v>120</v>
      </c>
      <c r="M1707" t="s">
        <v>6</v>
      </c>
    </row>
    <row r="1708" spans="1:13" x14ac:dyDescent="0.2">
      <c r="A1708" s="1">
        <v>45495</v>
      </c>
      <c r="B1708" s="2">
        <v>0</v>
      </c>
      <c r="C1708" s="3">
        <v>45495</v>
      </c>
      <c r="D1708">
        <v>44.4</v>
      </c>
      <c r="E1708">
        <v>58.5</v>
      </c>
      <c r="F1708">
        <v>40.299999999999997</v>
      </c>
      <c r="G1708" t="s">
        <v>6</v>
      </c>
      <c r="H1708">
        <v>12.9</v>
      </c>
      <c r="I1708">
        <v>19.399999999999999</v>
      </c>
      <c r="J1708">
        <v>11.4</v>
      </c>
      <c r="K1708" t="s">
        <v>6</v>
      </c>
      <c r="L1708">
        <v>194</v>
      </c>
      <c r="M1708" t="s">
        <v>6</v>
      </c>
    </row>
    <row r="1709" spans="1:13" x14ac:dyDescent="0.2">
      <c r="A1709" s="1">
        <v>45495</v>
      </c>
      <c r="B1709" s="2">
        <v>4.1666666666666664E-2</v>
      </c>
      <c r="C1709" s="3">
        <v>45495.041666666664</v>
      </c>
      <c r="D1709">
        <v>43.6</v>
      </c>
      <c r="E1709">
        <v>47.4</v>
      </c>
      <c r="F1709">
        <v>40.1</v>
      </c>
      <c r="G1709" t="s">
        <v>6</v>
      </c>
      <c r="H1709">
        <v>13.5</v>
      </c>
      <c r="I1709">
        <v>20.2</v>
      </c>
      <c r="J1709">
        <v>11.3</v>
      </c>
      <c r="K1709" t="s">
        <v>6</v>
      </c>
      <c r="L1709">
        <v>206</v>
      </c>
      <c r="M1709" t="s">
        <v>6</v>
      </c>
    </row>
    <row r="1710" spans="1:13" x14ac:dyDescent="0.2">
      <c r="A1710" s="1">
        <v>45495</v>
      </c>
      <c r="B1710" s="2">
        <v>8.3333333333333329E-2</v>
      </c>
      <c r="C1710" s="3">
        <v>45495.083333333336</v>
      </c>
      <c r="D1710">
        <v>43.9</v>
      </c>
      <c r="E1710">
        <v>48.4</v>
      </c>
      <c r="F1710">
        <v>40.200000000000003</v>
      </c>
      <c r="G1710" t="s">
        <v>6</v>
      </c>
      <c r="H1710">
        <v>12.5</v>
      </c>
      <c r="I1710">
        <v>24.2</v>
      </c>
      <c r="J1710">
        <v>10.6</v>
      </c>
      <c r="K1710" t="s">
        <v>6</v>
      </c>
      <c r="L1710">
        <v>214</v>
      </c>
      <c r="M1710" t="s">
        <v>6</v>
      </c>
    </row>
    <row r="1711" spans="1:13" x14ac:dyDescent="0.2">
      <c r="A1711" s="1">
        <v>45495</v>
      </c>
      <c r="B1711" s="2">
        <v>0.125</v>
      </c>
      <c r="C1711" s="3">
        <v>45495.125</v>
      </c>
      <c r="D1711">
        <v>43.4</v>
      </c>
      <c r="E1711">
        <v>47.7</v>
      </c>
      <c r="F1711">
        <v>41.5</v>
      </c>
      <c r="G1711" t="s">
        <v>6</v>
      </c>
      <c r="H1711">
        <v>12</v>
      </c>
      <c r="I1711">
        <v>22.2</v>
      </c>
      <c r="J1711">
        <v>10.3</v>
      </c>
      <c r="K1711" t="s">
        <v>6</v>
      </c>
      <c r="L1711">
        <v>228</v>
      </c>
      <c r="M1711" t="s">
        <v>6</v>
      </c>
    </row>
    <row r="1712" spans="1:13" x14ac:dyDescent="0.2">
      <c r="A1712" s="1">
        <v>45495</v>
      </c>
      <c r="B1712" s="2">
        <v>0.16666666666666666</v>
      </c>
      <c r="C1712" s="3">
        <v>45495.166666666664</v>
      </c>
      <c r="D1712">
        <v>47.3</v>
      </c>
      <c r="E1712">
        <v>53.8</v>
      </c>
      <c r="F1712">
        <v>42.2</v>
      </c>
      <c r="G1712" t="s">
        <v>6</v>
      </c>
      <c r="H1712">
        <v>14</v>
      </c>
      <c r="I1712">
        <v>24.2</v>
      </c>
      <c r="J1712">
        <v>10.8</v>
      </c>
      <c r="K1712" t="s">
        <v>6</v>
      </c>
      <c r="L1712">
        <v>225</v>
      </c>
      <c r="M1712" t="s">
        <v>6</v>
      </c>
    </row>
    <row r="1713" spans="1:13" x14ac:dyDescent="0.2">
      <c r="A1713" s="1">
        <v>45495</v>
      </c>
      <c r="B1713" s="2">
        <v>0.20833333333333334</v>
      </c>
      <c r="C1713" s="3">
        <v>45495.208333333336</v>
      </c>
      <c r="D1713">
        <v>45.9</v>
      </c>
      <c r="E1713">
        <v>50.3</v>
      </c>
      <c r="F1713">
        <v>41.9</v>
      </c>
      <c r="G1713" t="s">
        <v>6</v>
      </c>
      <c r="H1713">
        <v>12.9</v>
      </c>
      <c r="I1713">
        <v>21.6</v>
      </c>
      <c r="J1713">
        <v>10.7</v>
      </c>
      <c r="K1713" t="s">
        <v>6</v>
      </c>
      <c r="L1713">
        <v>226</v>
      </c>
      <c r="M1713" t="s">
        <v>6</v>
      </c>
    </row>
    <row r="1714" spans="1:13" x14ac:dyDescent="0.2">
      <c r="A1714" s="1">
        <v>45495</v>
      </c>
      <c r="B1714" s="2">
        <v>0.25</v>
      </c>
      <c r="C1714" s="3">
        <v>45495.25</v>
      </c>
      <c r="D1714">
        <v>42.1</v>
      </c>
      <c r="E1714">
        <v>44.5</v>
      </c>
      <c r="F1714">
        <v>40.299999999999997</v>
      </c>
      <c r="G1714" t="s">
        <v>6</v>
      </c>
      <c r="H1714">
        <v>13.7</v>
      </c>
      <c r="I1714">
        <v>22.9</v>
      </c>
      <c r="J1714">
        <v>11</v>
      </c>
      <c r="K1714" t="s">
        <v>6</v>
      </c>
      <c r="L1714">
        <v>62</v>
      </c>
      <c r="M1714" t="s">
        <v>6</v>
      </c>
    </row>
    <row r="1715" spans="1:13" x14ac:dyDescent="0.2">
      <c r="A1715" s="13">
        <v>45495</v>
      </c>
      <c r="B1715" s="9">
        <v>0.29166666666666669</v>
      </c>
      <c r="C1715" s="8">
        <v>45495.291666666664</v>
      </c>
      <c r="D1715" s="10">
        <v>40.5</v>
      </c>
      <c r="E1715" s="10">
        <v>41</v>
      </c>
      <c r="F1715" s="10">
        <v>40.1</v>
      </c>
      <c r="G1715" s="10" t="s">
        <v>6</v>
      </c>
      <c r="H1715" s="10">
        <v>25</v>
      </c>
      <c r="I1715" s="10">
        <v>27.6</v>
      </c>
      <c r="J1715" s="10">
        <v>21.3</v>
      </c>
      <c r="K1715" s="10" t="s">
        <v>6</v>
      </c>
      <c r="L1715" s="10">
        <v>17</v>
      </c>
      <c r="M1715" t="s">
        <v>6</v>
      </c>
    </row>
    <row r="1716" spans="1:13" x14ac:dyDescent="0.2">
      <c r="A1716" s="14">
        <v>45495</v>
      </c>
      <c r="B1716" s="12">
        <v>0.70833333333333337</v>
      </c>
      <c r="C1716" s="7">
        <v>45495.708333333336</v>
      </c>
      <c r="D1716" s="11">
        <v>73.8</v>
      </c>
      <c r="E1716" s="11">
        <v>75.3</v>
      </c>
      <c r="F1716" s="11">
        <v>72.900000000000006</v>
      </c>
      <c r="G1716" s="11" t="s">
        <v>6</v>
      </c>
      <c r="H1716" s="11">
        <v>17.7</v>
      </c>
      <c r="I1716" s="11">
        <v>22.6</v>
      </c>
      <c r="J1716" s="11">
        <v>13.3</v>
      </c>
      <c r="K1716" s="11" t="s">
        <v>6</v>
      </c>
      <c r="L1716" s="11">
        <v>20</v>
      </c>
      <c r="M1716" t="s">
        <v>6</v>
      </c>
    </row>
    <row r="1717" spans="1:13" x14ac:dyDescent="0.2">
      <c r="A1717" s="1">
        <v>45495</v>
      </c>
      <c r="B1717" s="2">
        <v>0.75</v>
      </c>
      <c r="C1717" s="3">
        <v>45495.75</v>
      </c>
      <c r="D1717">
        <v>69.400000000000006</v>
      </c>
      <c r="E1717">
        <v>76.099999999999994</v>
      </c>
      <c r="F1717">
        <v>57.7</v>
      </c>
      <c r="G1717" t="s">
        <v>6</v>
      </c>
      <c r="H1717">
        <v>20.399999999999999</v>
      </c>
      <c r="I1717">
        <v>31.9</v>
      </c>
      <c r="J1717">
        <v>14</v>
      </c>
      <c r="K1717" t="s">
        <v>6</v>
      </c>
      <c r="L1717">
        <v>67</v>
      </c>
      <c r="M1717" t="s">
        <v>6</v>
      </c>
    </row>
    <row r="1718" spans="1:13" x14ac:dyDescent="0.2">
      <c r="A1718" s="1">
        <v>45495</v>
      </c>
      <c r="B1718" s="2">
        <v>0.79166666666666663</v>
      </c>
      <c r="C1718" s="3">
        <v>45495.791666666664</v>
      </c>
      <c r="D1718">
        <v>68.3</v>
      </c>
      <c r="E1718">
        <v>68.3</v>
      </c>
      <c r="F1718">
        <v>68.3</v>
      </c>
      <c r="G1718" t="s">
        <v>6</v>
      </c>
      <c r="H1718">
        <v>27.8</v>
      </c>
      <c r="I1718">
        <v>27.8</v>
      </c>
      <c r="J1718">
        <v>27.8</v>
      </c>
      <c r="K1718" t="s">
        <v>6</v>
      </c>
      <c r="L1718">
        <v>1</v>
      </c>
      <c r="M1718" t="s">
        <v>6</v>
      </c>
    </row>
    <row r="1719" spans="1:13" x14ac:dyDescent="0.2">
      <c r="A1719" s="1">
        <v>45495</v>
      </c>
      <c r="B1719" s="2">
        <v>0.83333333333333337</v>
      </c>
      <c r="C1719" s="3">
        <v>45495.833333333336</v>
      </c>
      <c r="D1719">
        <v>48.8</v>
      </c>
      <c r="E1719">
        <v>67.8</v>
      </c>
      <c r="F1719">
        <v>40.1</v>
      </c>
      <c r="G1719" t="s">
        <v>6</v>
      </c>
      <c r="H1719">
        <v>17</v>
      </c>
      <c r="I1719">
        <v>26.9</v>
      </c>
      <c r="J1719">
        <v>12.6</v>
      </c>
      <c r="K1719" t="s">
        <v>6</v>
      </c>
      <c r="L1719">
        <v>148</v>
      </c>
      <c r="M1719" t="s">
        <v>6</v>
      </c>
    </row>
    <row r="1720" spans="1:13" x14ac:dyDescent="0.2">
      <c r="A1720" s="1">
        <v>45495</v>
      </c>
      <c r="B1720" s="2">
        <v>0.875</v>
      </c>
      <c r="C1720" s="3">
        <v>45495.875</v>
      </c>
      <c r="D1720">
        <v>42.4</v>
      </c>
      <c r="E1720">
        <v>45.4</v>
      </c>
      <c r="F1720">
        <v>40.1</v>
      </c>
      <c r="G1720" t="s">
        <v>6</v>
      </c>
      <c r="H1720">
        <v>13.1</v>
      </c>
      <c r="I1720">
        <v>17.399999999999999</v>
      </c>
      <c r="J1720">
        <v>11.4</v>
      </c>
      <c r="K1720" t="s">
        <v>6</v>
      </c>
      <c r="L1720">
        <v>194</v>
      </c>
      <c r="M1720" t="s">
        <v>6</v>
      </c>
    </row>
    <row r="1721" spans="1:13" x14ac:dyDescent="0.2">
      <c r="A1721" s="1">
        <v>45495</v>
      </c>
      <c r="B1721" s="2">
        <v>0.91666666666666663</v>
      </c>
      <c r="C1721" s="3">
        <v>45495.916666666664</v>
      </c>
      <c r="D1721">
        <v>41.4</v>
      </c>
      <c r="E1721">
        <v>42.6</v>
      </c>
      <c r="F1721">
        <v>40.1</v>
      </c>
      <c r="G1721" t="s">
        <v>6</v>
      </c>
      <c r="H1721">
        <v>13.3</v>
      </c>
      <c r="I1721">
        <v>14.7</v>
      </c>
      <c r="J1721">
        <v>11.2</v>
      </c>
      <c r="K1721" t="s">
        <v>6</v>
      </c>
      <c r="L1721">
        <v>44</v>
      </c>
      <c r="M1721" t="s">
        <v>6</v>
      </c>
    </row>
    <row r="1722" spans="1:13" x14ac:dyDescent="0.2">
      <c r="A1722" s="1">
        <v>45495</v>
      </c>
      <c r="B1722" s="2">
        <v>0.95833333333333337</v>
      </c>
      <c r="C1722" s="3">
        <v>45495.958333333336</v>
      </c>
      <c r="D1722">
        <v>47.5</v>
      </c>
      <c r="E1722">
        <v>53.4</v>
      </c>
      <c r="F1722">
        <v>40.6</v>
      </c>
      <c r="G1722" t="s">
        <v>6</v>
      </c>
      <c r="H1722">
        <v>13.7</v>
      </c>
      <c r="I1722">
        <v>21.4</v>
      </c>
      <c r="J1722">
        <v>11.8</v>
      </c>
      <c r="K1722" t="s">
        <v>6</v>
      </c>
      <c r="L1722">
        <v>134</v>
      </c>
      <c r="M1722" t="s">
        <v>6</v>
      </c>
    </row>
    <row r="1723" spans="1:13" x14ac:dyDescent="0.2">
      <c r="A1723" s="1">
        <v>45496</v>
      </c>
      <c r="B1723" s="2">
        <v>0</v>
      </c>
      <c r="C1723" s="3">
        <v>45496</v>
      </c>
      <c r="D1723">
        <v>43.9</v>
      </c>
      <c r="E1723">
        <v>47.8</v>
      </c>
      <c r="F1723">
        <v>40.6</v>
      </c>
      <c r="G1723" t="s">
        <v>6</v>
      </c>
      <c r="H1723">
        <v>14.8</v>
      </c>
      <c r="I1723">
        <v>24.6</v>
      </c>
      <c r="J1723">
        <v>11.6</v>
      </c>
      <c r="K1723" t="s">
        <v>6</v>
      </c>
      <c r="L1723">
        <v>215</v>
      </c>
      <c r="M1723" t="s">
        <v>6</v>
      </c>
    </row>
    <row r="1724" spans="1:13" x14ac:dyDescent="0.2">
      <c r="A1724" s="1">
        <v>45496</v>
      </c>
      <c r="B1724" s="2">
        <v>4.1666666666666664E-2</v>
      </c>
      <c r="C1724" s="3">
        <v>45496.041666666664</v>
      </c>
      <c r="D1724">
        <v>41.5</v>
      </c>
      <c r="E1724">
        <v>44</v>
      </c>
      <c r="F1724">
        <v>40.1</v>
      </c>
      <c r="G1724" t="s">
        <v>6</v>
      </c>
      <c r="H1724">
        <v>12.1</v>
      </c>
      <c r="I1724">
        <v>15.9</v>
      </c>
      <c r="J1724">
        <v>10.5</v>
      </c>
      <c r="K1724" t="s">
        <v>6</v>
      </c>
      <c r="L1724">
        <v>173</v>
      </c>
      <c r="M1724" t="s">
        <v>6</v>
      </c>
    </row>
    <row r="1725" spans="1:13" x14ac:dyDescent="0.2">
      <c r="A1725" s="1">
        <v>45496</v>
      </c>
      <c r="B1725" s="2">
        <v>8.3333333333333329E-2</v>
      </c>
      <c r="C1725" s="3">
        <v>45496.083333333336</v>
      </c>
      <c r="D1725">
        <v>42.1</v>
      </c>
      <c r="E1725">
        <v>46.7</v>
      </c>
      <c r="F1725">
        <v>40.1</v>
      </c>
      <c r="G1725" t="s">
        <v>6</v>
      </c>
      <c r="H1725">
        <v>13.2</v>
      </c>
      <c r="I1725">
        <v>22.1</v>
      </c>
      <c r="J1725">
        <v>10.8</v>
      </c>
      <c r="K1725" t="s">
        <v>6</v>
      </c>
      <c r="L1725">
        <v>144</v>
      </c>
      <c r="M1725" t="s">
        <v>6</v>
      </c>
    </row>
    <row r="1726" spans="1:13" x14ac:dyDescent="0.2">
      <c r="A1726" s="1">
        <v>45496</v>
      </c>
      <c r="B1726" s="2">
        <v>0.125</v>
      </c>
      <c r="C1726" s="3">
        <v>45496.125</v>
      </c>
      <c r="D1726">
        <v>44.5</v>
      </c>
      <c r="E1726">
        <v>69.099999999999994</v>
      </c>
      <c r="F1726">
        <v>41.8</v>
      </c>
      <c r="G1726" t="s">
        <v>6</v>
      </c>
      <c r="H1726">
        <v>12</v>
      </c>
      <c r="I1726">
        <v>15</v>
      </c>
      <c r="J1726">
        <v>10.4</v>
      </c>
      <c r="K1726" t="s">
        <v>6</v>
      </c>
      <c r="L1726">
        <v>197</v>
      </c>
      <c r="M1726" t="s">
        <v>6</v>
      </c>
    </row>
    <row r="1727" spans="1:13" x14ac:dyDescent="0.2">
      <c r="A1727" s="1">
        <v>45496</v>
      </c>
      <c r="B1727" s="2">
        <v>0.16666666666666666</v>
      </c>
      <c r="C1727" s="3">
        <v>45496.166666666664</v>
      </c>
      <c r="D1727">
        <v>48.8</v>
      </c>
      <c r="E1727">
        <v>70.8</v>
      </c>
      <c r="F1727">
        <v>41.1</v>
      </c>
      <c r="G1727" t="s">
        <v>6</v>
      </c>
      <c r="H1727">
        <v>12.1</v>
      </c>
      <c r="I1727">
        <v>18.600000000000001</v>
      </c>
      <c r="J1727">
        <v>10.7</v>
      </c>
      <c r="K1727" t="s">
        <v>6</v>
      </c>
      <c r="L1727">
        <v>153</v>
      </c>
      <c r="M1727" t="s">
        <v>6</v>
      </c>
    </row>
    <row r="1728" spans="1:13" x14ac:dyDescent="0.2">
      <c r="A1728" s="13">
        <v>45496</v>
      </c>
      <c r="B1728" s="9">
        <v>0.20833333333333334</v>
      </c>
      <c r="C1728" s="8">
        <v>45496.208333333336</v>
      </c>
      <c r="D1728" s="10">
        <v>41.3</v>
      </c>
      <c r="E1728" s="10">
        <v>42.4</v>
      </c>
      <c r="F1728" s="10">
        <v>40.1</v>
      </c>
      <c r="G1728" s="10" t="s">
        <v>6</v>
      </c>
      <c r="H1728" s="10">
        <v>12.3</v>
      </c>
      <c r="I1728" s="10">
        <v>16.2</v>
      </c>
      <c r="J1728" s="10">
        <v>11</v>
      </c>
      <c r="K1728" s="10" t="s">
        <v>6</v>
      </c>
      <c r="L1728" s="10">
        <v>47</v>
      </c>
      <c r="M1728" t="s">
        <v>6</v>
      </c>
    </row>
    <row r="1729" spans="1:13" x14ac:dyDescent="0.2">
      <c r="A1729" s="14">
        <v>45496</v>
      </c>
      <c r="B1729" s="12">
        <v>0.625</v>
      </c>
      <c r="C1729" s="7">
        <v>45496.625</v>
      </c>
      <c r="D1729" s="11">
        <v>46.6</v>
      </c>
      <c r="E1729" s="11">
        <v>51.4</v>
      </c>
      <c r="F1729" s="11">
        <v>43.7</v>
      </c>
      <c r="G1729" s="11" t="s">
        <v>6</v>
      </c>
      <c r="H1729" s="11">
        <v>11.8</v>
      </c>
      <c r="I1729" s="11">
        <v>17.3</v>
      </c>
      <c r="J1729" s="11">
        <v>9.6</v>
      </c>
      <c r="K1729" s="11" t="s">
        <v>6</v>
      </c>
      <c r="L1729" s="11">
        <v>219</v>
      </c>
      <c r="M1729" t="s">
        <v>6</v>
      </c>
    </row>
    <row r="1730" spans="1:13" x14ac:dyDescent="0.2">
      <c r="A1730" s="1">
        <v>45496</v>
      </c>
      <c r="B1730" s="2">
        <v>0.66666666666666663</v>
      </c>
      <c r="C1730" s="3">
        <v>45496.666666666664</v>
      </c>
      <c r="D1730">
        <v>50.3</v>
      </c>
      <c r="E1730">
        <v>52.1</v>
      </c>
      <c r="F1730">
        <v>46.6</v>
      </c>
      <c r="G1730" t="s">
        <v>6</v>
      </c>
      <c r="H1730">
        <v>11.5</v>
      </c>
      <c r="I1730">
        <v>15.4</v>
      </c>
      <c r="J1730">
        <v>9.1999999999999993</v>
      </c>
      <c r="K1730" t="s">
        <v>6</v>
      </c>
      <c r="L1730">
        <v>108</v>
      </c>
      <c r="M1730" t="s">
        <v>6</v>
      </c>
    </row>
    <row r="1731" spans="1:13" x14ac:dyDescent="0.2">
      <c r="A1731" s="1">
        <v>45496</v>
      </c>
      <c r="B1731" s="2">
        <v>0.75</v>
      </c>
      <c r="C1731" s="3">
        <v>45496.75</v>
      </c>
      <c r="D1731">
        <v>49.4</v>
      </c>
      <c r="E1731">
        <v>49.4</v>
      </c>
      <c r="F1731">
        <v>49.4</v>
      </c>
      <c r="G1731" t="s">
        <v>6</v>
      </c>
      <c r="H1731">
        <v>12.4</v>
      </c>
      <c r="I1731">
        <v>12.4</v>
      </c>
      <c r="J1731">
        <v>12.4</v>
      </c>
      <c r="K1731" t="s">
        <v>6</v>
      </c>
      <c r="L1731">
        <v>1</v>
      </c>
      <c r="M1731" t="s">
        <v>6</v>
      </c>
    </row>
    <row r="1732" spans="1:13" x14ac:dyDescent="0.2">
      <c r="A1732" s="1">
        <v>45496</v>
      </c>
      <c r="B1732" s="2">
        <v>0.79166666666666663</v>
      </c>
      <c r="C1732" s="3">
        <v>45496.791666666664</v>
      </c>
      <c r="D1732">
        <v>51</v>
      </c>
      <c r="E1732">
        <v>55.9</v>
      </c>
      <c r="F1732">
        <v>48</v>
      </c>
      <c r="G1732" t="s">
        <v>6</v>
      </c>
      <c r="H1732">
        <v>13.9</v>
      </c>
      <c r="I1732">
        <v>16.5</v>
      </c>
      <c r="J1732">
        <v>12.6</v>
      </c>
      <c r="K1732" t="s">
        <v>6</v>
      </c>
      <c r="L1732">
        <v>18</v>
      </c>
      <c r="M1732" t="s">
        <v>6</v>
      </c>
    </row>
    <row r="1733" spans="1:13" x14ac:dyDescent="0.2">
      <c r="A1733" s="1">
        <v>45496</v>
      </c>
      <c r="B1733" s="2">
        <v>0.83333333333333337</v>
      </c>
      <c r="C1733" s="3">
        <v>45496.833333333336</v>
      </c>
      <c r="D1733">
        <v>46.3</v>
      </c>
      <c r="E1733">
        <v>54.6</v>
      </c>
      <c r="F1733">
        <v>42.2</v>
      </c>
      <c r="G1733" t="s">
        <v>6</v>
      </c>
      <c r="H1733">
        <v>18.600000000000001</v>
      </c>
      <c r="I1733">
        <v>26.2</v>
      </c>
      <c r="J1733">
        <v>11.7</v>
      </c>
      <c r="K1733" t="s">
        <v>6</v>
      </c>
      <c r="L1733">
        <v>220</v>
      </c>
      <c r="M1733" t="s">
        <v>6</v>
      </c>
    </row>
    <row r="1734" spans="1:13" x14ac:dyDescent="0.2">
      <c r="A1734" s="1">
        <v>45496</v>
      </c>
      <c r="B1734" s="2">
        <v>0.875</v>
      </c>
      <c r="C1734" s="3">
        <v>45496.875</v>
      </c>
      <c r="D1734">
        <v>41.9</v>
      </c>
      <c r="E1734">
        <v>45.2</v>
      </c>
      <c r="F1734">
        <v>40.1</v>
      </c>
      <c r="G1734" t="s">
        <v>6</v>
      </c>
      <c r="H1734">
        <v>14.7</v>
      </c>
      <c r="I1734">
        <v>25.2</v>
      </c>
      <c r="J1734">
        <v>11.5</v>
      </c>
      <c r="K1734" t="s">
        <v>6</v>
      </c>
      <c r="L1734">
        <v>143</v>
      </c>
      <c r="M1734" t="s">
        <v>6</v>
      </c>
    </row>
    <row r="1735" spans="1:13" x14ac:dyDescent="0.2">
      <c r="A1735" s="1">
        <v>45496</v>
      </c>
      <c r="B1735" s="2">
        <v>0.91666666666666663</v>
      </c>
      <c r="C1735" s="3">
        <v>45496.916666666664</v>
      </c>
      <c r="D1735">
        <v>43.7</v>
      </c>
      <c r="E1735">
        <v>53.7</v>
      </c>
      <c r="F1735">
        <v>40.1</v>
      </c>
      <c r="G1735" t="s">
        <v>6</v>
      </c>
      <c r="H1735">
        <v>12.8</v>
      </c>
      <c r="I1735">
        <v>16.399999999999999</v>
      </c>
      <c r="J1735">
        <v>11.5</v>
      </c>
      <c r="K1735" t="s">
        <v>6</v>
      </c>
      <c r="L1735">
        <v>217</v>
      </c>
      <c r="M1735" t="s">
        <v>6</v>
      </c>
    </row>
    <row r="1736" spans="1:13" x14ac:dyDescent="0.2">
      <c r="A1736" s="1">
        <v>45496</v>
      </c>
      <c r="B1736" s="2">
        <v>0.95833333333333337</v>
      </c>
      <c r="C1736" s="3">
        <v>45496.958333333336</v>
      </c>
      <c r="D1736">
        <v>51.8</v>
      </c>
      <c r="E1736">
        <v>56.5</v>
      </c>
      <c r="F1736">
        <v>45.4</v>
      </c>
      <c r="G1736" t="s">
        <v>6</v>
      </c>
      <c r="H1736">
        <v>12.4</v>
      </c>
      <c r="I1736">
        <v>15.3</v>
      </c>
      <c r="J1736">
        <v>11.2</v>
      </c>
      <c r="K1736" t="s">
        <v>6</v>
      </c>
      <c r="L1736">
        <v>211</v>
      </c>
      <c r="M1736" t="s">
        <v>6</v>
      </c>
    </row>
    <row r="1737" spans="1:13" x14ac:dyDescent="0.2">
      <c r="A1737" s="1">
        <v>45497</v>
      </c>
      <c r="B1737" s="2">
        <v>0</v>
      </c>
      <c r="C1737" s="3">
        <v>45497</v>
      </c>
      <c r="D1737">
        <v>46.9</v>
      </c>
      <c r="E1737">
        <v>57.8</v>
      </c>
      <c r="F1737">
        <v>41.9</v>
      </c>
      <c r="G1737" t="s">
        <v>6</v>
      </c>
      <c r="H1737">
        <v>12</v>
      </c>
      <c r="I1737">
        <v>14.5</v>
      </c>
      <c r="J1737">
        <v>10.9</v>
      </c>
      <c r="K1737" t="s">
        <v>6</v>
      </c>
      <c r="L1737">
        <v>217</v>
      </c>
      <c r="M1737" t="s">
        <v>6</v>
      </c>
    </row>
    <row r="1738" spans="1:13" x14ac:dyDescent="0.2">
      <c r="A1738" s="1">
        <v>45497</v>
      </c>
      <c r="B1738" s="2">
        <v>4.1666666666666664E-2</v>
      </c>
      <c r="C1738" s="3">
        <v>45497.041666666664</v>
      </c>
      <c r="D1738">
        <v>45.3</v>
      </c>
      <c r="E1738">
        <v>47.8</v>
      </c>
      <c r="F1738">
        <v>42.9</v>
      </c>
      <c r="G1738" t="s">
        <v>6</v>
      </c>
      <c r="H1738">
        <v>12.6</v>
      </c>
      <c r="I1738">
        <v>17.100000000000001</v>
      </c>
      <c r="J1738">
        <v>11.1</v>
      </c>
      <c r="K1738" t="s">
        <v>6</v>
      </c>
      <c r="L1738">
        <v>220</v>
      </c>
      <c r="M1738" t="s">
        <v>6</v>
      </c>
    </row>
    <row r="1739" spans="1:13" x14ac:dyDescent="0.2">
      <c r="A1739" s="1">
        <v>45497</v>
      </c>
      <c r="B1739" s="2">
        <v>8.3333333333333329E-2</v>
      </c>
      <c r="C1739" s="3">
        <v>45497.083333333336</v>
      </c>
      <c r="D1739">
        <v>43</v>
      </c>
      <c r="E1739">
        <v>45.7</v>
      </c>
      <c r="F1739">
        <v>40.6</v>
      </c>
      <c r="G1739" t="s">
        <v>6</v>
      </c>
      <c r="H1739">
        <v>11.7</v>
      </c>
      <c r="I1739">
        <v>15.2</v>
      </c>
      <c r="J1739">
        <v>10.8</v>
      </c>
      <c r="K1739" t="s">
        <v>6</v>
      </c>
      <c r="L1739">
        <v>217</v>
      </c>
      <c r="M1739" t="s">
        <v>6</v>
      </c>
    </row>
    <row r="1740" spans="1:13" x14ac:dyDescent="0.2">
      <c r="A1740" s="1">
        <v>45497</v>
      </c>
      <c r="B1740" s="2">
        <v>0.125</v>
      </c>
      <c r="C1740" s="3">
        <v>45497.125</v>
      </c>
      <c r="D1740">
        <v>40.299999999999997</v>
      </c>
      <c r="E1740">
        <v>40.6</v>
      </c>
      <c r="F1740">
        <v>40.1</v>
      </c>
      <c r="G1740" t="s">
        <v>6</v>
      </c>
      <c r="H1740">
        <v>12.3</v>
      </c>
      <c r="I1740">
        <v>14.5</v>
      </c>
      <c r="J1740">
        <v>11.4</v>
      </c>
      <c r="K1740" t="s">
        <v>6</v>
      </c>
      <c r="L1740">
        <v>29</v>
      </c>
      <c r="M1740" t="s">
        <v>6</v>
      </c>
    </row>
    <row r="1741" spans="1:13" x14ac:dyDescent="0.2">
      <c r="A1741" s="1">
        <v>45497</v>
      </c>
      <c r="B1741" s="2">
        <v>0.16666666666666666</v>
      </c>
      <c r="C1741" s="3">
        <v>45497.166666666664</v>
      </c>
      <c r="D1741">
        <v>40.4</v>
      </c>
      <c r="E1741">
        <v>40.6</v>
      </c>
      <c r="F1741">
        <v>40.1</v>
      </c>
      <c r="G1741" t="s">
        <v>6</v>
      </c>
      <c r="H1741">
        <v>18.3</v>
      </c>
      <c r="I1741">
        <v>22</v>
      </c>
      <c r="J1741">
        <v>14.5</v>
      </c>
      <c r="K1741" t="s">
        <v>6</v>
      </c>
      <c r="L1741">
        <v>4</v>
      </c>
      <c r="M1741" t="s">
        <v>6</v>
      </c>
    </row>
    <row r="1742" spans="1:13" x14ac:dyDescent="0.2">
      <c r="A1742" s="1">
        <v>45497</v>
      </c>
      <c r="B1742" s="2">
        <v>0.20833333333333334</v>
      </c>
      <c r="C1742" s="3">
        <v>45497.208333333336</v>
      </c>
      <c r="D1742">
        <v>43.1</v>
      </c>
      <c r="E1742">
        <v>47.5</v>
      </c>
      <c r="F1742">
        <v>41</v>
      </c>
      <c r="G1742" t="s">
        <v>6</v>
      </c>
      <c r="H1742">
        <v>13.2</v>
      </c>
      <c r="I1742">
        <v>24.3</v>
      </c>
      <c r="J1742">
        <v>10.8</v>
      </c>
      <c r="K1742" t="s">
        <v>6</v>
      </c>
      <c r="L1742">
        <v>220</v>
      </c>
      <c r="M1742" t="s">
        <v>6</v>
      </c>
    </row>
    <row r="1743" spans="1:13" x14ac:dyDescent="0.2">
      <c r="A1743" s="13">
        <v>45497</v>
      </c>
      <c r="B1743" s="9">
        <v>0.25</v>
      </c>
      <c r="C1743" s="8">
        <v>45497.25</v>
      </c>
      <c r="D1743" s="10">
        <v>40.6</v>
      </c>
      <c r="E1743" s="10">
        <v>41.8</v>
      </c>
      <c r="F1743" s="10">
        <v>40.1</v>
      </c>
      <c r="G1743" s="10" t="s">
        <v>6</v>
      </c>
      <c r="H1743" s="10">
        <v>11.6</v>
      </c>
      <c r="I1743" s="10">
        <v>14.2</v>
      </c>
      <c r="J1743" s="10">
        <v>10.7</v>
      </c>
      <c r="K1743" s="10" t="s">
        <v>6</v>
      </c>
      <c r="L1743" s="10">
        <v>43</v>
      </c>
      <c r="M1743" t="s">
        <v>6</v>
      </c>
    </row>
    <row r="1744" spans="1:13" x14ac:dyDescent="0.2">
      <c r="A1744" s="14">
        <v>45497</v>
      </c>
      <c r="B1744" s="12">
        <v>0.79166666666666663</v>
      </c>
      <c r="C1744" s="7">
        <v>45497.791666666664</v>
      </c>
      <c r="D1744" s="11">
        <v>45.9</v>
      </c>
      <c r="E1744" s="11">
        <v>46.4</v>
      </c>
      <c r="F1744" s="11">
        <v>42.9</v>
      </c>
      <c r="G1744" s="11" t="s">
        <v>6</v>
      </c>
      <c r="H1744" s="11">
        <v>28.9</v>
      </c>
      <c r="I1744" s="11">
        <v>31.4</v>
      </c>
      <c r="J1744" s="11">
        <v>18.100000000000001</v>
      </c>
      <c r="K1744" s="11" t="s">
        <v>6</v>
      </c>
      <c r="L1744" s="11">
        <v>7</v>
      </c>
      <c r="M1744" t="s">
        <v>6</v>
      </c>
    </row>
    <row r="1745" spans="1:13" x14ac:dyDescent="0.2">
      <c r="A1745" s="1">
        <v>45497</v>
      </c>
      <c r="B1745" s="2">
        <v>0.83333333333333337</v>
      </c>
      <c r="C1745" s="3">
        <v>45497.833333333336</v>
      </c>
      <c r="D1745">
        <v>46.3</v>
      </c>
      <c r="E1745">
        <v>55</v>
      </c>
      <c r="F1745">
        <v>42.5</v>
      </c>
      <c r="G1745" t="s">
        <v>6</v>
      </c>
      <c r="H1745">
        <v>17.7</v>
      </c>
      <c r="I1745">
        <v>30.7</v>
      </c>
      <c r="J1745">
        <v>12</v>
      </c>
      <c r="K1745" t="s">
        <v>6</v>
      </c>
      <c r="L1745">
        <v>226</v>
      </c>
      <c r="M1745" t="s">
        <v>6</v>
      </c>
    </row>
    <row r="1746" spans="1:13" x14ac:dyDescent="0.2">
      <c r="A1746" s="1">
        <v>45497</v>
      </c>
      <c r="B1746" s="2">
        <v>0.875</v>
      </c>
      <c r="C1746" s="3">
        <v>45497.875</v>
      </c>
      <c r="D1746">
        <v>44.3</v>
      </c>
      <c r="E1746">
        <v>46.3</v>
      </c>
      <c r="F1746">
        <v>42</v>
      </c>
      <c r="G1746" t="s">
        <v>6</v>
      </c>
      <c r="H1746">
        <v>12.7</v>
      </c>
      <c r="I1746">
        <v>17.5</v>
      </c>
      <c r="J1746">
        <v>10.3</v>
      </c>
      <c r="K1746" t="s">
        <v>6</v>
      </c>
      <c r="L1746">
        <v>211</v>
      </c>
      <c r="M1746" t="s">
        <v>6</v>
      </c>
    </row>
    <row r="1747" spans="1:13" x14ac:dyDescent="0.2">
      <c r="A1747" s="1">
        <v>45497</v>
      </c>
      <c r="B1747" s="2">
        <v>0.91666666666666663</v>
      </c>
      <c r="C1747" s="3">
        <v>45497.916666666664</v>
      </c>
      <c r="D1747">
        <v>43.8</v>
      </c>
      <c r="E1747">
        <v>48.8</v>
      </c>
      <c r="F1747">
        <v>40.200000000000003</v>
      </c>
      <c r="G1747" t="s">
        <v>6</v>
      </c>
      <c r="H1747">
        <v>12.9</v>
      </c>
      <c r="I1747">
        <v>17.8</v>
      </c>
      <c r="J1747">
        <v>11.1</v>
      </c>
      <c r="K1747" t="s">
        <v>6</v>
      </c>
      <c r="L1747">
        <v>206</v>
      </c>
      <c r="M1747" t="s">
        <v>6</v>
      </c>
    </row>
    <row r="1748" spans="1:13" x14ac:dyDescent="0.2">
      <c r="A1748" s="1">
        <v>45497</v>
      </c>
      <c r="B1748" s="2">
        <v>0.95833333333333337</v>
      </c>
      <c r="C1748" s="3">
        <v>45497.958333333336</v>
      </c>
      <c r="D1748">
        <v>43.3</v>
      </c>
      <c r="E1748">
        <v>46.7</v>
      </c>
      <c r="F1748">
        <v>40.1</v>
      </c>
      <c r="G1748" t="s">
        <v>6</v>
      </c>
      <c r="H1748">
        <v>12.7</v>
      </c>
      <c r="I1748">
        <v>16.8</v>
      </c>
      <c r="J1748">
        <v>11.4</v>
      </c>
      <c r="K1748" t="s">
        <v>6</v>
      </c>
      <c r="L1748">
        <v>182</v>
      </c>
      <c r="M1748" t="s">
        <v>6</v>
      </c>
    </row>
    <row r="1749" spans="1:13" x14ac:dyDescent="0.2">
      <c r="A1749" s="1">
        <v>45498</v>
      </c>
      <c r="B1749" s="2">
        <v>0</v>
      </c>
      <c r="C1749" s="3">
        <v>45498</v>
      </c>
      <c r="D1749">
        <v>45.1</v>
      </c>
      <c r="E1749">
        <v>51.4</v>
      </c>
      <c r="F1749">
        <v>40.1</v>
      </c>
      <c r="G1749" t="s">
        <v>6</v>
      </c>
      <c r="H1749">
        <v>14.1</v>
      </c>
      <c r="I1749">
        <v>23.4</v>
      </c>
      <c r="J1749">
        <v>11.4</v>
      </c>
      <c r="K1749" t="s">
        <v>6</v>
      </c>
      <c r="L1749">
        <v>204</v>
      </c>
      <c r="M1749" t="s">
        <v>6</v>
      </c>
    </row>
    <row r="1750" spans="1:13" x14ac:dyDescent="0.2">
      <c r="A1750" s="1">
        <v>45498</v>
      </c>
      <c r="B1750" s="2">
        <v>4.1666666666666664E-2</v>
      </c>
      <c r="C1750" s="3">
        <v>45498.041666666664</v>
      </c>
      <c r="D1750">
        <v>48.9</v>
      </c>
      <c r="E1750">
        <v>58.4</v>
      </c>
      <c r="F1750">
        <v>42.8</v>
      </c>
      <c r="G1750" t="s">
        <v>6</v>
      </c>
      <c r="H1750">
        <v>13</v>
      </c>
      <c r="I1750">
        <v>16.399999999999999</v>
      </c>
      <c r="J1750">
        <v>11.7</v>
      </c>
      <c r="K1750" t="s">
        <v>6</v>
      </c>
      <c r="L1750">
        <v>219</v>
      </c>
      <c r="M1750" t="s">
        <v>6</v>
      </c>
    </row>
    <row r="1751" spans="1:13" x14ac:dyDescent="0.2">
      <c r="A1751" s="1">
        <v>45498</v>
      </c>
      <c r="B1751" s="2">
        <v>8.3333333333333329E-2</v>
      </c>
      <c r="C1751" s="3">
        <v>45498.083333333336</v>
      </c>
      <c r="D1751">
        <v>50.8</v>
      </c>
      <c r="E1751">
        <v>60.8</v>
      </c>
      <c r="F1751">
        <v>43.6</v>
      </c>
      <c r="G1751" t="s">
        <v>6</v>
      </c>
      <c r="H1751">
        <v>14.7</v>
      </c>
      <c r="I1751">
        <v>31.1</v>
      </c>
      <c r="J1751">
        <v>11.1</v>
      </c>
      <c r="K1751" t="s">
        <v>6</v>
      </c>
      <c r="L1751">
        <v>216</v>
      </c>
      <c r="M1751" t="s">
        <v>6</v>
      </c>
    </row>
    <row r="1752" spans="1:13" x14ac:dyDescent="0.2">
      <c r="A1752" s="1">
        <v>45498</v>
      </c>
      <c r="B1752" s="2">
        <v>0.125</v>
      </c>
      <c r="C1752" s="3">
        <v>45498.125</v>
      </c>
      <c r="D1752">
        <v>53.4</v>
      </c>
      <c r="E1752">
        <v>64.2</v>
      </c>
      <c r="F1752">
        <v>47.6</v>
      </c>
      <c r="G1752" t="s">
        <v>6</v>
      </c>
      <c r="H1752">
        <v>12.7</v>
      </c>
      <c r="I1752">
        <v>17.100000000000001</v>
      </c>
      <c r="J1752">
        <v>11.1</v>
      </c>
      <c r="K1752" t="s">
        <v>6</v>
      </c>
      <c r="L1752">
        <v>215</v>
      </c>
      <c r="M1752" t="s">
        <v>6</v>
      </c>
    </row>
    <row r="1753" spans="1:13" x14ac:dyDescent="0.2">
      <c r="A1753" s="1">
        <v>45498</v>
      </c>
      <c r="B1753" s="2">
        <v>0.16666666666666666</v>
      </c>
      <c r="C1753" s="3">
        <v>45498.166666666664</v>
      </c>
      <c r="D1753">
        <v>59.6</v>
      </c>
      <c r="E1753">
        <v>81</v>
      </c>
      <c r="F1753">
        <v>46</v>
      </c>
      <c r="G1753" t="s">
        <v>6</v>
      </c>
      <c r="H1753">
        <v>12.6</v>
      </c>
      <c r="I1753">
        <v>21.9</v>
      </c>
      <c r="J1753">
        <v>11.3</v>
      </c>
      <c r="K1753" t="s">
        <v>6</v>
      </c>
      <c r="L1753">
        <v>223</v>
      </c>
      <c r="M1753" t="s">
        <v>6</v>
      </c>
    </row>
    <row r="1754" spans="1:13" x14ac:dyDescent="0.2">
      <c r="A1754" s="1">
        <v>45498</v>
      </c>
      <c r="B1754" s="2">
        <v>0.20833333333333334</v>
      </c>
      <c r="C1754" s="3">
        <v>45498.208333333336</v>
      </c>
      <c r="D1754">
        <v>55.2</v>
      </c>
      <c r="E1754">
        <v>64.099999999999994</v>
      </c>
      <c r="F1754">
        <v>49.9</v>
      </c>
      <c r="G1754" t="s">
        <v>6</v>
      </c>
      <c r="H1754">
        <v>13.2</v>
      </c>
      <c r="I1754">
        <v>17.7</v>
      </c>
      <c r="J1754">
        <v>11.2</v>
      </c>
      <c r="K1754" t="s">
        <v>6</v>
      </c>
      <c r="L1754">
        <v>163</v>
      </c>
      <c r="M1754" t="s">
        <v>6</v>
      </c>
    </row>
    <row r="1755" spans="1:13" x14ac:dyDescent="0.2">
      <c r="A1755" s="1">
        <v>45498</v>
      </c>
      <c r="B1755" s="2">
        <v>0.29166666666666669</v>
      </c>
      <c r="C1755" s="3">
        <v>45498.291666666664</v>
      </c>
      <c r="D1755">
        <v>55.1</v>
      </c>
      <c r="E1755">
        <v>55.1</v>
      </c>
      <c r="F1755">
        <v>55.1</v>
      </c>
      <c r="G1755" t="s">
        <v>6</v>
      </c>
      <c r="H1755">
        <v>11.9</v>
      </c>
      <c r="I1755">
        <v>11.9</v>
      </c>
      <c r="J1755">
        <v>11.9</v>
      </c>
      <c r="K1755" t="s">
        <v>6</v>
      </c>
      <c r="L1755">
        <v>1</v>
      </c>
      <c r="M1755" t="s">
        <v>6</v>
      </c>
    </row>
    <row r="1756" spans="1:13" x14ac:dyDescent="0.2">
      <c r="A1756" s="13">
        <v>45498</v>
      </c>
      <c r="B1756" s="9">
        <v>0.33333333333333331</v>
      </c>
      <c r="C1756" s="8">
        <v>45498.333333333336</v>
      </c>
      <c r="D1756" s="10">
        <v>56.2</v>
      </c>
      <c r="E1756" s="10">
        <v>56.9</v>
      </c>
      <c r="F1756" s="10">
        <v>54.6</v>
      </c>
      <c r="G1756" s="10" t="s">
        <v>6</v>
      </c>
      <c r="H1756" s="10">
        <v>14.6</v>
      </c>
      <c r="I1756" s="10">
        <v>16.899999999999999</v>
      </c>
      <c r="J1756" s="10">
        <v>12.5</v>
      </c>
      <c r="K1756" s="10" t="s">
        <v>6</v>
      </c>
      <c r="L1756" s="10">
        <v>10</v>
      </c>
      <c r="M1756" t="s">
        <v>6</v>
      </c>
    </row>
    <row r="1757" spans="1:13" x14ac:dyDescent="0.2">
      <c r="A1757" s="14">
        <v>45498</v>
      </c>
      <c r="B1757" s="12">
        <v>0.79166666666666663</v>
      </c>
      <c r="C1757" s="7">
        <v>45498.791666666664</v>
      </c>
      <c r="D1757" s="11">
        <v>74.900000000000006</v>
      </c>
      <c r="E1757" s="11">
        <v>75.3</v>
      </c>
      <c r="F1757" s="11">
        <v>74.2</v>
      </c>
      <c r="G1757" s="11" t="s">
        <v>6</v>
      </c>
      <c r="H1757" s="11">
        <v>11.9</v>
      </c>
      <c r="I1757" s="11">
        <v>12.2</v>
      </c>
      <c r="J1757" s="11">
        <v>11.7</v>
      </c>
      <c r="K1757" s="11" t="s">
        <v>6</v>
      </c>
      <c r="L1757" s="11">
        <v>3</v>
      </c>
      <c r="M1757" t="s">
        <v>6</v>
      </c>
    </row>
    <row r="1758" spans="1:13" x14ac:dyDescent="0.2">
      <c r="A1758" s="1">
        <v>45498</v>
      </c>
      <c r="B1758" s="2">
        <v>0.83333333333333337</v>
      </c>
      <c r="C1758" s="3">
        <v>45498.833333333336</v>
      </c>
      <c r="D1758">
        <v>42.1</v>
      </c>
      <c r="E1758">
        <v>50.1</v>
      </c>
      <c r="F1758">
        <v>40.299999999999997</v>
      </c>
      <c r="G1758" t="s">
        <v>6</v>
      </c>
      <c r="H1758">
        <v>13.1</v>
      </c>
      <c r="I1758">
        <v>19.2</v>
      </c>
      <c r="J1758">
        <v>11.6</v>
      </c>
      <c r="K1758" t="s">
        <v>6</v>
      </c>
      <c r="L1758">
        <v>147</v>
      </c>
      <c r="M1758" t="s">
        <v>6</v>
      </c>
    </row>
    <row r="1759" spans="1:13" x14ac:dyDescent="0.2">
      <c r="A1759" s="1">
        <v>45498</v>
      </c>
      <c r="B1759" s="2">
        <v>0.875</v>
      </c>
      <c r="C1759" s="3">
        <v>45498.875</v>
      </c>
      <c r="D1759">
        <v>44.9</v>
      </c>
      <c r="E1759">
        <v>53.9</v>
      </c>
      <c r="F1759">
        <v>40.5</v>
      </c>
      <c r="G1759" t="s">
        <v>6</v>
      </c>
      <c r="H1759">
        <v>13.3</v>
      </c>
      <c r="I1759">
        <v>16.399999999999999</v>
      </c>
      <c r="J1759">
        <v>11.8</v>
      </c>
      <c r="K1759" t="s">
        <v>6</v>
      </c>
      <c r="L1759">
        <v>199</v>
      </c>
      <c r="M1759" t="s">
        <v>6</v>
      </c>
    </row>
    <row r="1760" spans="1:13" x14ac:dyDescent="0.2">
      <c r="A1760" s="1">
        <v>45498</v>
      </c>
      <c r="B1760" s="2">
        <v>0.91666666666666663</v>
      </c>
      <c r="C1760" s="3">
        <v>45498.916666666664</v>
      </c>
      <c r="D1760">
        <v>42.7</v>
      </c>
      <c r="E1760">
        <v>46.8</v>
      </c>
      <c r="F1760">
        <v>40.1</v>
      </c>
      <c r="G1760" t="s">
        <v>6</v>
      </c>
      <c r="H1760">
        <v>12.8</v>
      </c>
      <c r="I1760">
        <v>15.4</v>
      </c>
      <c r="J1760">
        <v>11.5</v>
      </c>
      <c r="K1760" t="s">
        <v>6</v>
      </c>
      <c r="L1760">
        <v>225</v>
      </c>
      <c r="M1760" t="s">
        <v>6</v>
      </c>
    </row>
    <row r="1761" spans="1:13" x14ac:dyDescent="0.2">
      <c r="A1761" s="1">
        <v>45498</v>
      </c>
      <c r="B1761" s="2">
        <v>0.95833333333333337</v>
      </c>
      <c r="C1761" s="3">
        <v>45498.958333333336</v>
      </c>
      <c r="D1761">
        <v>46.2</v>
      </c>
      <c r="E1761">
        <v>50</v>
      </c>
      <c r="F1761">
        <v>41.6</v>
      </c>
      <c r="G1761" t="s">
        <v>6</v>
      </c>
      <c r="H1761">
        <v>13.7</v>
      </c>
      <c r="I1761">
        <v>23.5</v>
      </c>
      <c r="J1761">
        <v>11.9</v>
      </c>
      <c r="K1761" t="s">
        <v>6</v>
      </c>
      <c r="L1761">
        <v>209</v>
      </c>
      <c r="M1761" t="s">
        <v>6</v>
      </c>
    </row>
    <row r="1762" spans="1:13" x14ac:dyDescent="0.2">
      <c r="A1762" s="1">
        <v>45499</v>
      </c>
      <c r="B1762" s="2">
        <v>0</v>
      </c>
      <c r="C1762" s="3">
        <v>45499</v>
      </c>
      <c r="D1762">
        <v>46.5</v>
      </c>
      <c r="E1762">
        <v>52.7</v>
      </c>
      <c r="F1762">
        <v>42</v>
      </c>
      <c r="G1762" t="s">
        <v>6</v>
      </c>
      <c r="H1762">
        <v>14</v>
      </c>
      <c r="I1762">
        <v>22.8</v>
      </c>
      <c r="J1762">
        <v>11.9</v>
      </c>
      <c r="K1762" t="s">
        <v>6</v>
      </c>
      <c r="L1762">
        <v>207</v>
      </c>
      <c r="M1762" t="s">
        <v>6</v>
      </c>
    </row>
    <row r="1763" spans="1:13" x14ac:dyDescent="0.2">
      <c r="A1763" s="1">
        <v>45499</v>
      </c>
      <c r="B1763" s="2">
        <v>4.1666666666666664E-2</v>
      </c>
      <c r="C1763" s="3">
        <v>45499.041666666664</v>
      </c>
      <c r="D1763">
        <v>50.8</v>
      </c>
      <c r="E1763">
        <v>55.4</v>
      </c>
      <c r="F1763">
        <v>47.2</v>
      </c>
      <c r="G1763" t="s">
        <v>6</v>
      </c>
      <c r="H1763">
        <v>13.9</v>
      </c>
      <c r="I1763">
        <v>24.9</v>
      </c>
      <c r="J1763">
        <v>11.2</v>
      </c>
      <c r="K1763" t="s">
        <v>6</v>
      </c>
      <c r="L1763">
        <v>228</v>
      </c>
      <c r="M1763" t="s">
        <v>6</v>
      </c>
    </row>
    <row r="1764" spans="1:13" x14ac:dyDescent="0.2">
      <c r="A1764" s="1">
        <v>45499</v>
      </c>
      <c r="B1764" s="2">
        <v>8.3333333333333329E-2</v>
      </c>
      <c r="C1764" s="3">
        <v>45499.083333333336</v>
      </c>
      <c r="D1764">
        <v>47.1</v>
      </c>
      <c r="E1764">
        <v>52.3</v>
      </c>
      <c r="F1764">
        <v>42.6</v>
      </c>
      <c r="G1764" t="s">
        <v>6</v>
      </c>
      <c r="H1764">
        <v>13.9</v>
      </c>
      <c r="I1764">
        <v>23.9</v>
      </c>
      <c r="J1764">
        <v>11.6</v>
      </c>
      <c r="K1764" t="s">
        <v>6</v>
      </c>
      <c r="L1764">
        <v>221</v>
      </c>
      <c r="M1764" t="s">
        <v>6</v>
      </c>
    </row>
    <row r="1765" spans="1:13" x14ac:dyDescent="0.2">
      <c r="A1765" s="1">
        <v>45499</v>
      </c>
      <c r="B1765" s="2">
        <v>0.125</v>
      </c>
      <c r="C1765" s="3">
        <v>45499.125</v>
      </c>
      <c r="D1765">
        <v>46.9</v>
      </c>
      <c r="E1765">
        <v>53.1</v>
      </c>
      <c r="F1765">
        <v>43.1</v>
      </c>
      <c r="G1765" t="s">
        <v>6</v>
      </c>
      <c r="H1765">
        <v>15.1</v>
      </c>
      <c r="I1765">
        <v>24.6</v>
      </c>
      <c r="J1765">
        <v>10.8</v>
      </c>
      <c r="K1765" t="s">
        <v>6</v>
      </c>
      <c r="L1765">
        <v>203</v>
      </c>
      <c r="M1765" t="s">
        <v>6</v>
      </c>
    </row>
    <row r="1766" spans="1:13" x14ac:dyDescent="0.2">
      <c r="A1766" s="1">
        <v>45499</v>
      </c>
      <c r="B1766" s="2">
        <v>0.16666666666666666</v>
      </c>
      <c r="C1766" s="3">
        <v>45499.166666666664</v>
      </c>
      <c r="D1766">
        <v>48.9</v>
      </c>
      <c r="E1766">
        <v>53.4</v>
      </c>
      <c r="F1766">
        <v>43.7</v>
      </c>
      <c r="G1766" t="s">
        <v>6</v>
      </c>
      <c r="H1766">
        <v>13.8</v>
      </c>
      <c r="I1766">
        <v>23.4</v>
      </c>
      <c r="J1766">
        <v>11.2</v>
      </c>
      <c r="K1766" t="s">
        <v>6</v>
      </c>
      <c r="L1766">
        <v>213</v>
      </c>
      <c r="M1766" t="s">
        <v>6</v>
      </c>
    </row>
    <row r="1767" spans="1:13" x14ac:dyDescent="0.2">
      <c r="A1767" s="1">
        <v>45499</v>
      </c>
      <c r="B1767" s="2">
        <v>0.20833333333333334</v>
      </c>
      <c r="C1767" s="3">
        <v>45499.208333333336</v>
      </c>
      <c r="D1767">
        <v>44.3</v>
      </c>
      <c r="E1767">
        <v>50.6</v>
      </c>
      <c r="F1767">
        <v>40.5</v>
      </c>
      <c r="G1767" t="s">
        <v>6</v>
      </c>
      <c r="H1767">
        <v>12.9</v>
      </c>
      <c r="I1767">
        <v>20.100000000000001</v>
      </c>
      <c r="J1767">
        <v>10.6</v>
      </c>
      <c r="K1767" t="s">
        <v>6</v>
      </c>
      <c r="L1767">
        <v>226</v>
      </c>
      <c r="M1767" t="s">
        <v>6</v>
      </c>
    </row>
    <row r="1768" spans="1:13" x14ac:dyDescent="0.2">
      <c r="A1768" s="1">
        <v>45499</v>
      </c>
      <c r="B1768" s="2">
        <v>0.25</v>
      </c>
      <c r="C1768" s="3">
        <v>45499.25</v>
      </c>
      <c r="D1768">
        <v>44.7</v>
      </c>
      <c r="E1768">
        <v>50.4</v>
      </c>
      <c r="F1768">
        <v>41.5</v>
      </c>
      <c r="G1768" t="s">
        <v>6</v>
      </c>
      <c r="H1768">
        <v>12.3</v>
      </c>
      <c r="I1768">
        <v>20.6</v>
      </c>
      <c r="J1768">
        <v>10.5</v>
      </c>
      <c r="K1768" t="s">
        <v>6</v>
      </c>
      <c r="L1768">
        <v>228</v>
      </c>
      <c r="M1768" t="s">
        <v>6</v>
      </c>
    </row>
    <row r="1769" spans="1:13" x14ac:dyDescent="0.2">
      <c r="A1769" s="13">
        <v>45499</v>
      </c>
      <c r="B1769" s="9">
        <v>0.29166666666666669</v>
      </c>
      <c r="C1769" s="8">
        <v>45499.291666666664</v>
      </c>
      <c r="D1769" s="10">
        <v>57.4</v>
      </c>
      <c r="E1769" s="10">
        <v>70.7</v>
      </c>
      <c r="F1769" s="10">
        <v>45.7</v>
      </c>
      <c r="G1769" s="10" t="s">
        <v>6</v>
      </c>
      <c r="H1769" s="10">
        <v>13.8</v>
      </c>
      <c r="I1769" s="10">
        <v>23.6</v>
      </c>
      <c r="J1769" s="10">
        <v>11.2</v>
      </c>
      <c r="K1769" s="10" t="s">
        <v>6</v>
      </c>
      <c r="L1769" s="10">
        <v>163</v>
      </c>
      <c r="M1769" t="s">
        <v>6</v>
      </c>
    </row>
    <row r="1770" spans="1:13" x14ac:dyDescent="0.2">
      <c r="A1770" s="14">
        <v>45499</v>
      </c>
      <c r="B1770" s="12">
        <v>0.375</v>
      </c>
      <c r="C1770" s="7">
        <v>45499.375</v>
      </c>
      <c r="D1770" s="11">
        <v>60.4</v>
      </c>
      <c r="E1770" s="11">
        <v>63.9</v>
      </c>
      <c r="F1770" s="11">
        <v>57.2</v>
      </c>
      <c r="G1770" s="11" t="s">
        <v>6</v>
      </c>
      <c r="H1770" s="11">
        <v>16</v>
      </c>
      <c r="I1770" s="11">
        <v>23.9</v>
      </c>
      <c r="J1770" s="11">
        <v>10.5</v>
      </c>
      <c r="K1770" s="11" t="s">
        <v>6</v>
      </c>
      <c r="L1770" s="11">
        <v>109</v>
      </c>
      <c r="M1770" t="s">
        <v>6</v>
      </c>
    </row>
    <row r="1771" spans="1:13" x14ac:dyDescent="0.2">
      <c r="A1771" s="1">
        <v>45499</v>
      </c>
      <c r="B1771" s="2">
        <v>0.41666666666666669</v>
      </c>
      <c r="C1771" s="3">
        <v>45499.416666666664</v>
      </c>
      <c r="D1771">
        <v>61.4</v>
      </c>
      <c r="E1771">
        <v>66.3</v>
      </c>
      <c r="F1771">
        <v>57.2</v>
      </c>
      <c r="G1771" t="s">
        <v>6</v>
      </c>
      <c r="H1771">
        <v>13.2</v>
      </c>
      <c r="I1771">
        <v>20.5</v>
      </c>
      <c r="J1771">
        <v>10</v>
      </c>
      <c r="K1771" t="s">
        <v>6</v>
      </c>
      <c r="L1771">
        <v>222</v>
      </c>
      <c r="M1771" t="s">
        <v>6</v>
      </c>
    </row>
    <row r="1772" spans="1:13" x14ac:dyDescent="0.2">
      <c r="A1772" s="1">
        <v>45499</v>
      </c>
      <c r="B1772" s="2">
        <v>0.45833333333333331</v>
      </c>
      <c r="C1772" s="3">
        <v>45499.458333333336</v>
      </c>
      <c r="D1772">
        <v>60.5</v>
      </c>
      <c r="E1772">
        <v>65.2</v>
      </c>
      <c r="F1772">
        <v>55.2</v>
      </c>
      <c r="G1772" t="s">
        <v>6</v>
      </c>
      <c r="H1772">
        <v>15.4</v>
      </c>
      <c r="I1772">
        <v>20.5</v>
      </c>
      <c r="J1772">
        <v>12.7</v>
      </c>
      <c r="K1772" t="s">
        <v>6</v>
      </c>
      <c r="L1772">
        <v>228</v>
      </c>
      <c r="M1772" t="s">
        <v>6</v>
      </c>
    </row>
    <row r="1773" spans="1:13" x14ac:dyDescent="0.2">
      <c r="A1773" s="1">
        <v>45499</v>
      </c>
      <c r="B1773" s="2">
        <v>0.5</v>
      </c>
      <c r="C1773" s="3">
        <v>45499.5</v>
      </c>
      <c r="D1773">
        <v>60.4</v>
      </c>
      <c r="E1773">
        <v>65.599999999999994</v>
      </c>
      <c r="F1773">
        <v>54.6</v>
      </c>
      <c r="G1773" t="s">
        <v>6</v>
      </c>
      <c r="H1773">
        <v>14.6</v>
      </c>
      <c r="I1773">
        <v>24.4</v>
      </c>
      <c r="J1773">
        <v>11.7</v>
      </c>
      <c r="K1773" t="s">
        <v>6</v>
      </c>
      <c r="L1773">
        <v>172</v>
      </c>
      <c r="M1773" t="s">
        <v>6</v>
      </c>
    </row>
    <row r="1774" spans="1:13" x14ac:dyDescent="0.2">
      <c r="A1774" s="1">
        <v>45499</v>
      </c>
      <c r="B1774" s="2">
        <v>0.54166666666666663</v>
      </c>
      <c r="C1774" s="3">
        <v>45499.541666666664</v>
      </c>
      <c r="D1774">
        <v>61.4</v>
      </c>
      <c r="E1774">
        <v>61.4</v>
      </c>
      <c r="F1774">
        <v>61.4</v>
      </c>
      <c r="G1774" t="s">
        <v>6</v>
      </c>
      <c r="H1774">
        <v>13.9</v>
      </c>
      <c r="I1774">
        <v>13.9</v>
      </c>
      <c r="J1774">
        <v>13.9</v>
      </c>
      <c r="K1774" t="s">
        <v>6</v>
      </c>
      <c r="L1774">
        <v>1</v>
      </c>
      <c r="M1774" t="s">
        <v>6</v>
      </c>
    </row>
    <row r="1775" spans="1:13" x14ac:dyDescent="0.2">
      <c r="A1775" s="1">
        <v>45499</v>
      </c>
      <c r="B1775" s="2">
        <v>0.625</v>
      </c>
      <c r="C1775" s="3">
        <v>45499.625</v>
      </c>
      <c r="D1775">
        <v>62.3</v>
      </c>
      <c r="E1775">
        <v>64</v>
      </c>
      <c r="F1775">
        <v>58.9</v>
      </c>
      <c r="G1775" t="s">
        <v>6</v>
      </c>
      <c r="H1775">
        <v>18.8</v>
      </c>
      <c r="I1775">
        <v>21.9</v>
      </c>
      <c r="J1775">
        <v>14.4</v>
      </c>
      <c r="K1775" t="s">
        <v>6</v>
      </c>
      <c r="L1775">
        <v>19</v>
      </c>
      <c r="M1775" t="s">
        <v>6</v>
      </c>
    </row>
    <row r="1776" spans="1:13" x14ac:dyDescent="0.2">
      <c r="A1776" s="1">
        <v>45499</v>
      </c>
      <c r="B1776" s="2">
        <v>0.66666666666666663</v>
      </c>
      <c r="C1776" s="3">
        <v>45499.666666666664</v>
      </c>
      <c r="D1776">
        <v>62.3</v>
      </c>
      <c r="E1776">
        <v>63.6</v>
      </c>
      <c r="F1776">
        <v>61.8</v>
      </c>
      <c r="G1776" t="s">
        <v>6</v>
      </c>
      <c r="H1776">
        <v>17.100000000000001</v>
      </c>
      <c r="I1776">
        <v>19.8</v>
      </c>
      <c r="J1776">
        <v>13.4</v>
      </c>
      <c r="K1776" t="s">
        <v>6</v>
      </c>
      <c r="L1776">
        <v>20</v>
      </c>
      <c r="M1776" t="s">
        <v>6</v>
      </c>
    </row>
    <row r="1777" spans="1:13" x14ac:dyDescent="0.2">
      <c r="A1777" s="1">
        <v>45499</v>
      </c>
      <c r="B1777" s="2">
        <v>0.70833333333333337</v>
      </c>
      <c r="C1777" s="3">
        <v>45499.708333333336</v>
      </c>
      <c r="D1777">
        <v>61.2</v>
      </c>
      <c r="E1777">
        <v>62.5</v>
      </c>
      <c r="F1777">
        <v>60</v>
      </c>
      <c r="G1777" t="s">
        <v>6</v>
      </c>
      <c r="H1777">
        <v>17.600000000000001</v>
      </c>
      <c r="I1777">
        <v>18.7</v>
      </c>
      <c r="J1777">
        <v>15.2</v>
      </c>
      <c r="K1777" t="s">
        <v>6</v>
      </c>
      <c r="L1777">
        <v>12</v>
      </c>
      <c r="M1777" t="s">
        <v>6</v>
      </c>
    </row>
    <row r="1778" spans="1:13" x14ac:dyDescent="0.2">
      <c r="A1778" s="1">
        <v>45499</v>
      </c>
      <c r="B1778" s="2">
        <v>0.75</v>
      </c>
      <c r="C1778" s="3">
        <v>45499.75</v>
      </c>
      <c r="D1778">
        <v>58.1</v>
      </c>
      <c r="E1778">
        <v>61.6</v>
      </c>
      <c r="F1778">
        <v>55.5</v>
      </c>
      <c r="G1778" t="s">
        <v>6</v>
      </c>
      <c r="H1778">
        <v>15.2</v>
      </c>
      <c r="I1778">
        <v>17.8</v>
      </c>
      <c r="J1778">
        <v>13</v>
      </c>
      <c r="K1778" t="s">
        <v>6</v>
      </c>
      <c r="L1778">
        <v>27</v>
      </c>
      <c r="M1778" t="s">
        <v>6</v>
      </c>
    </row>
    <row r="1779" spans="1:13" x14ac:dyDescent="0.2">
      <c r="A1779" s="1">
        <v>45499</v>
      </c>
      <c r="B1779" s="2">
        <v>0.79166666666666663</v>
      </c>
      <c r="C1779" s="3">
        <v>45499.791666666664</v>
      </c>
      <c r="D1779">
        <v>57.6</v>
      </c>
      <c r="E1779">
        <v>60.8</v>
      </c>
      <c r="F1779">
        <v>53.3</v>
      </c>
      <c r="G1779" t="s">
        <v>6</v>
      </c>
      <c r="H1779">
        <v>15.4</v>
      </c>
      <c r="I1779">
        <v>23.2</v>
      </c>
      <c r="J1779">
        <v>12.5</v>
      </c>
      <c r="K1779" t="s">
        <v>6</v>
      </c>
      <c r="L1779">
        <v>145</v>
      </c>
      <c r="M1779" t="s">
        <v>6</v>
      </c>
    </row>
    <row r="1780" spans="1:13" x14ac:dyDescent="0.2">
      <c r="A1780" s="1">
        <v>45499</v>
      </c>
      <c r="B1780" s="2">
        <v>0.83333333333333337</v>
      </c>
      <c r="C1780" s="3">
        <v>45499.833333333336</v>
      </c>
      <c r="D1780">
        <v>47.1</v>
      </c>
      <c r="E1780">
        <v>58.7</v>
      </c>
      <c r="F1780">
        <v>40.4</v>
      </c>
      <c r="G1780" t="s">
        <v>6</v>
      </c>
      <c r="H1780">
        <v>18.600000000000001</v>
      </c>
      <c r="I1780">
        <v>31.3</v>
      </c>
      <c r="J1780">
        <v>12</v>
      </c>
      <c r="K1780" t="s">
        <v>6</v>
      </c>
      <c r="L1780">
        <v>205</v>
      </c>
      <c r="M1780" t="s">
        <v>6</v>
      </c>
    </row>
    <row r="1781" spans="1:13" x14ac:dyDescent="0.2">
      <c r="A1781" s="1">
        <v>45499</v>
      </c>
      <c r="B1781" s="2">
        <v>0.875</v>
      </c>
      <c r="C1781" s="3">
        <v>45499.875</v>
      </c>
      <c r="D1781">
        <v>43.7</v>
      </c>
      <c r="E1781">
        <v>47.7</v>
      </c>
      <c r="F1781">
        <v>40.700000000000003</v>
      </c>
      <c r="G1781" t="s">
        <v>6</v>
      </c>
      <c r="H1781">
        <v>14.1</v>
      </c>
      <c r="I1781">
        <v>28.7</v>
      </c>
      <c r="J1781">
        <v>11</v>
      </c>
      <c r="K1781" t="s">
        <v>6</v>
      </c>
      <c r="L1781">
        <v>223</v>
      </c>
      <c r="M1781" t="s">
        <v>6</v>
      </c>
    </row>
    <row r="1782" spans="1:13" x14ac:dyDescent="0.2">
      <c r="A1782" s="1">
        <v>45499</v>
      </c>
      <c r="B1782" s="2">
        <v>0.91666666666666663</v>
      </c>
      <c r="C1782" s="3">
        <v>45499.916666666664</v>
      </c>
      <c r="D1782">
        <v>48.6</v>
      </c>
      <c r="E1782">
        <v>60.7</v>
      </c>
      <c r="F1782">
        <v>41.2</v>
      </c>
      <c r="G1782" t="s">
        <v>6</v>
      </c>
      <c r="H1782">
        <v>14.4</v>
      </c>
      <c r="I1782">
        <v>31.5</v>
      </c>
      <c r="J1782">
        <v>11.1</v>
      </c>
      <c r="K1782" t="s">
        <v>6</v>
      </c>
      <c r="L1782">
        <v>219</v>
      </c>
      <c r="M1782" t="s">
        <v>6</v>
      </c>
    </row>
    <row r="1783" spans="1:13" x14ac:dyDescent="0.2">
      <c r="A1783" s="1">
        <v>45499</v>
      </c>
      <c r="B1783" s="2">
        <v>0.95833333333333337</v>
      </c>
      <c r="C1783" s="3">
        <v>45499.958333333336</v>
      </c>
      <c r="D1783">
        <v>45.8</v>
      </c>
      <c r="E1783">
        <v>52.9</v>
      </c>
      <c r="F1783">
        <v>41.5</v>
      </c>
      <c r="G1783" t="s">
        <v>6</v>
      </c>
      <c r="H1783">
        <v>13.5</v>
      </c>
      <c r="I1783">
        <v>24.6</v>
      </c>
      <c r="J1783">
        <v>10.9</v>
      </c>
      <c r="K1783" t="s">
        <v>6</v>
      </c>
      <c r="L1783">
        <v>223</v>
      </c>
      <c r="M1783" t="s">
        <v>6</v>
      </c>
    </row>
    <row r="1784" spans="1:13" x14ac:dyDescent="0.2">
      <c r="A1784" s="1">
        <v>45500</v>
      </c>
      <c r="B1784" s="2">
        <v>0</v>
      </c>
      <c r="C1784" s="3">
        <v>45500</v>
      </c>
      <c r="D1784">
        <v>47.4</v>
      </c>
      <c r="E1784">
        <v>57</v>
      </c>
      <c r="F1784">
        <v>42</v>
      </c>
      <c r="G1784" t="s">
        <v>6</v>
      </c>
      <c r="H1784">
        <v>14</v>
      </c>
      <c r="I1784">
        <v>23.1</v>
      </c>
      <c r="J1784">
        <v>11.2</v>
      </c>
      <c r="K1784" t="s">
        <v>6</v>
      </c>
      <c r="L1784">
        <v>219</v>
      </c>
      <c r="M1784" t="s">
        <v>6</v>
      </c>
    </row>
    <row r="1785" spans="1:13" x14ac:dyDescent="0.2">
      <c r="A1785" s="1">
        <v>45500</v>
      </c>
      <c r="B1785" s="2">
        <v>4.1666666666666664E-2</v>
      </c>
      <c r="C1785" s="3">
        <v>45500.041666666664</v>
      </c>
      <c r="D1785">
        <v>49.2</v>
      </c>
      <c r="E1785">
        <v>57.6</v>
      </c>
      <c r="F1785">
        <v>43.3</v>
      </c>
      <c r="G1785" t="s">
        <v>6</v>
      </c>
      <c r="H1785">
        <v>12.1</v>
      </c>
      <c r="I1785">
        <v>19.600000000000001</v>
      </c>
      <c r="J1785">
        <v>10.7</v>
      </c>
      <c r="K1785" t="s">
        <v>6</v>
      </c>
      <c r="L1785">
        <v>225</v>
      </c>
      <c r="M1785" t="s">
        <v>6</v>
      </c>
    </row>
    <row r="1786" spans="1:13" x14ac:dyDescent="0.2">
      <c r="A1786" s="1">
        <v>45500</v>
      </c>
      <c r="B1786" s="2">
        <v>8.3333333333333329E-2</v>
      </c>
      <c r="C1786" s="3">
        <v>45500.083333333336</v>
      </c>
      <c r="D1786">
        <v>47.3</v>
      </c>
      <c r="E1786">
        <v>51.4</v>
      </c>
      <c r="F1786">
        <v>41</v>
      </c>
      <c r="G1786" t="s">
        <v>6</v>
      </c>
      <c r="H1786">
        <v>12.8</v>
      </c>
      <c r="I1786">
        <v>20.399999999999999</v>
      </c>
      <c r="J1786">
        <v>10.9</v>
      </c>
      <c r="K1786" t="s">
        <v>6</v>
      </c>
      <c r="L1786">
        <v>215</v>
      </c>
      <c r="M1786" t="s">
        <v>6</v>
      </c>
    </row>
    <row r="1787" spans="1:13" x14ac:dyDescent="0.2">
      <c r="A1787" s="1">
        <v>45500</v>
      </c>
      <c r="B1787" s="2">
        <v>0.125</v>
      </c>
      <c r="C1787" s="3">
        <v>45500.125</v>
      </c>
      <c r="D1787">
        <v>53.5</v>
      </c>
      <c r="E1787">
        <v>59.3</v>
      </c>
      <c r="F1787">
        <v>50.5</v>
      </c>
      <c r="G1787" t="s">
        <v>6</v>
      </c>
      <c r="H1787">
        <v>12.2</v>
      </c>
      <c r="I1787">
        <v>23.2</v>
      </c>
      <c r="J1787">
        <v>10.6</v>
      </c>
      <c r="K1787" t="s">
        <v>6</v>
      </c>
      <c r="L1787">
        <v>221</v>
      </c>
      <c r="M1787" t="s">
        <v>6</v>
      </c>
    </row>
    <row r="1788" spans="1:13" x14ac:dyDescent="0.2">
      <c r="A1788" s="1">
        <v>45500</v>
      </c>
      <c r="B1788" s="2">
        <v>0.16666666666666666</v>
      </c>
      <c r="C1788" s="3">
        <v>45500.166666666664</v>
      </c>
      <c r="D1788">
        <v>54.7</v>
      </c>
      <c r="E1788">
        <v>60.7</v>
      </c>
      <c r="F1788">
        <v>48.8</v>
      </c>
      <c r="G1788" t="s">
        <v>6</v>
      </c>
      <c r="H1788">
        <v>11.9</v>
      </c>
      <c r="I1788">
        <v>18.3</v>
      </c>
      <c r="J1788">
        <v>10.6</v>
      </c>
      <c r="K1788" t="s">
        <v>6</v>
      </c>
      <c r="L1788">
        <v>223</v>
      </c>
      <c r="M1788" t="s">
        <v>6</v>
      </c>
    </row>
    <row r="1789" spans="1:13" x14ac:dyDescent="0.2">
      <c r="A1789" s="1">
        <v>45500</v>
      </c>
      <c r="B1789" s="2">
        <v>0.20833333333333334</v>
      </c>
      <c r="C1789" s="3">
        <v>45500.208333333336</v>
      </c>
      <c r="D1789">
        <v>47</v>
      </c>
      <c r="E1789">
        <v>51.8</v>
      </c>
      <c r="F1789">
        <v>44.6</v>
      </c>
      <c r="G1789" t="s">
        <v>6</v>
      </c>
      <c r="H1789">
        <v>11.8</v>
      </c>
      <c r="I1789">
        <v>16.3</v>
      </c>
      <c r="J1789">
        <v>10.5</v>
      </c>
      <c r="K1789" t="s">
        <v>6</v>
      </c>
      <c r="L1789">
        <v>223</v>
      </c>
      <c r="M1789" t="s">
        <v>6</v>
      </c>
    </row>
    <row r="1790" spans="1:13" x14ac:dyDescent="0.2">
      <c r="A1790" s="1">
        <v>45500</v>
      </c>
      <c r="B1790" s="2">
        <v>0.25</v>
      </c>
      <c r="C1790" s="3">
        <v>45500.25</v>
      </c>
      <c r="D1790">
        <v>54.5</v>
      </c>
      <c r="E1790">
        <v>64.7</v>
      </c>
      <c r="F1790">
        <v>44.2</v>
      </c>
      <c r="G1790" t="s">
        <v>6</v>
      </c>
      <c r="H1790">
        <v>12.1</v>
      </c>
      <c r="I1790">
        <v>14.7</v>
      </c>
      <c r="J1790">
        <v>10.7</v>
      </c>
      <c r="K1790" t="s">
        <v>6</v>
      </c>
      <c r="L1790">
        <v>224</v>
      </c>
      <c r="M1790" t="s">
        <v>6</v>
      </c>
    </row>
    <row r="1791" spans="1:13" x14ac:dyDescent="0.2">
      <c r="A1791" s="1">
        <v>45500</v>
      </c>
      <c r="B1791" s="2">
        <v>0.29166666666666669</v>
      </c>
      <c r="C1791" s="3">
        <v>45500.291666666664</v>
      </c>
      <c r="D1791">
        <v>53.1</v>
      </c>
      <c r="E1791">
        <v>60.9</v>
      </c>
      <c r="F1791">
        <v>46.6</v>
      </c>
      <c r="G1791" t="s">
        <v>6</v>
      </c>
      <c r="H1791">
        <v>13.2</v>
      </c>
      <c r="I1791">
        <v>19.100000000000001</v>
      </c>
      <c r="J1791">
        <v>10.9</v>
      </c>
      <c r="K1791" t="s">
        <v>6</v>
      </c>
      <c r="L1791">
        <v>196</v>
      </c>
      <c r="M1791" t="s">
        <v>6</v>
      </c>
    </row>
    <row r="1792" spans="1:13" x14ac:dyDescent="0.2">
      <c r="A1792" s="13">
        <v>45500</v>
      </c>
      <c r="B1792" s="9">
        <v>0.33333333333333331</v>
      </c>
      <c r="C1792" s="8">
        <v>45500.333333333336</v>
      </c>
      <c r="D1792" s="10">
        <v>56.6</v>
      </c>
      <c r="E1792" s="10">
        <v>75.8</v>
      </c>
      <c r="F1792" s="10">
        <v>45.4</v>
      </c>
      <c r="G1792" s="10" t="s">
        <v>6</v>
      </c>
      <c r="H1792" s="10">
        <v>15.8</v>
      </c>
      <c r="I1792" s="10">
        <v>28</v>
      </c>
      <c r="J1792" s="10">
        <v>12.2</v>
      </c>
      <c r="K1792" s="10" t="s">
        <v>6</v>
      </c>
      <c r="L1792" s="10">
        <v>55</v>
      </c>
      <c r="M1792" t="s">
        <v>6</v>
      </c>
    </row>
    <row r="1793" spans="1:13" x14ac:dyDescent="0.2">
      <c r="A1793" s="14">
        <v>45500</v>
      </c>
      <c r="B1793" s="12">
        <v>0.375</v>
      </c>
      <c r="C1793" s="7">
        <v>45500.375</v>
      </c>
      <c r="D1793" s="11">
        <v>70</v>
      </c>
      <c r="E1793" s="11">
        <v>70.400000000000006</v>
      </c>
      <c r="F1793" s="11">
        <v>69.3</v>
      </c>
      <c r="G1793" s="11" t="s">
        <v>6</v>
      </c>
      <c r="H1793" s="11">
        <v>31.4</v>
      </c>
      <c r="I1793" s="11">
        <v>33</v>
      </c>
      <c r="J1793" s="11">
        <v>30.2</v>
      </c>
      <c r="K1793" s="11" t="s">
        <v>6</v>
      </c>
      <c r="L1793" s="11">
        <v>4</v>
      </c>
      <c r="M1793" t="s">
        <v>6</v>
      </c>
    </row>
    <row r="1794" spans="1:13" x14ac:dyDescent="0.2">
      <c r="A1794" s="1">
        <v>45500</v>
      </c>
      <c r="B1794" s="2">
        <v>0.41666666666666669</v>
      </c>
      <c r="C1794" s="3">
        <v>45500.416666666664</v>
      </c>
      <c r="D1794">
        <v>60.9</v>
      </c>
      <c r="E1794">
        <v>70.400000000000006</v>
      </c>
      <c r="F1794">
        <v>56.6</v>
      </c>
      <c r="G1794" t="s">
        <v>6</v>
      </c>
      <c r="H1794">
        <v>14.9</v>
      </c>
      <c r="I1794">
        <v>28.9</v>
      </c>
      <c r="J1794">
        <v>13.1</v>
      </c>
      <c r="K1794" t="s">
        <v>6</v>
      </c>
      <c r="L1794">
        <v>44</v>
      </c>
      <c r="M1794" t="s">
        <v>6</v>
      </c>
    </row>
    <row r="1795" spans="1:13" x14ac:dyDescent="0.2">
      <c r="A1795" s="1">
        <v>45500</v>
      </c>
      <c r="B1795" s="2">
        <v>0.45833333333333331</v>
      </c>
      <c r="C1795" s="3">
        <v>45500.458333333336</v>
      </c>
      <c r="D1795">
        <v>61.4</v>
      </c>
      <c r="E1795">
        <v>68.8</v>
      </c>
      <c r="F1795">
        <v>56.3</v>
      </c>
      <c r="G1795" t="s">
        <v>6</v>
      </c>
      <c r="H1795">
        <v>13.7</v>
      </c>
      <c r="I1795">
        <v>17.7</v>
      </c>
      <c r="J1795">
        <v>10.9</v>
      </c>
      <c r="K1795" t="s">
        <v>6</v>
      </c>
      <c r="L1795">
        <v>229</v>
      </c>
      <c r="M1795" t="s">
        <v>6</v>
      </c>
    </row>
    <row r="1796" spans="1:13" x14ac:dyDescent="0.2">
      <c r="A1796" s="1">
        <v>45500</v>
      </c>
      <c r="B1796" s="2">
        <v>0.5</v>
      </c>
      <c r="C1796" s="3">
        <v>45500.5</v>
      </c>
      <c r="D1796">
        <v>60.4</v>
      </c>
      <c r="E1796">
        <v>69.7</v>
      </c>
      <c r="F1796">
        <v>52.6</v>
      </c>
      <c r="G1796" t="s">
        <v>6</v>
      </c>
      <c r="H1796">
        <v>14.3</v>
      </c>
      <c r="I1796">
        <v>29.3</v>
      </c>
      <c r="J1796">
        <v>10.4</v>
      </c>
      <c r="K1796" t="s">
        <v>6</v>
      </c>
      <c r="L1796">
        <v>230</v>
      </c>
      <c r="M1796" t="s">
        <v>6</v>
      </c>
    </row>
    <row r="1797" spans="1:13" x14ac:dyDescent="0.2">
      <c r="A1797" s="1">
        <v>45500</v>
      </c>
      <c r="B1797" s="2">
        <v>0.54166666666666663</v>
      </c>
      <c r="C1797" s="3">
        <v>45500.541666666664</v>
      </c>
      <c r="D1797">
        <v>64.3</v>
      </c>
      <c r="E1797">
        <v>71.2</v>
      </c>
      <c r="F1797">
        <v>54.8</v>
      </c>
      <c r="G1797" t="s">
        <v>6</v>
      </c>
      <c r="H1797">
        <v>12.6</v>
      </c>
      <c r="I1797">
        <v>18.100000000000001</v>
      </c>
      <c r="J1797">
        <v>9.8000000000000007</v>
      </c>
      <c r="K1797" t="s">
        <v>6</v>
      </c>
      <c r="L1797">
        <v>154</v>
      </c>
      <c r="M1797" t="s">
        <v>6</v>
      </c>
    </row>
    <row r="1798" spans="1:13" x14ac:dyDescent="0.2">
      <c r="A1798" s="1">
        <v>45500</v>
      </c>
      <c r="B1798" s="2">
        <v>0.58333333333333337</v>
      </c>
      <c r="C1798" s="3">
        <v>45500.583333333336</v>
      </c>
      <c r="D1798">
        <v>46.5</v>
      </c>
      <c r="E1798">
        <v>52.6</v>
      </c>
      <c r="F1798">
        <v>45.6</v>
      </c>
      <c r="G1798" t="s">
        <v>6</v>
      </c>
      <c r="H1798">
        <v>32.9</v>
      </c>
      <c r="I1798">
        <v>34.6</v>
      </c>
      <c r="J1798">
        <v>30.6</v>
      </c>
      <c r="K1798" t="s">
        <v>6</v>
      </c>
      <c r="L1798">
        <v>17</v>
      </c>
      <c r="M1798" t="s">
        <v>6</v>
      </c>
    </row>
    <row r="1799" spans="1:13" x14ac:dyDescent="0.2">
      <c r="A1799" s="1">
        <v>45500</v>
      </c>
      <c r="B1799" s="2">
        <v>0.70833333333333337</v>
      </c>
      <c r="C1799" s="3">
        <v>45500.708333333336</v>
      </c>
      <c r="D1799">
        <v>55.2</v>
      </c>
      <c r="E1799">
        <v>56.5</v>
      </c>
      <c r="F1799">
        <v>53.9</v>
      </c>
      <c r="G1799" t="s">
        <v>6</v>
      </c>
      <c r="H1799">
        <v>32.6</v>
      </c>
      <c r="I1799">
        <v>34.799999999999997</v>
      </c>
      <c r="J1799">
        <v>29.6</v>
      </c>
      <c r="K1799" t="s">
        <v>6</v>
      </c>
      <c r="L1799">
        <v>40</v>
      </c>
      <c r="M1799" t="s">
        <v>6</v>
      </c>
    </row>
    <row r="1800" spans="1:13" x14ac:dyDescent="0.2">
      <c r="A1800" s="1">
        <v>45500</v>
      </c>
      <c r="B1800" s="2">
        <v>0.75</v>
      </c>
      <c r="C1800" s="3">
        <v>45500.75</v>
      </c>
      <c r="D1800">
        <v>56.8</v>
      </c>
      <c r="E1800">
        <v>73.5</v>
      </c>
      <c r="F1800">
        <v>53.5</v>
      </c>
      <c r="G1800" t="s">
        <v>6</v>
      </c>
      <c r="H1800">
        <v>32.5</v>
      </c>
      <c r="I1800">
        <v>35.6</v>
      </c>
      <c r="J1800">
        <v>19.2</v>
      </c>
      <c r="K1800" t="s">
        <v>6</v>
      </c>
      <c r="L1800">
        <v>14</v>
      </c>
      <c r="M1800" t="s">
        <v>6</v>
      </c>
    </row>
    <row r="1801" spans="1:13" x14ac:dyDescent="0.2">
      <c r="A1801" s="1">
        <v>45500</v>
      </c>
      <c r="B1801" s="2">
        <v>0.83333333333333337</v>
      </c>
      <c r="C1801" s="3">
        <v>45500.833333333336</v>
      </c>
      <c r="D1801">
        <v>53.1</v>
      </c>
      <c r="E1801">
        <v>58.4</v>
      </c>
      <c r="F1801">
        <v>45.1</v>
      </c>
      <c r="G1801" t="s">
        <v>6</v>
      </c>
      <c r="H1801">
        <v>22.6</v>
      </c>
      <c r="I1801">
        <v>31.9</v>
      </c>
      <c r="J1801">
        <v>12.6</v>
      </c>
      <c r="K1801" t="s">
        <v>6</v>
      </c>
      <c r="L1801">
        <v>193</v>
      </c>
      <c r="M1801" t="s">
        <v>6</v>
      </c>
    </row>
    <row r="1802" spans="1:13" x14ac:dyDescent="0.2">
      <c r="A1802" s="1">
        <v>45500</v>
      </c>
      <c r="B1802" s="2">
        <v>0.875</v>
      </c>
      <c r="C1802" s="3">
        <v>45500.875</v>
      </c>
      <c r="D1802">
        <v>49.2</v>
      </c>
      <c r="E1802">
        <v>57.4</v>
      </c>
      <c r="F1802">
        <v>43.2</v>
      </c>
      <c r="G1802" t="s">
        <v>6</v>
      </c>
      <c r="H1802">
        <v>14.5</v>
      </c>
      <c r="I1802">
        <v>28.6</v>
      </c>
      <c r="J1802">
        <v>11.9</v>
      </c>
      <c r="K1802" t="s">
        <v>6</v>
      </c>
      <c r="L1802">
        <v>228</v>
      </c>
      <c r="M1802" t="s">
        <v>6</v>
      </c>
    </row>
    <row r="1803" spans="1:13" x14ac:dyDescent="0.2">
      <c r="A1803" s="1">
        <v>45500</v>
      </c>
      <c r="B1803" s="2">
        <v>0.91666666666666663</v>
      </c>
      <c r="C1803" s="3">
        <v>45500.916666666664</v>
      </c>
      <c r="D1803">
        <v>50.5</v>
      </c>
      <c r="E1803">
        <v>54.7</v>
      </c>
      <c r="F1803">
        <v>45.5</v>
      </c>
      <c r="G1803" t="s">
        <v>6</v>
      </c>
      <c r="H1803">
        <v>14.2</v>
      </c>
      <c r="I1803">
        <v>24.8</v>
      </c>
      <c r="J1803">
        <v>11.6</v>
      </c>
      <c r="K1803" t="s">
        <v>6</v>
      </c>
      <c r="L1803">
        <v>225</v>
      </c>
      <c r="M1803" t="s">
        <v>6</v>
      </c>
    </row>
    <row r="1804" spans="1:13" x14ac:dyDescent="0.2">
      <c r="A1804" s="1">
        <v>45500</v>
      </c>
      <c r="B1804" s="2">
        <v>0.95833333333333337</v>
      </c>
      <c r="C1804" s="3">
        <v>45500.958333333336</v>
      </c>
      <c r="D1804">
        <v>47.9</v>
      </c>
      <c r="E1804">
        <v>58.3</v>
      </c>
      <c r="F1804">
        <v>44.5</v>
      </c>
      <c r="G1804" t="s">
        <v>6</v>
      </c>
      <c r="H1804">
        <v>14.1</v>
      </c>
      <c r="I1804">
        <v>24</v>
      </c>
      <c r="J1804">
        <v>11.4</v>
      </c>
      <c r="K1804" t="s">
        <v>6</v>
      </c>
      <c r="L1804">
        <v>212</v>
      </c>
      <c r="M1804" t="s">
        <v>6</v>
      </c>
    </row>
    <row r="1805" spans="1:13" x14ac:dyDescent="0.2">
      <c r="A1805" s="1">
        <v>45501</v>
      </c>
      <c r="B1805" s="2">
        <v>0</v>
      </c>
      <c r="C1805" s="3">
        <v>45501</v>
      </c>
      <c r="D1805">
        <v>58.2</v>
      </c>
      <c r="E1805">
        <v>64.400000000000006</v>
      </c>
      <c r="F1805">
        <v>51.4</v>
      </c>
      <c r="G1805" t="s">
        <v>6</v>
      </c>
      <c r="H1805">
        <v>12.8</v>
      </c>
      <c r="I1805">
        <v>17.399999999999999</v>
      </c>
      <c r="J1805">
        <v>11.2</v>
      </c>
      <c r="K1805" t="s">
        <v>6</v>
      </c>
      <c r="L1805">
        <v>221</v>
      </c>
      <c r="M1805" t="s">
        <v>6</v>
      </c>
    </row>
    <row r="1806" spans="1:13" x14ac:dyDescent="0.2">
      <c r="A1806" s="1">
        <v>45501</v>
      </c>
      <c r="B1806" s="2">
        <v>4.1666666666666664E-2</v>
      </c>
      <c r="C1806" s="3">
        <v>45501.041666666664</v>
      </c>
      <c r="D1806">
        <v>57.8</v>
      </c>
      <c r="E1806">
        <v>66.400000000000006</v>
      </c>
      <c r="F1806">
        <v>43.9</v>
      </c>
      <c r="G1806" t="s">
        <v>6</v>
      </c>
      <c r="H1806">
        <v>13.3</v>
      </c>
      <c r="I1806">
        <v>18.5</v>
      </c>
      <c r="J1806">
        <v>11.5</v>
      </c>
      <c r="K1806" t="s">
        <v>6</v>
      </c>
      <c r="L1806">
        <v>216</v>
      </c>
      <c r="M1806" t="s">
        <v>6</v>
      </c>
    </row>
    <row r="1807" spans="1:13" x14ac:dyDescent="0.2">
      <c r="A1807" s="1">
        <v>45501</v>
      </c>
      <c r="B1807" s="2">
        <v>8.3333333333333329E-2</v>
      </c>
      <c r="C1807" s="3">
        <v>45501.083333333336</v>
      </c>
      <c r="D1807">
        <v>43.2</v>
      </c>
      <c r="E1807">
        <v>48.1</v>
      </c>
      <c r="F1807">
        <v>40.1</v>
      </c>
      <c r="G1807" t="s">
        <v>6</v>
      </c>
      <c r="H1807">
        <v>15.4</v>
      </c>
      <c r="I1807">
        <v>26.1</v>
      </c>
      <c r="J1807">
        <v>11.6</v>
      </c>
      <c r="K1807" t="s">
        <v>6</v>
      </c>
      <c r="L1807">
        <v>205</v>
      </c>
      <c r="M1807" t="s">
        <v>6</v>
      </c>
    </row>
    <row r="1808" spans="1:13" x14ac:dyDescent="0.2">
      <c r="A1808" s="1">
        <v>45501</v>
      </c>
      <c r="B1808" s="2">
        <v>0.125</v>
      </c>
      <c r="C1808" s="3">
        <v>45501.125</v>
      </c>
      <c r="D1808">
        <v>45.7</v>
      </c>
      <c r="E1808">
        <v>54.2</v>
      </c>
      <c r="F1808">
        <v>40.799999999999997</v>
      </c>
      <c r="G1808" t="s">
        <v>6</v>
      </c>
      <c r="H1808">
        <v>15.9</v>
      </c>
      <c r="I1808">
        <v>34.6</v>
      </c>
      <c r="J1808">
        <v>10.7</v>
      </c>
      <c r="K1808" t="s">
        <v>6</v>
      </c>
      <c r="L1808">
        <v>217</v>
      </c>
      <c r="M1808" t="s">
        <v>6</v>
      </c>
    </row>
    <row r="1809" spans="1:13" x14ac:dyDescent="0.2">
      <c r="A1809" s="1">
        <v>45501</v>
      </c>
      <c r="B1809" s="2">
        <v>0.16666666666666666</v>
      </c>
      <c r="C1809" s="3">
        <v>45501.166666666664</v>
      </c>
      <c r="D1809">
        <v>52.6</v>
      </c>
      <c r="E1809">
        <v>62.8</v>
      </c>
      <c r="F1809">
        <v>47</v>
      </c>
      <c r="G1809" t="s">
        <v>6</v>
      </c>
      <c r="H1809">
        <v>12.2</v>
      </c>
      <c r="I1809">
        <v>20.8</v>
      </c>
      <c r="J1809">
        <v>10.8</v>
      </c>
      <c r="K1809" t="s">
        <v>6</v>
      </c>
      <c r="L1809">
        <v>223</v>
      </c>
      <c r="M1809" t="s">
        <v>6</v>
      </c>
    </row>
    <row r="1810" spans="1:13" x14ac:dyDescent="0.2">
      <c r="A1810" s="1">
        <v>45501</v>
      </c>
      <c r="B1810" s="2">
        <v>0.20833333333333334</v>
      </c>
      <c r="C1810" s="3">
        <v>45501.208333333336</v>
      </c>
      <c r="D1810">
        <v>51.3</v>
      </c>
      <c r="E1810">
        <v>57.7</v>
      </c>
      <c r="F1810">
        <v>47.5</v>
      </c>
      <c r="G1810" t="s">
        <v>6</v>
      </c>
      <c r="H1810">
        <v>12.4</v>
      </c>
      <c r="I1810">
        <v>17.100000000000001</v>
      </c>
      <c r="J1810">
        <v>10.4</v>
      </c>
      <c r="K1810" t="s">
        <v>6</v>
      </c>
      <c r="L1810">
        <v>214</v>
      </c>
      <c r="M1810" t="s">
        <v>6</v>
      </c>
    </row>
    <row r="1811" spans="1:13" x14ac:dyDescent="0.2">
      <c r="A1811" s="1">
        <v>45501</v>
      </c>
      <c r="B1811" s="2">
        <v>0.25</v>
      </c>
      <c r="C1811" s="3">
        <v>45501.25</v>
      </c>
      <c r="D1811">
        <v>55.1</v>
      </c>
      <c r="E1811">
        <v>61.4</v>
      </c>
      <c r="F1811">
        <v>48.5</v>
      </c>
      <c r="G1811" t="s">
        <v>6</v>
      </c>
      <c r="H1811">
        <v>13.2</v>
      </c>
      <c r="I1811">
        <v>26.2</v>
      </c>
      <c r="J1811">
        <v>10.9</v>
      </c>
      <c r="K1811" t="s">
        <v>6</v>
      </c>
      <c r="L1811">
        <v>158</v>
      </c>
      <c r="M1811" t="s">
        <v>6</v>
      </c>
    </row>
    <row r="1812" spans="1:13" x14ac:dyDescent="0.2">
      <c r="A1812" s="13">
        <v>45501</v>
      </c>
      <c r="B1812" s="9">
        <v>0.29166666666666669</v>
      </c>
      <c r="C1812" s="8">
        <v>45501.291666666664</v>
      </c>
      <c r="D1812" s="10">
        <v>52.4</v>
      </c>
      <c r="E1812" s="10">
        <v>53.8</v>
      </c>
      <c r="F1812" s="10">
        <v>50.9</v>
      </c>
      <c r="G1812" s="10" t="s">
        <v>6</v>
      </c>
      <c r="H1812" s="10">
        <v>18.100000000000001</v>
      </c>
      <c r="I1812" s="10">
        <v>24.8</v>
      </c>
      <c r="J1812" s="10">
        <v>13.1</v>
      </c>
      <c r="K1812" s="10" t="s">
        <v>6</v>
      </c>
      <c r="L1812" s="10">
        <v>25</v>
      </c>
      <c r="M1812" t="s">
        <v>6</v>
      </c>
    </row>
    <row r="1813" spans="1:13" x14ac:dyDescent="0.2">
      <c r="A1813" s="14">
        <v>45501</v>
      </c>
      <c r="B1813" s="12">
        <v>0.54166666666666663</v>
      </c>
      <c r="C1813" s="7">
        <v>45501.541666666664</v>
      </c>
      <c r="D1813" s="11">
        <v>61.5</v>
      </c>
      <c r="E1813" s="11">
        <v>66.8</v>
      </c>
      <c r="F1813" s="11">
        <v>59.2</v>
      </c>
      <c r="G1813" s="11" t="s">
        <v>6</v>
      </c>
      <c r="H1813" s="11">
        <v>19.100000000000001</v>
      </c>
      <c r="I1813" s="11">
        <v>22.7</v>
      </c>
      <c r="J1813" s="11">
        <v>14.5</v>
      </c>
      <c r="K1813" s="11" t="s">
        <v>6</v>
      </c>
      <c r="L1813" s="11">
        <v>71</v>
      </c>
      <c r="M1813" t="s">
        <v>6</v>
      </c>
    </row>
    <row r="1814" spans="1:13" x14ac:dyDescent="0.2">
      <c r="A1814" s="1">
        <v>45501</v>
      </c>
      <c r="B1814" s="2">
        <v>0.58333333333333337</v>
      </c>
      <c r="C1814" s="3">
        <v>45501.583333333336</v>
      </c>
      <c r="D1814">
        <v>67.400000000000006</v>
      </c>
      <c r="E1814">
        <v>71.400000000000006</v>
      </c>
      <c r="F1814">
        <v>60.8</v>
      </c>
      <c r="G1814" t="s">
        <v>6</v>
      </c>
      <c r="H1814">
        <v>16.5</v>
      </c>
      <c r="I1814">
        <v>19.5</v>
      </c>
      <c r="J1814">
        <v>13.3</v>
      </c>
      <c r="K1814" t="s">
        <v>6</v>
      </c>
      <c r="L1814">
        <v>20</v>
      </c>
      <c r="M1814" t="s">
        <v>6</v>
      </c>
    </row>
    <row r="1815" spans="1:13" x14ac:dyDescent="0.2">
      <c r="A1815" s="1">
        <v>45501</v>
      </c>
      <c r="B1815" s="2">
        <v>0.75</v>
      </c>
      <c r="C1815" s="3">
        <v>45501.75</v>
      </c>
      <c r="D1815">
        <v>59.3</v>
      </c>
      <c r="E1815">
        <v>68.2</v>
      </c>
      <c r="F1815">
        <v>54.6</v>
      </c>
      <c r="G1815" t="s">
        <v>6</v>
      </c>
      <c r="H1815">
        <v>17.8</v>
      </c>
      <c r="I1815">
        <v>22.8</v>
      </c>
      <c r="J1815">
        <v>13</v>
      </c>
      <c r="K1815" t="s">
        <v>6</v>
      </c>
      <c r="L1815">
        <v>116</v>
      </c>
      <c r="M1815" t="s">
        <v>6</v>
      </c>
    </row>
    <row r="1816" spans="1:13" x14ac:dyDescent="0.2">
      <c r="A1816" s="1">
        <v>45501</v>
      </c>
      <c r="B1816" s="2">
        <v>0.79166666666666663</v>
      </c>
      <c r="C1816" s="3">
        <v>45501.791666666664</v>
      </c>
      <c r="D1816">
        <v>57.8</v>
      </c>
      <c r="E1816">
        <v>60.3</v>
      </c>
      <c r="F1816">
        <v>54.5</v>
      </c>
      <c r="G1816" t="s">
        <v>6</v>
      </c>
      <c r="H1816">
        <v>18.5</v>
      </c>
      <c r="I1816">
        <v>22.5</v>
      </c>
      <c r="J1816">
        <v>13.7</v>
      </c>
      <c r="K1816" t="s">
        <v>6</v>
      </c>
      <c r="L1816">
        <v>72</v>
      </c>
      <c r="M1816" t="s">
        <v>6</v>
      </c>
    </row>
    <row r="1817" spans="1:13" x14ac:dyDescent="0.2">
      <c r="A1817" s="1">
        <v>45501</v>
      </c>
      <c r="B1817" s="2">
        <v>0.83333333333333337</v>
      </c>
      <c r="C1817" s="3">
        <v>45501.833333333336</v>
      </c>
      <c r="D1817">
        <v>46.7</v>
      </c>
      <c r="E1817">
        <v>58.8</v>
      </c>
      <c r="F1817">
        <v>40.1</v>
      </c>
      <c r="G1817" t="s">
        <v>6</v>
      </c>
      <c r="H1817">
        <v>15.3</v>
      </c>
      <c r="I1817">
        <v>25.6</v>
      </c>
      <c r="J1817">
        <v>11.4</v>
      </c>
      <c r="K1817" t="s">
        <v>6</v>
      </c>
      <c r="L1817">
        <v>220</v>
      </c>
      <c r="M1817" t="s">
        <v>6</v>
      </c>
    </row>
    <row r="1818" spans="1:13" x14ac:dyDescent="0.2">
      <c r="A1818" s="1">
        <v>45501</v>
      </c>
      <c r="B1818" s="2">
        <v>0.875</v>
      </c>
      <c r="C1818" s="3">
        <v>45501.875</v>
      </c>
      <c r="D1818">
        <v>47</v>
      </c>
      <c r="E1818">
        <v>51.8</v>
      </c>
      <c r="F1818">
        <v>40.5</v>
      </c>
      <c r="G1818" t="s">
        <v>6</v>
      </c>
      <c r="H1818">
        <v>14.3</v>
      </c>
      <c r="I1818">
        <v>24.8</v>
      </c>
      <c r="J1818">
        <v>11.4</v>
      </c>
      <c r="K1818" t="s">
        <v>6</v>
      </c>
      <c r="L1818">
        <v>222</v>
      </c>
      <c r="M1818" t="s">
        <v>6</v>
      </c>
    </row>
    <row r="1819" spans="1:13" x14ac:dyDescent="0.2">
      <c r="A1819" s="1">
        <v>45501</v>
      </c>
      <c r="B1819" s="2">
        <v>0.91666666666666663</v>
      </c>
      <c r="C1819" s="3">
        <v>45501.916666666664</v>
      </c>
      <c r="D1819">
        <v>46.5</v>
      </c>
      <c r="E1819">
        <v>54</v>
      </c>
      <c r="F1819">
        <v>40.1</v>
      </c>
      <c r="G1819" t="s">
        <v>6</v>
      </c>
      <c r="H1819">
        <v>15.7</v>
      </c>
      <c r="I1819">
        <v>28.1</v>
      </c>
      <c r="J1819">
        <v>11.5</v>
      </c>
      <c r="K1819" t="s">
        <v>6</v>
      </c>
      <c r="L1819">
        <v>221</v>
      </c>
      <c r="M1819" t="s">
        <v>6</v>
      </c>
    </row>
    <row r="1820" spans="1:13" x14ac:dyDescent="0.2">
      <c r="A1820" s="1">
        <v>45501</v>
      </c>
      <c r="B1820" s="2">
        <v>0.95833333333333337</v>
      </c>
      <c r="C1820" s="3">
        <v>45501.958333333336</v>
      </c>
      <c r="D1820">
        <v>47.8</v>
      </c>
      <c r="E1820">
        <v>51.8</v>
      </c>
      <c r="F1820">
        <v>40.1</v>
      </c>
      <c r="G1820" t="s">
        <v>6</v>
      </c>
      <c r="H1820">
        <v>15</v>
      </c>
      <c r="I1820">
        <v>25.4</v>
      </c>
      <c r="J1820">
        <v>12.1</v>
      </c>
      <c r="K1820" t="s">
        <v>6</v>
      </c>
      <c r="L1820">
        <v>166</v>
      </c>
      <c r="M1820" t="s">
        <v>6</v>
      </c>
    </row>
    <row r="1821" spans="1:13" x14ac:dyDescent="0.2">
      <c r="A1821" s="1">
        <v>45502</v>
      </c>
      <c r="B1821" s="2">
        <v>0</v>
      </c>
      <c r="C1821" s="3">
        <v>45502</v>
      </c>
      <c r="D1821">
        <v>45.5</v>
      </c>
      <c r="E1821">
        <v>51</v>
      </c>
      <c r="F1821">
        <v>41.5</v>
      </c>
      <c r="G1821" t="s">
        <v>6</v>
      </c>
      <c r="H1821">
        <v>13.3</v>
      </c>
      <c r="I1821">
        <v>24.9</v>
      </c>
      <c r="J1821">
        <v>11.1</v>
      </c>
      <c r="K1821" t="s">
        <v>6</v>
      </c>
      <c r="L1821">
        <v>218</v>
      </c>
      <c r="M1821" t="s">
        <v>6</v>
      </c>
    </row>
    <row r="1822" spans="1:13" x14ac:dyDescent="0.2">
      <c r="A1822" s="1">
        <v>45502</v>
      </c>
      <c r="B1822" s="2">
        <v>4.1666666666666664E-2</v>
      </c>
      <c r="C1822" s="3">
        <v>45502.041666666664</v>
      </c>
      <c r="D1822">
        <v>44.9</v>
      </c>
      <c r="E1822">
        <v>48</v>
      </c>
      <c r="F1822">
        <v>41.3</v>
      </c>
      <c r="G1822" t="s">
        <v>6</v>
      </c>
      <c r="H1822">
        <v>12.7</v>
      </c>
      <c r="I1822">
        <v>15.2</v>
      </c>
      <c r="J1822">
        <v>11.3</v>
      </c>
      <c r="K1822" t="s">
        <v>6</v>
      </c>
      <c r="L1822">
        <v>227</v>
      </c>
      <c r="M1822" t="s">
        <v>6</v>
      </c>
    </row>
    <row r="1823" spans="1:13" x14ac:dyDescent="0.2">
      <c r="A1823" s="1">
        <v>45502</v>
      </c>
      <c r="B1823" s="2">
        <v>8.3333333333333329E-2</v>
      </c>
      <c r="C1823" s="3">
        <v>45502.083333333336</v>
      </c>
      <c r="D1823">
        <v>43</v>
      </c>
      <c r="E1823">
        <v>49.3</v>
      </c>
      <c r="F1823">
        <v>40.200000000000003</v>
      </c>
      <c r="G1823" t="s">
        <v>6</v>
      </c>
      <c r="H1823">
        <v>12.3</v>
      </c>
      <c r="I1823">
        <v>17.100000000000001</v>
      </c>
      <c r="J1823">
        <v>10.8</v>
      </c>
      <c r="K1823" t="s">
        <v>6</v>
      </c>
      <c r="L1823">
        <v>214</v>
      </c>
      <c r="M1823" t="s">
        <v>6</v>
      </c>
    </row>
    <row r="1824" spans="1:13" x14ac:dyDescent="0.2">
      <c r="A1824" s="1">
        <v>45502</v>
      </c>
      <c r="B1824" s="2">
        <v>0.125</v>
      </c>
      <c r="C1824" s="3">
        <v>45502.125</v>
      </c>
      <c r="D1824">
        <v>46.3</v>
      </c>
      <c r="E1824">
        <v>52.4</v>
      </c>
      <c r="F1824">
        <v>42.5</v>
      </c>
      <c r="G1824" t="s">
        <v>6</v>
      </c>
      <c r="H1824">
        <v>13.3</v>
      </c>
      <c r="I1824">
        <v>19.399999999999999</v>
      </c>
      <c r="J1824">
        <v>11.2</v>
      </c>
      <c r="K1824" t="s">
        <v>6</v>
      </c>
      <c r="L1824">
        <v>224</v>
      </c>
      <c r="M1824" t="s">
        <v>6</v>
      </c>
    </row>
    <row r="1825" spans="1:13" x14ac:dyDescent="0.2">
      <c r="A1825" s="1">
        <v>45502</v>
      </c>
      <c r="B1825" s="2">
        <v>0.16666666666666666</v>
      </c>
      <c r="C1825" s="3">
        <v>45502.166666666664</v>
      </c>
      <c r="D1825">
        <v>46.6</v>
      </c>
      <c r="E1825">
        <v>51.6</v>
      </c>
      <c r="F1825">
        <v>42.1</v>
      </c>
      <c r="G1825" t="s">
        <v>6</v>
      </c>
      <c r="H1825">
        <v>12.2</v>
      </c>
      <c r="I1825">
        <v>20.100000000000001</v>
      </c>
      <c r="J1825">
        <v>10.199999999999999</v>
      </c>
      <c r="K1825" t="s">
        <v>6</v>
      </c>
      <c r="L1825">
        <v>228</v>
      </c>
      <c r="M1825" t="s">
        <v>6</v>
      </c>
    </row>
    <row r="1826" spans="1:13" x14ac:dyDescent="0.2">
      <c r="A1826" s="1">
        <v>45502</v>
      </c>
      <c r="B1826" s="2">
        <v>0.20833333333333334</v>
      </c>
      <c r="C1826" s="3">
        <v>45502.208333333336</v>
      </c>
      <c r="D1826">
        <v>42</v>
      </c>
      <c r="E1826">
        <v>44.1</v>
      </c>
      <c r="F1826">
        <v>40.1</v>
      </c>
      <c r="G1826" t="s">
        <v>6</v>
      </c>
      <c r="H1826">
        <v>11.8</v>
      </c>
      <c r="I1826">
        <v>14.9</v>
      </c>
      <c r="J1826">
        <v>10.199999999999999</v>
      </c>
      <c r="K1826" t="s">
        <v>6</v>
      </c>
      <c r="L1826">
        <v>197</v>
      </c>
      <c r="M1826" t="s">
        <v>6</v>
      </c>
    </row>
    <row r="1827" spans="1:13" x14ac:dyDescent="0.2">
      <c r="A1827" s="13">
        <v>45502</v>
      </c>
      <c r="B1827" s="9">
        <v>0.25</v>
      </c>
      <c r="C1827" s="8">
        <v>45502.25</v>
      </c>
      <c r="D1827" s="10">
        <v>40.1</v>
      </c>
      <c r="E1827" s="10">
        <v>40.1</v>
      </c>
      <c r="F1827" s="10">
        <v>40.1</v>
      </c>
      <c r="G1827" s="10" t="s">
        <v>6</v>
      </c>
      <c r="H1827" s="10">
        <v>11.2</v>
      </c>
      <c r="I1827" s="10">
        <v>11.2</v>
      </c>
      <c r="J1827" s="10">
        <v>11.2</v>
      </c>
      <c r="K1827" s="10" t="s">
        <v>6</v>
      </c>
      <c r="L1827" s="10">
        <v>1</v>
      </c>
      <c r="M1827" t="s">
        <v>6</v>
      </c>
    </row>
    <row r="1828" spans="1:13" x14ac:dyDescent="0.2">
      <c r="A1828" s="14">
        <v>45502</v>
      </c>
      <c r="B1828" s="12">
        <v>0.5</v>
      </c>
      <c r="C1828" s="7">
        <v>45502.5</v>
      </c>
      <c r="D1828" s="11">
        <v>54.1</v>
      </c>
      <c r="E1828" s="11">
        <v>57.6</v>
      </c>
      <c r="F1828" s="11">
        <v>52.5</v>
      </c>
      <c r="G1828" s="11" t="s">
        <v>6</v>
      </c>
      <c r="H1828" s="11">
        <v>14.4</v>
      </c>
      <c r="I1828" s="11">
        <v>20.8</v>
      </c>
      <c r="J1828" s="11">
        <v>12</v>
      </c>
      <c r="K1828" s="11" t="s">
        <v>6</v>
      </c>
      <c r="L1828" s="11">
        <v>84</v>
      </c>
      <c r="M1828" t="s">
        <v>6</v>
      </c>
    </row>
    <row r="1829" spans="1:13" x14ac:dyDescent="0.2">
      <c r="A1829" s="1">
        <v>45502</v>
      </c>
      <c r="B1829" s="2">
        <v>0.54166666666666663</v>
      </c>
      <c r="C1829" s="3">
        <v>45502.541666666664</v>
      </c>
      <c r="D1829">
        <v>65.2</v>
      </c>
      <c r="E1829">
        <v>72.8</v>
      </c>
      <c r="F1829">
        <v>55.8</v>
      </c>
      <c r="G1829" t="s">
        <v>6</v>
      </c>
      <c r="H1829">
        <v>13.1</v>
      </c>
      <c r="I1829">
        <v>23.5</v>
      </c>
      <c r="J1829">
        <v>10</v>
      </c>
      <c r="K1829" t="s">
        <v>6</v>
      </c>
      <c r="L1829">
        <v>208</v>
      </c>
      <c r="M1829" t="s">
        <v>6</v>
      </c>
    </row>
    <row r="1830" spans="1:13" x14ac:dyDescent="0.2">
      <c r="A1830" s="1">
        <v>45502</v>
      </c>
      <c r="B1830" s="2">
        <v>0.58333333333333337</v>
      </c>
      <c r="C1830" s="3">
        <v>45502.583333333336</v>
      </c>
      <c r="D1830">
        <v>55.9</v>
      </c>
      <c r="E1830">
        <v>62.3</v>
      </c>
      <c r="F1830">
        <v>50.6</v>
      </c>
      <c r="G1830" t="s">
        <v>6</v>
      </c>
      <c r="H1830">
        <v>13.6</v>
      </c>
      <c r="I1830">
        <v>20.100000000000001</v>
      </c>
      <c r="J1830">
        <v>9.9</v>
      </c>
      <c r="K1830" t="s">
        <v>6</v>
      </c>
      <c r="L1830">
        <v>185</v>
      </c>
      <c r="M1830" t="s">
        <v>6</v>
      </c>
    </row>
    <row r="1831" spans="1:13" x14ac:dyDescent="0.2">
      <c r="A1831" s="1">
        <v>45502</v>
      </c>
      <c r="B1831" s="2">
        <v>0.625</v>
      </c>
      <c r="C1831" s="3">
        <v>45502.625</v>
      </c>
      <c r="D1831">
        <v>59.2</v>
      </c>
      <c r="E1831">
        <v>70.2</v>
      </c>
      <c r="F1831">
        <v>54.3</v>
      </c>
      <c r="G1831" t="s">
        <v>6</v>
      </c>
      <c r="H1831">
        <v>12.4</v>
      </c>
      <c r="I1831">
        <v>17.3</v>
      </c>
      <c r="J1831">
        <v>10.6</v>
      </c>
      <c r="K1831" t="s">
        <v>6</v>
      </c>
      <c r="L1831">
        <v>72</v>
      </c>
      <c r="M1831" t="s">
        <v>6</v>
      </c>
    </row>
    <row r="1832" spans="1:13" x14ac:dyDescent="0.2">
      <c r="A1832" s="1">
        <v>45502</v>
      </c>
      <c r="B1832" s="2">
        <v>0.66666666666666663</v>
      </c>
      <c r="C1832" s="3">
        <v>45502.666666666664</v>
      </c>
      <c r="D1832">
        <v>57.5</v>
      </c>
      <c r="E1832">
        <v>59.2</v>
      </c>
      <c r="F1832">
        <v>55.7</v>
      </c>
      <c r="G1832" t="s">
        <v>6</v>
      </c>
      <c r="H1832">
        <v>14</v>
      </c>
      <c r="I1832">
        <v>19.899999999999999</v>
      </c>
      <c r="J1832">
        <v>10.199999999999999</v>
      </c>
      <c r="K1832" t="s">
        <v>6</v>
      </c>
      <c r="L1832">
        <v>54</v>
      </c>
      <c r="M1832" t="s">
        <v>6</v>
      </c>
    </row>
    <row r="1833" spans="1:13" x14ac:dyDescent="0.2">
      <c r="A1833" s="1">
        <v>45502</v>
      </c>
      <c r="B1833" s="2">
        <v>0.70833333333333337</v>
      </c>
      <c r="C1833" s="3">
        <v>45502.708333333336</v>
      </c>
      <c r="D1833">
        <v>55.9</v>
      </c>
      <c r="E1833">
        <v>60.3</v>
      </c>
      <c r="F1833">
        <v>50.9</v>
      </c>
      <c r="G1833" t="s">
        <v>6</v>
      </c>
      <c r="H1833">
        <v>13</v>
      </c>
      <c r="I1833">
        <v>17.7</v>
      </c>
      <c r="J1833">
        <v>10.3</v>
      </c>
      <c r="K1833" t="s">
        <v>6</v>
      </c>
      <c r="L1833">
        <v>118</v>
      </c>
      <c r="M1833" t="s">
        <v>6</v>
      </c>
    </row>
    <row r="1834" spans="1:13" x14ac:dyDescent="0.2">
      <c r="A1834" s="1">
        <v>45502</v>
      </c>
      <c r="B1834" s="2">
        <v>0.79166666666666663</v>
      </c>
      <c r="C1834" s="3">
        <v>45502.791666666664</v>
      </c>
      <c r="D1834">
        <v>57.1</v>
      </c>
      <c r="E1834">
        <v>60.8</v>
      </c>
      <c r="F1834">
        <v>54.9</v>
      </c>
      <c r="G1834" t="s">
        <v>6</v>
      </c>
      <c r="H1834">
        <v>17</v>
      </c>
      <c r="I1834">
        <v>23</v>
      </c>
      <c r="J1834">
        <v>13.2</v>
      </c>
      <c r="K1834" t="s">
        <v>6</v>
      </c>
      <c r="L1834">
        <v>119</v>
      </c>
      <c r="M1834" t="s">
        <v>6</v>
      </c>
    </row>
    <row r="1835" spans="1:13" x14ac:dyDescent="0.2">
      <c r="A1835" s="1">
        <v>45502</v>
      </c>
      <c r="B1835" s="2">
        <v>0.83333333333333337</v>
      </c>
      <c r="C1835" s="3">
        <v>45502.833333333336</v>
      </c>
      <c r="D1835">
        <v>49.1</v>
      </c>
      <c r="E1835">
        <v>58</v>
      </c>
      <c r="F1835">
        <v>43.7</v>
      </c>
      <c r="G1835" t="s">
        <v>6</v>
      </c>
      <c r="H1835">
        <v>19.600000000000001</v>
      </c>
      <c r="I1835">
        <v>28.8</v>
      </c>
      <c r="J1835">
        <v>12.9</v>
      </c>
      <c r="K1835" t="s">
        <v>6</v>
      </c>
      <c r="L1835">
        <v>186</v>
      </c>
      <c r="M1835" t="s">
        <v>6</v>
      </c>
    </row>
    <row r="1836" spans="1:13" x14ac:dyDescent="0.2">
      <c r="A1836" s="1">
        <v>45502</v>
      </c>
      <c r="B1836" s="2">
        <v>0.875</v>
      </c>
      <c r="C1836" s="3">
        <v>45502.875</v>
      </c>
      <c r="D1836">
        <v>46.2</v>
      </c>
      <c r="E1836">
        <v>51.3</v>
      </c>
      <c r="F1836">
        <v>41.6</v>
      </c>
      <c r="G1836" t="s">
        <v>6</v>
      </c>
      <c r="H1836">
        <v>14.8</v>
      </c>
      <c r="I1836">
        <v>27.1</v>
      </c>
      <c r="J1836">
        <v>11.7</v>
      </c>
      <c r="K1836" t="s">
        <v>6</v>
      </c>
      <c r="L1836">
        <v>217</v>
      </c>
      <c r="M1836" t="s">
        <v>6</v>
      </c>
    </row>
    <row r="1837" spans="1:13" x14ac:dyDescent="0.2">
      <c r="A1837" s="1">
        <v>45502</v>
      </c>
      <c r="B1837" s="2">
        <v>0.91666666666666663</v>
      </c>
      <c r="C1837" s="3">
        <v>45502.916666666664</v>
      </c>
      <c r="D1837">
        <v>47</v>
      </c>
      <c r="E1837">
        <v>55.4</v>
      </c>
      <c r="F1837">
        <v>40.200000000000003</v>
      </c>
      <c r="G1837" t="s">
        <v>6</v>
      </c>
      <c r="H1837">
        <v>12.4</v>
      </c>
      <c r="I1837">
        <v>15.5</v>
      </c>
      <c r="J1837">
        <v>10.9</v>
      </c>
      <c r="K1837" t="s">
        <v>6</v>
      </c>
      <c r="L1837">
        <v>221</v>
      </c>
      <c r="M1837" t="s">
        <v>6</v>
      </c>
    </row>
    <row r="1838" spans="1:13" x14ac:dyDescent="0.2">
      <c r="A1838" s="1">
        <v>45502</v>
      </c>
      <c r="B1838" s="2">
        <v>0.95833333333333337</v>
      </c>
      <c r="C1838" s="3">
        <v>45502.958333333336</v>
      </c>
      <c r="D1838">
        <v>42.6</v>
      </c>
      <c r="E1838">
        <v>52.5</v>
      </c>
      <c r="F1838">
        <v>40.1</v>
      </c>
      <c r="G1838" t="s">
        <v>6</v>
      </c>
      <c r="H1838">
        <v>12.6</v>
      </c>
      <c r="I1838">
        <v>18.399999999999999</v>
      </c>
      <c r="J1838">
        <v>11.3</v>
      </c>
      <c r="K1838" t="s">
        <v>6</v>
      </c>
      <c r="L1838">
        <v>161</v>
      </c>
      <c r="M1838" t="s">
        <v>6</v>
      </c>
    </row>
    <row r="1839" spans="1:13" x14ac:dyDescent="0.2">
      <c r="A1839" s="1">
        <v>45503</v>
      </c>
      <c r="B1839" s="2">
        <v>0</v>
      </c>
      <c r="C1839" s="3">
        <v>45503</v>
      </c>
      <c r="D1839">
        <v>44.6</v>
      </c>
      <c r="E1839">
        <v>50.4</v>
      </c>
      <c r="F1839">
        <v>40.200000000000003</v>
      </c>
      <c r="G1839" t="s">
        <v>6</v>
      </c>
      <c r="H1839">
        <v>12.7</v>
      </c>
      <c r="I1839">
        <v>17.899999999999999</v>
      </c>
      <c r="J1839">
        <v>11.1</v>
      </c>
      <c r="K1839" t="s">
        <v>6</v>
      </c>
      <c r="L1839">
        <v>196</v>
      </c>
      <c r="M1839" t="s">
        <v>6</v>
      </c>
    </row>
    <row r="1840" spans="1:13" x14ac:dyDescent="0.2">
      <c r="A1840" s="1">
        <v>45503</v>
      </c>
      <c r="B1840" s="2">
        <v>4.1666666666666664E-2</v>
      </c>
      <c r="C1840" s="3">
        <v>45503.041666666664</v>
      </c>
      <c r="D1840">
        <v>45.4</v>
      </c>
      <c r="E1840">
        <v>47.8</v>
      </c>
      <c r="F1840">
        <v>41.4</v>
      </c>
      <c r="G1840" t="s">
        <v>6</v>
      </c>
      <c r="H1840">
        <v>13.2</v>
      </c>
      <c r="I1840">
        <v>22.9</v>
      </c>
      <c r="J1840">
        <v>11</v>
      </c>
      <c r="K1840" t="s">
        <v>6</v>
      </c>
      <c r="L1840">
        <v>217</v>
      </c>
      <c r="M1840" t="s">
        <v>6</v>
      </c>
    </row>
    <row r="1841" spans="1:13" x14ac:dyDescent="0.2">
      <c r="A1841" s="1">
        <v>45503</v>
      </c>
      <c r="B1841" s="2">
        <v>8.3333333333333329E-2</v>
      </c>
      <c r="C1841" s="3">
        <v>45503.083333333336</v>
      </c>
      <c r="D1841">
        <v>43.6</v>
      </c>
      <c r="E1841">
        <v>47.7</v>
      </c>
      <c r="F1841">
        <v>40.200000000000003</v>
      </c>
      <c r="G1841" t="s">
        <v>6</v>
      </c>
      <c r="H1841">
        <v>12.1</v>
      </c>
      <c r="I1841">
        <v>19.7</v>
      </c>
      <c r="J1841">
        <v>10.3</v>
      </c>
      <c r="K1841" t="s">
        <v>6</v>
      </c>
      <c r="L1841">
        <v>225</v>
      </c>
      <c r="M1841" t="s">
        <v>6</v>
      </c>
    </row>
    <row r="1842" spans="1:13" x14ac:dyDescent="0.2">
      <c r="A1842" s="1">
        <v>45503</v>
      </c>
      <c r="B1842" s="2">
        <v>0.125</v>
      </c>
      <c r="C1842" s="3">
        <v>45503.125</v>
      </c>
      <c r="D1842">
        <v>44.2</v>
      </c>
      <c r="E1842">
        <v>51.1</v>
      </c>
      <c r="F1842">
        <v>40.1</v>
      </c>
      <c r="G1842" t="s">
        <v>6</v>
      </c>
      <c r="H1842">
        <v>12.1</v>
      </c>
      <c r="I1842">
        <v>16.100000000000001</v>
      </c>
      <c r="J1842">
        <v>11.3</v>
      </c>
      <c r="K1842" t="s">
        <v>6</v>
      </c>
      <c r="L1842">
        <v>98</v>
      </c>
      <c r="M1842" t="s">
        <v>6</v>
      </c>
    </row>
    <row r="1843" spans="1:13" x14ac:dyDescent="0.2">
      <c r="A1843" s="1">
        <v>45503</v>
      </c>
      <c r="B1843" s="2">
        <v>0.16666666666666666</v>
      </c>
      <c r="C1843" s="3">
        <v>45503.166666666664</v>
      </c>
      <c r="D1843">
        <v>47.9</v>
      </c>
      <c r="E1843">
        <v>55.5</v>
      </c>
      <c r="F1843">
        <v>42.8</v>
      </c>
      <c r="G1843" t="s">
        <v>6</v>
      </c>
      <c r="H1843">
        <v>13.4</v>
      </c>
      <c r="I1843">
        <v>22.7</v>
      </c>
      <c r="J1843">
        <v>10.3</v>
      </c>
      <c r="K1843" t="s">
        <v>6</v>
      </c>
      <c r="L1843">
        <v>216</v>
      </c>
      <c r="M1843" t="s">
        <v>6</v>
      </c>
    </row>
    <row r="1844" spans="1:13" x14ac:dyDescent="0.2">
      <c r="A1844" s="1">
        <v>45503</v>
      </c>
      <c r="B1844" s="2">
        <v>0.20833333333333334</v>
      </c>
      <c r="C1844" s="3">
        <v>45503.208333333336</v>
      </c>
      <c r="D1844">
        <v>46.4</v>
      </c>
      <c r="E1844">
        <v>55.9</v>
      </c>
      <c r="F1844">
        <v>42.7</v>
      </c>
      <c r="G1844" t="s">
        <v>6</v>
      </c>
      <c r="H1844">
        <v>11.8</v>
      </c>
      <c r="I1844">
        <v>16.3</v>
      </c>
      <c r="J1844">
        <v>10.5</v>
      </c>
      <c r="K1844" t="s">
        <v>6</v>
      </c>
      <c r="L1844">
        <v>215</v>
      </c>
      <c r="M1844" t="s">
        <v>6</v>
      </c>
    </row>
    <row r="1845" spans="1:13" x14ac:dyDescent="0.2">
      <c r="A1845" s="1">
        <v>45503</v>
      </c>
      <c r="B1845" s="2">
        <v>0.25</v>
      </c>
      <c r="C1845" s="3">
        <v>45503.25</v>
      </c>
      <c r="D1845">
        <v>48.3</v>
      </c>
      <c r="E1845">
        <v>53.3</v>
      </c>
      <c r="F1845">
        <v>45</v>
      </c>
      <c r="G1845" t="s">
        <v>6</v>
      </c>
      <c r="H1845">
        <v>11.7</v>
      </c>
      <c r="I1845">
        <v>18</v>
      </c>
      <c r="J1845">
        <v>10.5</v>
      </c>
      <c r="K1845" t="s">
        <v>6</v>
      </c>
      <c r="L1845">
        <v>221</v>
      </c>
      <c r="M1845" t="s">
        <v>6</v>
      </c>
    </row>
    <row r="1846" spans="1:13" x14ac:dyDescent="0.2">
      <c r="A1846" s="1">
        <v>45503</v>
      </c>
      <c r="B1846" s="2">
        <v>0.29166666666666669</v>
      </c>
      <c r="C1846" s="3">
        <v>45503.291666666664</v>
      </c>
      <c r="D1846">
        <v>54.1</v>
      </c>
      <c r="E1846">
        <v>56.6</v>
      </c>
      <c r="F1846">
        <v>45</v>
      </c>
      <c r="G1846" t="s">
        <v>6</v>
      </c>
      <c r="H1846">
        <v>17.7</v>
      </c>
      <c r="I1846">
        <v>26.8</v>
      </c>
      <c r="J1846">
        <v>13.2</v>
      </c>
      <c r="K1846" t="s">
        <v>6</v>
      </c>
      <c r="L1846">
        <v>39</v>
      </c>
      <c r="M1846" t="s">
        <v>6</v>
      </c>
    </row>
    <row r="1847" spans="1:13" x14ac:dyDescent="0.2">
      <c r="A1847" s="13">
        <v>45503</v>
      </c>
      <c r="B1847" s="9">
        <v>0.33333333333333331</v>
      </c>
      <c r="C1847" s="8">
        <v>45503.333333333336</v>
      </c>
      <c r="D1847" s="10">
        <v>56.9</v>
      </c>
      <c r="E1847" s="10">
        <v>61.2</v>
      </c>
      <c r="F1847" s="10">
        <v>52.6</v>
      </c>
      <c r="G1847" s="10" t="s">
        <v>6</v>
      </c>
      <c r="H1847" s="10">
        <v>20.9</v>
      </c>
      <c r="I1847" s="10">
        <v>34.5</v>
      </c>
      <c r="J1847" s="10">
        <v>13</v>
      </c>
      <c r="K1847" s="10" t="s">
        <v>6</v>
      </c>
      <c r="L1847" s="10">
        <v>170</v>
      </c>
      <c r="M1847" t="s">
        <v>6</v>
      </c>
    </row>
    <row r="1848" spans="1:13" x14ac:dyDescent="0.2">
      <c r="A1848" s="14">
        <v>45503</v>
      </c>
      <c r="B1848" s="12">
        <v>0.375</v>
      </c>
      <c r="C1848" s="7">
        <v>45503.375</v>
      </c>
      <c r="D1848" s="11">
        <v>58.5</v>
      </c>
      <c r="E1848" s="11">
        <v>58.5</v>
      </c>
      <c r="F1848" s="11">
        <v>58.5</v>
      </c>
      <c r="G1848" s="11" t="s">
        <v>6</v>
      </c>
      <c r="H1848" s="11">
        <v>28.1</v>
      </c>
      <c r="I1848" s="11">
        <v>28.1</v>
      </c>
      <c r="J1848" s="11">
        <v>28.1</v>
      </c>
      <c r="K1848" s="11" t="s">
        <v>6</v>
      </c>
      <c r="L1848" s="11">
        <v>1</v>
      </c>
      <c r="M1848" t="s">
        <v>6</v>
      </c>
    </row>
    <row r="1849" spans="1:13" x14ac:dyDescent="0.2">
      <c r="A1849" s="1">
        <v>45503</v>
      </c>
      <c r="B1849" s="2">
        <v>0.41666666666666669</v>
      </c>
      <c r="C1849" s="3">
        <v>45503.416666666664</v>
      </c>
      <c r="D1849">
        <v>56.9</v>
      </c>
      <c r="E1849">
        <v>56.9</v>
      </c>
      <c r="F1849">
        <v>56.9</v>
      </c>
      <c r="G1849" t="s">
        <v>6</v>
      </c>
      <c r="H1849">
        <v>24.2</v>
      </c>
      <c r="I1849">
        <v>24.2</v>
      </c>
      <c r="J1849">
        <v>24.2</v>
      </c>
      <c r="K1849" t="s">
        <v>6</v>
      </c>
      <c r="L1849">
        <v>1</v>
      </c>
      <c r="M1849" t="s">
        <v>6</v>
      </c>
    </row>
    <row r="1850" spans="1:13" x14ac:dyDescent="0.2">
      <c r="A1850" s="1">
        <v>45503</v>
      </c>
      <c r="B1850" s="2">
        <v>0.45833333333333331</v>
      </c>
      <c r="C1850" s="3">
        <v>45503.458333333336</v>
      </c>
      <c r="D1850">
        <v>56.6</v>
      </c>
      <c r="E1850">
        <v>58.6</v>
      </c>
      <c r="F1850">
        <v>55</v>
      </c>
      <c r="G1850" t="s">
        <v>6</v>
      </c>
      <c r="H1850">
        <v>15.2</v>
      </c>
      <c r="I1850">
        <v>27.9</v>
      </c>
      <c r="J1850">
        <v>11.1</v>
      </c>
      <c r="K1850" t="s">
        <v>6</v>
      </c>
      <c r="L1850">
        <v>72</v>
      </c>
      <c r="M1850" t="s">
        <v>6</v>
      </c>
    </row>
    <row r="1851" spans="1:13" x14ac:dyDescent="0.2">
      <c r="A1851" s="1">
        <v>45503</v>
      </c>
      <c r="B1851" s="2">
        <v>0.5</v>
      </c>
      <c r="C1851" s="3">
        <v>45503.5</v>
      </c>
      <c r="D1851">
        <v>52.9</v>
      </c>
      <c r="E1851">
        <v>57.2</v>
      </c>
      <c r="F1851">
        <v>50.3</v>
      </c>
      <c r="G1851" t="s">
        <v>6</v>
      </c>
      <c r="H1851">
        <v>11.3</v>
      </c>
      <c r="I1851">
        <v>17.2</v>
      </c>
      <c r="J1851">
        <v>9.5</v>
      </c>
      <c r="K1851" t="s">
        <v>6</v>
      </c>
      <c r="L1851">
        <v>86</v>
      </c>
      <c r="M1851" t="s">
        <v>6</v>
      </c>
    </row>
    <row r="1852" spans="1:13" x14ac:dyDescent="0.2">
      <c r="A1852" s="1">
        <v>45503</v>
      </c>
      <c r="B1852" s="2">
        <v>0.54166666666666663</v>
      </c>
      <c r="C1852" s="3">
        <v>45503.541666666664</v>
      </c>
      <c r="D1852">
        <v>56.3</v>
      </c>
      <c r="E1852">
        <v>59.7</v>
      </c>
      <c r="F1852">
        <v>53.6</v>
      </c>
      <c r="G1852" t="s">
        <v>6</v>
      </c>
      <c r="H1852">
        <v>15</v>
      </c>
      <c r="I1852">
        <v>23.7</v>
      </c>
      <c r="J1852">
        <v>9.4</v>
      </c>
      <c r="K1852" t="s">
        <v>6</v>
      </c>
      <c r="L1852">
        <v>229</v>
      </c>
      <c r="M1852" t="s">
        <v>6</v>
      </c>
    </row>
    <row r="1853" spans="1:13" x14ac:dyDescent="0.2">
      <c r="A1853" s="1">
        <v>45503</v>
      </c>
      <c r="B1853" s="2">
        <v>0.58333333333333337</v>
      </c>
      <c r="C1853" s="3">
        <v>45503.583333333336</v>
      </c>
      <c r="D1853">
        <v>60.5</v>
      </c>
      <c r="E1853">
        <v>66</v>
      </c>
      <c r="F1853">
        <v>55.1</v>
      </c>
      <c r="G1853" t="s">
        <v>6</v>
      </c>
      <c r="H1853">
        <v>12.8</v>
      </c>
      <c r="I1853">
        <v>25.2</v>
      </c>
      <c r="J1853">
        <v>8.6999999999999993</v>
      </c>
      <c r="K1853" t="s">
        <v>6</v>
      </c>
      <c r="L1853">
        <v>230</v>
      </c>
      <c r="M1853" t="s">
        <v>6</v>
      </c>
    </row>
    <row r="1854" spans="1:13" x14ac:dyDescent="0.2">
      <c r="A1854" s="1">
        <v>45503</v>
      </c>
      <c r="B1854" s="2">
        <v>0.625</v>
      </c>
      <c r="C1854" s="3">
        <v>45503.625</v>
      </c>
      <c r="D1854">
        <v>59.9</v>
      </c>
      <c r="E1854">
        <v>64.400000000000006</v>
      </c>
      <c r="F1854">
        <v>56.6</v>
      </c>
      <c r="G1854" t="s">
        <v>6</v>
      </c>
      <c r="H1854">
        <v>12.5</v>
      </c>
      <c r="I1854">
        <v>19.7</v>
      </c>
      <c r="J1854">
        <v>9.1999999999999993</v>
      </c>
      <c r="K1854" t="s">
        <v>6</v>
      </c>
      <c r="L1854">
        <v>226</v>
      </c>
      <c r="M1854" t="s">
        <v>6</v>
      </c>
    </row>
    <row r="1855" spans="1:13" x14ac:dyDescent="0.2">
      <c r="A1855" s="1">
        <v>45503</v>
      </c>
      <c r="B1855" s="2">
        <v>0.66666666666666663</v>
      </c>
      <c r="C1855" s="3">
        <v>45503.666666666664</v>
      </c>
      <c r="D1855">
        <v>62.2</v>
      </c>
      <c r="E1855">
        <v>63.6</v>
      </c>
      <c r="F1855">
        <v>60.6</v>
      </c>
      <c r="G1855" t="s">
        <v>6</v>
      </c>
      <c r="H1855">
        <v>11.7</v>
      </c>
      <c r="I1855">
        <v>17</v>
      </c>
      <c r="J1855">
        <v>10</v>
      </c>
      <c r="K1855" t="s">
        <v>6</v>
      </c>
      <c r="L1855">
        <v>18</v>
      </c>
      <c r="M1855" t="s">
        <v>6</v>
      </c>
    </row>
    <row r="1856" spans="1:13" x14ac:dyDescent="0.2">
      <c r="A1856" s="1">
        <v>45503</v>
      </c>
      <c r="B1856" s="2">
        <v>0.70833333333333337</v>
      </c>
      <c r="C1856" s="3">
        <v>45503.708333333336</v>
      </c>
      <c r="D1856">
        <v>61.1</v>
      </c>
      <c r="E1856">
        <v>62.4</v>
      </c>
      <c r="F1856">
        <v>57.8</v>
      </c>
      <c r="G1856" t="s">
        <v>6</v>
      </c>
      <c r="H1856">
        <v>12.4</v>
      </c>
      <c r="I1856">
        <v>15</v>
      </c>
      <c r="J1856">
        <v>10.5</v>
      </c>
      <c r="K1856" t="s">
        <v>6</v>
      </c>
      <c r="L1856">
        <v>15</v>
      </c>
      <c r="M1856" t="s">
        <v>6</v>
      </c>
    </row>
    <row r="1857" spans="1:13" x14ac:dyDescent="0.2">
      <c r="A1857" s="1">
        <v>45503</v>
      </c>
      <c r="B1857" s="2">
        <v>0.79166666666666663</v>
      </c>
      <c r="C1857" s="3">
        <v>45503.791666666664</v>
      </c>
      <c r="D1857">
        <v>60</v>
      </c>
      <c r="E1857">
        <v>66.400000000000006</v>
      </c>
      <c r="F1857">
        <v>55.7</v>
      </c>
      <c r="G1857" t="s">
        <v>6</v>
      </c>
      <c r="H1857">
        <v>24.6</v>
      </c>
      <c r="I1857">
        <v>34.1</v>
      </c>
      <c r="J1857">
        <v>15.2</v>
      </c>
      <c r="K1857" t="s">
        <v>6</v>
      </c>
      <c r="L1857">
        <v>56</v>
      </c>
      <c r="M1857" t="s">
        <v>6</v>
      </c>
    </row>
    <row r="1858" spans="1:13" x14ac:dyDescent="0.2">
      <c r="A1858" s="1">
        <v>45503</v>
      </c>
      <c r="B1858" s="2">
        <v>0.83333333333333337</v>
      </c>
      <c r="C1858" s="3">
        <v>45503.833333333336</v>
      </c>
      <c r="D1858">
        <v>51.7</v>
      </c>
      <c r="E1858">
        <v>56.9</v>
      </c>
      <c r="F1858">
        <v>47.5</v>
      </c>
      <c r="G1858" t="s">
        <v>6</v>
      </c>
      <c r="H1858">
        <v>16.899999999999999</v>
      </c>
      <c r="I1858">
        <v>34.1</v>
      </c>
      <c r="J1858">
        <v>13.4</v>
      </c>
      <c r="K1858" t="s">
        <v>6</v>
      </c>
      <c r="L1858">
        <v>198</v>
      </c>
      <c r="M1858" t="s">
        <v>6</v>
      </c>
    </row>
    <row r="1859" spans="1:13" x14ac:dyDescent="0.2">
      <c r="A1859" s="1">
        <v>45503</v>
      </c>
      <c r="B1859" s="2">
        <v>0.875</v>
      </c>
      <c r="C1859" s="3">
        <v>45503.875</v>
      </c>
      <c r="D1859">
        <v>45.9</v>
      </c>
      <c r="E1859">
        <v>52.3</v>
      </c>
      <c r="F1859">
        <v>41.6</v>
      </c>
      <c r="G1859" t="s">
        <v>6</v>
      </c>
      <c r="H1859">
        <v>15.6</v>
      </c>
      <c r="I1859">
        <v>30.6</v>
      </c>
      <c r="J1859">
        <v>12.5</v>
      </c>
      <c r="K1859" t="s">
        <v>6</v>
      </c>
      <c r="L1859">
        <v>210</v>
      </c>
      <c r="M1859" t="s">
        <v>6</v>
      </c>
    </row>
    <row r="1860" spans="1:13" x14ac:dyDescent="0.2">
      <c r="A1860" s="1">
        <v>45503</v>
      </c>
      <c r="B1860" s="2">
        <v>0.91666666666666663</v>
      </c>
      <c r="C1860" s="3">
        <v>45503.916666666664</v>
      </c>
      <c r="D1860">
        <v>47.3</v>
      </c>
      <c r="E1860">
        <v>52.5</v>
      </c>
      <c r="F1860">
        <v>42</v>
      </c>
      <c r="G1860" t="s">
        <v>6</v>
      </c>
      <c r="H1860">
        <v>13.9</v>
      </c>
      <c r="I1860">
        <v>29.9</v>
      </c>
      <c r="J1860">
        <v>11.5</v>
      </c>
      <c r="K1860" t="s">
        <v>6</v>
      </c>
      <c r="L1860">
        <v>223</v>
      </c>
      <c r="M1860" t="s">
        <v>6</v>
      </c>
    </row>
    <row r="1861" spans="1:13" x14ac:dyDescent="0.2">
      <c r="A1861" s="1">
        <v>45503</v>
      </c>
      <c r="B1861" s="2">
        <v>0.95833333333333337</v>
      </c>
      <c r="C1861" s="3">
        <v>45503.958333333336</v>
      </c>
      <c r="D1861">
        <v>46</v>
      </c>
      <c r="E1861">
        <v>51.4</v>
      </c>
      <c r="F1861">
        <v>41.5</v>
      </c>
      <c r="G1861" t="s">
        <v>6</v>
      </c>
      <c r="H1861">
        <v>13.2</v>
      </c>
      <c r="I1861">
        <v>15.7</v>
      </c>
      <c r="J1861">
        <v>11.9</v>
      </c>
      <c r="K1861" t="s">
        <v>6</v>
      </c>
      <c r="L1861">
        <v>217</v>
      </c>
      <c r="M1861" t="s">
        <v>6</v>
      </c>
    </row>
    <row r="1862" spans="1:13" x14ac:dyDescent="0.2">
      <c r="A1862" s="1">
        <v>45504</v>
      </c>
      <c r="B1862" s="2">
        <v>0</v>
      </c>
      <c r="C1862" s="3">
        <v>45504</v>
      </c>
      <c r="D1862">
        <v>48.4</v>
      </c>
      <c r="E1862">
        <v>54</v>
      </c>
      <c r="F1862">
        <v>41.5</v>
      </c>
      <c r="G1862" t="s">
        <v>6</v>
      </c>
      <c r="H1862">
        <v>14</v>
      </c>
      <c r="I1862">
        <v>25.4</v>
      </c>
      <c r="J1862">
        <v>11.7</v>
      </c>
      <c r="K1862" t="s">
        <v>6</v>
      </c>
      <c r="L1862">
        <v>205</v>
      </c>
      <c r="M1862" t="s">
        <v>6</v>
      </c>
    </row>
    <row r="1863" spans="1:13" x14ac:dyDescent="0.2">
      <c r="A1863" s="1">
        <v>45504</v>
      </c>
      <c r="B1863" s="2">
        <v>4.1666666666666664E-2</v>
      </c>
      <c r="C1863" s="3">
        <v>45504.041666666664</v>
      </c>
      <c r="D1863">
        <v>48.8</v>
      </c>
      <c r="E1863">
        <v>55.1</v>
      </c>
      <c r="F1863">
        <v>44.1</v>
      </c>
      <c r="G1863" t="s">
        <v>6</v>
      </c>
      <c r="H1863">
        <v>14.9</v>
      </c>
      <c r="I1863">
        <v>26.5</v>
      </c>
      <c r="J1863">
        <v>12.7</v>
      </c>
      <c r="K1863" t="s">
        <v>6</v>
      </c>
      <c r="L1863">
        <v>226</v>
      </c>
      <c r="M1863" t="s">
        <v>6</v>
      </c>
    </row>
    <row r="1864" spans="1:13" x14ac:dyDescent="0.2">
      <c r="A1864" s="1">
        <v>45504</v>
      </c>
      <c r="B1864" s="2">
        <v>8.3333333333333329E-2</v>
      </c>
      <c r="C1864" s="3">
        <v>45504.083333333336</v>
      </c>
      <c r="D1864">
        <v>51.8</v>
      </c>
      <c r="E1864">
        <v>69.599999999999994</v>
      </c>
      <c r="F1864">
        <v>41</v>
      </c>
      <c r="G1864" t="s">
        <v>6</v>
      </c>
      <c r="H1864">
        <v>13.5</v>
      </c>
      <c r="I1864">
        <v>26.8</v>
      </c>
      <c r="J1864">
        <v>11.4</v>
      </c>
      <c r="K1864" t="s">
        <v>6</v>
      </c>
      <c r="L1864">
        <v>217</v>
      </c>
      <c r="M1864" t="s">
        <v>6</v>
      </c>
    </row>
    <row r="1865" spans="1:13" x14ac:dyDescent="0.2">
      <c r="A1865" s="1">
        <v>45504</v>
      </c>
      <c r="B1865" s="2">
        <v>0.125</v>
      </c>
      <c r="C1865" s="3">
        <v>45504.125</v>
      </c>
      <c r="D1865">
        <v>47.3</v>
      </c>
      <c r="E1865">
        <v>54.5</v>
      </c>
      <c r="F1865">
        <v>43.8</v>
      </c>
      <c r="G1865" t="s">
        <v>6</v>
      </c>
      <c r="H1865">
        <v>13</v>
      </c>
      <c r="I1865">
        <v>23.3</v>
      </c>
      <c r="J1865">
        <v>11.2</v>
      </c>
      <c r="K1865" t="s">
        <v>6</v>
      </c>
      <c r="L1865">
        <v>220</v>
      </c>
      <c r="M1865" t="s">
        <v>6</v>
      </c>
    </row>
    <row r="1866" spans="1:13" x14ac:dyDescent="0.2">
      <c r="A1866" s="1">
        <v>45504</v>
      </c>
      <c r="B1866" s="2">
        <v>0.16666666666666666</v>
      </c>
      <c r="C1866" s="3">
        <v>45504.166666666664</v>
      </c>
      <c r="D1866">
        <v>50.3</v>
      </c>
      <c r="E1866">
        <v>54.6</v>
      </c>
      <c r="F1866">
        <v>45.2</v>
      </c>
      <c r="G1866" t="s">
        <v>6</v>
      </c>
      <c r="H1866">
        <v>14.1</v>
      </c>
      <c r="I1866">
        <v>22.9</v>
      </c>
      <c r="J1866">
        <v>11.2</v>
      </c>
      <c r="K1866" t="s">
        <v>6</v>
      </c>
      <c r="L1866">
        <v>225</v>
      </c>
      <c r="M1866" t="s">
        <v>6</v>
      </c>
    </row>
    <row r="1867" spans="1:13" x14ac:dyDescent="0.2">
      <c r="A1867" s="1">
        <v>45504</v>
      </c>
      <c r="B1867" s="2">
        <v>0.20833333333333334</v>
      </c>
      <c r="C1867" s="3">
        <v>45504.208333333336</v>
      </c>
      <c r="D1867">
        <v>46.1</v>
      </c>
      <c r="E1867">
        <v>50.5</v>
      </c>
      <c r="F1867">
        <v>40.799999999999997</v>
      </c>
      <c r="G1867" t="s">
        <v>6</v>
      </c>
      <c r="H1867">
        <v>13.2</v>
      </c>
      <c r="I1867">
        <v>22.8</v>
      </c>
      <c r="J1867">
        <v>11.3</v>
      </c>
      <c r="K1867" t="s">
        <v>6</v>
      </c>
      <c r="L1867">
        <v>224</v>
      </c>
      <c r="M1867" t="s">
        <v>6</v>
      </c>
    </row>
    <row r="1868" spans="1:13" x14ac:dyDescent="0.2">
      <c r="A1868" s="1">
        <v>45504</v>
      </c>
      <c r="B1868" s="2">
        <v>0.25</v>
      </c>
      <c r="C1868" s="3">
        <v>45504.25</v>
      </c>
      <c r="D1868">
        <v>47.2</v>
      </c>
      <c r="E1868">
        <v>56.8</v>
      </c>
      <c r="F1868">
        <v>40.1</v>
      </c>
      <c r="G1868" t="s">
        <v>6</v>
      </c>
      <c r="H1868">
        <v>13.9</v>
      </c>
      <c r="I1868">
        <v>25.3</v>
      </c>
      <c r="J1868">
        <v>11.4</v>
      </c>
      <c r="K1868" t="s">
        <v>6</v>
      </c>
      <c r="L1868">
        <v>209</v>
      </c>
      <c r="M1868" t="s">
        <v>6</v>
      </c>
    </row>
    <row r="1869" spans="1:13" x14ac:dyDescent="0.2">
      <c r="A1869" s="13">
        <v>45504</v>
      </c>
      <c r="B1869" s="9">
        <v>0.29166666666666669</v>
      </c>
      <c r="C1869" s="8">
        <v>45504.291666666664</v>
      </c>
      <c r="D1869" s="10">
        <v>47.5</v>
      </c>
      <c r="E1869" s="10">
        <v>48.1</v>
      </c>
      <c r="F1869" s="10">
        <v>46.3</v>
      </c>
      <c r="G1869" s="10" t="s">
        <v>6</v>
      </c>
      <c r="H1869" s="10">
        <v>14.6</v>
      </c>
      <c r="I1869" s="10">
        <v>16.899999999999999</v>
      </c>
      <c r="J1869" s="10">
        <v>12.1</v>
      </c>
      <c r="K1869" s="10" t="s">
        <v>6</v>
      </c>
      <c r="L1869" s="10">
        <v>15</v>
      </c>
      <c r="M1869" t="s">
        <v>6</v>
      </c>
    </row>
    <row r="1870" spans="1:13" x14ac:dyDescent="0.2">
      <c r="A1870" s="14">
        <v>45504</v>
      </c>
      <c r="B1870" s="12">
        <v>0.375</v>
      </c>
      <c r="C1870" s="7">
        <v>45504.375</v>
      </c>
      <c r="D1870" s="11">
        <v>47.4</v>
      </c>
      <c r="E1870" s="11">
        <v>48.9</v>
      </c>
      <c r="F1870" s="11">
        <v>46.7</v>
      </c>
      <c r="G1870" s="11" t="s">
        <v>6</v>
      </c>
      <c r="H1870" s="11">
        <v>14.4</v>
      </c>
      <c r="I1870" s="11">
        <v>25.7</v>
      </c>
      <c r="J1870" s="11">
        <v>10.8</v>
      </c>
      <c r="K1870" s="11" t="s">
        <v>6</v>
      </c>
      <c r="L1870" s="11">
        <v>7</v>
      </c>
      <c r="M1870" t="s">
        <v>6</v>
      </c>
    </row>
    <row r="1871" spans="1:13" x14ac:dyDescent="0.2">
      <c r="A1871" s="1">
        <v>45504</v>
      </c>
      <c r="B1871" s="2">
        <v>0.41666666666666669</v>
      </c>
      <c r="C1871" s="3">
        <v>45504.416666666664</v>
      </c>
      <c r="D1871">
        <v>45.4</v>
      </c>
      <c r="E1871">
        <v>48.6</v>
      </c>
      <c r="F1871">
        <v>43.5</v>
      </c>
      <c r="G1871" t="s">
        <v>6</v>
      </c>
      <c r="H1871">
        <v>13.8</v>
      </c>
      <c r="I1871">
        <v>27.7</v>
      </c>
      <c r="J1871">
        <v>11.2</v>
      </c>
      <c r="K1871" t="s">
        <v>6</v>
      </c>
      <c r="L1871">
        <v>110</v>
      </c>
      <c r="M1871" t="s">
        <v>6</v>
      </c>
    </row>
    <row r="1872" spans="1:13" x14ac:dyDescent="0.2">
      <c r="A1872" s="1">
        <v>45504</v>
      </c>
      <c r="B1872" s="2">
        <v>0.45833333333333331</v>
      </c>
      <c r="C1872" s="3">
        <v>45504.458333333336</v>
      </c>
      <c r="D1872">
        <v>43.4</v>
      </c>
      <c r="E1872">
        <v>45.8</v>
      </c>
      <c r="F1872">
        <v>41.7</v>
      </c>
      <c r="G1872" t="s">
        <v>6</v>
      </c>
      <c r="H1872">
        <v>12</v>
      </c>
      <c r="I1872">
        <v>18.100000000000001</v>
      </c>
      <c r="J1872">
        <v>10.3</v>
      </c>
      <c r="K1872" t="s">
        <v>6</v>
      </c>
      <c r="L1872">
        <v>162</v>
      </c>
      <c r="M1872" t="s">
        <v>6</v>
      </c>
    </row>
    <row r="1873" spans="1:13" x14ac:dyDescent="0.2">
      <c r="A1873" s="1">
        <v>45504</v>
      </c>
      <c r="B1873" s="2">
        <v>0.5</v>
      </c>
      <c r="C1873" s="3">
        <v>45504.5</v>
      </c>
      <c r="D1873">
        <v>43.5</v>
      </c>
      <c r="E1873">
        <v>47.8</v>
      </c>
      <c r="F1873">
        <v>40.5</v>
      </c>
      <c r="G1873" t="s">
        <v>6</v>
      </c>
      <c r="H1873">
        <v>13.7</v>
      </c>
      <c r="I1873">
        <v>21.6</v>
      </c>
      <c r="J1873">
        <v>10.4</v>
      </c>
      <c r="K1873" t="s">
        <v>6</v>
      </c>
      <c r="L1873">
        <v>203</v>
      </c>
      <c r="M1873" t="s">
        <v>6</v>
      </c>
    </row>
    <row r="1874" spans="1:13" x14ac:dyDescent="0.2">
      <c r="A1874" s="1">
        <v>45504</v>
      </c>
      <c r="B1874" s="2">
        <v>0.54166666666666663</v>
      </c>
      <c r="C1874" s="3">
        <v>45504.541666666664</v>
      </c>
      <c r="D1874">
        <v>51.4</v>
      </c>
      <c r="E1874">
        <v>56.2</v>
      </c>
      <c r="F1874">
        <v>45.4</v>
      </c>
      <c r="G1874" t="s">
        <v>6</v>
      </c>
      <c r="H1874">
        <v>12.1</v>
      </c>
      <c r="I1874">
        <v>20.2</v>
      </c>
      <c r="J1874">
        <v>9.9</v>
      </c>
      <c r="K1874" t="s">
        <v>6</v>
      </c>
      <c r="L1874">
        <v>229</v>
      </c>
      <c r="M1874" t="s">
        <v>6</v>
      </c>
    </row>
    <row r="1875" spans="1:13" x14ac:dyDescent="0.2">
      <c r="A1875" s="1">
        <v>45504</v>
      </c>
      <c r="B1875" s="2">
        <v>0.58333333333333337</v>
      </c>
      <c r="C1875" s="3">
        <v>45504.583333333336</v>
      </c>
      <c r="D1875">
        <v>47.8</v>
      </c>
      <c r="E1875">
        <v>49.8</v>
      </c>
      <c r="F1875">
        <v>46</v>
      </c>
      <c r="G1875" t="s">
        <v>6</v>
      </c>
      <c r="H1875">
        <v>11.6</v>
      </c>
      <c r="I1875">
        <v>16.2</v>
      </c>
      <c r="J1875">
        <v>8.9</v>
      </c>
      <c r="K1875" t="s">
        <v>6</v>
      </c>
      <c r="L1875">
        <v>203</v>
      </c>
      <c r="M1875" t="s">
        <v>6</v>
      </c>
    </row>
    <row r="1876" spans="1:13" x14ac:dyDescent="0.2">
      <c r="A1876" s="1">
        <v>45504</v>
      </c>
      <c r="B1876" s="2">
        <v>0.625</v>
      </c>
      <c r="C1876" s="3">
        <v>45504.625</v>
      </c>
      <c r="D1876">
        <v>46.4</v>
      </c>
      <c r="E1876">
        <v>48.6</v>
      </c>
      <c r="F1876">
        <v>43.5</v>
      </c>
      <c r="G1876" t="s">
        <v>6</v>
      </c>
      <c r="H1876">
        <v>11.1</v>
      </c>
      <c r="I1876">
        <v>15.8</v>
      </c>
      <c r="J1876">
        <v>9.6</v>
      </c>
      <c r="K1876" t="s">
        <v>6</v>
      </c>
      <c r="L1876">
        <v>80</v>
      </c>
      <c r="M1876" t="s">
        <v>6</v>
      </c>
    </row>
    <row r="1877" spans="1:13" x14ac:dyDescent="0.2">
      <c r="A1877" s="1">
        <v>45504</v>
      </c>
      <c r="B1877" s="2">
        <v>0.66666666666666663</v>
      </c>
      <c r="C1877" s="3">
        <v>45504.666666666664</v>
      </c>
      <c r="D1877">
        <v>43.5</v>
      </c>
      <c r="E1877">
        <v>45.9</v>
      </c>
      <c r="F1877">
        <v>42.7</v>
      </c>
      <c r="G1877" t="s">
        <v>6</v>
      </c>
      <c r="H1877">
        <v>13.5</v>
      </c>
      <c r="I1877">
        <v>22.3</v>
      </c>
      <c r="J1877">
        <v>11.2</v>
      </c>
      <c r="K1877" t="s">
        <v>6</v>
      </c>
      <c r="L1877">
        <v>47</v>
      </c>
      <c r="M1877" t="s">
        <v>6</v>
      </c>
    </row>
    <row r="1878" spans="1:13" x14ac:dyDescent="0.2">
      <c r="A1878" s="1">
        <v>45504</v>
      </c>
      <c r="B1878" s="2">
        <v>0.83333333333333337</v>
      </c>
      <c r="C1878" s="3">
        <v>45504.833333333336</v>
      </c>
      <c r="D1878">
        <v>44.9</v>
      </c>
      <c r="E1878">
        <v>47.3</v>
      </c>
      <c r="F1878">
        <v>42.5</v>
      </c>
      <c r="G1878" t="s">
        <v>6</v>
      </c>
      <c r="H1878">
        <v>18</v>
      </c>
      <c r="I1878">
        <v>24.8</v>
      </c>
      <c r="J1878">
        <v>12.5</v>
      </c>
      <c r="K1878" t="s">
        <v>6</v>
      </c>
      <c r="L1878">
        <v>113</v>
      </c>
      <c r="M1878" t="s">
        <v>6</v>
      </c>
    </row>
    <row r="1879" spans="1:13" x14ac:dyDescent="0.2">
      <c r="A1879" s="1">
        <v>45504</v>
      </c>
      <c r="B1879" s="2">
        <v>0.875</v>
      </c>
      <c r="C1879" s="3">
        <v>45504.875</v>
      </c>
      <c r="D1879">
        <v>43</v>
      </c>
      <c r="E1879">
        <v>45.9</v>
      </c>
      <c r="F1879">
        <v>41.2</v>
      </c>
      <c r="G1879" t="s">
        <v>6</v>
      </c>
      <c r="H1879">
        <v>14.3</v>
      </c>
      <c r="I1879">
        <v>25.7</v>
      </c>
      <c r="J1879">
        <v>12</v>
      </c>
      <c r="K1879" t="s">
        <v>6</v>
      </c>
      <c r="L1879">
        <v>211</v>
      </c>
      <c r="M1879" t="s">
        <v>6</v>
      </c>
    </row>
    <row r="1880" spans="1:13" x14ac:dyDescent="0.2">
      <c r="A1880" s="1">
        <v>45504</v>
      </c>
      <c r="B1880" s="2">
        <v>0.91666666666666663</v>
      </c>
      <c r="C1880" s="3">
        <v>45504.916666666664</v>
      </c>
      <c r="D1880">
        <v>44.7</v>
      </c>
      <c r="E1880">
        <v>54.2</v>
      </c>
      <c r="F1880">
        <v>41.1</v>
      </c>
      <c r="G1880" t="s">
        <v>6</v>
      </c>
      <c r="H1880">
        <v>14.1</v>
      </c>
      <c r="I1880">
        <v>24.2</v>
      </c>
      <c r="J1880">
        <v>11.5</v>
      </c>
      <c r="K1880" t="s">
        <v>6</v>
      </c>
      <c r="L1880">
        <v>220</v>
      </c>
      <c r="M1880" t="s">
        <v>6</v>
      </c>
    </row>
    <row r="1881" spans="1:13" x14ac:dyDescent="0.2">
      <c r="A1881" s="1">
        <v>45504</v>
      </c>
      <c r="B1881" s="2">
        <v>0.95833333333333337</v>
      </c>
      <c r="C1881" s="3">
        <v>45504.958333333336</v>
      </c>
      <c r="D1881">
        <v>42.2</v>
      </c>
      <c r="E1881">
        <v>46.8</v>
      </c>
      <c r="F1881">
        <v>40.200000000000003</v>
      </c>
      <c r="G1881" t="s">
        <v>6</v>
      </c>
      <c r="H1881">
        <v>13.1</v>
      </c>
      <c r="I1881">
        <v>16.8</v>
      </c>
      <c r="J1881">
        <v>12</v>
      </c>
      <c r="K1881" t="s">
        <v>6</v>
      </c>
      <c r="L1881">
        <v>187</v>
      </c>
      <c r="M1881" t="s">
        <v>6</v>
      </c>
    </row>
    <row r="1882" spans="1:13" x14ac:dyDescent="0.2">
      <c r="A1882" s="1">
        <v>45505</v>
      </c>
      <c r="B1882" s="2">
        <v>0</v>
      </c>
      <c r="C1882" s="3">
        <v>45505</v>
      </c>
      <c r="D1882">
        <v>41.4</v>
      </c>
      <c r="E1882">
        <v>44.6</v>
      </c>
      <c r="F1882">
        <v>40.1</v>
      </c>
      <c r="G1882" t="s">
        <v>6</v>
      </c>
      <c r="H1882">
        <v>12.9</v>
      </c>
      <c r="I1882">
        <v>14.3</v>
      </c>
      <c r="J1882">
        <v>11.8</v>
      </c>
      <c r="K1882" t="s">
        <v>6</v>
      </c>
      <c r="L1882">
        <v>71</v>
      </c>
      <c r="M1882" t="s">
        <v>6</v>
      </c>
    </row>
    <row r="1883" spans="1:13" x14ac:dyDescent="0.2">
      <c r="A1883" s="1">
        <v>45505</v>
      </c>
      <c r="B1883" s="2">
        <v>4.1666666666666664E-2</v>
      </c>
      <c r="C1883" s="3">
        <v>45505.041666666664</v>
      </c>
      <c r="D1883">
        <v>45.7</v>
      </c>
      <c r="E1883">
        <v>52.9</v>
      </c>
      <c r="F1883">
        <v>40.1</v>
      </c>
      <c r="G1883" t="s">
        <v>6</v>
      </c>
      <c r="H1883">
        <v>13</v>
      </c>
      <c r="I1883">
        <v>18.8</v>
      </c>
      <c r="J1883">
        <v>11.3</v>
      </c>
      <c r="K1883" t="s">
        <v>6</v>
      </c>
      <c r="L1883">
        <v>195</v>
      </c>
      <c r="M1883" t="s">
        <v>6</v>
      </c>
    </row>
    <row r="1884" spans="1:13" x14ac:dyDescent="0.2">
      <c r="A1884" s="1">
        <v>45505</v>
      </c>
      <c r="B1884" s="2">
        <v>8.3333333333333329E-2</v>
      </c>
      <c r="C1884" s="3">
        <v>45505.083333333336</v>
      </c>
      <c r="D1884">
        <v>45.4</v>
      </c>
      <c r="E1884">
        <v>52.7</v>
      </c>
      <c r="F1884">
        <v>41</v>
      </c>
      <c r="G1884" t="s">
        <v>6</v>
      </c>
      <c r="H1884">
        <v>13.6</v>
      </c>
      <c r="I1884">
        <v>23.8</v>
      </c>
      <c r="J1884">
        <v>11.2</v>
      </c>
      <c r="K1884" t="s">
        <v>6</v>
      </c>
      <c r="L1884">
        <v>222</v>
      </c>
      <c r="M1884" t="s">
        <v>6</v>
      </c>
    </row>
    <row r="1885" spans="1:13" x14ac:dyDescent="0.2">
      <c r="A1885" s="1">
        <v>45505</v>
      </c>
      <c r="B1885" s="2">
        <v>0.125</v>
      </c>
      <c r="C1885" s="3">
        <v>45505.125</v>
      </c>
      <c r="D1885">
        <v>43</v>
      </c>
      <c r="E1885">
        <v>48.2</v>
      </c>
      <c r="F1885">
        <v>40.4</v>
      </c>
      <c r="G1885" t="s">
        <v>6</v>
      </c>
      <c r="H1885">
        <v>13.1</v>
      </c>
      <c r="I1885">
        <v>20.6</v>
      </c>
      <c r="J1885">
        <v>11.4</v>
      </c>
      <c r="K1885" t="s">
        <v>6</v>
      </c>
      <c r="L1885">
        <v>215</v>
      </c>
      <c r="M1885" t="s">
        <v>6</v>
      </c>
    </row>
    <row r="1886" spans="1:13" x14ac:dyDescent="0.2">
      <c r="A1886" s="1">
        <v>45505</v>
      </c>
      <c r="B1886" s="2">
        <v>0.16666666666666666</v>
      </c>
      <c r="C1886" s="3">
        <v>45505.166666666664</v>
      </c>
      <c r="D1886">
        <v>47.8</v>
      </c>
      <c r="E1886">
        <v>53.4</v>
      </c>
      <c r="F1886">
        <v>45.1</v>
      </c>
      <c r="G1886" t="s">
        <v>6</v>
      </c>
      <c r="H1886">
        <v>12.3</v>
      </c>
      <c r="I1886">
        <v>14.5</v>
      </c>
      <c r="J1886">
        <v>11.2</v>
      </c>
      <c r="K1886" t="s">
        <v>6</v>
      </c>
      <c r="L1886">
        <v>226</v>
      </c>
      <c r="M1886" t="s">
        <v>6</v>
      </c>
    </row>
    <row r="1887" spans="1:13" x14ac:dyDescent="0.2">
      <c r="A1887" s="1">
        <v>45505</v>
      </c>
      <c r="B1887" s="2">
        <v>0.20833333333333334</v>
      </c>
      <c r="C1887" s="3">
        <v>45505.208333333336</v>
      </c>
      <c r="D1887">
        <v>45.7</v>
      </c>
      <c r="E1887">
        <v>48</v>
      </c>
      <c r="F1887">
        <v>44</v>
      </c>
      <c r="G1887" t="s">
        <v>6</v>
      </c>
      <c r="H1887">
        <v>12.6</v>
      </c>
      <c r="I1887">
        <v>21.6</v>
      </c>
      <c r="J1887">
        <v>11.2</v>
      </c>
      <c r="K1887" t="s">
        <v>6</v>
      </c>
      <c r="L1887">
        <v>222</v>
      </c>
      <c r="M1887" t="s">
        <v>6</v>
      </c>
    </row>
    <row r="1888" spans="1:13" x14ac:dyDescent="0.2">
      <c r="A1888" s="1">
        <v>45505</v>
      </c>
      <c r="B1888" s="2">
        <v>0.25</v>
      </c>
      <c r="C1888" s="3">
        <v>45505.25</v>
      </c>
      <c r="D1888">
        <v>44</v>
      </c>
      <c r="E1888">
        <v>44</v>
      </c>
      <c r="F1888">
        <v>44</v>
      </c>
      <c r="G1888" t="s">
        <v>6</v>
      </c>
      <c r="H1888">
        <v>12.2</v>
      </c>
      <c r="I1888">
        <v>12.2</v>
      </c>
      <c r="J1888">
        <v>12.2</v>
      </c>
      <c r="K1888" t="s">
        <v>6</v>
      </c>
      <c r="L1888">
        <v>2</v>
      </c>
      <c r="M1888" t="s">
        <v>6</v>
      </c>
    </row>
    <row r="1889" spans="1:13" x14ac:dyDescent="0.2">
      <c r="A1889" s="13">
        <v>45505</v>
      </c>
      <c r="B1889" s="9">
        <v>0.33333333333333331</v>
      </c>
      <c r="C1889" s="8">
        <v>45505.333333333336</v>
      </c>
      <c r="D1889" s="10">
        <v>45</v>
      </c>
      <c r="E1889" s="10">
        <v>45.1</v>
      </c>
      <c r="F1889" s="10">
        <v>44.9</v>
      </c>
      <c r="G1889" s="10" t="s">
        <v>6</v>
      </c>
      <c r="H1889" s="10">
        <v>30.7</v>
      </c>
      <c r="I1889" s="10">
        <v>35</v>
      </c>
      <c r="J1889" s="10">
        <v>27.6</v>
      </c>
      <c r="K1889" s="10" t="s">
        <v>6</v>
      </c>
      <c r="L1889" s="10">
        <v>4</v>
      </c>
      <c r="M1889" t="s">
        <v>6</v>
      </c>
    </row>
    <row r="1890" spans="1:13" x14ac:dyDescent="0.2">
      <c r="A1890" s="14">
        <v>45505</v>
      </c>
      <c r="B1890" s="12">
        <v>0.45833333333333331</v>
      </c>
      <c r="C1890" s="7">
        <v>45505.458333333336</v>
      </c>
      <c r="D1890" s="11">
        <v>69.3</v>
      </c>
      <c r="E1890" s="11">
        <v>70.400000000000006</v>
      </c>
      <c r="F1890" s="11">
        <v>68.2</v>
      </c>
      <c r="G1890" s="11" t="s">
        <v>6</v>
      </c>
      <c r="H1890" s="11">
        <v>26.2</v>
      </c>
      <c r="I1890" s="11">
        <v>28</v>
      </c>
      <c r="J1890" s="11">
        <v>24.4</v>
      </c>
      <c r="K1890" s="11" t="s">
        <v>6</v>
      </c>
      <c r="L1890" s="11">
        <v>2</v>
      </c>
      <c r="M1890" t="s">
        <v>6</v>
      </c>
    </row>
    <row r="1891" spans="1:13" x14ac:dyDescent="0.2">
      <c r="A1891" s="1">
        <v>45505</v>
      </c>
      <c r="B1891" s="2">
        <v>0.66666666666666663</v>
      </c>
      <c r="C1891" s="3">
        <v>45505.666666666664</v>
      </c>
      <c r="D1891">
        <v>49.3</v>
      </c>
      <c r="E1891">
        <v>52</v>
      </c>
      <c r="F1891">
        <v>47.2</v>
      </c>
      <c r="G1891" t="s">
        <v>6</v>
      </c>
      <c r="H1891">
        <v>11.8</v>
      </c>
      <c r="I1891">
        <v>16.2</v>
      </c>
      <c r="J1891">
        <v>8.9</v>
      </c>
      <c r="K1891" t="s">
        <v>6</v>
      </c>
      <c r="L1891">
        <v>103</v>
      </c>
      <c r="M1891" t="s">
        <v>6</v>
      </c>
    </row>
    <row r="1892" spans="1:13" x14ac:dyDescent="0.2">
      <c r="A1892" s="1">
        <v>45505</v>
      </c>
      <c r="B1892" s="2">
        <v>0.70833333333333337</v>
      </c>
      <c r="C1892" s="3">
        <v>45505.708333333336</v>
      </c>
      <c r="D1892">
        <v>48.2</v>
      </c>
      <c r="E1892">
        <v>50</v>
      </c>
      <c r="F1892">
        <v>46.4</v>
      </c>
      <c r="G1892" t="s">
        <v>6</v>
      </c>
      <c r="H1892">
        <v>14.5</v>
      </c>
      <c r="I1892">
        <v>22.5</v>
      </c>
      <c r="J1892">
        <v>9.8000000000000007</v>
      </c>
      <c r="K1892" t="s">
        <v>6</v>
      </c>
      <c r="L1892">
        <v>113</v>
      </c>
      <c r="M1892" t="s">
        <v>6</v>
      </c>
    </row>
    <row r="1893" spans="1:13" x14ac:dyDescent="0.2">
      <c r="A1893" s="1">
        <v>45505</v>
      </c>
      <c r="B1893" s="2">
        <v>0.75</v>
      </c>
      <c r="C1893" s="3">
        <v>45505.75</v>
      </c>
      <c r="D1893">
        <v>49.4</v>
      </c>
      <c r="E1893">
        <v>49.4</v>
      </c>
      <c r="F1893">
        <v>49.4</v>
      </c>
      <c r="G1893" t="s">
        <v>6</v>
      </c>
      <c r="H1893">
        <v>10.3</v>
      </c>
      <c r="I1893">
        <v>10.3</v>
      </c>
      <c r="J1893">
        <v>10.3</v>
      </c>
      <c r="K1893" t="s">
        <v>6</v>
      </c>
      <c r="L1893">
        <v>1</v>
      </c>
      <c r="M1893" t="s">
        <v>6</v>
      </c>
    </row>
    <row r="1894" spans="1:13" x14ac:dyDescent="0.2">
      <c r="A1894" s="1">
        <v>45505</v>
      </c>
      <c r="B1894" s="2">
        <v>0.79166666666666663</v>
      </c>
      <c r="C1894" s="3">
        <v>45505.791666666664</v>
      </c>
      <c r="D1894">
        <v>46.7</v>
      </c>
      <c r="E1894">
        <v>50</v>
      </c>
      <c r="F1894">
        <v>43.7</v>
      </c>
      <c r="G1894" t="s">
        <v>6</v>
      </c>
      <c r="H1894">
        <v>14.5</v>
      </c>
      <c r="I1894">
        <v>18.600000000000001</v>
      </c>
      <c r="J1894">
        <v>12.9</v>
      </c>
      <c r="K1894" t="s">
        <v>6</v>
      </c>
      <c r="L1894">
        <v>25</v>
      </c>
      <c r="M1894" t="s">
        <v>6</v>
      </c>
    </row>
    <row r="1895" spans="1:13" x14ac:dyDescent="0.2">
      <c r="A1895" s="1">
        <v>45505</v>
      </c>
      <c r="B1895" s="2">
        <v>0.83333333333333337</v>
      </c>
      <c r="C1895" s="3">
        <v>45505.833333333336</v>
      </c>
      <c r="D1895">
        <v>47.2</v>
      </c>
      <c r="E1895">
        <v>52.4</v>
      </c>
      <c r="F1895">
        <v>43.2</v>
      </c>
      <c r="G1895" t="s">
        <v>6</v>
      </c>
      <c r="H1895">
        <v>21</v>
      </c>
      <c r="I1895">
        <v>32.4</v>
      </c>
      <c r="J1895">
        <v>12.7</v>
      </c>
      <c r="K1895" t="s">
        <v>6</v>
      </c>
      <c r="L1895">
        <v>191</v>
      </c>
      <c r="M1895" t="s">
        <v>6</v>
      </c>
    </row>
    <row r="1896" spans="1:13" x14ac:dyDescent="0.2">
      <c r="A1896" s="1">
        <v>45505</v>
      </c>
      <c r="B1896" s="2">
        <v>0.875</v>
      </c>
      <c r="C1896" s="3">
        <v>45505.875</v>
      </c>
      <c r="D1896">
        <v>42.8</v>
      </c>
      <c r="E1896">
        <v>49.1</v>
      </c>
      <c r="F1896">
        <v>40.1</v>
      </c>
      <c r="G1896" t="s">
        <v>6</v>
      </c>
      <c r="H1896">
        <v>16</v>
      </c>
      <c r="I1896">
        <v>27</v>
      </c>
      <c r="J1896">
        <v>12.7</v>
      </c>
      <c r="K1896" t="s">
        <v>6</v>
      </c>
      <c r="L1896">
        <v>193</v>
      </c>
      <c r="M1896" t="s">
        <v>6</v>
      </c>
    </row>
    <row r="1897" spans="1:13" x14ac:dyDescent="0.2">
      <c r="A1897" s="1">
        <v>45505</v>
      </c>
      <c r="B1897" s="2">
        <v>0.91666666666666663</v>
      </c>
      <c r="C1897" s="3">
        <v>45505.916666666664</v>
      </c>
      <c r="D1897">
        <v>46.6</v>
      </c>
      <c r="E1897">
        <v>57.6</v>
      </c>
      <c r="F1897">
        <v>40.4</v>
      </c>
      <c r="G1897" t="s">
        <v>6</v>
      </c>
      <c r="H1897">
        <v>17.100000000000001</v>
      </c>
      <c r="I1897">
        <v>27.8</v>
      </c>
      <c r="J1897">
        <v>12.8</v>
      </c>
      <c r="K1897" t="s">
        <v>6</v>
      </c>
      <c r="L1897">
        <v>197</v>
      </c>
      <c r="M1897" t="s">
        <v>6</v>
      </c>
    </row>
    <row r="1898" spans="1:13" x14ac:dyDescent="0.2">
      <c r="A1898" s="1">
        <v>45505</v>
      </c>
      <c r="B1898" s="2">
        <v>0.95833333333333337</v>
      </c>
      <c r="C1898" s="3">
        <v>45505.958333333336</v>
      </c>
      <c r="D1898">
        <v>43.1</v>
      </c>
      <c r="E1898">
        <v>45.9</v>
      </c>
      <c r="F1898">
        <v>40.700000000000003</v>
      </c>
      <c r="G1898" t="s">
        <v>6</v>
      </c>
      <c r="H1898">
        <v>15</v>
      </c>
      <c r="I1898">
        <v>20.100000000000001</v>
      </c>
      <c r="J1898">
        <v>12.9</v>
      </c>
      <c r="K1898" t="s">
        <v>6</v>
      </c>
      <c r="L1898">
        <v>201</v>
      </c>
      <c r="M1898" t="s">
        <v>6</v>
      </c>
    </row>
    <row r="1899" spans="1:13" x14ac:dyDescent="0.2">
      <c r="A1899" s="1">
        <v>45506</v>
      </c>
      <c r="B1899" s="2">
        <v>0</v>
      </c>
      <c r="C1899" s="3">
        <v>45506</v>
      </c>
      <c r="D1899">
        <v>43.4</v>
      </c>
      <c r="E1899">
        <v>46.3</v>
      </c>
      <c r="F1899">
        <v>40.1</v>
      </c>
      <c r="G1899" t="s">
        <v>6</v>
      </c>
      <c r="H1899">
        <v>13.5</v>
      </c>
      <c r="I1899">
        <v>17.7</v>
      </c>
      <c r="J1899">
        <v>11.2</v>
      </c>
      <c r="K1899" t="s">
        <v>6</v>
      </c>
      <c r="L1899">
        <v>161</v>
      </c>
      <c r="M1899" t="s">
        <v>6</v>
      </c>
    </row>
    <row r="1900" spans="1:13" x14ac:dyDescent="0.2">
      <c r="A1900" s="1">
        <v>45506</v>
      </c>
      <c r="B1900" s="2">
        <v>4.1666666666666664E-2</v>
      </c>
      <c r="C1900" s="3">
        <v>45506.041666666664</v>
      </c>
      <c r="D1900">
        <v>44.5</v>
      </c>
      <c r="E1900">
        <v>51.1</v>
      </c>
      <c r="F1900">
        <v>40.4</v>
      </c>
      <c r="G1900" t="s">
        <v>6</v>
      </c>
      <c r="H1900">
        <v>13.4</v>
      </c>
      <c r="I1900">
        <v>20</v>
      </c>
      <c r="J1900">
        <v>11.7</v>
      </c>
      <c r="K1900" t="s">
        <v>6</v>
      </c>
      <c r="L1900">
        <v>155</v>
      </c>
      <c r="M1900" t="s">
        <v>6</v>
      </c>
    </row>
    <row r="1901" spans="1:13" x14ac:dyDescent="0.2">
      <c r="A1901" s="1">
        <v>45506</v>
      </c>
      <c r="B1901" s="2">
        <v>8.3333333333333329E-2</v>
      </c>
      <c r="C1901" s="3">
        <v>45506.083333333336</v>
      </c>
      <c r="D1901">
        <v>42.4</v>
      </c>
      <c r="E1901">
        <v>45.8</v>
      </c>
      <c r="F1901">
        <v>40.1</v>
      </c>
      <c r="G1901" t="s">
        <v>6</v>
      </c>
      <c r="H1901">
        <v>14.1</v>
      </c>
      <c r="I1901">
        <v>23.7</v>
      </c>
      <c r="J1901">
        <v>11.9</v>
      </c>
      <c r="K1901" t="s">
        <v>6</v>
      </c>
      <c r="L1901">
        <v>191</v>
      </c>
      <c r="M1901" t="s">
        <v>6</v>
      </c>
    </row>
    <row r="1902" spans="1:13" x14ac:dyDescent="0.2">
      <c r="A1902" s="1">
        <v>45506</v>
      </c>
      <c r="B1902" s="2">
        <v>0.125</v>
      </c>
      <c r="C1902" s="3">
        <v>45506.125</v>
      </c>
      <c r="D1902">
        <v>44.1</v>
      </c>
      <c r="E1902">
        <v>48.8</v>
      </c>
      <c r="F1902">
        <v>40.4</v>
      </c>
      <c r="G1902" t="s">
        <v>6</v>
      </c>
      <c r="H1902">
        <v>12.9</v>
      </c>
      <c r="I1902">
        <v>16</v>
      </c>
      <c r="J1902">
        <v>11.5</v>
      </c>
      <c r="K1902" t="s">
        <v>6</v>
      </c>
      <c r="L1902">
        <v>224</v>
      </c>
      <c r="M1902" t="s">
        <v>6</v>
      </c>
    </row>
    <row r="1903" spans="1:13" x14ac:dyDescent="0.2">
      <c r="A1903" s="1">
        <v>45506</v>
      </c>
      <c r="B1903" s="2">
        <v>0.16666666666666666</v>
      </c>
      <c r="C1903" s="3">
        <v>45506.166666666664</v>
      </c>
      <c r="D1903">
        <v>44.1</v>
      </c>
      <c r="E1903">
        <v>48.8</v>
      </c>
      <c r="F1903">
        <v>41</v>
      </c>
      <c r="G1903" t="s">
        <v>6</v>
      </c>
      <c r="H1903">
        <v>13.5</v>
      </c>
      <c r="I1903">
        <v>23.6</v>
      </c>
      <c r="J1903">
        <v>11.3</v>
      </c>
      <c r="K1903" t="s">
        <v>6</v>
      </c>
      <c r="L1903">
        <v>222</v>
      </c>
      <c r="M1903" t="s">
        <v>6</v>
      </c>
    </row>
    <row r="1904" spans="1:13" x14ac:dyDescent="0.2">
      <c r="A1904" s="1">
        <v>45506</v>
      </c>
      <c r="B1904" s="2">
        <v>0.20833333333333334</v>
      </c>
      <c r="C1904" s="3">
        <v>45506.208333333336</v>
      </c>
      <c r="D1904">
        <v>45.7</v>
      </c>
      <c r="E1904">
        <v>56.8</v>
      </c>
      <c r="F1904">
        <v>40.799999999999997</v>
      </c>
      <c r="G1904" t="s">
        <v>6</v>
      </c>
      <c r="H1904">
        <v>12.6</v>
      </c>
      <c r="I1904">
        <v>20.9</v>
      </c>
      <c r="J1904">
        <v>10.199999999999999</v>
      </c>
      <c r="K1904" t="s">
        <v>6</v>
      </c>
      <c r="L1904">
        <v>222</v>
      </c>
      <c r="M1904" t="s">
        <v>6</v>
      </c>
    </row>
    <row r="1905" spans="1:13" x14ac:dyDescent="0.2">
      <c r="A1905" s="1">
        <v>45506</v>
      </c>
      <c r="B1905" s="2">
        <v>0.25</v>
      </c>
      <c r="C1905" s="3">
        <v>45506.25</v>
      </c>
      <c r="D1905">
        <v>48.2</v>
      </c>
      <c r="E1905">
        <v>57.6</v>
      </c>
      <c r="F1905">
        <v>41.8</v>
      </c>
      <c r="G1905" t="s">
        <v>6</v>
      </c>
      <c r="H1905">
        <v>14.3</v>
      </c>
      <c r="I1905">
        <v>22.8</v>
      </c>
      <c r="J1905">
        <v>10.7</v>
      </c>
      <c r="K1905" t="s">
        <v>6</v>
      </c>
      <c r="L1905">
        <v>183</v>
      </c>
      <c r="M1905" t="s">
        <v>6</v>
      </c>
    </row>
    <row r="1906" spans="1:13" x14ac:dyDescent="0.2">
      <c r="A1906" s="1">
        <v>45506</v>
      </c>
      <c r="B1906" s="2">
        <v>0.29166666666666669</v>
      </c>
      <c r="C1906" s="3">
        <v>45506.291666666664</v>
      </c>
      <c r="D1906">
        <v>46.8</v>
      </c>
      <c r="E1906">
        <v>48.1</v>
      </c>
      <c r="F1906">
        <v>45.7</v>
      </c>
      <c r="G1906" t="s">
        <v>6</v>
      </c>
      <c r="H1906">
        <v>17.600000000000001</v>
      </c>
      <c r="I1906">
        <v>21.5</v>
      </c>
      <c r="J1906">
        <v>14</v>
      </c>
      <c r="K1906" t="s">
        <v>6</v>
      </c>
      <c r="L1906">
        <v>13</v>
      </c>
      <c r="M1906" t="s">
        <v>6</v>
      </c>
    </row>
    <row r="1907" spans="1:13" x14ac:dyDescent="0.2">
      <c r="A1907" s="13">
        <v>45506</v>
      </c>
      <c r="B1907" s="9">
        <v>0.33333333333333331</v>
      </c>
      <c r="C1907" s="8">
        <v>45506.333333333336</v>
      </c>
      <c r="D1907" s="10">
        <v>49.7</v>
      </c>
      <c r="E1907" s="10">
        <v>53.2</v>
      </c>
      <c r="F1907" s="10">
        <v>45.4</v>
      </c>
      <c r="G1907" s="10" t="s">
        <v>6</v>
      </c>
      <c r="H1907" s="10">
        <v>14.8</v>
      </c>
      <c r="I1907" s="10">
        <v>18.8</v>
      </c>
      <c r="J1907" s="10">
        <v>11.7</v>
      </c>
      <c r="K1907" s="10" t="s">
        <v>6</v>
      </c>
      <c r="L1907" s="10">
        <v>17</v>
      </c>
      <c r="M1907" t="s">
        <v>6</v>
      </c>
    </row>
    <row r="1908" spans="1:13" x14ac:dyDescent="0.2">
      <c r="A1908" s="14">
        <v>45506</v>
      </c>
      <c r="B1908" s="12">
        <v>0.375</v>
      </c>
      <c r="C1908" s="7">
        <v>45506.375</v>
      </c>
      <c r="D1908" s="11">
        <v>53.4</v>
      </c>
      <c r="E1908" s="11">
        <v>53.4</v>
      </c>
      <c r="F1908" s="11">
        <v>53.4</v>
      </c>
      <c r="G1908" s="11" t="s">
        <v>6</v>
      </c>
      <c r="H1908" s="11">
        <v>14.4</v>
      </c>
      <c r="I1908" s="11">
        <v>14.4</v>
      </c>
      <c r="J1908" s="11">
        <v>14.4</v>
      </c>
      <c r="K1908" s="11" t="s">
        <v>6</v>
      </c>
      <c r="L1908" s="11">
        <v>1</v>
      </c>
      <c r="M1908" t="s">
        <v>6</v>
      </c>
    </row>
    <row r="1909" spans="1:13" x14ac:dyDescent="0.2">
      <c r="A1909" s="1">
        <v>45506</v>
      </c>
      <c r="B1909" s="2">
        <v>0.41666666666666669</v>
      </c>
      <c r="C1909" s="3">
        <v>45506.416666666664</v>
      </c>
      <c r="D1909">
        <v>50.6</v>
      </c>
      <c r="E1909">
        <v>53.9</v>
      </c>
      <c r="F1909">
        <v>47.2</v>
      </c>
      <c r="G1909" t="s">
        <v>6</v>
      </c>
      <c r="H1909">
        <v>15.7</v>
      </c>
      <c r="I1909">
        <v>30.1</v>
      </c>
      <c r="J1909">
        <v>11.6</v>
      </c>
      <c r="K1909" t="s">
        <v>6</v>
      </c>
      <c r="L1909">
        <v>107</v>
      </c>
      <c r="M1909" t="s">
        <v>6</v>
      </c>
    </row>
    <row r="1910" spans="1:13" x14ac:dyDescent="0.2">
      <c r="A1910" s="1">
        <v>45506</v>
      </c>
      <c r="B1910" s="2">
        <v>0.45833333333333331</v>
      </c>
      <c r="C1910" s="3">
        <v>45506.458333333336</v>
      </c>
      <c r="D1910">
        <v>50.4</v>
      </c>
      <c r="E1910">
        <v>53.6</v>
      </c>
      <c r="F1910">
        <v>47.5</v>
      </c>
      <c r="G1910" t="s">
        <v>6</v>
      </c>
      <c r="H1910">
        <v>12.9</v>
      </c>
      <c r="I1910">
        <v>28.4</v>
      </c>
      <c r="J1910">
        <v>10.3</v>
      </c>
      <c r="K1910" t="s">
        <v>6</v>
      </c>
      <c r="L1910">
        <v>136</v>
      </c>
      <c r="M1910" t="s">
        <v>6</v>
      </c>
    </row>
    <row r="1911" spans="1:13" x14ac:dyDescent="0.2">
      <c r="A1911" s="1">
        <v>45506</v>
      </c>
      <c r="B1911" s="2">
        <v>0.5</v>
      </c>
      <c r="C1911" s="3">
        <v>45506.5</v>
      </c>
      <c r="D1911">
        <v>47.6</v>
      </c>
      <c r="E1911">
        <v>47.8</v>
      </c>
      <c r="F1911">
        <v>47.5</v>
      </c>
      <c r="G1911" t="s">
        <v>6</v>
      </c>
      <c r="H1911">
        <v>20</v>
      </c>
      <c r="I1911">
        <v>20.8</v>
      </c>
      <c r="J1911">
        <v>19.2</v>
      </c>
      <c r="K1911" t="s">
        <v>6</v>
      </c>
      <c r="L1911">
        <v>2</v>
      </c>
      <c r="M1911" t="s">
        <v>6</v>
      </c>
    </row>
    <row r="1912" spans="1:13" x14ac:dyDescent="0.2">
      <c r="A1912" s="1">
        <v>45506</v>
      </c>
      <c r="B1912" s="2">
        <v>0.54166666666666663</v>
      </c>
      <c r="C1912" s="3">
        <v>45506.541666666664</v>
      </c>
      <c r="D1912">
        <v>54.9</v>
      </c>
      <c r="E1912">
        <v>59.9</v>
      </c>
      <c r="F1912">
        <v>48</v>
      </c>
      <c r="G1912" t="s">
        <v>6</v>
      </c>
      <c r="H1912">
        <v>16.100000000000001</v>
      </c>
      <c r="I1912">
        <v>18.399999999999999</v>
      </c>
      <c r="J1912">
        <v>13.2</v>
      </c>
      <c r="K1912" t="s">
        <v>6</v>
      </c>
      <c r="L1912">
        <v>19</v>
      </c>
      <c r="M1912" t="s">
        <v>6</v>
      </c>
    </row>
    <row r="1913" spans="1:13" x14ac:dyDescent="0.2">
      <c r="A1913" s="1">
        <v>45506</v>
      </c>
      <c r="B1913" s="2">
        <v>0.58333333333333337</v>
      </c>
      <c r="C1913" s="3">
        <v>45506.583333333336</v>
      </c>
      <c r="D1913">
        <v>57.1</v>
      </c>
      <c r="E1913">
        <v>59.8</v>
      </c>
      <c r="F1913">
        <v>56.6</v>
      </c>
      <c r="G1913" t="s">
        <v>6</v>
      </c>
      <c r="H1913">
        <v>21.3</v>
      </c>
      <c r="I1913">
        <v>24.3</v>
      </c>
      <c r="J1913">
        <v>19.5</v>
      </c>
      <c r="K1913" t="s">
        <v>6</v>
      </c>
      <c r="L1913">
        <v>29</v>
      </c>
      <c r="M1913" t="s">
        <v>6</v>
      </c>
    </row>
    <row r="1914" spans="1:13" x14ac:dyDescent="0.2">
      <c r="A1914" s="1">
        <v>45506</v>
      </c>
      <c r="B1914" s="2">
        <v>0.625</v>
      </c>
      <c r="C1914" s="3">
        <v>45506.625</v>
      </c>
      <c r="D1914">
        <v>55.9</v>
      </c>
      <c r="E1914">
        <v>73.2</v>
      </c>
      <c r="F1914">
        <v>49.7</v>
      </c>
      <c r="G1914" t="s">
        <v>6</v>
      </c>
      <c r="H1914">
        <v>19.3</v>
      </c>
      <c r="I1914">
        <v>34.6</v>
      </c>
      <c r="J1914">
        <v>12.4</v>
      </c>
      <c r="K1914" t="s">
        <v>6</v>
      </c>
      <c r="L1914">
        <v>128</v>
      </c>
      <c r="M1914" t="s">
        <v>6</v>
      </c>
    </row>
    <row r="1915" spans="1:13" x14ac:dyDescent="0.2">
      <c r="A1915" s="1">
        <v>45506</v>
      </c>
      <c r="B1915" s="2">
        <v>0.66666666666666663</v>
      </c>
      <c r="C1915" s="3">
        <v>45506.666666666664</v>
      </c>
      <c r="D1915">
        <v>51.7</v>
      </c>
      <c r="E1915">
        <v>53.4</v>
      </c>
      <c r="F1915">
        <v>49.7</v>
      </c>
      <c r="G1915" t="s">
        <v>6</v>
      </c>
      <c r="H1915">
        <v>22.2</v>
      </c>
      <c r="I1915">
        <v>28.7</v>
      </c>
      <c r="J1915">
        <v>17.899999999999999</v>
      </c>
      <c r="K1915" t="s">
        <v>6</v>
      </c>
      <c r="L1915">
        <v>33</v>
      </c>
      <c r="M1915" t="s">
        <v>6</v>
      </c>
    </row>
    <row r="1916" spans="1:13" x14ac:dyDescent="0.2">
      <c r="A1916" s="1">
        <v>45506</v>
      </c>
      <c r="B1916" s="2">
        <v>0.70833333333333337</v>
      </c>
      <c r="C1916" s="3">
        <v>45506.708333333336</v>
      </c>
      <c r="D1916">
        <v>53.6</v>
      </c>
      <c r="E1916">
        <v>53.6</v>
      </c>
      <c r="F1916">
        <v>53.6</v>
      </c>
      <c r="G1916" t="s">
        <v>6</v>
      </c>
      <c r="H1916">
        <v>22.2</v>
      </c>
      <c r="I1916">
        <v>22.2</v>
      </c>
      <c r="J1916">
        <v>22.2</v>
      </c>
      <c r="K1916" t="s">
        <v>6</v>
      </c>
      <c r="L1916">
        <v>1</v>
      </c>
      <c r="M1916" t="s">
        <v>6</v>
      </c>
    </row>
    <row r="1917" spans="1:13" x14ac:dyDescent="0.2">
      <c r="A1917" s="1">
        <v>45506</v>
      </c>
      <c r="B1917" s="2">
        <v>0.75</v>
      </c>
      <c r="C1917" s="3">
        <v>45506.75</v>
      </c>
      <c r="D1917">
        <v>51.5</v>
      </c>
      <c r="E1917">
        <v>59</v>
      </c>
      <c r="F1917">
        <v>46.3</v>
      </c>
      <c r="G1917" t="s">
        <v>6</v>
      </c>
      <c r="H1917">
        <v>19.5</v>
      </c>
      <c r="I1917">
        <v>25.6</v>
      </c>
      <c r="J1917">
        <v>12.8</v>
      </c>
      <c r="K1917" t="s">
        <v>6</v>
      </c>
      <c r="L1917">
        <v>182</v>
      </c>
      <c r="M1917" t="s">
        <v>6</v>
      </c>
    </row>
    <row r="1918" spans="1:13" x14ac:dyDescent="0.2">
      <c r="A1918" s="1">
        <v>45506</v>
      </c>
      <c r="B1918" s="2">
        <v>0.79166666666666663</v>
      </c>
      <c r="C1918" s="3">
        <v>45506.791666666664</v>
      </c>
      <c r="D1918">
        <v>54.6</v>
      </c>
      <c r="E1918">
        <v>61.6</v>
      </c>
      <c r="F1918">
        <v>47.3</v>
      </c>
      <c r="G1918" t="s">
        <v>6</v>
      </c>
      <c r="H1918">
        <v>16.899999999999999</v>
      </c>
      <c r="I1918">
        <v>19.8</v>
      </c>
      <c r="J1918">
        <v>11.5</v>
      </c>
      <c r="K1918" t="s">
        <v>6</v>
      </c>
      <c r="L1918">
        <v>68</v>
      </c>
      <c r="M1918" t="s">
        <v>6</v>
      </c>
    </row>
    <row r="1919" spans="1:13" x14ac:dyDescent="0.2">
      <c r="A1919" s="1">
        <v>45506</v>
      </c>
      <c r="B1919" s="2">
        <v>0.83333333333333337</v>
      </c>
      <c r="C1919" s="3">
        <v>45506.833333333336</v>
      </c>
      <c r="D1919">
        <v>46.2</v>
      </c>
      <c r="E1919">
        <v>51.8</v>
      </c>
      <c r="F1919">
        <v>42.7</v>
      </c>
      <c r="G1919" t="s">
        <v>6</v>
      </c>
      <c r="H1919">
        <v>19.600000000000001</v>
      </c>
      <c r="I1919">
        <v>29.6</v>
      </c>
      <c r="J1919">
        <v>13.7</v>
      </c>
      <c r="K1919" t="s">
        <v>6</v>
      </c>
      <c r="L1919">
        <v>160</v>
      </c>
      <c r="M1919" t="s">
        <v>6</v>
      </c>
    </row>
    <row r="1920" spans="1:13" x14ac:dyDescent="0.2">
      <c r="A1920" s="1">
        <v>45506</v>
      </c>
      <c r="B1920" s="2">
        <v>0.875</v>
      </c>
      <c r="C1920" s="3">
        <v>45506.875</v>
      </c>
      <c r="D1920">
        <v>45.3</v>
      </c>
      <c r="E1920">
        <v>48.9</v>
      </c>
      <c r="F1920">
        <v>41.6</v>
      </c>
      <c r="G1920" t="s">
        <v>6</v>
      </c>
      <c r="H1920">
        <v>17.7</v>
      </c>
      <c r="I1920">
        <v>30</v>
      </c>
      <c r="J1920">
        <v>12.4</v>
      </c>
      <c r="K1920" t="s">
        <v>6</v>
      </c>
      <c r="L1920">
        <v>222</v>
      </c>
      <c r="M1920" t="s">
        <v>6</v>
      </c>
    </row>
    <row r="1921" spans="1:13" x14ac:dyDescent="0.2">
      <c r="A1921" s="1">
        <v>45506</v>
      </c>
      <c r="B1921" s="2">
        <v>0.91666666666666663</v>
      </c>
      <c r="C1921" s="3">
        <v>45506.916666666664</v>
      </c>
      <c r="D1921">
        <v>43.9</v>
      </c>
      <c r="E1921">
        <v>47</v>
      </c>
      <c r="F1921">
        <v>41.1</v>
      </c>
      <c r="G1921" t="s">
        <v>6</v>
      </c>
      <c r="H1921">
        <v>14.9</v>
      </c>
      <c r="I1921">
        <v>26.7</v>
      </c>
      <c r="J1921">
        <v>12.5</v>
      </c>
      <c r="K1921" t="s">
        <v>6</v>
      </c>
      <c r="L1921">
        <v>215</v>
      </c>
      <c r="M1921" t="s">
        <v>6</v>
      </c>
    </row>
    <row r="1922" spans="1:13" x14ac:dyDescent="0.2">
      <c r="A1922" s="1">
        <v>45506</v>
      </c>
      <c r="B1922" s="2">
        <v>0.95833333333333337</v>
      </c>
      <c r="C1922" s="3">
        <v>45506.958333333336</v>
      </c>
      <c r="D1922">
        <v>45</v>
      </c>
      <c r="E1922">
        <v>51.3</v>
      </c>
      <c r="F1922">
        <v>40.200000000000003</v>
      </c>
      <c r="G1922" t="s">
        <v>6</v>
      </c>
      <c r="H1922">
        <v>17.3</v>
      </c>
      <c r="I1922">
        <v>28.2</v>
      </c>
      <c r="J1922">
        <v>11.7</v>
      </c>
      <c r="K1922" t="s">
        <v>6</v>
      </c>
      <c r="L1922">
        <v>219</v>
      </c>
      <c r="M1922" t="s">
        <v>6</v>
      </c>
    </row>
    <row r="1923" spans="1:13" x14ac:dyDescent="0.2">
      <c r="A1923" s="1">
        <v>45507</v>
      </c>
      <c r="B1923" s="2">
        <v>0</v>
      </c>
      <c r="C1923" s="3">
        <v>45507</v>
      </c>
      <c r="D1923">
        <v>47.8</v>
      </c>
      <c r="E1923">
        <v>53.1</v>
      </c>
      <c r="F1923">
        <v>43.2</v>
      </c>
      <c r="G1923" t="s">
        <v>6</v>
      </c>
      <c r="H1923">
        <v>15.4</v>
      </c>
      <c r="I1923">
        <v>27.1</v>
      </c>
      <c r="J1923">
        <v>12.5</v>
      </c>
      <c r="K1923" t="s">
        <v>6</v>
      </c>
      <c r="L1923">
        <v>212</v>
      </c>
      <c r="M1923" t="s">
        <v>6</v>
      </c>
    </row>
    <row r="1924" spans="1:13" x14ac:dyDescent="0.2">
      <c r="A1924" s="1">
        <v>45507</v>
      </c>
      <c r="B1924" s="2">
        <v>4.1666666666666664E-2</v>
      </c>
      <c r="C1924" s="3">
        <v>45507.041666666664</v>
      </c>
      <c r="D1924">
        <v>48.7</v>
      </c>
      <c r="E1924">
        <v>56</v>
      </c>
      <c r="F1924">
        <v>43.4</v>
      </c>
      <c r="G1924" t="s">
        <v>6</v>
      </c>
      <c r="H1924">
        <v>15.9</v>
      </c>
      <c r="I1924">
        <v>25.8</v>
      </c>
      <c r="J1924">
        <v>11</v>
      </c>
      <c r="K1924" t="s">
        <v>6</v>
      </c>
      <c r="L1924">
        <v>227</v>
      </c>
      <c r="M1924" t="s">
        <v>6</v>
      </c>
    </row>
    <row r="1925" spans="1:13" x14ac:dyDescent="0.2">
      <c r="A1925" s="1">
        <v>45507</v>
      </c>
      <c r="B1925" s="2">
        <v>8.3333333333333329E-2</v>
      </c>
      <c r="C1925" s="3">
        <v>45507.083333333336</v>
      </c>
      <c r="D1925">
        <v>45.3</v>
      </c>
      <c r="E1925">
        <v>52.8</v>
      </c>
      <c r="F1925">
        <v>40.1</v>
      </c>
      <c r="G1925" t="s">
        <v>6</v>
      </c>
      <c r="H1925">
        <v>13.6</v>
      </c>
      <c r="I1925">
        <v>23.9</v>
      </c>
      <c r="J1925">
        <v>11</v>
      </c>
      <c r="K1925" t="s">
        <v>6</v>
      </c>
      <c r="L1925">
        <v>230</v>
      </c>
      <c r="M1925" t="s">
        <v>6</v>
      </c>
    </row>
    <row r="1926" spans="1:13" x14ac:dyDescent="0.2">
      <c r="A1926" s="1">
        <v>45507</v>
      </c>
      <c r="B1926" s="2">
        <v>0.125</v>
      </c>
      <c r="C1926" s="3">
        <v>45507.125</v>
      </c>
      <c r="D1926">
        <v>47.8</v>
      </c>
      <c r="E1926">
        <v>54</v>
      </c>
      <c r="F1926">
        <v>41.1</v>
      </c>
      <c r="G1926" t="s">
        <v>6</v>
      </c>
      <c r="H1926">
        <v>12.3</v>
      </c>
      <c r="I1926">
        <v>14.9</v>
      </c>
      <c r="J1926">
        <v>11.1</v>
      </c>
      <c r="K1926" t="s">
        <v>6</v>
      </c>
      <c r="L1926">
        <v>222</v>
      </c>
      <c r="M1926" t="s">
        <v>6</v>
      </c>
    </row>
    <row r="1927" spans="1:13" x14ac:dyDescent="0.2">
      <c r="A1927" s="1">
        <v>45507</v>
      </c>
      <c r="B1927" s="2">
        <v>0.16666666666666666</v>
      </c>
      <c r="C1927" s="3">
        <v>45507.166666666664</v>
      </c>
      <c r="D1927">
        <v>45.6</v>
      </c>
      <c r="E1927">
        <v>54.8</v>
      </c>
      <c r="F1927">
        <v>40.200000000000003</v>
      </c>
      <c r="G1927" t="s">
        <v>6</v>
      </c>
      <c r="H1927">
        <v>12.7</v>
      </c>
      <c r="I1927">
        <v>17.2</v>
      </c>
      <c r="J1927">
        <v>11</v>
      </c>
      <c r="K1927" t="s">
        <v>6</v>
      </c>
      <c r="L1927">
        <v>203</v>
      </c>
      <c r="M1927" t="s">
        <v>6</v>
      </c>
    </row>
    <row r="1928" spans="1:13" x14ac:dyDescent="0.2">
      <c r="A1928" s="1">
        <v>45507</v>
      </c>
      <c r="B1928" s="2">
        <v>0.20833333333333334</v>
      </c>
      <c r="C1928" s="3">
        <v>45507.208333333336</v>
      </c>
      <c r="D1928">
        <v>47</v>
      </c>
      <c r="E1928">
        <v>57.9</v>
      </c>
      <c r="F1928">
        <v>42.3</v>
      </c>
      <c r="G1928" t="s">
        <v>6</v>
      </c>
      <c r="H1928">
        <v>13.1</v>
      </c>
      <c r="I1928">
        <v>22.8</v>
      </c>
      <c r="J1928">
        <v>11.2</v>
      </c>
      <c r="K1928" t="s">
        <v>6</v>
      </c>
      <c r="L1928">
        <v>223</v>
      </c>
      <c r="M1928" t="s">
        <v>6</v>
      </c>
    </row>
    <row r="1929" spans="1:13" x14ac:dyDescent="0.2">
      <c r="A1929" s="1">
        <v>45507</v>
      </c>
      <c r="B1929" s="2">
        <v>0.25</v>
      </c>
      <c r="C1929" s="3">
        <v>45507.25</v>
      </c>
      <c r="D1929">
        <v>45.8</v>
      </c>
      <c r="E1929">
        <v>56</v>
      </c>
      <c r="F1929">
        <v>41.3</v>
      </c>
      <c r="G1929" t="s">
        <v>6</v>
      </c>
      <c r="H1929">
        <v>14.2</v>
      </c>
      <c r="I1929">
        <v>24.9</v>
      </c>
      <c r="J1929">
        <v>11.1</v>
      </c>
      <c r="K1929" t="s">
        <v>6</v>
      </c>
      <c r="L1929">
        <v>215</v>
      </c>
      <c r="M1929" t="s">
        <v>6</v>
      </c>
    </row>
    <row r="1930" spans="1:13" x14ac:dyDescent="0.2">
      <c r="A1930" s="1">
        <v>45507</v>
      </c>
      <c r="B1930" s="2">
        <v>0.29166666666666669</v>
      </c>
      <c r="C1930" s="3">
        <v>45507.291666666664</v>
      </c>
      <c r="D1930">
        <v>55.4</v>
      </c>
      <c r="E1930">
        <v>63.7</v>
      </c>
      <c r="F1930">
        <v>48.1</v>
      </c>
      <c r="G1930" t="s">
        <v>6</v>
      </c>
      <c r="H1930">
        <v>14.6</v>
      </c>
      <c r="I1930">
        <v>21.1</v>
      </c>
      <c r="J1930">
        <v>11.4</v>
      </c>
      <c r="K1930" t="s">
        <v>6</v>
      </c>
      <c r="L1930">
        <v>124</v>
      </c>
      <c r="M1930" t="s">
        <v>6</v>
      </c>
    </row>
    <row r="1931" spans="1:13" x14ac:dyDescent="0.2">
      <c r="A1931" s="13">
        <v>45507</v>
      </c>
      <c r="B1931" s="9">
        <v>0.33333333333333331</v>
      </c>
      <c r="C1931" s="8">
        <v>45507.333333333336</v>
      </c>
      <c r="D1931" s="10">
        <v>51</v>
      </c>
      <c r="E1931" s="10">
        <v>51</v>
      </c>
      <c r="F1931" s="10">
        <v>51</v>
      </c>
      <c r="G1931" s="10" t="s">
        <v>6</v>
      </c>
      <c r="H1931" s="10">
        <v>19.8</v>
      </c>
      <c r="I1931" s="10">
        <v>23.3</v>
      </c>
      <c r="J1931" s="10">
        <v>14.2</v>
      </c>
      <c r="K1931" s="10" t="s">
        <v>6</v>
      </c>
      <c r="L1931" s="10">
        <v>5</v>
      </c>
      <c r="M1931" t="s">
        <v>6</v>
      </c>
    </row>
    <row r="1932" spans="1:13" x14ac:dyDescent="0.2">
      <c r="A1932" s="14">
        <v>45507</v>
      </c>
      <c r="B1932" s="12">
        <v>0.375</v>
      </c>
      <c r="C1932" s="7">
        <v>45507.375</v>
      </c>
      <c r="D1932" s="11">
        <v>57</v>
      </c>
      <c r="E1932" s="11">
        <v>62.6</v>
      </c>
      <c r="F1932" s="11">
        <v>51</v>
      </c>
      <c r="G1932" s="11" t="s">
        <v>6</v>
      </c>
      <c r="H1932" s="11">
        <v>15</v>
      </c>
      <c r="I1932" s="11">
        <v>27.5</v>
      </c>
      <c r="J1932" s="11">
        <v>11.3</v>
      </c>
      <c r="K1932" s="11" t="s">
        <v>6</v>
      </c>
      <c r="L1932" s="11">
        <v>153</v>
      </c>
      <c r="M1932" t="s">
        <v>6</v>
      </c>
    </row>
    <row r="1933" spans="1:13" x14ac:dyDescent="0.2">
      <c r="A1933" s="1">
        <v>45507</v>
      </c>
      <c r="B1933" s="2">
        <v>0.41666666666666669</v>
      </c>
      <c r="C1933" s="3">
        <v>45507.416666666664</v>
      </c>
      <c r="D1933">
        <v>60.5</v>
      </c>
      <c r="E1933">
        <v>68.400000000000006</v>
      </c>
      <c r="F1933">
        <v>54.6</v>
      </c>
      <c r="G1933" t="s">
        <v>6</v>
      </c>
      <c r="H1933">
        <v>13.3</v>
      </c>
      <c r="I1933">
        <v>17.899999999999999</v>
      </c>
      <c r="J1933">
        <v>10.3</v>
      </c>
      <c r="K1933" t="s">
        <v>6</v>
      </c>
      <c r="L1933">
        <v>209</v>
      </c>
      <c r="M1933" t="s">
        <v>6</v>
      </c>
    </row>
    <row r="1934" spans="1:13" x14ac:dyDescent="0.2">
      <c r="A1934" s="1">
        <v>45507</v>
      </c>
      <c r="B1934" s="2">
        <v>0.45833333333333331</v>
      </c>
      <c r="C1934" s="3">
        <v>45507.458333333336</v>
      </c>
      <c r="D1934">
        <v>61.3</v>
      </c>
      <c r="E1934">
        <v>67.8</v>
      </c>
      <c r="F1934">
        <v>55.5</v>
      </c>
      <c r="G1934" t="s">
        <v>6</v>
      </c>
      <c r="H1934">
        <v>12.4</v>
      </c>
      <c r="I1934">
        <v>17.399999999999999</v>
      </c>
      <c r="J1934">
        <v>10.1</v>
      </c>
      <c r="K1934" t="s">
        <v>6</v>
      </c>
      <c r="L1934">
        <v>208</v>
      </c>
      <c r="M1934" t="s">
        <v>6</v>
      </c>
    </row>
    <row r="1935" spans="1:13" x14ac:dyDescent="0.2">
      <c r="A1935" s="1">
        <v>45507</v>
      </c>
      <c r="B1935" s="2">
        <v>0.5</v>
      </c>
      <c r="C1935" s="3">
        <v>45507.5</v>
      </c>
      <c r="D1935">
        <v>56.6</v>
      </c>
      <c r="E1935">
        <v>61.9</v>
      </c>
      <c r="F1935">
        <v>53</v>
      </c>
      <c r="G1935" t="s">
        <v>6</v>
      </c>
      <c r="H1935">
        <v>11.7</v>
      </c>
      <c r="I1935">
        <v>17.5</v>
      </c>
      <c r="J1935">
        <v>9.3000000000000007</v>
      </c>
      <c r="K1935" t="s">
        <v>6</v>
      </c>
      <c r="L1935">
        <v>88</v>
      </c>
      <c r="M1935" t="s">
        <v>6</v>
      </c>
    </row>
    <row r="1936" spans="1:13" x14ac:dyDescent="0.2">
      <c r="A1936" s="1">
        <v>45507</v>
      </c>
      <c r="B1936" s="2">
        <v>0.58333333333333337</v>
      </c>
      <c r="C1936" s="3">
        <v>45507.583333333336</v>
      </c>
      <c r="D1936">
        <v>54</v>
      </c>
      <c r="E1936">
        <v>55.5</v>
      </c>
      <c r="F1936">
        <v>52.6</v>
      </c>
      <c r="G1936" t="s">
        <v>6</v>
      </c>
      <c r="H1936">
        <v>12.6</v>
      </c>
      <c r="I1936">
        <v>12.9</v>
      </c>
      <c r="J1936">
        <v>12.2</v>
      </c>
      <c r="K1936" t="s">
        <v>6</v>
      </c>
      <c r="L1936">
        <v>4</v>
      </c>
      <c r="M1936" t="s">
        <v>6</v>
      </c>
    </row>
    <row r="1937" spans="1:13" x14ac:dyDescent="0.2">
      <c r="A1937" s="1">
        <v>45507</v>
      </c>
      <c r="B1937" s="2">
        <v>0.625</v>
      </c>
      <c r="C1937" s="3">
        <v>45507.625</v>
      </c>
      <c r="D1937">
        <v>59.5</v>
      </c>
      <c r="E1937">
        <v>63.6</v>
      </c>
      <c r="F1937">
        <v>52.3</v>
      </c>
      <c r="G1937" t="s">
        <v>6</v>
      </c>
      <c r="H1937">
        <v>16.5</v>
      </c>
      <c r="I1937">
        <v>22.2</v>
      </c>
      <c r="J1937">
        <v>11.5</v>
      </c>
      <c r="K1937" t="s">
        <v>6</v>
      </c>
      <c r="L1937">
        <v>83</v>
      </c>
      <c r="M1937" t="s">
        <v>6</v>
      </c>
    </row>
    <row r="1938" spans="1:13" x14ac:dyDescent="0.2">
      <c r="A1938" s="1">
        <v>45507</v>
      </c>
      <c r="B1938" s="2">
        <v>0.66666666666666663</v>
      </c>
      <c r="C1938" s="3">
        <v>45507.666666666664</v>
      </c>
      <c r="D1938">
        <v>59</v>
      </c>
      <c r="E1938">
        <v>63.8</v>
      </c>
      <c r="F1938">
        <v>56.1</v>
      </c>
      <c r="G1938" t="s">
        <v>6</v>
      </c>
      <c r="H1938">
        <v>18</v>
      </c>
      <c r="I1938">
        <v>27.6</v>
      </c>
      <c r="J1938">
        <v>13.1</v>
      </c>
      <c r="K1938" t="s">
        <v>6</v>
      </c>
      <c r="L1938">
        <v>216</v>
      </c>
      <c r="M1938" t="s">
        <v>6</v>
      </c>
    </row>
    <row r="1939" spans="1:13" x14ac:dyDescent="0.2">
      <c r="A1939" s="1">
        <v>45507</v>
      </c>
      <c r="B1939" s="2">
        <v>0.70833333333333337</v>
      </c>
      <c r="C1939" s="3">
        <v>45507.708333333336</v>
      </c>
      <c r="D1939">
        <v>56.5</v>
      </c>
      <c r="E1939">
        <v>57</v>
      </c>
      <c r="F1939">
        <v>55.7</v>
      </c>
      <c r="G1939" t="s">
        <v>6</v>
      </c>
      <c r="H1939">
        <v>15.5</v>
      </c>
      <c r="I1939">
        <v>17.8</v>
      </c>
      <c r="J1939">
        <v>12.9</v>
      </c>
      <c r="K1939" t="s">
        <v>6</v>
      </c>
      <c r="L1939">
        <v>16</v>
      </c>
      <c r="M1939" t="s">
        <v>6</v>
      </c>
    </row>
    <row r="1940" spans="1:13" x14ac:dyDescent="0.2">
      <c r="A1940" s="1">
        <v>45507</v>
      </c>
      <c r="B1940" s="2">
        <v>0.83333333333333337</v>
      </c>
      <c r="C1940" s="3">
        <v>45507.833333333336</v>
      </c>
      <c r="D1940">
        <v>55.4</v>
      </c>
      <c r="E1940">
        <v>63.3</v>
      </c>
      <c r="F1940">
        <v>47.2</v>
      </c>
      <c r="G1940" t="s">
        <v>6</v>
      </c>
      <c r="H1940">
        <v>15.3</v>
      </c>
      <c r="I1940">
        <v>19</v>
      </c>
      <c r="J1940">
        <v>13.1</v>
      </c>
      <c r="K1940" t="s">
        <v>6</v>
      </c>
      <c r="L1940">
        <v>185</v>
      </c>
      <c r="M1940" t="s">
        <v>6</v>
      </c>
    </row>
    <row r="1941" spans="1:13" x14ac:dyDescent="0.2">
      <c r="A1941" s="1">
        <v>45507</v>
      </c>
      <c r="B1941" s="2">
        <v>0.875</v>
      </c>
      <c r="C1941" s="3">
        <v>45507.875</v>
      </c>
      <c r="D1941">
        <v>44.2</v>
      </c>
      <c r="E1941">
        <v>50.8</v>
      </c>
      <c r="F1941">
        <v>41.4</v>
      </c>
      <c r="G1941" t="s">
        <v>6</v>
      </c>
      <c r="H1941">
        <v>14.1</v>
      </c>
      <c r="I1941">
        <v>18.8</v>
      </c>
      <c r="J1941">
        <v>12.4</v>
      </c>
      <c r="K1941" t="s">
        <v>6</v>
      </c>
      <c r="L1941">
        <v>214</v>
      </c>
      <c r="M1941" t="s">
        <v>6</v>
      </c>
    </row>
    <row r="1942" spans="1:13" x14ac:dyDescent="0.2">
      <c r="A1942" s="1">
        <v>45507</v>
      </c>
      <c r="B1942" s="2">
        <v>0.91666666666666663</v>
      </c>
      <c r="C1942" s="3">
        <v>45507.916666666664</v>
      </c>
      <c r="D1942">
        <v>45.3</v>
      </c>
      <c r="E1942">
        <v>49.4</v>
      </c>
      <c r="F1942">
        <v>42.6</v>
      </c>
      <c r="G1942" t="s">
        <v>6</v>
      </c>
      <c r="H1942">
        <v>17</v>
      </c>
      <c r="I1942">
        <v>27.6</v>
      </c>
      <c r="J1942">
        <v>12.7</v>
      </c>
      <c r="K1942" t="s">
        <v>6</v>
      </c>
      <c r="L1942">
        <v>221</v>
      </c>
      <c r="M1942" t="s">
        <v>6</v>
      </c>
    </row>
    <row r="1943" spans="1:13" x14ac:dyDescent="0.2">
      <c r="A1943" s="1">
        <v>45507</v>
      </c>
      <c r="B1943" s="2">
        <v>0.95833333333333337</v>
      </c>
      <c r="C1943" s="3">
        <v>45507.958333333336</v>
      </c>
      <c r="D1943">
        <v>53</v>
      </c>
      <c r="E1943">
        <v>66.2</v>
      </c>
      <c r="F1943">
        <v>43.9</v>
      </c>
      <c r="G1943" t="s">
        <v>6</v>
      </c>
      <c r="H1943">
        <v>16.3</v>
      </c>
      <c r="I1943">
        <v>27.3</v>
      </c>
      <c r="J1943">
        <v>12.3</v>
      </c>
      <c r="K1943" t="s">
        <v>6</v>
      </c>
      <c r="L1943">
        <v>196</v>
      </c>
      <c r="M1943" t="s">
        <v>6</v>
      </c>
    </row>
    <row r="1944" spans="1:13" x14ac:dyDescent="0.2">
      <c r="A1944" s="1">
        <v>45508</v>
      </c>
      <c r="B1944" s="2">
        <v>0</v>
      </c>
      <c r="C1944" s="3">
        <v>45508</v>
      </c>
      <c r="D1944">
        <v>51.3</v>
      </c>
      <c r="E1944">
        <v>61.6</v>
      </c>
      <c r="F1944">
        <v>42.1</v>
      </c>
      <c r="G1944" t="s">
        <v>6</v>
      </c>
      <c r="H1944">
        <v>13.4</v>
      </c>
      <c r="I1944">
        <v>21.7</v>
      </c>
      <c r="J1944">
        <v>11.1</v>
      </c>
      <c r="K1944" t="s">
        <v>6</v>
      </c>
      <c r="L1944">
        <v>210</v>
      </c>
      <c r="M1944" t="s">
        <v>6</v>
      </c>
    </row>
    <row r="1945" spans="1:13" x14ac:dyDescent="0.2">
      <c r="A1945" s="1">
        <v>45508</v>
      </c>
      <c r="B1945" s="2">
        <v>4.1666666666666664E-2</v>
      </c>
      <c r="C1945" s="3">
        <v>45508.041666666664</v>
      </c>
      <c r="D1945">
        <v>57.5</v>
      </c>
      <c r="E1945">
        <v>66</v>
      </c>
      <c r="F1945">
        <v>47.2</v>
      </c>
      <c r="G1945" t="s">
        <v>6</v>
      </c>
      <c r="H1945">
        <v>13.4</v>
      </c>
      <c r="I1945">
        <v>25.1</v>
      </c>
      <c r="J1945">
        <v>11.2</v>
      </c>
      <c r="K1945" t="s">
        <v>6</v>
      </c>
      <c r="L1945">
        <v>222</v>
      </c>
      <c r="M1945" t="s">
        <v>6</v>
      </c>
    </row>
    <row r="1946" spans="1:13" x14ac:dyDescent="0.2">
      <c r="A1946" s="1">
        <v>45508</v>
      </c>
      <c r="B1946" s="2">
        <v>8.3333333333333329E-2</v>
      </c>
      <c r="C1946" s="3">
        <v>45508.083333333336</v>
      </c>
      <c r="D1946">
        <v>49</v>
      </c>
      <c r="E1946">
        <v>69.2</v>
      </c>
      <c r="F1946">
        <v>40.299999999999997</v>
      </c>
      <c r="G1946" t="s">
        <v>6</v>
      </c>
      <c r="H1946">
        <v>14</v>
      </c>
      <c r="I1946">
        <v>22.8</v>
      </c>
      <c r="J1946">
        <v>11</v>
      </c>
      <c r="K1946" t="s">
        <v>6</v>
      </c>
      <c r="L1946">
        <v>216</v>
      </c>
      <c r="M1946" t="s">
        <v>6</v>
      </c>
    </row>
    <row r="1947" spans="1:13" x14ac:dyDescent="0.2">
      <c r="A1947" s="1">
        <v>45508</v>
      </c>
      <c r="B1947" s="2">
        <v>0.125</v>
      </c>
      <c r="C1947" s="3">
        <v>45508.125</v>
      </c>
      <c r="D1947">
        <v>42.8</v>
      </c>
      <c r="E1947">
        <v>50</v>
      </c>
      <c r="F1947">
        <v>40.1</v>
      </c>
      <c r="G1947" t="s">
        <v>6</v>
      </c>
      <c r="H1947">
        <v>15.3</v>
      </c>
      <c r="I1947">
        <v>23.7</v>
      </c>
      <c r="J1947">
        <v>11.1</v>
      </c>
      <c r="K1947" t="s">
        <v>6</v>
      </c>
      <c r="L1947">
        <v>155</v>
      </c>
      <c r="M1947" t="s">
        <v>6</v>
      </c>
    </row>
    <row r="1948" spans="1:13" x14ac:dyDescent="0.2">
      <c r="A1948" s="1">
        <v>45508</v>
      </c>
      <c r="B1948" s="2">
        <v>0.16666666666666666</v>
      </c>
      <c r="C1948" s="3">
        <v>45508.166666666664</v>
      </c>
      <c r="D1948">
        <v>49.3</v>
      </c>
      <c r="E1948">
        <v>55.6</v>
      </c>
      <c r="F1948">
        <v>45.6</v>
      </c>
      <c r="G1948" t="s">
        <v>6</v>
      </c>
      <c r="H1948">
        <v>13.7</v>
      </c>
      <c r="I1948">
        <v>23.1</v>
      </c>
      <c r="J1948">
        <v>10.9</v>
      </c>
      <c r="K1948" t="s">
        <v>6</v>
      </c>
      <c r="L1948">
        <v>221</v>
      </c>
      <c r="M1948" t="s">
        <v>6</v>
      </c>
    </row>
    <row r="1949" spans="1:13" x14ac:dyDescent="0.2">
      <c r="A1949" s="1">
        <v>45508</v>
      </c>
      <c r="B1949" s="2">
        <v>0.20833333333333334</v>
      </c>
      <c r="C1949" s="3">
        <v>45508.208333333336</v>
      </c>
      <c r="D1949">
        <v>53.4</v>
      </c>
      <c r="E1949">
        <v>64.599999999999994</v>
      </c>
      <c r="F1949">
        <v>45.4</v>
      </c>
      <c r="G1949" t="s">
        <v>6</v>
      </c>
      <c r="H1949">
        <v>12.4</v>
      </c>
      <c r="I1949">
        <v>18</v>
      </c>
      <c r="J1949">
        <v>11.2</v>
      </c>
      <c r="K1949" t="s">
        <v>6</v>
      </c>
      <c r="L1949">
        <v>218</v>
      </c>
      <c r="M1949" t="s">
        <v>6</v>
      </c>
    </row>
    <row r="1950" spans="1:13" x14ac:dyDescent="0.2">
      <c r="A1950" s="1">
        <v>45508</v>
      </c>
      <c r="B1950" s="2">
        <v>0.25</v>
      </c>
      <c r="C1950" s="3">
        <v>45508.25</v>
      </c>
      <c r="D1950">
        <v>47.6</v>
      </c>
      <c r="E1950">
        <v>55.5</v>
      </c>
      <c r="F1950">
        <v>44.2</v>
      </c>
      <c r="G1950" t="s">
        <v>6</v>
      </c>
      <c r="H1950">
        <v>14.1</v>
      </c>
      <c r="I1950">
        <v>25</v>
      </c>
      <c r="J1950">
        <v>10.7</v>
      </c>
      <c r="K1950" t="s">
        <v>6</v>
      </c>
      <c r="L1950">
        <v>214</v>
      </c>
      <c r="M1950" t="s">
        <v>6</v>
      </c>
    </row>
    <row r="1951" spans="1:13" x14ac:dyDescent="0.2">
      <c r="A1951" s="13">
        <v>45508</v>
      </c>
      <c r="B1951" s="9">
        <v>0.29166666666666669</v>
      </c>
      <c r="C1951" s="8">
        <v>45508.291666666664</v>
      </c>
      <c r="D1951" s="10">
        <v>44.2</v>
      </c>
      <c r="E1951" s="10">
        <v>44.2</v>
      </c>
      <c r="F1951" s="10">
        <v>44.2</v>
      </c>
      <c r="G1951" s="10" t="s">
        <v>6</v>
      </c>
      <c r="H1951" s="10">
        <v>16.5</v>
      </c>
      <c r="I1951" s="10">
        <v>18.2</v>
      </c>
      <c r="J1951" s="10">
        <v>14.7</v>
      </c>
      <c r="K1951" s="10" t="s">
        <v>6</v>
      </c>
      <c r="L1951" s="10">
        <v>5</v>
      </c>
      <c r="M1951" t="s">
        <v>6</v>
      </c>
    </row>
    <row r="1952" spans="1:13" x14ac:dyDescent="0.2">
      <c r="A1952" s="14">
        <v>45508</v>
      </c>
      <c r="B1952" s="12">
        <v>0.375</v>
      </c>
      <c r="C1952" s="7">
        <v>45508.375</v>
      </c>
      <c r="D1952" s="11">
        <v>57.6</v>
      </c>
      <c r="E1952" s="11">
        <v>61</v>
      </c>
      <c r="F1952" s="11">
        <v>53.5</v>
      </c>
      <c r="G1952" s="11" t="s">
        <v>6</v>
      </c>
      <c r="H1952" s="11">
        <v>12</v>
      </c>
      <c r="I1952" s="11">
        <v>16</v>
      </c>
      <c r="J1952" s="11">
        <v>10.4</v>
      </c>
      <c r="K1952" s="11" t="s">
        <v>6</v>
      </c>
      <c r="L1952" s="11">
        <v>94</v>
      </c>
      <c r="M1952" t="s">
        <v>6</v>
      </c>
    </row>
    <row r="1953" spans="1:13" x14ac:dyDescent="0.2">
      <c r="A1953" s="1">
        <v>45508</v>
      </c>
      <c r="B1953" s="2">
        <v>0.41666666666666669</v>
      </c>
      <c r="C1953" s="3">
        <v>45508.416666666664</v>
      </c>
      <c r="D1953">
        <v>60.6</v>
      </c>
      <c r="E1953">
        <v>71.8</v>
      </c>
      <c r="F1953">
        <v>54.8</v>
      </c>
      <c r="G1953" t="s">
        <v>6</v>
      </c>
      <c r="H1953">
        <v>12.1</v>
      </c>
      <c r="I1953">
        <v>21.4</v>
      </c>
      <c r="J1953">
        <v>10.5</v>
      </c>
      <c r="K1953" t="s">
        <v>6</v>
      </c>
      <c r="L1953">
        <v>175</v>
      </c>
      <c r="M1953" t="s">
        <v>6</v>
      </c>
    </row>
    <row r="1954" spans="1:13" x14ac:dyDescent="0.2">
      <c r="A1954" s="1">
        <v>45508</v>
      </c>
      <c r="B1954" s="2">
        <v>0.45833333333333331</v>
      </c>
      <c r="C1954" s="3">
        <v>45508.458333333336</v>
      </c>
      <c r="D1954">
        <v>61.2</v>
      </c>
      <c r="E1954">
        <v>68</v>
      </c>
      <c r="F1954">
        <v>55.4</v>
      </c>
      <c r="G1954" t="s">
        <v>6</v>
      </c>
      <c r="H1954">
        <v>11.6</v>
      </c>
      <c r="I1954">
        <v>16.100000000000001</v>
      </c>
      <c r="J1954">
        <v>9.3000000000000007</v>
      </c>
      <c r="K1954" t="s">
        <v>6</v>
      </c>
      <c r="L1954">
        <v>183</v>
      </c>
      <c r="M1954" t="s">
        <v>6</v>
      </c>
    </row>
    <row r="1955" spans="1:13" x14ac:dyDescent="0.2">
      <c r="A1955" s="1">
        <v>45508</v>
      </c>
      <c r="B1955" s="2">
        <v>0.5</v>
      </c>
      <c r="C1955" s="3">
        <v>45508.5</v>
      </c>
      <c r="D1955">
        <v>61.2</v>
      </c>
      <c r="E1955">
        <v>65.599999999999994</v>
      </c>
      <c r="F1955">
        <v>55.7</v>
      </c>
      <c r="G1955" t="s">
        <v>6</v>
      </c>
      <c r="H1955">
        <v>10.6</v>
      </c>
      <c r="I1955">
        <v>14.2</v>
      </c>
      <c r="J1955">
        <v>9.1</v>
      </c>
      <c r="K1955" t="s">
        <v>6</v>
      </c>
      <c r="L1955">
        <v>193</v>
      </c>
      <c r="M1955" t="s">
        <v>6</v>
      </c>
    </row>
    <row r="1956" spans="1:13" x14ac:dyDescent="0.2">
      <c r="A1956" s="1">
        <v>45508</v>
      </c>
      <c r="B1956" s="2">
        <v>0.54166666666666663</v>
      </c>
      <c r="C1956" s="3">
        <v>45508.541666666664</v>
      </c>
      <c r="D1956">
        <v>60.3</v>
      </c>
      <c r="E1956">
        <v>62.2</v>
      </c>
      <c r="F1956">
        <v>57.7</v>
      </c>
      <c r="G1956" t="s">
        <v>6</v>
      </c>
      <c r="H1956">
        <v>9.9</v>
      </c>
      <c r="I1956">
        <v>12.4</v>
      </c>
      <c r="J1956">
        <v>8.9</v>
      </c>
      <c r="K1956" t="s">
        <v>6</v>
      </c>
      <c r="L1956">
        <v>117</v>
      </c>
      <c r="M1956" t="s">
        <v>6</v>
      </c>
    </row>
    <row r="1957" spans="1:13" x14ac:dyDescent="0.2">
      <c r="A1957" s="1">
        <v>45508</v>
      </c>
      <c r="B1957" s="2">
        <v>0.58333333333333337</v>
      </c>
      <c r="C1957" s="3">
        <v>45508.583333333336</v>
      </c>
      <c r="D1957">
        <v>60.8</v>
      </c>
      <c r="E1957">
        <v>67.5</v>
      </c>
      <c r="F1957">
        <v>54.2</v>
      </c>
      <c r="G1957" t="s">
        <v>6</v>
      </c>
      <c r="H1957">
        <v>11</v>
      </c>
      <c r="I1957">
        <v>24.4</v>
      </c>
      <c r="J1957">
        <v>8.6999999999999993</v>
      </c>
      <c r="K1957" t="s">
        <v>6</v>
      </c>
      <c r="L1957">
        <v>204</v>
      </c>
      <c r="M1957" t="s">
        <v>6</v>
      </c>
    </row>
    <row r="1958" spans="1:13" x14ac:dyDescent="0.2">
      <c r="A1958" s="1">
        <v>45508</v>
      </c>
      <c r="B1958" s="2">
        <v>0.625</v>
      </c>
      <c r="C1958" s="3">
        <v>45508.625</v>
      </c>
      <c r="D1958">
        <v>56.5</v>
      </c>
      <c r="E1958">
        <v>56.5</v>
      </c>
      <c r="F1958">
        <v>56.5</v>
      </c>
      <c r="G1958" t="s">
        <v>6</v>
      </c>
      <c r="H1958">
        <v>10.7</v>
      </c>
      <c r="I1958">
        <v>10.7</v>
      </c>
      <c r="J1958">
        <v>10.7</v>
      </c>
      <c r="K1958" t="s">
        <v>6</v>
      </c>
      <c r="L1958">
        <v>1</v>
      </c>
      <c r="M1958" t="s">
        <v>6</v>
      </c>
    </row>
    <row r="1959" spans="1:13" x14ac:dyDescent="0.2">
      <c r="A1959" s="1">
        <v>45508</v>
      </c>
      <c r="B1959" s="2">
        <v>0.70833333333333337</v>
      </c>
      <c r="C1959" s="3">
        <v>45508.708333333336</v>
      </c>
      <c r="D1959">
        <v>55.6</v>
      </c>
      <c r="E1959">
        <v>57.3</v>
      </c>
      <c r="F1959">
        <v>54.2</v>
      </c>
      <c r="G1959" t="s">
        <v>6</v>
      </c>
      <c r="H1959">
        <v>14.4</v>
      </c>
      <c r="I1959">
        <v>28.5</v>
      </c>
      <c r="J1959">
        <v>10.6</v>
      </c>
      <c r="K1959" t="s">
        <v>6</v>
      </c>
      <c r="L1959">
        <v>21</v>
      </c>
      <c r="M1959" t="s">
        <v>6</v>
      </c>
    </row>
    <row r="1960" spans="1:13" x14ac:dyDescent="0.2">
      <c r="A1960" s="1">
        <v>45508</v>
      </c>
      <c r="B1960" s="2">
        <v>0.75</v>
      </c>
      <c r="C1960" s="3">
        <v>45508.75</v>
      </c>
      <c r="D1960">
        <v>50.1</v>
      </c>
      <c r="E1960">
        <v>55</v>
      </c>
      <c r="F1960">
        <v>48.3</v>
      </c>
      <c r="G1960" t="s">
        <v>6</v>
      </c>
      <c r="H1960">
        <v>15</v>
      </c>
      <c r="I1960">
        <v>20.100000000000001</v>
      </c>
      <c r="J1960">
        <v>11.4</v>
      </c>
      <c r="K1960" t="s">
        <v>6</v>
      </c>
      <c r="L1960">
        <v>113</v>
      </c>
      <c r="M1960" t="s">
        <v>6</v>
      </c>
    </row>
    <row r="1961" spans="1:13" x14ac:dyDescent="0.2">
      <c r="A1961" s="1">
        <v>45508</v>
      </c>
      <c r="B1961" s="2">
        <v>0.83333333333333337</v>
      </c>
      <c r="C1961" s="3">
        <v>45508.833333333336</v>
      </c>
      <c r="D1961">
        <v>46.4</v>
      </c>
      <c r="E1961">
        <v>51.4</v>
      </c>
      <c r="F1961">
        <v>43.4</v>
      </c>
      <c r="G1961" t="s">
        <v>6</v>
      </c>
      <c r="H1961">
        <v>19.100000000000001</v>
      </c>
      <c r="I1961">
        <v>31.8</v>
      </c>
      <c r="J1961">
        <v>11.6</v>
      </c>
      <c r="K1961" t="s">
        <v>6</v>
      </c>
      <c r="L1961">
        <v>171</v>
      </c>
      <c r="M1961" t="s">
        <v>6</v>
      </c>
    </row>
    <row r="1962" spans="1:13" x14ac:dyDescent="0.2">
      <c r="A1962" s="1">
        <v>45508</v>
      </c>
      <c r="B1962" s="2">
        <v>0.875</v>
      </c>
      <c r="C1962" s="3">
        <v>45508.875</v>
      </c>
      <c r="D1962">
        <v>43.4</v>
      </c>
      <c r="E1962">
        <v>47.7</v>
      </c>
      <c r="F1962">
        <v>40.200000000000003</v>
      </c>
      <c r="G1962" t="s">
        <v>6</v>
      </c>
      <c r="H1962">
        <v>16.899999999999999</v>
      </c>
      <c r="I1962">
        <v>26.4</v>
      </c>
      <c r="J1962">
        <v>11.3</v>
      </c>
      <c r="K1962" t="s">
        <v>6</v>
      </c>
      <c r="L1962">
        <v>175</v>
      </c>
      <c r="M1962" t="s">
        <v>6</v>
      </c>
    </row>
    <row r="1963" spans="1:13" x14ac:dyDescent="0.2">
      <c r="A1963" s="1">
        <v>45508</v>
      </c>
      <c r="B1963" s="2">
        <v>0.91666666666666663</v>
      </c>
      <c r="C1963" s="3">
        <v>45508.916666666664</v>
      </c>
      <c r="D1963">
        <v>45.8</v>
      </c>
      <c r="E1963">
        <v>58.6</v>
      </c>
      <c r="F1963">
        <v>40.1</v>
      </c>
      <c r="G1963" t="s">
        <v>6</v>
      </c>
      <c r="H1963">
        <v>12.5</v>
      </c>
      <c r="I1963">
        <v>15.2</v>
      </c>
      <c r="J1963">
        <v>11.2</v>
      </c>
      <c r="K1963" t="s">
        <v>6</v>
      </c>
      <c r="L1963">
        <v>187</v>
      </c>
      <c r="M1963" t="s">
        <v>6</v>
      </c>
    </row>
    <row r="1964" spans="1:13" x14ac:dyDescent="0.2">
      <c r="A1964" s="1">
        <v>45508</v>
      </c>
      <c r="B1964" s="2">
        <v>0.95833333333333337</v>
      </c>
      <c r="C1964" s="3">
        <v>45508.958333333336</v>
      </c>
      <c r="D1964">
        <v>54.7</v>
      </c>
      <c r="E1964">
        <v>62.5</v>
      </c>
      <c r="F1964">
        <v>45.7</v>
      </c>
      <c r="G1964" t="s">
        <v>6</v>
      </c>
      <c r="H1964">
        <v>15</v>
      </c>
      <c r="I1964">
        <v>24.4</v>
      </c>
      <c r="J1964">
        <v>11</v>
      </c>
      <c r="K1964" t="s">
        <v>6</v>
      </c>
      <c r="L1964">
        <v>216</v>
      </c>
      <c r="M1964" t="s">
        <v>6</v>
      </c>
    </row>
    <row r="1965" spans="1:13" x14ac:dyDescent="0.2">
      <c r="A1965" s="1">
        <v>45509</v>
      </c>
      <c r="B1965" s="2">
        <v>0</v>
      </c>
      <c r="C1965" s="3">
        <v>45509</v>
      </c>
      <c r="D1965">
        <v>47.3</v>
      </c>
      <c r="E1965">
        <v>69.400000000000006</v>
      </c>
      <c r="F1965">
        <v>42.4</v>
      </c>
      <c r="G1965" t="s">
        <v>6</v>
      </c>
      <c r="H1965">
        <v>13</v>
      </c>
      <c r="I1965">
        <v>24.4</v>
      </c>
      <c r="J1965">
        <v>11</v>
      </c>
      <c r="K1965" t="s">
        <v>6</v>
      </c>
      <c r="L1965">
        <v>209</v>
      </c>
      <c r="M1965" t="s">
        <v>6</v>
      </c>
    </row>
    <row r="1966" spans="1:13" x14ac:dyDescent="0.2">
      <c r="A1966" s="1">
        <v>45509</v>
      </c>
      <c r="B1966" s="2">
        <v>4.1666666666666664E-2</v>
      </c>
      <c r="C1966" s="3">
        <v>45509.041666666664</v>
      </c>
      <c r="D1966">
        <v>43.8</v>
      </c>
      <c r="E1966">
        <v>47.3</v>
      </c>
      <c r="F1966">
        <v>41.5</v>
      </c>
      <c r="G1966" t="s">
        <v>6</v>
      </c>
      <c r="H1966">
        <v>12.9</v>
      </c>
      <c r="I1966">
        <v>22.4</v>
      </c>
      <c r="J1966">
        <v>11.1</v>
      </c>
      <c r="K1966" t="s">
        <v>6</v>
      </c>
      <c r="L1966">
        <v>221</v>
      </c>
      <c r="M1966" t="s">
        <v>6</v>
      </c>
    </row>
    <row r="1967" spans="1:13" x14ac:dyDescent="0.2">
      <c r="A1967" s="1">
        <v>45509</v>
      </c>
      <c r="B1967" s="2">
        <v>8.3333333333333329E-2</v>
      </c>
      <c r="C1967" s="3">
        <v>45509.083333333336</v>
      </c>
      <c r="D1967">
        <v>46</v>
      </c>
      <c r="E1967">
        <v>52.4</v>
      </c>
      <c r="F1967">
        <v>40.1</v>
      </c>
      <c r="G1967" t="s">
        <v>6</v>
      </c>
      <c r="H1967">
        <v>12.4</v>
      </c>
      <c r="I1967">
        <v>19.5</v>
      </c>
      <c r="J1967">
        <v>11</v>
      </c>
      <c r="K1967" t="s">
        <v>6</v>
      </c>
      <c r="L1967">
        <v>215</v>
      </c>
      <c r="M1967" t="s">
        <v>6</v>
      </c>
    </row>
    <row r="1968" spans="1:13" x14ac:dyDescent="0.2">
      <c r="A1968" s="1">
        <v>45509</v>
      </c>
      <c r="B1968" s="2">
        <v>0.125</v>
      </c>
      <c r="C1968" s="3">
        <v>45509.125</v>
      </c>
      <c r="D1968">
        <v>49.2</v>
      </c>
      <c r="E1968">
        <v>57.1</v>
      </c>
      <c r="F1968">
        <v>44</v>
      </c>
      <c r="G1968" t="s">
        <v>6</v>
      </c>
      <c r="H1968">
        <v>11.7</v>
      </c>
      <c r="I1968">
        <v>20.5</v>
      </c>
      <c r="J1968">
        <v>10.1</v>
      </c>
      <c r="K1968" t="s">
        <v>6</v>
      </c>
      <c r="L1968">
        <v>225</v>
      </c>
      <c r="M1968" t="s">
        <v>6</v>
      </c>
    </row>
    <row r="1969" spans="1:13" x14ac:dyDescent="0.2">
      <c r="A1969" s="1">
        <v>45509</v>
      </c>
      <c r="B1969" s="2">
        <v>0.16666666666666666</v>
      </c>
      <c r="C1969" s="3">
        <v>45509.166666666664</v>
      </c>
      <c r="D1969">
        <v>44.5</v>
      </c>
      <c r="E1969">
        <v>50.6</v>
      </c>
      <c r="F1969">
        <v>41.2</v>
      </c>
      <c r="G1969" t="s">
        <v>6</v>
      </c>
      <c r="H1969">
        <v>12.2</v>
      </c>
      <c r="I1969">
        <v>21.4</v>
      </c>
      <c r="J1969">
        <v>10.4</v>
      </c>
      <c r="K1969" t="s">
        <v>6</v>
      </c>
      <c r="L1969">
        <v>222</v>
      </c>
      <c r="M1969" t="s">
        <v>6</v>
      </c>
    </row>
    <row r="1970" spans="1:13" x14ac:dyDescent="0.2">
      <c r="A1970" s="1">
        <v>45509</v>
      </c>
      <c r="B1970" s="2">
        <v>0.20833333333333334</v>
      </c>
      <c r="C1970" s="3">
        <v>45509.208333333336</v>
      </c>
      <c r="D1970">
        <v>51.4</v>
      </c>
      <c r="E1970">
        <v>60.2</v>
      </c>
      <c r="F1970">
        <v>45.6</v>
      </c>
      <c r="G1970" t="s">
        <v>6</v>
      </c>
      <c r="H1970">
        <v>12.2</v>
      </c>
      <c r="I1970">
        <v>20.5</v>
      </c>
      <c r="J1970">
        <v>9.9</v>
      </c>
      <c r="K1970" t="s">
        <v>6</v>
      </c>
      <c r="L1970">
        <v>228</v>
      </c>
      <c r="M1970" t="s">
        <v>6</v>
      </c>
    </row>
    <row r="1971" spans="1:13" x14ac:dyDescent="0.2">
      <c r="A1971" s="1">
        <v>45509</v>
      </c>
      <c r="B1971" s="2">
        <v>0.25</v>
      </c>
      <c r="C1971" s="3">
        <v>45509.25</v>
      </c>
      <c r="D1971">
        <v>53.9</v>
      </c>
      <c r="E1971">
        <v>73.5</v>
      </c>
      <c r="F1971">
        <v>49.7</v>
      </c>
      <c r="G1971" t="s">
        <v>6</v>
      </c>
      <c r="H1971">
        <v>11.6</v>
      </c>
      <c r="I1971">
        <v>16.5</v>
      </c>
      <c r="J1971">
        <v>10</v>
      </c>
      <c r="K1971" t="s">
        <v>6</v>
      </c>
      <c r="L1971">
        <v>117</v>
      </c>
      <c r="M1971" t="s">
        <v>6</v>
      </c>
    </row>
    <row r="1972" spans="1:13" x14ac:dyDescent="0.2">
      <c r="A1972" s="1">
        <v>45509</v>
      </c>
      <c r="B1972" s="2">
        <v>0.29166666666666669</v>
      </c>
      <c r="C1972" s="3">
        <v>45509.291666666664</v>
      </c>
      <c r="D1972">
        <v>64.2</v>
      </c>
      <c r="E1972">
        <v>72.8</v>
      </c>
      <c r="F1972">
        <v>55.7</v>
      </c>
      <c r="G1972" t="s">
        <v>6</v>
      </c>
      <c r="H1972">
        <v>20.5</v>
      </c>
      <c r="I1972">
        <v>26.2</v>
      </c>
      <c r="J1972">
        <v>13.7</v>
      </c>
      <c r="K1972" t="s">
        <v>6</v>
      </c>
      <c r="L1972">
        <v>34</v>
      </c>
      <c r="M1972" t="s">
        <v>6</v>
      </c>
    </row>
    <row r="1973" spans="1:13" x14ac:dyDescent="0.2">
      <c r="A1973" s="13">
        <v>45509</v>
      </c>
      <c r="B1973" s="9">
        <v>0.33333333333333331</v>
      </c>
      <c r="C1973" s="8">
        <v>45509.333333333336</v>
      </c>
      <c r="D1973" s="10">
        <v>68.5</v>
      </c>
      <c r="E1973" s="10">
        <v>74.099999999999994</v>
      </c>
      <c r="F1973" s="10">
        <v>61.4</v>
      </c>
      <c r="G1973" s="10" t="s">
        <v>6</v>
      </c>
      <c r="H1973" s="10">
        <v>18.7</v>
      </c>
      <c r="I1973" s="10">
        <v>23.7</v>
      </c>
      <c r="J1973" s="10">
        <v>13.9</v>
      </c>
      <c r="K1973" s="10" t="s">
        <v>6</v>
      </c>
      <c r="L1973" s="10">
        <v>17</v>
      </c>
      <c r="M1973" t="s">
        <v>6</v>
      </c>
    </row>
    <row r="1974" spans="1:13" x14ac:dyDescent="0.2">
      <c r="A1974" s="14">
        <v>45509</v>
      </c>
      <c r="B1974" s="12">
        <v>0.375</v>
      </c>
      <c r="C1974" s="7">
        <v>45509.375</v>
      </c>
      <c r="D1974" s="11">
        <v>79.7</v>
      </c>
      <c r="E1974" s="11">
        <v>82.3</v>
      </c>
      <c r="F1974" s="11">
        <v>75.7</v>
      </c>
      <c r="G1974" s="11" t="s">
        <v>6</v>
      </c>
      <c r="H1974" s="11">
        <v>14.1</v>
      </c>
      <c r="I1974" s="11">
        <v>18.399999999999999</v>
      </c>
      <c r="J1974" s="11">
        <v>11.4</v>
      </c>
      <c r="K1974" s="11" t="s">
        <v>6</v>
      </c>
      <c r="L1974" s="11">
        <v>73</v>
      </c>
      <c r="M1974" t="s">
        <v>6</v>
      </c>
    </row>
    <row r="1975" spans="1:13" x14ac:dyDescent="0.2">
      <c r="A1975" s="1">
        <v>45509</v>
      </c>
      <c r="B1975" s="2">
        <v>0.41666666666666669</v>
      </c>
      <c r="C1975" s="3">
        <v>45509.416666666664</v>
      </c>
      <c r="D1975">
        <v>77.3</v>
      </c>
      <c r="E1975">
        <v>78.7</v>
      </c>
      <c r="F1975">
        <v>74.8</v>
      </c>
      <c r="G1975" t="s">
        <v>6</v>
      </c>
      <c r="H1975">
        <v>13.5</v>
      </c>
      <c r="I1975">
        <v>17.2</v>
      </c>
      <c r="J1975">
        <v>10.9</v>
      </c>
      <c r="K1975" t="s">
        <v>6</v>
      </c>
      <c r="L1975">
        <v>27</v>
      </c>
      <c r="M1975" t="s">
        <v>6</v>
      </c>
    </row>
    <row r="1976" spans="1:13" x14ac:dyDescent="0.2">
      <c r="A1976" s="1">
        <v>45509</v>
      </c>
      <c r="B1976" s="2">
        <v>0.45833333333333331</v>
      </c>
      <c r="C1976" s="3">
        <v>45509.458333333336</v>
      </c>
      <c r="D1976">
        <v>57.9</v>
      </c>
      <c r="E1976">
        <v>67.099999999999994</v>
      </c>
      <c r="F1976">
        <v>51.8</v>
      </c>
      <c r="G1976" t="s">
        <v>6</v>
      </c>
      <c r="H1976">
        <v>17.600000000000001</v>
      </c>
      <c r="I1976">
        <v>31.9</v>
      </c>
      <c r="J1976">
        <v>11.2</v>
      </c>
      <c r="K1976" t="s">
        <v>6</v>
      </c>
      <c r="L1976">
        <v>125</v>
      </c>
      <c r="M1976" t="s">
        <v>6</v>
      </c>
    </row>
    <row r="1977" spans="1:13" x14ac:dyDescent="0.2">
      <c r="A1977" s="1">
        <v>45509</v>
      </c>
      <c r="B1977" s="2">
        <v>0.5</v>
      </c>
      <c r="C1977" s="3">
        <v>45509.5</v>
      </c>
      <c r="D1977">
        <v>48.2</v>
      </c>
      <c r="E1977">
        <v>51.8</v>
      </c>
      <c r="F1977">
        <v>44.5</v>
      </c>
      <c r="G1977" t="s">
        <v>6</v>
      </c>
      <c r="H1977">
        <v>13.6</v>
      </c>
      <c r="I1977">
        <v>18.100000000000001</v>
      </c>
      <c r="J1977">
        <v>10.7</v>
      </c>
      <c r="K1977" t="s">
        <v>6</v>
      </c>
      <c r="L1977">
        <v>229</v>
      </c>
      <c r="M1977" t="s">
        <v>6</v>
      </c>
    </row>
    <row r="1978" spans="1:13" x14ac:dyDescent="0.2">
      <c r="A1978" s="1">
        <v>45509</v>
      </c>
      <c r="B1978" s="2">
        <v>0.54166666666666663</v>
      </c>
      <c r="C1978" s="3">
        <v>45509.541666666664</v>
      </c>
      <c r="D1978">
        <v>57.6</v>
      </c>
      <c r="E1978">
        <v>70.3</v>
      </c>
      <c r="F1978">
        <v>47.5</v>
      </c>
      <c r="G1978" t="s">
        <v>6</v>
      </c>
      <c r="H1978">
        <v>11.1</v>
      </c>
      <c r="I1978">
        <v>20.3</v>
      </c>
      <c r="J1978">
        <v>8.5</v>
      </c>
      <c r="K1978" t="s">
        <v>6</v>
      </c>
      <c r="L1978">
        <v>227</v>
      </c>
      <c r="M1978" t="s">
        <v>6</v>
      </c>
    </row>
    <row r="1979" spans="1:13" x14ac:dyDescent="0.2">
      <c r="A1979" s="1">
        <v>45509</v>
      </c>
      <c r="B1979" s="2">
        <v>0.58333333333333337</v>
      </c>
      <c r="C1979" s="3">
        <v>45509.583333333336</v>
      </c>
      <c r="D1979">
        <v>63.1</v>
      </c>
      <c r="E1979">
        <v>65.400000000000006</v>
      </c>
      <c r="F1979">
        <v>58.9</v>
      </c>
      <c r="G1979" t="s">
        <v>6</v>
      </c>
      <c r="H1979">
        <v>12.9</v>
      </c>
      <c r="I1979">
        <v>22.4</v>
      </c>
      <c r="J1979">
        <v>8.6999999999999993</v>
      </c>
      <c r="K1979" t="s">
        <v>6</v>
      </c>
      <c r="L1979">
        <v>215</v>
      </c>
      <c r="M1979" t="s">
        <v>6</v>
      </c>
    </row>
    <row r="1980" spans="1:13" x14ac:dyDescent="0.2">
      <c r="A1980" s="1">
        <v>45509</v>
      </c>
      <c r="B1980" s="2">
        <v>0.625</v>
      </c>
      <c r="C1980" s="3">
        <v>45509.625</v>
      </c>
      <c r="D1980">
        <v>61.6</v>
      </c>
      <c r="E1980">
        <v>63.3</v>
      </c>
      <c r="F1980">
        <v>60</v>
      </c>
      <c r="G1980" t="s">
        <v>6</v>
      </c>
      <c r="H1980">
        <v>11</v>
      </c>
      <c r="I1980">
        <v>16.600000000000001</v>
      </c>
      <c r="J1980">
        <v>9</v>
      </c>
      <c r="K1980" t="s">
        <v>6</v>
      </c>
      <c r="L1980">
        <v>99</v>
      </c>
      <c r="M1980" t="s">
        <v>6</v>
      </c>
    </row>
    <row r="1981" spans="1:13" x14ac:dyDescent="0.2">
      <c r="A1981" s="1">
        <v>45509</v>
      </c>
      <c r="B1981" s="2">
        <v>0.66666666666666663</v>
      </c>
      <c r="C1981" s="3">
        <v>45509.666666666664</v>
      </c>
      <c r="D1981">
        <v>58.6</v>
      </c>
      <c r="E1981">
        <v>61.2</v>
      </c>
      <c r="F1981">
        <v>56.6</v>
      </c>
      <c r="G1981" t="s">
        <v>6</v>
      </c>
      <c r="H1981">
        <v>12.2</v>
      </c>
      <c r="I1981">
        <v>16.8</v>
      </c>
      <c r="J1981">
        <v>9.6999999999999993</v>
      </c>
      <c r="K1981" t="s">
        <v>6</v>
      </c>
      <c r="L1981">
        <v>204</v>
      </c>
      <c r="M1981" t="s">
        <v>6</v>
      </c>
    </row>
    <row r="1982" spans="1:13" x14ac:dyDescent="0.2">
      <c r="A1982" s="1">
        <v>45509</v>
      </c>
      <c r="B1982" s="2">
        <v>0.83333333333333337</v>
      </c>
      <c r="C1982" s="3">
        <v>45509.833333333336</v>
      </c>
      <c r="D1982">
        <v>56.1</v>
      </c>
      <c r="E1982">
        <v>67.8</v>
      </c>
      <c r="F1982">
        <v>44.8</v>
      </c>
      <c r="G1982" t="s">
        <v>6</v>
      </c>
      <c r="H1982">
        <v>18.2</v>
      </c>
      <c r="I1982">
        <v>32.9</v>
      </c>
      <c r="J1982">
        <v>12.9</v>
      </c>
      <c r="K1982" t="s">
        <v>6</v>
      </c>
      <c r="L1982">
        <v>211</v>
      </c>
      <c r="M1982" t="s">
        <v>6</v>
      </c>
    </row>
    <row r="1983" spans="1:13" x14ac:dyDescent="0.2">
      <c r="A1983" s="1">
        <v>45509</v>
      </c>
      <c r="B1983" s="2">
        <v>0.875</v>
      </c>
      <c r="C1983" s="3">
        <v>45509.875</v>
      </c>
      <c r="D1983">
        <v>44.4</v>
      </c>
      <c r="E1983">
        <v>46.6</v>
      </c>
      <c r="F1983">
        <v>41.9</v>
      </c>
      <c r="G1983" t="s">
        <v>6</v>
      </c>
      <c r="H1983">
        <v>16.2</v>
      </c>
      <c r="I1983">
        <v>27.1</v>
      </c>
      <c r="J1983">
        <v>12.1</v>
      </c>
      <c r="K1983" t="s">
        <v>6</v>
      </c>
      <c r="L1983">
        <v>218</v>
      </c>
      <c r="M1983" t="s">
        <v>6</v>
      </c>
    </row>
    <row r="1984" spans="1:13" x14ac:dyDescent="0.2">
      <c r="A1984" s="1">
        <v>45509</v>
      </c>
      <c r="B1984" s="2">
        <v>0.91666666666666663</v>
      </c>
      <c r="C1984" s="3">
        <v>45509.916666666664</v>
      </c>
      <c r="D1984">
        <v>50.2</v>
      </c>
      <c r="E1984">
        <v>66.400000000000006</v>
      </c>
      <c r="F1984">
        <v>42.4</v>
      </c>
      <c r="G1984" t="s">
        <v>6</v>
      </c>
      <c r="H1984">
        <v>14.6</v>
      </c>
      <c r="I1984">
        <v>18.899999999999999</v>
      </c>
      <c r="J1984">
        <v>12</v>
      </c>
      <c r="K1984" t="s">
        <v>6</v>
      </c>
      <c r="L1984">
        <v>188</v>
      </c>
      <c r="M1984" t="s">
        <v>6</v>
      </c>
    </row>
    <row r="1985" spans="1:13" x14ac:dyDescent="0.2">
      <c r="A1985" s="1">
        <v>45509</v>
      </c>
      <c r="B1985" s="2">
        <v>0.95833333333333337</v>
      </c>
      <c r="C1985" s="3">
        <v>45509.958333333336</v>
      </c>
      <c r="D1985">
        <v>43.2</v>
      </c>
      <c r="E1985">
        <v>48.1</v>
      </c>
      <c r="F1985">
        <v>40.1</v>
      </c>
      <c r="G1985" t="s">
        <v>6</v>
      </c>
      <c r="H1985">
        <v>14.3</v>
      </c>
      <c r="I1985">
        <v>21</v>
      </c>
      <c r="J1985">
        <v>12.2</v>
      </c>
      <c r="K1985" t="s">
        <v>6</v>
      </c>
      <c r="L1985">
        <v>161</v>
      </c>
      <c r="M1985" t="s">
        <v>6</v>
      </c>
    </row>
    <row r="1986" spans="1:13" x14ac:dyDescent="0.2">
      <c r="A1986" s="1">
        <v>45510</v>
      </c>
      <c r="B1986" s="2">
        <v>0</v>
      </c>
      <c r="C1986" s="3">
        <v>45510</v>
      </c>
      <c r="D1986">
        <v>44.8</v>
      </c>
      <c r="E1986">
        <v>48.2</v>
      </c>
      <c r="F1986">
        <v>40.1</v>
      </c>
      <c r="G1986" t="s">
        <v>6</v>
      </c>
      <c r="H1986">
        <v>14.7</v>
      </c>
      <c r="I1986">
        <v>24.4</v>
      </c>
      <c r="J1986">
        <v>11.6</v>
      </c>
      <c r="K1986" t="s">
        <v>6</v>
      </c>
      <c r="L1986">
        <v>200</v>
      </c>
      <c r="M1986" t="s">
        <v>6</v>
      </c>
    </row>
    <row r="1987" spans="1:13" x14ac:dyDescent="0.2">
      <c r="A1987" s="1">
        <v>45510</v>
      </c>
      <c r="B1987" s="2">
        <v>4.1666666666666664E-2</v>
      </c>
      <c r="C1987" s="3">
        <v>45510.041666666664</v>
      </c>
      <c r="D1987">
        <v>43.5</v>
      </c>
      <c r="E1987">
        <v>49.5</v>
      </c>
      <c r="F1987">
        <v>40.200000000000003</v>
      </c>
      <c r="G1987" t="s">
        <v>6</v>
      </c>
      <c r="H1987">
        <v>12.8</v>
      </c>
      <c r="I1987">
        <v>16.5</v>
      </c>
      <c r="J1987">
        <v>11.5</v>
      </c>
      <c r="K1987" t="s">
        <v>6</v>
      </c>
      <c r="L1987">
        <v>212</v>
      </c>
      <c r="M1987" t="s">
        <v>6</v>
      </c>
    </row>
    <row r="1988" spans="1:13" x14ac:dyDescent="0.2">
      <c r="A1988" s="1">
        <v>45510</v>
      </c>
      <c r="B1988" s="2">
        <v>8.3333333333333329E-2</v>
      </c>
      <c r="C1988" s="3">
        <v>45510.083333333336</v>
      </c>
      <c r="D1988">
        <v>44.1</v>
      </c>
      <c r="E1988">
        <v>51.5</v>
      </c>
      <c r="F1988">
        <v>41.1</v>
      </c>
      <c r="G1988" t="s">
        <v>6</v>
      </c>
      <c r="H1988">
        <v>14.4</v>
      </c>
      <c r="I1988">
        <v>25</v>
      </c>
      <c r="J1988">
        <v>11.6</v>
      </c>
      <c r="K1988" t="s">
        <v>6</v>
      </c>
      <c r="L1988">
        <v>216</v>
      </c>
      <c r="M1988" t="s">
        <v>6</v>
      </c>
    </row>
    <row r="1989" spans="1:13" x14ac:dyDescent="0.2">
      <c r="A1989" s="1">
        <v>45510</v>
      </c>
      <c r="B1989" s="2">
        <v>0.125</v>
      </c>
      <c r="C1989" s="3">
        <v>45510.125</v>
      </c>
      <c r="D1989">
        <v>46.3</v>
      </c>
      <c r="E1989">
        <v>55.7</v>
      </c>
      <c r="F1989">
        <v>41</v>
      </c>
      <c r="G1989" t="s">
        <v>6</v>
      </c>
      <c r="H1989">
        <v>13.8</v>
      </c>
      <c r="I1989">
        <v>23.3</v>
      </c>
      <c r="J1989">
        <v>11.4</v>
      </c>
      <c r="K1989" t="s">
        <v>6</v>
      </c>
      <c r="L1989">
        <v>219</v>
      </c>
      <c r="M1989" t="s">
        <v>6</v>
      </c>
    </row>
    <row r="1990" spans="1:13" x14ac:dyDescent="0.2">
      <c r="A1990" s="1">
        <v>45510</v>
      </c>
      <c r="B1990" s="2">
        <v>0.16666666666666666</v>
      </c>
      <c r="C1990" s="3">
        <v>45510.166666666664</v>
      </c>
      <c r="D1990">
        <v>46.5</v>
      </c>
      <c r="E1990">
        <v>52.8</v>
      </c>
      <c r="F1990">
        <v>41.3</v>
      </c>
      <c r="G1990" t="s">
        <v>6</v>
      </c>
      <c r="H1990">
        <v>12.3</v>
      </c>
      <c r="I1990">
        <v>23.4</v>
      </c>
      <c r="J1990">
        <v>10.5</v>
      </c>
      <c r="K1990" t="s">
        <v>6</v>
      </c>
      <c r="L1990">
        <v>225</v>
      </c>
      <c r="M1990" t="s">
        <v>6</v>
      </c>
    </row>
    <row r="1991" spans="1:13" x14ac:dyDescent="0.2">
      <c r="A1991" s="1">
        <v>45510</v>
      </c>
      <c r="B1991" s="2">
        <v>0.20833333333333334</v>
      </c>
      <c r="C1991" s="3">
        <v>45510.208333333336</v>
      </c>
      <c r="D1991">
        <v>44.6</v>
      </c>
      <c r="E1991">
        <v>50.2</v>
      </c>
      <c r="F1991">
        <v>40.1</v>
      </c>
      <c r="G1991" t="s">
        <v>6</v>
      </c>
      <c r="H1991">
        <v>14.2</v>
      </c>
      <c r="I1991">
        <v>20.5</v>
      </c>
      <c r="J1991">
        <v>11.2</v>
      </c>
      <c r="K1991" t="s">
        <v>6</v>
      </c>
      <c r="L1991">
        <v>188</v>
      </c>
      <c r="M1991" t="s">
        <v>6</v>
      </c>
    </row>
    <row r="1992" spans="1:13" x14ac:dyDescent="0.2">
      <c r="A1992" s="13">
        <v>45510</v>
      </c>
      <c r="B1992" s="9">
        <v>0.25</v>
      </c>
      <c r="C1992" s="8">
        <v>45510.25</v>
      </c>
      <c r="D1992" s="10">
        <v>44.7</v>
      </c>
      <c r="E1992" s="10">
        <v>46.1</v>
      </c>
      <c r="F1992" s="10">
        <v>43.9</v>
      </c>
      <c r="G1992" s="10" t="s">
        <v>6</v>
      </c>
      <c r="H1992" s="10">
        <v>15.4</v>
      </c>
      <c r="I1992" s="10">
        <v>20.5</v>
      </c>
      <c r="J1992" s="10">
        <v>11.9</v>
      </c>
      <c r="K1992" s="10" t="s">
        <v>6</v>
      </c>
      <c r="L1992" s="10">
        <v>37</v>
      </c>
      <c r="M1992" t="s">
        <v>6</v>
      </c>
    </row>
    <row r="1993" spans="1:13" x14ac:dyDescent="0.2">
      <c r="A1993" s="14">
        <v>45510</v>
      </c>
      <c r="B1993" s="12">
        <v>0.375</v>
      </c>
      <c r="C1993" s="7">
        <v>45510.375</v>
      </c>
      <c r="D1993" s="11">
        <v>55.5</v>
      </c>
      <c r="E1993" s="11">
        <v>71.900000000000006</v>
      </c>
      <c r="F1993" s="11">
        <v>44.2</v>
      </c>
      <c r="G1993" s="11" t="s">
        <v>6</v>
      </c>
      <c r="H1993" s="11">
        <v>12.4</v>
      </c>
      <c r="I1993" s="11">
        <v>18</v>
      </c>
      <c r="J1993" s="11">
        <v>10.5</v>
      </c>
      <c r="K1993" s="11" t="s">
        <v>6</v>
      </c>
      <c r="L1993" s="11">
        <v>85</v>
      </c>
      <c r="M1993" t="s">
        <v>6</v>
      </c>
    </row>
    <row r="1994" spans="1:13" x14ac:dyDescent="0.2">
      <c r="A1994" s="1">
        <v>45510</v>
      </c>
      <c r="B1994" s="2">
        <v>0.41666666666666669</v>
      </c>
      <c r="C1994" s="3">
        <v>45510.416666666664</v>
      </c>
      <c r="D1994">
        <v>66.8</v>
      </c>
      <c r="E1994">
        <v>73</v>
      </c>
      <c r="F1994">
        <v>59.8</v>
      </c>
      <c r="G1994" t="s">
        <v>6</v>
      </c>
      <c r="H1994">
        <v>12.6</v>
      </c>
      <c r="I1994">
        <v>22.6</v>
      </c>
      <c r="J1994">
        <v>10.6</v>
      </c>
      <c r="K1994" t="s">
        <v>6</v>
      </c>
      <c r="L1994">
        <v>149</v>
      </c>
      <c r="M1994" t="s">
        <v>6</v>
      </c>
    </row>
    <row r="1995" spans="1:13" x14ac:dyDescent="0.2">
      <c r="A1995" s="1">
        <v>45510</v>
      </c>
      <c r="B1995" s="2">
        <v>0.45833333333333331</v>
      </c>
      <c r="C1995" s="3">
        <v>45510.458333333336</v>
      </c>
      <c r="D1995">
        <v>55.9</v>
      </c>
      <c r="E1995">
        <v>63.1</v>
      </c>
      <c r="F1995">
        <v>47.3</v>
      </c>
      <c r="G1995" t="s">
        <v>6</v>
      </c>
      <c r="H1995">
        <v>12.2</v>
      </c>
      <c r="I1995">
        <v>23.6</v>
      </c>
      <c r="J1995">
        <v>9.1999999999999993</v>
      </c>
      <c r="K1995" t="s">
        <v>6</v>
      </c>
      <c r="L1995">
        <v>146</v>
      </c>
      <c r="M1995" t="s">
        <v>6</v>
      </c>
    </row>
    <row r="1996" spans="1:13" x14ac:dyDescent="0.2">
      <c r="A1996" s="1">
        <v>45510</v>
      </c>
      <c r="B1996" s="2">
        <v>0.5</v>
      </c>
      <c r="C1996" s="3">
        <v>45510.5</v>
      </c>
      <c r="D1996">
        <v>61.5</v>
      </c>
      <c r="E1996">
        <v>65.8</v>
      </c>
      <c r="F1996">
        <v>47</v>
      </c>
      <c r="G1996" t="s">
        <v>6</v>
      </c>
      <c r="H1996">
        <v>12.4</v>
      </c>
      <c r="I1996">
        <v>19.8</v>
      </c>
      <c r="J1996">
        <v>9.4</v>
      </c>
      <c r="K1996" t="s">
        <v>6</v>
      </c>
      <c r="L1996">
        <v>156</v>
      </c>
      <c r="M1996" t="s">
        <v>6</v>
      </c>
    </row>
    <row r="1997" spans="1:13" x14ac:dyDescent="0.2">
      <c r="A1997" s="1">
        <v>45510</v>
      </c>
      <c r="B1997" s="2">
        <v>0.54166666666666663</v>
      </c>
      <c r="C1997" s="3">
        <v>45510.541666666664</v>
      </c>
      <c r="D1997">
        <v>60.2</v>
      </c>
      <c r="E1997">
        <v>68.3</v>
      </c>
      <c r="F1997">
        <v>54.9</v>
      </c>
      <c r="G1997" t="s">
        <v>6</v>
      </c>
      <c r="H1997">
        <v>10.8</v>
      </c>
      <c r="I1997">
        <v>16.2</v>
      </c>
      <c r="J1997">
        <v>9.1999999999999993</v>
      </c>
      <c r="K1997" t="s">
        <v>6</v>
      </c>
      <c r="L1997">
        <v>219</v>
      </c>
      <c r="M1997" t="s">
        <v>6</v>
      </c>
    </row>
    <row r="1998" spans="1:13" x14ac:dyDescent="0.2">
      <c r="A1998" s="1">
        <v>45510</v>
      </c>
      <c r="B1998" s="2">
        <v>0.58333333333333337</v>
      </c>
      <c r="C1998" s="3">
        <v>45510.583333333336</v>
      </c>
      <c r="D1998">
        <v>61.9</v>
      </c>
      <c r="E1998">
        <v>68.5</v>
      </c>
      <c r="F1998">
        <v>55.3</v>
      </c>
      <c r="G1998" t="s">
        <v>6</v>
      </c>
      <c r="H1998">
        <v>12.7</v>
      </c>
      <c r="I1998">
        <v>24.4</v>
      </c>
      <c r="J1998">
        <v>10</v>
      </c>
      <c r="K1998" t="s">
        <v>6</v>
      </c>
      <c r="L1998">
        <v>224</v>
      </c>
      <c r="M1998" t="s">
        <v>6</v>
      </c>
    </row>
    <row r="1999" spans="1:13" x14ac:dyDescent="0.2">
      <c r="A1999" s="1">
        <v>45510</v>
      </c>
      <c r="B1999" s="2">
        <v>0.625</v>
      </c>
      <c r="C1999" s="3">
        <v>45510.625</v>
      </c>
      <c r="D1999">
        <v>55.7</v>
      </c>
      <c r="E1999">
        <v>57.3</v>
      </c>
      <c r="F1999">
        <v>54.2</v>
      </c>
      <c r="G1999" t="s">
        <v>6</v>
      </c>
      <c r="H1999">
        <v>14.1</v>
      </c>
      <c r="I1999">
        <v>19</v>
      </c>
      <c r="J1999">
        <v>10.4</v>
      </c>
      <c r="K1999" t="s">
        <v>6</v>
      </c>
      <c r="L1999">
        <v>88</v>
      </c>
      <c r="M1999" t="s">
        <v>6</v>
      </c>
    </row>
    <row r="2000" spans="1:13" x14ac:dyDescent="0.2">
      <c r="A2000" s="1">
        <v>45510</v>
      </c>
      <c r="B2000" s="2">
        <v>0.66666666666666663</v>
      </c>
      <c r="C2000" s="3">
        <v>45510.666666666664</v>
      </c>
      <c r="D2000">
        <v>64.8</v>
      </c>
      <c r="E2000">
        <v>69.2</v>
      </c>
      <c r="F2000">
        <v>57.7</v>
      </c>
      <c r="G2000" t="s">
        <v>6</v>
      </c>
      <c r="H2000">
        <v>14.8</v>
      </c>
      <c r="I2000">
        <v>21</v>
      </c>
      <c r="J2000">
        <v>9.6</v>
      </c>
      <c r="K2000" t="s">
        <v>6</v>
      </c>
      <c r="L2000">
        <v>137</v>
      </c>
      <c r="M2000" t="s">
        <v>6</v>
      </c>
    </row>
    <row r="2001" spans="1:13" x14ac:dyDescent="0.2">
      <c r="A2001" s="1">
        <v>45510</v>
      </c>
      <c r="B2001" s="2">
        <v>0.70833333333333337</v>
      </c>
      <c r="C2001" s="3">
        <v>45510.708333333336</v>
      </c>
      <c r="D2001">
        <v>61.5</v>
      </c>
      <c r="E2001">
        <v>62.3</v>
      </c>
      <c r="F2001">
        <v>60.3</v>
      </c>
      <c r="G2001" t="s">
        <v>6</v>
      </c>
      <c r="H2001">
        <v>15.4</v>
      </c>
      <c r="I2001">
        <v>18.5</v>
      </c>
      <c r="J2001">
        <v>13.2</v>
      </c>
      <c r="K2001" t="s">
        <v>6</v>
      </c>
      <c r="L2001">
        <v>20</v>
      </c>
      <c r="M2001" t="s">
        <v>6</v>
      </c>
    </row>
    <row r="2002" spans="1:13" x14ac:dyDescent="0.2">
      <c r="A2002" s="1">
        <v>45510</v>
      </c>
      <c r="B2002" s="2">
        <v>0.79166666666666663</v>
      </c>
      <c r="C2002" s="3">
        <v>45510.791666666664</v>
      </c>
      <c r="D2002">
        <v>69.5</v>
      </c>
      <c r="E2002">
        <v>73.8</v>
      </c>
      <c r="F2002">
        <v>57.1</v>
      </c>
      <c r="G2002" t="s">
        <v>6</v>
      </c>
      <c r="H2002">
        <v>16.100000000000001</v>
      </c>
      <c r="I2002">
        <v>17.2</v>
      </c>
      <c r="J2002">
        <v>14.7</v>
      </c>
      <c r="K2002" t="s">
        <v>6</v>
      </c>
      <c r="L2002">
        <v>18</v>
      </c>
      <c r="M2002" t="s">
        <v>6</v>
      </c>
    </row>
    <row r="2003" spans="1:13" x14ac:dyDescent="0.2">
      <c r="A2003" s="1">
        <v>45510</v>
      </c>
      <c r="B2003" s="2">
        <v>0.83333333333333337</v>
      </c>
      <c r="C2003" s="3">
        <v>45510.833333333336</v>
      </c>
      <c r="D2003">
        <v>52.7</v>
      </c>
      <c r="E2003">
        <v>72.599999999999994</v>
      </c>
      <c r="F2003">
        <v>41</v>
      </c>
      <c r="G2003" t="s">
        <v>6</v>
      </c>
      <c r="H2003">
        <v>16.3</v>
      </c>
      <c r="I2003">
        <v>29.5</v>
      </c>
      <c r="J2003">
        <v>12.6</v>
      </c>
      <c r="K2003" t="s">
        <v>6</v>
      </c>
      <c r="L2003">
        <v>218</v>
      </c>
      <c r="M2003" t="s">
        <v>6</v>
      </c>
    </row>
    <row r="2004" spans="1:13" x14ac:dyDescent="0.2">
      <c r="A2004" s="1">
        <v>45510</v>
      </c>
      <c r="B2004" s="2">
        <v>0.875</v>
      </c>
      <c r="C2004" s="3">
        <v>45510.875</v>
      </c>
      <c r="D2004">
        <v>43.3</v>
      </c>
      <c r="E2004">
        <v>46.8</v>
      </c>
      <c r="F2004">
        <v>40.6</v>
      </c>
      <c r="G2004" t="s">
        <v>6</v>
      </c>
      <c r="H2004">
        <v>14.5</v>
      </c>
      <c r="I2004">
        <v>25.8</v>
      </c>
      <c r="J2004">
        <v>12.4</v>
      </c>
      <c r="K2004" t="s">
        <v>6</v>
      </c>
      <c r="L2004">
        <v>218</v>
      </c>
      <c r="M2004" t="s">
        <v>6</v>
      </c>
    </row>
    <row r="2005" spans="1:13" x14ac:dyDescent="0.2">
      <c r="A2005" s="1">
        <v>45510</v>
      </c>
      <c r="B2005" s="2">
        <v>0.91666666666666663</v>
      </c>
      <c r="C2005" s="3">
        <v>45510.916666666664</v>
      </c>
      <c r="D2005">
        <v>43</v>
      </c>
      <c r="E2005">
        <v>45.5</v>
      </c>
      <c r="F2005">
        <v>40.700000000000003</v>
      </c>
      <c r="G2005" t="s">
        <v>6</v>
      </c>
      <c r="H2005">
        <v>12.6</v>
      </c>
      <c r="I2005">
        <v>14.1</v>
      </c>
      <c r="J2005">
        <v>11.2</v>
      </c>
      <c r="K2005" t="s">
        <v>6</v>
      </c>
      <c r="L2005">
        <v>146</v>
      </c>
      <c r="M2005" t="s">
        <v>6</v>
      </c>
    </row>
    <row r="2006" spans="1:13" x14ac:dyDescent="0.2">
      <c r="A2006" s="1">
        <v>45510</v>
      </c>
      <c r="B2006" s="2">
        <v>0.95833333333333337</v>
      </c>
      <c r="C2006" s="3">
        <v>45510.958333333336</v>
      </c>
      <c r="D2006">
        <v>44.2</v>
      </c>
      <c r="E2006">
        <v>48.4</v>
      </c>
      <c r="F2006">
        <v>40.1</v>
      </c>
      <c r="G2006" t="s">
        <v>6</v>
      </c>
      <c r="H2006">
        <v>13</v>
      </c>
      <c r="I2006">
        <v>18.399999999999999</v>
      </c>
      <c r="J2006">
        <v>11.5</v>
      </c>
      <c r="K2006" t="s">
        <v>6</v>
      </c>
      <c r="L2006">
        <v>102</v>
      </c>
      <c r="M2006" t="s">
        <v>6</v>
      </c>
    </row>
    <row r="2007" spans="1:13" x14ac:dyDescent="0.2">
      <c r="A2007" s="1">
        <v>45511</v>
      </c>
      <c r="B2007" s="2">
        <v>0</v>
      </c>
      <c r="C2007" s="3">
        <v>45511</v>
      </c>
      <c r="D2007">
        <v>45</v>
      </c>
      <c r="E2007">
        <v>50.4</v>
      </c>
      <c r="F2007">
        <v>43.1</v>
      </c>
      <c r="G2007" t="s">
        <v>6</v>
      </c>
      <c r="H2007">
        <v>14.1</v>
      </c>
      <c r="I2007">
        <v>25.8</v>
      </c>
      <c r="J2007">
        <v>11.6</v>
      </c>
      <c r="K2007" t="s">
        <v>6</v>
      </c>
      <c r="L2007">
        <v>209</v>
      </c>
      <c r="M2007" t="s">
        <v>6</v>
      </c>
    </row>
    <row r="2008" spans="1:13" x14ac:dyDescent="0.2">
      <c r="A2008" s="1">
        <v>45511</v>
      </c>
      <c r="B2008" s="2">
        <v>4.1666666666666664E-2</v>
      </c>
      <c r="C2008" s="3">
        <v>45511.041666666664</v>
      </c>
      <c r="D2008">
        <v>44.5</v>
      </c>
      <c r="E2008">
        <v>70.099999999999994</v>
      </c>
      <c r="F2008">
        <v>40.1</v>
      </c>
      <c r="G2008" t="s">
        <v>6</v>
      </c>
      <c r="H2008">
        <v>14.1</v>
      </c>
      <c r="I2008">
        <v>26.1</v>
      </c>
      <c r="J2008">
        <v>11.6</v>
      </c>
      <c r="K2008" t="s">
        <v>6</v>
      </c>
      <c r="L2008">
        <v>178</v>
      </c>
      <c r="M2008" t="s">
        <v>6</v>
      </c>
    </row>
    <row r="2009" spans="1:13" x14ac:dyDescent="0.2">
      <c r="A2009" s="1">
        <v>45511</v>
      </c>
      <c r="B2009" s="2">
        <v>8.3333333333333329E-2</v>
      </c>
      <c r="C2009" s="3">
        <v>45511.083333333336</v>
      </c>
      <c r="D2009">
        <v>45.2</v>
      </c>
      <c r="E2009">
        <v>53.5</v>
      </c>
      <c r="F2009">
        <v>40.1</v>
      </c>
      <c r="G2009" t="s">
        <v>6</v>
      </c>
      <c r="H2009">
        <v>13.4</v>
      </c>
      <c r="I2009">
        <v>20.7</v>
      </c>
      <c r="J2009">
        <v>11.7</v>
      </c>
      <c r="K2009" t="s">
        <v>6</v>
      </c>
      <c r="L2009">
        <v>198</v>
      </c>
      <c r="M2009" t="s">
        <v>6</v>
      </c>
    </row>
    <row r="2010" spans="1:13" x14ac:dyDescent="0.2">
      <c r="A2010" s="1">
        <v>45511</v>
      </c>
      <c r="B2010" s="2">
        <v>0.125</v>
      </c>
      <c r="C2010" s="3">
        <v>45511.125</v>
      </c>
      <c r="D2010">
        <v>43.7</v>
      </c>
      <c r="E2010">
        <v>47.1</v>
      </c>
      <c r="F2010">
        <v>40.700000000000003</v>
      </c>
      <c r="G2010" t="s">
        <v>6</v>
      </c>
      <c r="H2010">
        <v>12.8</v>
      </c>
      <c r="I2010">
        <v>21.6</v>
      </c>
      <c r="J2010">
        <v>11</v>
      </c>
      <c r="K2010" t="s">
        <v>6</v>
      </c>
      <c r="L2010">
        <v>223</v>
      </c>
      <c r="M2010" t="s">
        <v>6</v>
      </c>
    </row>
    <row r="2011" spans="1:13" x14ac:dyDescent="0.2">
      <c r="A2011" s="1">
        <v>45511</v>
      </c>
      <c r="B2011" s="2">
        <v>0.16666666666666666</v>
      </c>
      <c r="C2011" s="3">
        <v>45511.166666666664</v>
      </c>
      <c r="D2011">
        <v>47.2</v>
      </c>
      <c r="E2011">
        <v>54.3</v>
      </c>
      <c r="F2011">
        <v>42.6</v>
      </c>
      <c r="G2011" t="s">
        <v>6</v>
      </c>
      <c r="H2011">
        <v>12.8</v>
      </c>
      <c r="I2011">
        <v>23.7</v>
      </c>
      <c r="J2011">
        <v>10.8</v>
      </c>
      <c r="K2011" t="s">
        <v>6</v>
      </c>
      <c r="L2011">
        <v>214</v>
      </c>
      <c r="M2011" t="s">
        <v>6</v>
      </c>
    </row>
    <row r="2012" spans="1:13" x14ac:dyDescent="0.2">
      <c r="A2012" s="1">
        <v>45511</v>
      </c>
      <c r="B2012" s="2">
        <v>0.20833333333333334</v>
      </c>
      <c r="C2012" s="3">
        <v>45511.208333333336</v>
      </c>
      <c r="D2012">
        <v>49.4</v>
      </c>
      <c r="E2012">
        <v>55.4</v>
      </c>
      <c r="F2012">
        <v>42.8</v>
      </c>
      <c r="G2012" t="s">
        <v>6</v>
      </c>
      <c r="H2012">
        <v>14.3</v>
      </c>
      <c r="I2012">
        <v>22.4</v>
      </c>
      <c r="J2012">
        <v>10.8</v>
      </c>
      <c r="K2012" t="s">
        <v>6</v>
      </c>
      <c r="L2012">
        <v>103</v>
      </c>
      <c r="M2012" t="s">
        <v>6</v>
      </c>
    </row>
    <row r="2013" spans="1:13" x14ac:dyDescent="0.2">
      <c r="A2013" s="1">
        <v>45511</v>
      </c>
      <c r="B2013" s="2">
        <v>0.25</v>
      </c>
      <c r="C2013" s="3">
        <v>45511.25</v>
      </c>
      <c r="D2013">
        <v>47.5</v>
      </c>
      <c r="E2013">
        <v>51</v>
      </c>
      <c r="F2013">
        <v>42.7</v>
      </c>
      <c r="G2013" t="s">
        <v>6</v>
      </c>
      <c r="H2013">
        <v>27.3</v>
      </c>
      <c r="I2013">
        <v>32.700000000000003</v>
      </c>
      <c r="J2013">
        <v>21.4</v>
      </c>
      <c r="K2013" t="s">
        <v>6</v>
      </c>
      <c r="L2013">
        <v>22</v>
      </c>
      <c r="M2013" t="s">
        <v>6</v>
      </c>
    </row>
    <row r="2014" spans="1:13" x14ac:dyDescent="0.2">
      <c r="A2014" s="13">
        <v>45511</v>
      </c>
      <c r="B2014" s="9">
        <v>0.33333333333333331</v>
      </c>
      <c r="C2014" s="8">
        <v>45511.333333333336</v>
      </c>
      <c r="D2014" s="10">
        <v>71.8</v>
      </c>
      <c r="E2014" s="10">
        <v>78.8</v>
      </c>
      <c r="F2014" s="10">
        <v>67.2</v>
      </c>
      <c r="G2014" s="10" t="s">
        <v>6</v>
      </c>
      <c r="H2014" s="10">
        <v>20.9</v>
      </c>
      <c r="I2014" s="10">
        <v>34.799999999999997</v>
      </c>
      <c r="J2014" s="10">
        <v>11.4</v>
      </c>
      <c r="K2014" s="10" t="s">
        <v>6</v>
      </c>
      <c r="L2014" s="10">
        <v>32</v>
      </c>
      <c r="M2014" t="s">
        <v>6</v>
      </c>
    </row>
    <row r="2015" spans="1:13" x14ac:dyDescent="0.2">
      <c r="A2015" s="14">
        <v>45511</v>
      </c>
      <c r="B2015" s="12">
        <v>0.375</v>
      </c>
      <c r="C2015" s="7">
        <v>45511.375</v>
      </c>
      <c r="D2015" s="11">
        <v>80.099999999999994</v>
      </c>
      <c r="E2015" s="11">
        <v>89.9</v>
      </c>
      <c r="F2015" s="11">
        <v>72.400000000000006</v>
      </c>
      <c r="G2015" s="11" t="s">
        <v>6</v>
      </c>
      <c r="H2015" s="11">
        <v>12.7</v>
      </c>
      <c r="I2015" s="11">
        <v>33</v>
      </c>
      <c r="J2015" s="11">
        <v>9.4</v>
      </c>
      <c r="K2015" s="11" t="s">
        <v>6</v>
      </c>
      <c r="L2015" s="11">
        <v>168</v>
      </c>
      <c r="M2015" t="s">
        <v>6</v>
      </c>
    </row>
    <row r="2016" spans="1:13" x14ac:dyDescent="0.2">
      <c r="A2016" s="1">
        <v>45511</v>
      </c>
      <c r="B2016" s="2">
        <v>0.41666666666666669</v>
      </c>
      <c r="C2016" s="3">
        <v>45511.416666666664</v>
      </c>
      <c r="D2016">
        <v>80.099999999999994</v>
      </c>
      <c r="E2016">
        <v>87.3</v>
      </c>
      <c r="F2016">
        <v>65.3</v>
      </c>
      <c r="G2016" t="s">
        <v>6</v>
      </c>
      <c r="H2016">
        <v>12.5</v>
      </c>
      <c r="I2016">
        <v>19.5</v>
      </c>
      <c r="J2016">
        <v>9.6</v>
      </c>
      <c r="K2016" t="s">
        <v>6</v>
      </c>
      <c r="L2016">
        <v>193</v>
      </c>
      <c r="M2016" t="s">
        <v>6</v>
      </c>
    </row>
    <row r="2017" spans="1:13" x14ac:dyDescent="0.2">
      <c r="A2017" s="1">
        <v>45511</v>
      </c>
      <c r="B2017" s="2">
        <v>0.45833333333333331</v>
      </c>
      <c r="C2017" s="3">
        <v>45511.458333333336</v>
      </c>
      <c r="D2017">
        <v>75.3</v>
      </c>
      <c r="E2017">
        <v>81.5</v>
      </c>
      <c r="F2017">
        <v>62.3</v>
      </c>
      <c r="G2017" t="s">
        <v>6</v>
      </c>
      <c r="H2017">
        <v>15.4</v>
      </c>
      <c r="I2017">
        <v>33.6</v>
      </c>
      <c r="J2017">
        <v>9.4</v>
      </c>
      <c r="K2017" t="s">
        <v>6</v>
      </c>
      <c r="L2017">
        <v>142</v>
      </c>
      <c r="M2017" t="s">
        <v>6</v>
      </c>
    </row>
    <row r="2018" spans="1:13" x14ac:dyDescent="0.2">
      <c r="A2018" s="1">
        <v>45511</v>
      </c>
      <c r="B2018" s="2">
        <v>0.5</v>
      </c>
      <c r="C2018" s="3">
        <v>45511.5</v>
      </c>
      <c r="D2018">
        <v>67.599999999999994</v>
      </c>
      <c r="E2018">
        <v>78.8</v>
      </c>
      <c r="F2018">
        <v>62.6</v>
      </c>
      <c r="G2018" t="s">
        <v>6</v>
      </c>
      <c r="H2018">
        <v>28.1</v>
      </c>
      <c r="I2018">
        <v>34.700000000000003</v>
      </c>
      <c r="J2018">
        <v>21.4</v>
      </c>
      <c r="K2018" t="s">
        <v>6</v>
      </c>
      <c r="L2018">
        <v>19</v>
      </c>
      <c r="M2018" t="s">
        <v>6</v>
      </c>
    </row>
    <row r="2019" spans="1:13" x14ac:dyDescent="0.2">
      <c r="A2019" s="1">
        <v>45511</v>
      </c>
      <c r="B2019" s="2">
        <v>0.54166666666666663</v>
      </c>
      <c r="C2019" s="3">
        <v>45511.541666666664</v>
      </c>
      <c r="D2019">
        <v>61.8</v>
      </c>
      <c r="E2019">
        <v>63.2</v>
      </c>
      <c r="F2019">
        <v>60.5</v>
      </c>
      <c r="G2019" t="s">
        <v>6</v>
      </c>
      <c r="H2019">
        <v>15.6</v>
      </c>
      <c r="I2019">
        <v>20.3</v>
      </c>
      <c r="J2019">
        <v>13.2</v>
      </c>
      <c r="K2019" t="s">
        <v>6</v>
      </c>
      <c r="L2019">
        <v>13</v>
      </c>
      <c r="M2019" t="s">
        <v>6</v>
      </c>
    </row>
    <row r="2020" spans="1:13" x14ac:dyDescent="0.2">
      <c r="A2020" s="1">
        <v>45511</v>
      </c>
      <c r="B2020" s="2">
        <v>0.58333333333333337</v>
      </c>
      <c r="C2020" s="3">
        <v>45511.583333333336</v>
      </c>
      <c r="D2020">
        <v>66.900000000000006</v>
      </c>
      <c r="E2020">
        <v>76.400000000000006</v>
      </c>
      <c r="F2020">
        <v>56.9</v>
      </c>
      <c r="G2020" t="s">
        <v>6</v>
      </c>
      <c r="H2020">
        <v>12.9</v>
      </c>
      <c r="I2020">
        <v>15.4</v>
      </c>
      <c r="J2020">
        <v>11.3</v>
      </c>
      <c r="K2020" t="s">
        <v>6</v>
      </c>
      <c r="L2020">
        <v>155</v>
      </c>
      <c r="M2020" t="s">
        <v>6</v>
      </c>
    </row>
    <row r="2021" spans="1:13" x14ac:dyDescent="0.2">
      <c r="A2021" s="1">
        <v>45511</v>
      </c>
      <c r="B2021" s="2">
        <v>0.625</v>
      </c>
      <c r="C2021" s="3">
        <v>45511.625</v>
      </c>
      <c r="D2021">
        <v>69.5</v>
      </c>
      <c r="E2021">
        <v>80.8</v>
      </c>
      <c r="F2021">
        <v>59</v>
      </c>
      <c r="G2021" t="s">
        <v>6</v>
      </c>
      <c r="H2021">
        <v>12.3</v>
      </c>
      <c r="I2021">
        <v>19.399999999999999</v>
      </c>
      <c r="J2021">
        <v>9.6</v>
      </c>
      <c r="K2021" t="s">
        <v>6</v>
      </c>
      <c r="L2021">
        <v>171</v>
      </c>
      <c r="M2021" t="s">
        <v>6</v>
      </c>
    </row>
    <row r="2022" spans="1:13" x14ac:dyDescent="0.2">
      <c r="A2022" s="1">
        <v>45511</v>
      </c>
      <c r="B2022" s="2">
        <v>0.66666666666666663</v>
      </c>
      <c r="C2022" s="3">
        <v>45511.666666666664</v>
      </c>
      <c r="D2022">
        <v>79.7</v>
      </c>
      <c r="E2022">
        <v>91.8</v>
      </c>
      <c r="F2022">
        <v>70.900000000000006</v>
      </c>
      <c r="G2022" t="s">
        <v>6</v>
      </c>
      <c r="H2022">
        <v>13.3</v>
      </c>
      <c r="I2022">
        <v>19</v>
      </c>
      <c r="J2022">
        <v>10.8</v>
      </c>
      <c r="K2022" t="s">
        <v>6</v>
      </c>
      <c r="L2022">
        <v>203</v>
      </c>
      <c r="M2022" t="s">
        <v>6</v>
      </c>
    </row>
    <row r="2023" spans="1:13" x14ac:dyDescent="0.2">
      <c r="A2023" s="1">
        <v>45511</v>
      </c>
      <c r="B2023" s="2">
        <v>0.70833333333333337</v>
      </c>
      <c r="C2023" s="3">
        <v>45511.708333333336</v>
      </c>
      <c r="D2023">
        <v>79.5</v>
      </c>
      <c r="E2023">
        <v>89.1</v>
      </c>
      <c r="F2023">
        <v>56.2</v>
      </c>
      <c r="G2023" t="s">
        <v>6</v>
      </c>
      <c r="H2023">
        <v>17</v>
      </c>
      <c r="I2023">
        <v>20.6</v>
      </c>
      <c r="J2023">
        <v>13.3</v>
      </c>
      <c r="K2023" t="s">
        <v>6</v>
      </c>
      <c r="L2023">
        <v>96</v>
      </c>
      <c r="M2023" t="s">
        <v>6</v>
      </c>
    </row>
    <row r="2024" spans="1:13" x14ac:dyDescent="0.2">
      <c r="A2024" s="1">
        <v>45511</v>
      </c>
      <c r="B2024" s="2">
        <v>0.75</v>
      </c>
      <c r="C2024" s="3">
        <v>45511.75</v>
      </c>
      <c r="D2024">
        <v>49.2</v>
      </c>
      <c r="E2024">
        <v>51.1</v>
      </c>
      <c r="F2024">
        <v>48.2</v>
      </c>
      <c r="G2024" t="s">
        <v>6</v>
      </c>
      <c r="H2024">
        <v>16.899999999999999</v>
      </c>
      <c r="I2024">
        <v>25.6</v>
      </c>
      <c r="J2024">
        <v>11.5</v>
      </c>
      <c r="K2024" t="s">
        <v>6</v>
      </c>
      <c r="L2024">
        <v>19</v>
      </c>
      <c r="M2024" t="s">
        <v>6</v>
      </c>
    </row>
    <row r="2025" spans="1:13" x14ac:dyDescent="0.2">
      <c r="A2025" s="1">
        <v>45511</v>
      </c>
      <c r="B2025" s="2">
        <v>0.79166666666666663</v>
      </c>
      <c r="C2025" s="3">
        <v>45511.791666666664</v>
      </c>
      <c r="D2025">
        <v>71.3</v>
      </c>
      <c r="E2025">
        <v>71.7</v>
      </c>
      <c r="F2025">
        <v>71</v>
      </c>
      <c r="G2025" t="s">
        <v>6</v>
      </c>
      <c r="H2025">
        <v>29.1</v>
      </c>
      <c r="I2025">
        <v>30.9</v>
      </c>
      <c r="J2025">
        <v>26.7</v>
      </c>
      <c r="K2025" t="s">
        <v>6</v>
      </c>
      <c r="L2025">
        <v>3</v>
      </c>
      <c r="M2025" t="s">
        <v>6</v>
      </c>
    </row>
    <row r="2026" spans="1:13" x14ac:dyDescent="0.2">
      <c r="A2026" s="1">
        <v>45511</v>
      </c>
      <c r="B2026" s="2">
        <v>0.83333333333333337</v>
      </c>
      <c r="C2026" s="3">
        <v>45511.833333333336</v>
      </c>
      <c r="D2026">
        <v>50.7</v>
      </c>
      <c r="E2026">
        <v>67.2</v>
      </c>
      <c r="F2026">
        <v>44.8</v>
      </c>
      <c r="G2026" t="s">
        <v>6</v>
      </c>
      <c r="H2026">
        <v>17.899999999999999</v>
      </c>
      <c r="I2026">
        <v>28</v>
      </c>
      <c r="J2026">
        <v>12.8</v>
      </c>
      <c r="K2026" t="s">
        <v>6</v>
      </c>
      <c r="L2026">
        <v>177</v>
      </c>
      <c r="M2026" t="s">
        <v>6</v>
      </c>
    </row>
    <row r="2027" spans="1:13" x14ac:dyDescent="0.2">
      <c r="A2027" s="1">
        <v>45511</v>
      </c>
      <c r="B2027" s="2">
        <v>0.875</v>
      </c>
      <c r="C2027" s="3">
        <v>45511.875</v>
      </c>
      <c r="D2027">
        <v>44.7</v>
      </c>
      <c r="E2027">
        <v>47.8</v>
      </c>
      <c r="F2027">
        <v>41.2</v>
      </c>
      <c r="G2027" t="s">
        <v>6</v>
      </c>
      <c r="H2027">
        <v>15.7</v>
      </c>
      <c r="I2027">
        <v>25</v>
      </c>
      <c r="J2027">
        <v>11.9</v>
      </c>
      <c r="K2027" t="s">
        <v>6</v>
      </c>
      <c r="L2027">
        <v>190</v>
      </c>
      <c r="M2027" t="s">
        <v>6</v>
      </c>
    </row>
    <row r="2028" spans="1:13" x14ac:dyDescent="0.2">
      <c r="A2028" s="1">
        <v>45511</v>
      </c>
      <c r="B2028" s="2">
        <v>0.91666666666666663</v>
      </c>
      <c r="C2028" s="3">
        <v>45511.916666666664</v>
      </c>
      <c r="D2028">
        <v>42.5</v>
      </c>
      <c r="E2028">
        <v>48.9</v>
      </c>
      <c r="F2028">
        <v>40.200000000000003</v>
      </c>
      <c r="G2028" t="s">
        <v>6</v>
      </c>
      <c r="H2028">
        <v>14.4</v>
      </c>
      <c r="I2028">
        <v>26.1</v>
      </c>
      <c r="J2028">
        <v>11.5</v>
      </c>
      <c r="K2028" t="s">
        <v>6</v>
      </c>
      <c r="L2028">
        <v>214</v>
      </c>
      <c r="M2028" t="s">
        <v>6</v>
      </c>
    </row>
    <row r="2029" spans="1:13" x14ac:dyDescent="0.2">
      <c r="A2029" s="1">
        <v>45511</v>
      </c>
      <c r="B2029" s="2">
        <v>0.95833333333333337</v>
      </c>
      <c r="C2029" s="3">
        <v>45511.958333333336</v>
      </c>
      <c r="D2029">
        <v>41.9</v>
      </c>
      <c r="E2029">
        <v>48.9</v>
      </c>
      <c r="F2029">
        <v>40.1</v>
      </c>
      <c r="G2029" t="s">
        <v>6</v>
      </c>
      <c r="H2029">
        <v>14</v>
      </c>
      <c r="I2029">
        <v>24</v>
      </c>
      <c r="J2029">
        <v>11</v>
      </c>
      <c r="K2029" t="s">
        <v>6</v>
      </c>
      <c r="L2029">
        <v>208</v>
      </c>
      <c r="M2029" t="s">
        <v>6</v>
      </c>
    </row>
    <row r="2030" spans="1:13" x14ac:dyDescent="0.2">
      <c r="A2030" s="1">
        <v>45512</v>
      </c>
      <c r="B2030" s="2">
        <v>0</v>
      </c>
      <c r="C2030" s="3">
        <v>45512</v>
      </c>
      <c r="D2030">
        <v>41.9</v>
      </c>
      <c r="E2030">
        <v>46.2</v>
      </c>
      <c r="F2030">
        <v>40.200000000000003</v>
      </c>
      <c r="G2030" t="s">
        <v>6</v>
      </c>
      <c r="H2030">
        <v>16.100000000000001</v>
      </c>
      <c r="I2030">
        <v>25</v>
      </c>
      <c r="J2030">
        <v>12.6</v>
      </c>
      <c r="K2030" t="s">
        <v>6</v>
      </c>
      <c r="L2030">
        <v>104</v>
      </c>
      <c r="M2030" t="s">
        <v>6</v>
      </c>
    </row>
    <row r="2031" spans="1:13" x14ac:dyDescent="0.2">
      <c r="A2031" s="1">
        <v>45512</v>
      </c>
      <c r="B2031" s="2">
        <v>4.1666666666666664E-2</v>
      </c>
      <c r="C2031" s="3">
        <v>45512.041666666664</v>
      </c>
      <c r="D2031">
        <v>43.4</v>
      </c>
      <c r="E2031">
        <v>46.3</v>
      </c>
      <c r="F2031">
        <v>40.5</v>
      </c>
      <c r="G2031" t="s">
        <v>6</v>
      </c>
      <c r="H2031">
        <v>13</v>
      </c>
      <c r="I2031">
        <v>17.899999999999999</v>
      </c>
      <c r="J2031">
        <v>11.6</v>
      </c>
      <c r="K2031" t="s">
        <v>6</v>
      </c>
      <c r="L2031">
        <v>215</v>
      </c>
      <c r="M2031" t="s">
        <v>6</v>
      </c>
    </row>
    <row r="2032" spans="1:13" x14ac:dyDescent="0.2">
      <c r="A2032" s="1">
        <v>45512</v>
      </c>
      <c r="B2032" s="2">
        <v>8.3333333333333329E-2</v>
      </c>
      <c r="C2032" s="3">
        <v>45512.083333333336</v>
      </c>
      <c r="D2032">
        <v>42.5</v>
      </c>
      <c r="E2032">
        <v>47</v>
      </c>
      <c r="F2032">
        <v>40.1</v>
      </c>
      <c r="G2032" t="s">
        <v>6</v>
      </c>
      <c r="H2032">
        <v>14.6</v>
      </c>
      <c r="I2032">
        <v>26.2</v>
      </c>
      <c r="J2032">
        <v>11.3</v>
      </c>
      <c r="K2032" t="s">
        <v>6</v>
      </c>
      <c r="L2032">
        <v>214</v>
      </c>
      <c r="M2032" t="s">
        <v>6</v>
      </c>
    </row>
    <row r="2033" spans="1:13" x14ac:dyDescent="0.2">
      <c r="A2033" s="1">
        <v>45512</v>
      </c>
      <c r="B2033" s="2">
        <v>0.125</v>
      </c>
      <c r="C2033" s="3">
        <v>45512.125</v>
      </c>
      <c r="D2033">
        <v>44.1</v>
      </c>
      <c r="E2033">
        <v>51.3</v>
      </c>
      <c r="F2033">
        <v>40.1</v>
      </c>
      <c r="G2033" t="s">
        <v>6</v>
      </c>
      <c r="H2033">
        <v>13.6</v>
      </c>
      <c r="I2033">
        <v>25.3</v>
      </c>
      <c r="J2033">
        <v>11</v>
      </c>
      <c r="K2033" t="s">
        <v>6</v>
      </c>
      <c r="L2033">
        <v>200</v>
      </c>
      <c r="M2033" t="s">
        <v>6</v>
      </c>
    </row>
    <row r="2034" spans="1:13" x14ac:dyDescent="0.2">
      <c r="A2034" s="1">
        <v>45512</v>
      </c>
      <c r="B2034" s="2">
        <v>0.16666666666666666</v>
      </c>
      <c r="C2034" s="3">
        <v>45512.166666666664</v>
      </c>
      <c r="D2034">
        <v>46.2</v>
      </c>
      <c r="E2034">
        <v>50.6</v>
      </c>
      <c r="F2034">
        <v>40.9</v>
      </c>
      <c r="G2034" t="s">
        <v>6</v>
      </c>
      <c r="H2034">
        <v>14.6</v>
      </c>
      <c r="I2034">
        <v>24</v>
      </c>
      <c r="J2034">
        <v>11.9</v>
      </c>
      <c r="K2034" t="s">
        <v>6</v>
      </c>
      <c r="L2034">
        <v>214</v>
      </c>
      <c r="M2034" t="s">
        <v>6</v>
      </c>
    </row>
    <row r="2035" spans="1:13" x14ac:dyDescent="0.2">
      <c r="A2035" s="1">
        <v>45512</v>
      </c>
      <c r="B2035" s="2">
        <v>0.20833333333333334</v>
      </c>
      <c r="C2035" s="3">
        <v>45512.208333333336</v>
      </c>
      <c r="D2035">
        <v>44.4</v>
      </c>
      <c r="E2035">
        <v>50.7</v>
      </c>
      <c r="F2035">
        <v>40.1</v>
      </c>
      <c r="G2035" t="s">
        <v>6</v>
      </c>
      <c r="H2035">
        <v>13.7</v>
      </c>
      <c r="I2035">
        <v>21.9</v>
      </c>
      <c r="J2035">
        <v>11.6</v>
      </c>
      <c r="K2035" t="s">
        <v>6</v>
      </c>
      <c r="L2035">
        <v>212</v>
      </c>
      <c r="M2035" t="s">
        <v>6</v>
      </c>
    </row>
    <row r="2036" spans="1:13" x14ac:dyDescent="0.2">
      <c r="A2036" s="1">
        <v>45512</v>
      </c>
      <c r="B2036" s="2">
        <v>0.25</v>
      </c>
      <c r="C2036" s="3">
        <v>45512.25</v>
      </c>
      <c r="D2036">
        <v>46.4</v>
      </c>
      <c r="E2036">
        <v>50.4</v>
      </c>
      <c r="F2036">
        <v>43.9</v>
      </c>
      <c r="G2036" t="s">
        <v>6</v>
      </c>
      <c r="H2036">
        <v>13</v>
      </c>
      <c r="I2036">
        <v>18.100000000000001</v>
      </c>
      <c r="J2036">
        <v>11</v>
      </c>
      <c r="K2036" t="s">
        <v>6</v>
      </c>
      <c r="L2036">
        <v>105</v>
      </c>
      <c r="M2036" t="s">
        <v>6</v>
      </c>
    </row>
    <row r="2037" spans="1:13" x14ac:dyDescent="0.2">
      <c r="A2037" s="1">
        <v>45512</v>
      </c>
      <c r="B2037" s="2">
        <v>0.29166666666666669</v>
      </c>
      <c r="C2037" s="3">
        <v>45512.291666666664</v>
      </c>
      <c r="D2037">
        <v>46.3</v>
      </c>
      <c r="E2037">
        <v>47.2</v>
      </c>
      <c r="F2037">
        <v>45.8</v>
      </c>
      <c r="G2037" t="s">
        <v>6</v>
      </c>
      <c r="H2037">
        <v>15.7</v>
      </c>
      <c r="I2037">
        <v>20.399999999999999</v>
      </c>
      <c r="J2037">
        <v>12.1</v>
      </c>
      <c r="K2037" t="s">
        <v>6</v>
      </c>
      <c r="L2037">
        <v>19</v>
      </c>
      <c r="M2037" t="s">
        <v>6</v>
      </c>
    </row>
    <row r="2038" spans="1:13" x14ac:dyDescent="0.2">
      <c r="A2038" s="13">
        <v>45512</v>
      </c>
      <c r="B2038" s="9">
        <v>0.33333333333333331</v>
      </c>
      <c r="C2038" s="8">
        <v>45512.333333333336</v>
      </c>
      <c r="D2038" s="10">
        <v>45.5</v>
      </c>
      <c r="E2038" s="10">
        <v>46.3</v>
      </c>
      <c r="F2038" s="10">
        <v>44.6</v>
      </c>
      <c r="G2038" s="10" t="s">
        <v>6</v>
      </c>
      <c r="H2038" s="10">
        <v>18.8</v>
      </c>
      <c r="I2038" s="10">
        <v>19.899999999999999</v>
      </c>
      <c r="J2038" s="10">
        <v>17.7</v>
      </c>
      <c r="K2038" s="10" t="s">
        <v>6</v>
      </c>
      <c r="L2038" s="10">
        <v>6</v>
      </c>
      <c r="M2038" t="s">
        <v>6</v>
      </c>
    </row>
    <row r="2039" spans="1:13" x14ac:dyDescent="0.2">
      <c r="A2039" s="14">
        <v>45512</v>
      </c>
      <c r="B2039" s="12">
        <v>0.45833333333333331</v>
      </c>
      <c r="C2039" s="7">
        <v>45512.458333333336</v>
      </c>
      <c r="D2039" s="11">
        <v>53.3</v>
      </c>
      <c r="E2039" s="11">
        <v>62.4</v>
      </c>
      <c r="F2039" s="11">
        <v>48.9</v>
      </c>
      <c r="G2039" s="11" t="s">
        <v>6</v>
      </c>
      <c r="H2039" s="11">
        <v>14.5</v>
      </c>
      <c r="I2039" s="11">
        <v>18.399999999999999</v>
      </c>
      <c r="J2039" s="11">
        <v>11.9</v>
      </c>
      <c r="K2039" s="11" t="s">
        <v>6</v>
      </c>
      <c r="L2039" s="11">
        <v>170</v>
      </c>
      <c r="M2039" t="s">
        <v>6</v>
      </c>
    </row>
    <row r="2040" spans="1:13" x14ac:dyDescent="0.2">
      <c r="A2040" s="1">
        <v>45512</v>
      </c>
      <c r="B2040" s="2">
        <v>0.5</v>
      </c>
      <c r="C2040" s="3">
        <v>45512.5</v>
      </c>
      <c r="D2040">
        <v>54.7</v>
      </c>
      <c r="E2040">
        <v>61.4</v>
      </c>
      <c r="F2040">
        <v>49.5</v>
      </c>
      <c r="G2040" t="s">
        <v>6</v>
      </c>
      <c r="H2040">
        <v>13.9</v>
      </c>
      <c r="I2040">
        <v>23.9</v>
      </c>
      <c r="J2040">
        <v>10.4</v>
      </c>
      <c r="K2040" t="s">
        <v>6</v>
      </c>
      <c r="L2040">
        <v>211</v>
      </c>
      <c r="M2040" t="s">
        <v>6</v>
      </c>
    </row>
    <row r="2041" spans="1:13" x14ac:dyDescent="0.2">
      <c r="A2041" s="1">
        <v>45512</v>
      </c>
      <c r="B2041" s="2">
        <v>0.54166666666666663</v>
      </c>
      <c r="C2041" s="3">
        <v>45512.541666666664</v>
      </c>
      <c r="D2041">
        <v>49.5</v>
      </c>
      <c r="E2041">
        <v>53.2</v>
      </c>
      <c r="F2041">
        <v>46.9</v>
      </c>
      <c r="G2041" t="s">
        <v>6</v>
      </c>
      <c r="H2041">
        <v>13.3</v>
      </c>
      <c r="I2041">
        <v>19.3</v>
      </c>
      <c r="J2041">
        <v>10.7</v>
      </c>
      <c r="K2041" t="s">
        <v>6</v>
      </c>
      <c r="L2041">
        <v>175</v>
      </c>
      <c r="M2041" t="s">
        <v>6</v>
      </c>
    </row>
    <row r="2042" spans="1:13" x14ac:dyDescent="0.2">
      <c r="A2042" s="1">
        <v>45512</v>
      </c>
      <c r="B2042" s="2">
        <v>0.58333333333333337</v>
      </c>
      <c r="C2042" s="3">
        <v>45512.583333333336</v>
      </c>
      <c r="D2042">
        <v>49.6</v>
      </c>
      <c r="E2042">
        <v>52.3</v>
      </c>
      <c r="F2042">
        <v>46.5</v>
      </c>
      <c r="G2042" t="s">
        <v>6</v>
      </c>
      <c r="H2042">
        <v>13.2</v>
      </c>
      <c r="I2042">
        <v>21.8</v>
      </c>
      <c r="J2042">
        <v>10.9</v>
      </c>
      <c r="K2042" t="s">
        <v>6</v>
      </c>
      <c r="L2042">
        <v>145</v>
      </c>
      <c r="M2042" t="s">
        <v>6</v>
      </c>
    </row>
    <row r="2043" spans="1:13" x14ac:dyDescent="0.2">
      <c r="A2043" s="1">
        <v>45512</v>
      </c>
      <c r="B2043" s="2">
        <v>0.625</v>
      </c>
      <c r="C2043" s="3">
        <v>45512.625</v>
      </c>
      <c r="D2043">
        <v>54.5</v>
      </c>
      <c r="E2043">
        <v>73.5</v>
      </c>
      <c r="F2043">
        <v>48.3</v>
      </c>
      <c r="G2043" t="s">
        <v>6</v>
      </c>
      <c r="H2043">
        <v>13.8</v>
      </c>
      <c r="I2043">
        <v>20.8</v>
      </c>
      <c r="J2043">
        <v>11</v>
      </c>
      <c r="K2043" t="s">
        <v>6</v>
      </c>
      <c r="L2043">
        <v>223</v>
      </c>
      <c r="M2043" t="s">
        <v>6</v>
      </c>
    </row>
    <row r="2044" spans="1:13" x14ac:dyDescent="0.2">
      <c r="A2044" s="1">
        <v>45512</v>
      </c>
      <c r="B2044" s="2">
        <v>0.66666666666666663</v>
      </c>
      <c r="C2044" s="3">
        <v>45512.666666666664</v>
      </c>
      <c r="D2044">
        <v>50.8</v>
      </c>
      <c r="E2044">
        <v>56.4</v>
      </c>
      <c r="F2044">
        <v>44.7</v>
      </c>
      <c r="G2044" t="s">
        <v>6</v>
      </c>
      <c r="H2044">
        <v>13.5</v>
      </c>
      <c r="I2044">
        <v>19.8</v>
      </c>
      <c r="J2044">
        <v>9.9</v>
      </c>
      <c r="K2044" t="s">
        <v>6</v>
      </c>
      <c r="L2044">
        <v>170</v>
      </c>
      <c r="M2044" t="s">
        <v>6</v>
      </c>
    </row>
    <row r="2045" spans="1:13" x14ac:dyDescent="0.2">
      <c r="A2045" s="1">
        <v>45512</v>
      </c>
      <c r="B2045" s="2">
        <v>0.75</v>
      </c>
      <c r="C2045" s="3">
        <v>45512.75</v>
      </c>
      <c r="D2045">
        <v>50</v>
      </c>
      <c r="E2045">
        <v>54.4</v>
      </c>
      <c r="F2045">
        <v>47</v>
      </c>
      <c r="G2045" t="s">
        <v>6</v>
      </c>
      <c r="H2045">
        <v>17.2</v>
      </c>
      <c r="I2045">
        <v>25.2</v>
      </c>
      <c r="J2045">
        <v>12</v>
      </c>
      <c r="K2045" t="s">
        <v>6</v>
      </c>
      <c r="L2045">
        <v>129</v>
      </c>
      <c r="M2045" t="s">
        <v>6</v>
      </c>
    </row>
    <row r="2046" spans="1:13" x14ac:dyDescent="0.2">
      <c r="A2046" s="1">
        <v>45512</v>
      </c>
      <c r="B2046" s="2">
        <v>0.79166666666666663</v>
      </c>
      <c r="C2046" s="3">
        <v>45512.791666666664</v>
      </c>
      <c r="D2046">
        <v>50</v>
      </c>
      <c r="E2046">
        <v>55.7</v>
      </c>
      <c r="F2046">
        <v>45.6</v>
      </c>
      <c r="G2046" t="s">
        <v>6</v>
      </c>
      <c r="H2046">
        <v>16.3</v>
      </c>
      <c r="I2046">
        <v>22.6</v>
      </c>
      <c r="J2046">
        <v>11.4</v>
      </c>
      <c r="K2046" t="s">
        <v>6</v>
      </c>
      <c r="L2046">
        <v>162</v>
      </c>
      <c r="M2046" t="s">
        <v>6</v>
      </c>
    </row>
    <row r="2047" spans="1:13" x14ac:dyDescent="0.2">
      <c r="A2047" s="1">
        <v>45512</v>
      </c>
      <c r="B2047" s="2">
        <v>0.83333333333333337</v>
      </c>
      <c r="C2047" s="3">
        <v>45512.833333333336</v>
      </c>
      <c r="D2047">
        <v>46.2</v>
      </c>
      <c r="E2047">
        <v>55.2</v>
      </c>
      <c r="F2047">
        <v>43.1</v>
      </c>
      <c r="G2047" t="s">
        <v>6</v>
      </c>
      <c r="H2047">
        <v>20.100000000000001</v>
      </c>
      <c r="I2047">
        <v>33.299999999999997</v>
      </c>
      <c r="J2047">
        <v>13</v>
      </c>
      <c r="K2047" t="s">
        <v>6</v>
      </c>
      <c r="L2047">
        <v>215</v>
      </c>
      <c r="M2047" t="s">
        <v>6</v>
      </c>
    </row>
    <row r="2048" spans="1:13" x14ac:dyDescent="0.2">
      <c r="A2048" s="1">
        <v>45512</v>
      </c>
      <c r="B2048" s="2">
        <v>0.875</v>
      </c>
      <c r="C2048" s="3">
        <v>45512.875</v>
      </c>
      <c r="D2048">
        <v>45.2</v>
      </c>
      <c r="E2048">
        <v>50.3</v>
      </c>
      <c r="F2048">
        <v>40.4</v>
      </c>
      <c r="G2048" t="s">
        <v>6</v>
      </c>
      <c r="H2048">
        <v>15.3</v>
      </c>
      <c r="I2048">
        <v>24.8</v>
      </c>
      <c r="J2048">
        <v>12.7</v>
      </c>
      <c r="K2048" t="s">
        <v>6</v>
      </c>
      <c r="L2048">
        <v>213</v>
      </c>
      <c r="M2048" t="s">
        <v>6</v>
      </c>
    </row>
    <row r="2049" spans="1:13" x14ac:dyDescent="0.2">
      <c r="A2049" s="1">
        <v>45512</v>
      </c>
      <c r="B2049" s="2">
        <v>0.91666666666666663</v>
      </c>
      <c r="C2049" s="3">
        <v>45512.916666666664</v>
      </c>
      <c r="D2049">
        <v>42.6</v>
      </c>
      <c r="E2049">
        <v>47.7</v>
      </c>
      <c r="F2049">
        <v>40.1</v>
      </c>
      <c r="G2049" t="s">
        <v>6</v>
      </c>
      <c r="H2049">
        <v>13.3</v>
      </c>
      <c r="I2049">
        <v>21.6</v>
      </c>
      <c r="J2049">
        <v>12.1</v>
      </c>
      <c r="K2049" t="s">
        <v>6</v>
      </c>
      <c r="L2049">
        <v>202</v>
      </c>
      <c r="M2049" t="s">
        <v>6</v>
      </c>
    </row>
    <row r="2050" spans="1:13" x14ac:dyDescent="0.2">
      <c r="A2050" s="1">
        <v>45512</v>
      </c>
      <c r="B2050" s="2">
        <v>0.95833333333333337</v>
      </c>
      <c r="C2050" s="3">
        <v>45512.958333333336</v>
      </c>
      <c r="D2050">
        <v>45.6</v>
      </c>
      <c r="E2050">
        <v>48.4</v>
      </c>
      <c r="F2050">
        <v>41.3</v>
      </c>
      <c r="G2050" t="s">
        <v>6</v>
      </c>
      <c r="H2050">
        <v>13.9</v>
      </c>
      <c r="I2050">
        <v>19.7</v>
      </c>
      <c r="J2050">
        <v>12</v>
      </c>
      <c r="K2050" t="s">
        <v>6</v>
      </c>
      <c r="L2050">
        <v>202</v>
      </c>
      <c r="M2050" t="s">
        <v>6</v>
      </c>
    </row>
    <row r="2051" spans="1:13" x14ac:dyDescent="0.2">
      <c r="A2051" s="1">
        <v>45513</v>
      </c>
      <c r="B2051" s="2">
        <v>0</v>
      </c>
      <c r="C2051" s="3">
        <v>45513</v>
      </c>
      <c r="D2051">
        <v>45.9</v>
      </c>
      <c r="E2051">
        <v>53.1</v>
      </c>
      <c r="F2051">
        <v>40.4</v>
      </c>
      <c r="G2051" t="s">
        <v>6</v>
      </c>
      <c r="H2051">
        <v>15.8</v>
      </c>
      <c r="I2051">
        <v>27.5</v>
      </c>
      <c r="J2051">
        <v>12.4</v>
      </c>
      <c r="K2051" t="s">
        <v>6</v>
      </c>
      <c r="L2051">
        <v>187</v>
      </c>
      <c r="M2051" t="s">
        <v>6</v>
      </c>
    </row>
    <row r="2052" spans="1:13" x14ac:dyDescent="0.2">
      <c r="A2052" s="1">
        <v>45513</v>
      </c>
      <c r="B2052" s="2">
        <v>4.1666666666666664E-2</v>
      </c>
      <c r="C2052" s="3">
        <v>45513.041666666664</v>
      </c>
      <c r="D2052">
        <v>42.8</v>
      </c>
      <c r="E2052">
        <v>45.8</v>
      </c>
      <c r="F2052">
        <v>40.299999999999997</v>
      </c>
      <c r="G2052" t="s">
        <v>6</v>
      </c>
      <c r="H2052">
        <v>15.2</v>
      </c>
      <c r="I2052">
        <v>25.4</v>
      </c>
      <c r="J2052">
        <v>11.9</v>
      </c>
      <c r="K2052" t="s">
        <v>6</v>
      </c>
      <c r="L2052">
        <v>221</v>
      </c>
      <c r="M2052" t="s">
        <v>6</v>
      </c>
    </row>
    <row r="2053" spans="1:13" x14ac:dyDescent="0.2">
      <c r="A2053" s="1">
        <v>45513</v>
      </c>
      <c r="B2053" s="2">
        <v>8.3333333333333329E-2</v>
      </c>
      <c r="C2053" s="3">
        <v>45513.083333333336</v>
      </c>
      <c r="D2053">
        <v>42.2</v>
      </c>
      <c r="E2053">
        <v>44.7</v>
      </c>
      <c r="F2053">
        <v>40.1</v>
      </c>
      <c r="G2053" t="s">
        <v>6</v>
      </c>
      <c r="H2053">
        <v>17.100000000000001</v>
      </c>
      <c r="I2053">
        <v>26.7</v>
      </c>
      <c r="J2053">
        <v>12.1</v>
      </c>
      <c r="K2053" t="s">
        <v>6</v>
      </c>
      <c r="L2053">
        <v>152</v>
      </c>
      <c r="M2053" t="s">
        <v>6</v>
      </c>
    </row>
    <row r="2054" spans="1:13" x14ac:dyDescent="0.2">
      <c r="A2054" s="1">
        <v>45513</v>
      </c>
      <c r="B2054" s="2">
        <v>0.125</v>
      </c>
      <c r="C2054" s="3">
        <v>45513.125</v>
      </c>
      <c r="D2054">
        <v>41.1</v>
      </c>
      <c r="E2054">
        <v>42.8</v>
      </c>
      <c r="F2054">
        <v>40.1</v>
      </c>
      <c r="G2054" t="s">
        <v>6</v>
      </c>
      <c r="H2054">
        <v>13.7</v>
      </c>
      <c r="I2054">
        <v>24</v>
      </c>
      <c r="J2054">
        <v>11.6</v>
      </c>
      <c r="K2054" t="s">
        <v>6</v>
      </c>
      <c r="L2054">
        <v>112</v>
      </c>
      <c r="M2054" t="s">
        <v>6</v>
      </c>
    </row>
    <row r="2055" spans="1:13" x14ac:dyDescent="0.2">
      <c r="A2055" s="1">
        <v>45513</v>
      </c>
      <c r="B2055" s="2">
        <v>0.16666666666666666</v>
      </c>
      <c r="C2055" s="3">
        <v>45513.166666666664</v>
      </c>
      <c r="D2055">
        <v>41.3</v>
      </c>
      <c r="E2055">
        <v>42.7</v>
      </c>
      <c r="F2055">
        <v>40.1</v>
      </c>
      <c r="G2055" t="s">
        <v>6</v>
      </c>
      <c r="H2055">
        <v>15.1</v>
      </c>
      <c r="I2055">
        <v>25.5</v>
      </c>
      <c r="J2055">
        <v>11.2</v>
      </c>
      <c r="K2055" t="s">
        <v>6</v>
      </c>
      <c r="L2055">
        <v>98</v>
      </c>
      <c r="M2055" t="s">
        <v>6</v>
      </c>
    </row>
    <row r="2056" spans="1:13" x14ac:dyDescent="0.2">
      <c r="A2056" s="1">
        <v>45513</v>
      </c>
      <c r="B2056" s="2">
        <v>0.20833333333333334</v>
      </c>
      <c r="C2056" s="3">
        <v>45513.208333333336</v>
      </c>
      <c r="D2056">
        <v>44.5</v>
      </c>
      <c r="E2056">
        <v>47.9</v>
      </c>
      <c r="F2056">
        <v>40.1</v>
      </c>
      <c r="G2056" t="s">
        <v>6</v>
      </c>
      <c r="H2056">
        <v>13.6</v>
      </c>
      <c r="I2056">
        <v>23.9</v>
      </c>
      <c r="J2056">
        <v>11.3</v>
      </c>
      <c r="K2056" t="s">
        <v>6</v>
      </c>
      <c r="L2056">
        <v>214</v>
      </c>
      <c r="M2056" t="s">
        <v>6</v>
      </c>
    </row>
    <row r="2057" spans="1:13" x14ac:dyDescent="0.2">
      <c r="A2057" s="1">
        <v>45513</v>
      </c>
      <c r="B2057" s="2">
        <v>0.25</v>
      </c>
      <c r="C2057" s="3">
        <v>45513.25</v>
      </c>
      <c r="D2057">
        <v>47.9</v>
      </c>
      <c r="E2057">
        <v>62.1</v>
      </c>
      <c r="F2057">
        <v>41.2</v>
      </c>
      <c r="G2057" t="s">
        <v>6</v>
      </c>
      <c r="H2057">
        <v>15.2</v>
      </c>
      <c r="I2057">
        <v>26</v>
      </c>
      <c r="J2057">
        <v>11.6</v>
      </c>
      <c r="K2057" t="s">
        <v>6</v>
      </c>
      <c r="L2057">
        <v>142</v>
      </c>
      <c r="M2057" t="s">
        <v>6</v>
      </c>
    </row>
    <row r="2058" spans="1:13" x14ac:dyDescent="0.2">
      <c r="A2058" s="1">
        <v>45513</v>
      </c>
      <c r="B2058" s="2">
        <v>0.29166666666666669</v>
      </c>
      <c r="C2058" s="3">
        <v>45513.291666666664</v>
      </c>
      <c r="D2058">
        <v>60.3</v>
      </c>
      <c r="E2058">
        <v>61.8</v>
      </c>
      <c r="F2058">
        <v>55.9</v>
      </c>
      <c r="G2058" t="s">
        <v>6</v>
      </c>
      <c r="H2058">
        <v>14.2</v>
      </c>
      <c r="I2058">
        <v>22.2</v>
      </c>
      <c r="J2058">
        <v>12.4</v>
      </c>
      <c r="K2058" t="s">
        <v>6</v>
      </c>
      <c r="L2058">
        <v>33</v>
      </c>
      <c r="M2058" t="s">
        <v>6</v>
      </c>
    </row>
    <row r="2059" spans="1:13" x14ac:dyDescent="0.2">
      <c r="A2059" s="13">
        <v>45513</v>
      </c>
      <c r="B2059" s="9">
        <v>0.33333333333333331</v>
      </c>
      <c r="C2059" s="8">
        <v>45513.333333333336</v>
      </c>
      <c r="D2059" s="10">
        <v>58</v>
      </c>
      <c r="E2059" s="10">
        <v>65.099999999999994</v>
      </c>
      <c r="F2059" s="10">
        <v>53.3</v>
      </c>
      <c r="G2059" s="10" t="s">
        <v>6</v>
      </c>
      <c r="H2059" s="10">
        <v>15.1</v>
      </c>
      <c r="I2059" s="10">
        <v>26.9</v>
      </c>
      <c r="J2059" s="10">
        <v>11.2</v>
      </c>
      <c r="K2059" s="10" t="s">
        <v>6</v>
      </c>
      <c r="L2059" s="10">
        <v>102</v>
      </c>
      <c r="M2059" t="s">
        <v>6</v>
      </c>
    </row>
    <row r="2060" spans="1:13" x14ac:dyDescent="0.2">
      <c r="A2060" s="14">
        <v>45513</v>
      </c>
      <c r="B2060" s="12">
        <v>0.375</v>
      </c>
      <c r="C2060" s="7">
        <v>45513.375</v>
      </c>
      <c r="D2060" s="11">
        <v>58.8</v>
      </c>
      <c r="E2060" s="11">
        <v>62.5</v>
      </c>
      <c r="F2060" s="11">
        <v>54.6</v>
      </c>
      <c r="G2060" s="11" t="s">
        <v>6</v>
      </c>
      <c r="H2060" s="11">
        <v>13.6</v>
      </c>
      <c r="I2060" s="11">
        <v>22.2</v>
      </c>
      <c r="J2060" s="11">
        <v>11</v>
      </c>
      <c r="K2060" s="11" t="s">
        <v>6</v>
      </c>
      <c r="L2060" s="11">
        <v>164</v>
      </c>
      <c r="M2060" t="s">
        <v>6</v>
      </c>
    </row>
    <row r="2061" spans="1:13" x14ac:dyDescent="0.2">
      <c r="A2061" s="1">
        <v>45513</v>
      </c>
      <c r="B2061" s="2">
        <v>0.41666666666666669</v>
      </c>
      <c r="C2061" s="3">
        <v>45513.416666666664</v>
      </c>
      <c r="D2061">
        <v>59.2</v>
      </c>
      <c r="E2061">
        <v>65.2</v>
      </c>
      <c r="F2061">
        <v>54.8</v>
      </c>
      <c r="G2061" t="s">
        <v>6</v>
      </c>
      <c r="H2061">
        <v>13.8</v>
      </c>
      <c r="I2061">
        <v>18.600000000000001</v>
      </c>
      <c r="J2061">
        <v>11.8</v>
      </c>
      <c r="K2061" t="s">
        <v>6</v>
      </c>
      <c r="L2061">
        <v>149</v>
      </c>
      <c r="M2061" t="s">
        <v>6</v>
      </c>
    </row>
    <row r="2062" spans="1:13" x14ac:dyDescent="0.2">
      <c r="A2062" s="1">
        <v>45513</v>
      </c>
      <c r="B2062" s="2">
        <v>0.45833333333333331</v>
      </c>
      <c r="C2062" s="3">
        <v>45513.458333333336</v>
      </c>
      <c r="D2062">
        <v>56</v>
      </c>
      <c r="E2062">
        <v>61.3</v>
      </c>
      <c r="F2062">
        <v>52.7</v>
      </c>
      <c r="G2062" t="s">
        <v>6</v>
      </c>
      <c r="H2062">
        <v>18.100000000000001</v>
      </c>
      <c r="I2062">
        <v>25.2</v>
      </c>
      <c r="J2062">
        <v>12.6</v>
      </c>
      <c r="K2062" t="s">
        <v>6</v>
      </c>
      <c r="L2062">
        <v>69</v>
      </c>
      <c r="M2062" t="s">
        <v>6</v>
      </c>
    </row>
    <row r="2063" spans="1:13" x14ac:dyDescent="0.2">
      <c r="A2063" s="1">
        <v>45513</v>
      </c>
      <c r="B2063" s="2">
        <v>0.5</v>
      </c>
      <c r="C2063" s="3">
        <v>45513.5</v>
      </c>
      <c r="D2063">
        <v>57</v>
      </c>
      <c r="E2063">
        <v>63.5</v>
      </c>
      <c r="F2063">
        <v>53.9</v>
      </c>
      <c r="G2063" t="s">
        <v>6</v>
      </c>
      <c r="H2063">
        <v>15.3</v>
      </c>
      <c r="I2063">
        <v>22.6</v>
      </c>
      <c r="J2063">
        <v>12</v>
      </c>
      <c r="K2063" t="s">
        <v>6</v>
      </c>
      <c r="L2063">
        <v>94</v>
      </c>
      <c r="M2063" t="s">
        <v>6</v>
      </c>
    </row>
    <row r="2064" spans="1:13" x14ac:dyDescent="0.2">
      <c r="A2064" s="1">
        <v>45513</v>
      </c>
      <c r="B2064" s="2">
        <v>0.54166666666666663</v>
      </c>
      <c r="C2064" s="3">
        <v>45513.541666666664</v>
      </c>
      <c r="D2064">
        <v>60.3</v>
      </c>
      <c r="E2064">
        <v>63.3</v>
      </c>
      <c r="F2064">
        <v>57.7</v>
      </c>
      <c r="G2064" t="s">
        <v>6</v>
      </c>
      <c r="H2064">
        <v>19.5</v>
      </c>
      <c r="I2064">
        <v>25.9</v>
      </c>
      <c r="J2064">
        <v>11.8</v>
      </c>
      <c r="K2064" t="s">
        <v>6</v>
      </c>
      <c r="L2064">
        <v>50</v>
      </c>
      <c r="M2064" t="s">
        <v>6</v>
      </c>
    </row>
    <row r="2065" spans="1:13" x14ac:dyDescent="0.2">
      <c r="A2065" s="1">
        <v>45513</v>
      </c>
      <c r="B2065" s="2">
        <v>0.58333333333333337</v>
      </c>
      <c r="C2065" s="3">
        <v>45513.583333333336</v>
      </c>
      <c r="D2065">
        <v>64.900000000000006</v>
      </c>
      <c r="E2065">
        <v>73.2</v>
      </c>
      <c r="F2065">
        <v>59.3</v>
      </c>
      <c r="G2065" t="s">
        <v>6</v>
      </c>
      <c r="H2065">
        <v>20.100000000000001</v>
      </c>
      <c r="I2065">
        <v>36.299999999999997</v>
      </c>
      <c r="J2065">
        <v>14.8</v>
      </c>
      <c r="K2065" t="s">
        <v>6</v>
      </c>
      <c r="L2065">
        <v>199</v>
      </c>
      <c r="M2065" t="s">
        <v>6</v>
      </c>
    </row>
    <row r="2066" spans="1:13" x14ac:dyDescent="0.2">
      <c r="A2066" s="1">
        <v>45513</v>
      </c>
      <c r="B2066" s="2">
        <v>0.625</v>
      </c>
      <c r="C2066" s="3">
        <v>45513.625</v>
      </c>
      <c r="D2066">
        <v>73.400000000000006</v>
      </c>
      <c r="E2066">
        <v>81.8</v>
      </c>
      <c r="F2066">
        <v>62.8</v>
      </c>
      <c r="G2066" t="s">
        <v>6</v>
      </c>
      <c r="H2066">
        <v>21.1</v>
      </c>
      <c r="I2066">
        <v>31.2</v>
      </c>
      <c r="J2066">
        <v>17.3</v>
      </c>
      <c r="K2066" t="s">
        <v>6</v>
      </c>
      <c r="L2066">
        <v>158</v>
      </c>
      <c r="M2066" t="s">
        <v>6</v>
      </c>
    </row>
    <row r="2067" spans="1:13" x14ac:dyDescent="0.2">
      <c r="A2067" s="1">
        <v>45513</v>
      </c>
      <c r="B2067" s="2">
        <v>0.70833333333333337</v>
      </c>
      <c r="C2067" s="3">
        <v>45513.708333333336</v>
      </c>
      <c r="D2067">
        <v>63.3</v>
      </c>
      <c r="E2067">
        <v>70.599999999999994</v>
      </c>
      <c r="F2067">
        <v>54.1</v>
      </c>
      <c r="G2067" t="s">
        <v>6</v>
      </c>
      <c r="H2067">
        <v>25.1</v>
      </c>
      <c r="I2067">
        <v>38.9</v>
      </c>
      <c r="J2067">
        <v>17.3</v>
      </c>
      <c r="K2067" t="s">
        <v>6</v>
      </c>
      <c r="L2067">
        <v>104</v>
      </c>
      <c r="M2067" t="s">
        <v>6</v>
      </c>
    </row>
    <row r="2068" spans="1:13" x14ac:dyDescent="0.2">
      <c r="A2068" s="1">
        <v>45513</v>
      </c>
      <c r="B2068" s="2">
        <v>0.79166666666666663</v>
      </c>
      <c r="C2068" s="3">
        <v>45513.791666666664</v>
      </c>
      <c r="D2068">
        <v>57.3</v>
      </c>
      <c r="E2068">
        <v>60</v>
      </c>
      <c r="F2068">
        <v>54.5</v>
      </c>
      <c r="G2068" t="s">
        <v>6</v>
      </c>
      <c r="H2068">
        <v>14.8</v>
      </c>
      <c r="I2068">
        <v>18.2</v>
      </c>
      <c r="J2068">
        <v>11.2</v>
      </c>
      <c r="K2068" t="s">
        <v>6</v>
      </c>
      <c r="L2068">
        <v>56</v>
      </c>
      <c r="M2068" t="s">
        <v>6</v>
      </c>
    </row>
    <row r="2069" spans="1:13" x14ac:dyDescent="0.2">
      <c r="A2069" s="1">
        <v>45513</v>
      </c>
      <c r="B2069" s="2">
        <v>0.83333333333333337</v>
      </c>
      <c r="C2069" s="3">
        <v>45513.833333333336</v>
      </c>
      <c r="D2069">
        <v>51.2</v>
      </c>
      <c r="E2069">
        <v>57.7</v>
      </c>
      <c r="F2069">
        <v>46.5</v>
      </c>
      <c r="G2069" t="s">
        <v>6</v>
      </c>
      <c r="H2069">
        <v>18.600000000000001</v>
      </c>
      <c r="I2069">
        <v>28.1</v>
      </c>
      <c r="J2069">
        <v>13.8</v>
      </c>
      <c r="K2069" t="s">
        <v>6</v>
      </c>
      <c r="L2069">
        <v>219</v>
      </c>
      <c r="M2069" t="s">
        <v>6</v>
      </c>
    </row>
    <row r="2070" spans="1:13" x14ac:dyDescent="0.2">
      <c r="A2070" s="1">
        <v>45513</v>
      </c>
      <c r="B2070" s="2">
        <v>0.875</v>
      </c>
      <c r="C2070" s="3">
        <v>45513.875</v>
      </c>
      <c r="D2070">
        <v>46.3</v>
      </c>
      <c r="E2070">
        <v>51.7</v>
      </c>
      <c r="F2070">
        <v>41</v>
      </c>
      <c r="G2070" t="s">
        <v>6</v>
      </c>
      <c r="H2070">
        <v>16.399999999999999</v>
      </c>
      <c r="I2070">
        <v>32</v>
      </c>
      <c r="J2070">
        <v>12.5</v>
      </c>
      <c r="K2070" t="s">
        <v>6</v>
      </c>
      <c r="L2070">
        <v>217</v>
      </c>
      <c r="M2070" t="s">
        <v>6</v>
      </c>
    </row>
    <row r="2071" spans="1:13" x14ac:dyDescent="0.2">
      <c r="A2071" s="1">
        <v>45513</v>
      </c>
      <c r="B2071" s="2">
        <v>0.91666666666666663</v>
      </c>
      <c r="C2071" s="3">
        <v>45513.916666666664</v>
      </c>
      <c r="D2071">
        <v>48.5</v>
      </c>
      <c r="E2071">
        <v>53.3</v>
      </c>
      <c r="F2071">
        <v>44.7</v>
      </c>
      <c r="G2071" t="s">
        <v>6</v>
      </c>
      <c r="H2071">
        <v>16</v>
      </c>
      <c r="I2071">
        <v>32.6</v>
      </c>
      <c r="J2071">
        <v>12.6</v>
      </c>
      <c r="K2071" t="s">
        <v>6</v>
      </c>
      <c r="L2071">
        <v>207</v>
      </c>
      <c r="M2071" t="s">
        <v>6</v>
      </c>
    </row>
    <row r="2072" spans="1:13" x14ac:dyDescent="0.2">
      <c r="A2072" s="1">
        <v>45513</v>
      </c>
      <c r="B2072" s="2">
        <v>0.95833333333333337</v>
      </c>
      <c r="C2072" s="3">
        <v>45513.958333333336</v>
      </c>
      <c r="D2072">
        <v>45.9</v>
      </c>
      <c r="E2072">
        <v>53</v>
      </c>
      <c r="F2072">
        <v>40.5</v>
      </c>
      <c r="G2072" t="s">
        <v>6</v>
      </c>
      <c r="H2072">
        <v>14.7</v>
      </c>
      <c r="I2072">
        <v>26.5</v>
      </c>
      <c r="J2072">
        <v>12.2</v>
      </c>
      <c r="K2072" t="s">
        <v>6</v>
      </c>
      <c r="L2072">
        <v>222</v>
      </c>
      <c r="M2072" t="s">
        <v>6</v>
      </c>
    </row>
    <row r="2073" spans="1:13" x14ac:dyDescent="0.2">
      <c r="A2073" s="1">
        <v>45514</v>
      </c>
      <c r="B2073" s="2">
        <v>0</v>
      </c>
      <c r="C2073" s="3">
        <v>45514</v>
      </c>
      <c r="D2073">
        <v>45.8</v>
      </c>
      <c r="E2073">
        <v>50.9</v>
      </c>
      <c r="F2073">
        <v>41.2</v>
      </c>
      <c r="G2073" t="s">
        <v>6</v>
      </c>
      <c r="H2073">
        <v>13.5</v>
      </c>
      <c r="I2073">
        <v>23</v>
      </c>
      <c r="J2073">
        <v>12</v>
      </c>
      <c r="K2073" t="s">
        <v>6</v>
      </c>
      <c r="L2073">
        <v>223</v>
      </c>
      <c r="M2073" t="s">
        <v>6</v>
      </c>
    </row>
    <row r="2074" spans="1:13" x14ac:dyDescent="0.2">
      <c r="A2074" s="1">
        <v>45514</v>
      </c>
      <c r="B2074" s="2">
        <v>4.1666666666666664E-2</v>
      </c>
      <c r="C2074" s="3">
        <v>45514.041666666664</v>
      </c>
      <c r="D2074">
        <v>43.5</v>
      </c>
      <c r="E2074">
        <v>50.2</v>
      </c>
      <c r="F2074">
        <v>40.200000000000003</v>
      </c>
      <c r="G2074" t="s">
        <v>6</v>
      </c>
      <c r="H2074">
        <v>13</v>
      </c>
      <c r="I2074">
        <v>15.7</v>
      </c>
      <c r="J2074">
        <v>11.8</v>
      </c>
      <c r="K2074" t="s">
        <v>6</v>
      </c>
      <c r="L2074">
        <v>208</v>
      </c>
      <c r="M2074" t="s">
        <v>6</v>
      </c>
    </row>
    <row r="2075" spans="1:13" x14ac:dyDescent="0.2">
      <c r="A2075" s="1">
        <v>45514</v>
      </c>
      <c r="B2075" s="2">
        <v>8.3333333333333329E-2</v>
      </c>
      <c r="C2075" s="3">
        <v>45514.083333333336</v>
      </c>
      <c r="D2075">
        <v>47.2</v>
      </c>
      <c r="E2075">
        <v>54.7</v>
      </c>
      <c r="F2075">
        <v>42.5</v>
      </c>
      <c r="G2075" t="s">
        <v>6</v>
      </c>
      <c r="H2075">
        <v>13.1</v>
      </c>
      <c r="I2075">
        <v>16.7</v>
      </c>
      <c r="J2075">
        <v>11.6</v>
      </c>
      <c r="K2075" t="s">
        <v>6</v>
      </c>
      <c r="L2075">
        <v>212</v>
      </c>
      <c r="M2075" t="s">
        <v>6</v>
      </c>
    </row>
    <row r="2076" spans="1:13" x14ac:dyDescent="0.2">
      <c r="A2076" s="1">
        <v>45514</v>
      </c>
      <c r="B2076" s="2">
        <v>0.125</v>
      </c>
      <c r="C2076" s="3">
        <v>45514.125</v>
      </c>
      <c r="D2076">
        <v>45.7</v>
      </c>
      <c r="E2076">
        <v>51.2</v>
      </c>
      <c r="F2076">
        <v>42.1</v>
      </c>
      <c r="G2076" t="s">
        <v>6</v>
      </c>
      <c r="H2076">
        <v>12.3</v>
      </c>
      <c r="I2076">
        <v>16.600000000000001</v>
      </c>
      <c r="J2076">
        <v>10.6</v>
      </c>
      <c r="K2076" t="s">
        <v>6</v>
      </c>
      <c r="L2076">
        <v>228</v>
      </c>
      <c r="M2076" t="s">
        <v>6</v>
      </c>
    </row>
    <row r="2077" spans="1:13" x14ac:dyDescent="0.2">
      <c r="A2077" s="1">
        <v>45514</v>
      </c>
      <c r="B2077" s="2">
        <v>0.16666666666666666</v>
      </c>
      <c r="C2077" s="3">
        <v>45514.166666666664</v>
      </c>
      <c r="D2077">
        <v>44.3</v>
      </c>
      <c r="E2077">
        <v>50.5</v>
      </c>
      <c r="F2077">
        <v>40.799999999999997</v>
      </c>
      <c r="G2077" t="s">
        <v>6</v>
      </c>
      <c r="H2077">
        <v>12.8</v>
      </c>
      <c r="I2077">
        <v>19</v>
      </c>
      <c r="J2077">
        <v>10.8</v>
      </c>
      <c r="K2077" t="s">
        <v>6</v>
      </c>
      <c r="L2077">
        <v>221</v>
      </c>
      <c r="M2077" t="s">
        <v>6</v>
      </c>
    </row>
    <row r="2078" spans="1:13" x14ac:dyDescent="0.2">
      <c r="A2078" s="1">
        <v>45514</v>
      </c>
      <c r="B2078" s="2">
        <v>0.20833333333333334</v>
      </c>
      <c r="C2078" s="3">
        <v>45514.208333333336</v>
      </c>
      <c r="D2078">
        <v>43.8</v>
      </c>
      <c r="E2078">
        <v>48.5</v>
      </c>
      <c r="F2078">
        <v>40.200000000000003</v>
      </c>
      <c r="G2078" t="s">
        <v>6</v>
      </c>
      <c r="H2078">
        <v>12.2</v>
      </c>
      <c r="I2078">
        <v>21.3</v>
      </c>
      <c r="J2078">
        <v>10.8</v>
      </c>
      <c r="K2078" t="s">
        <v>6</v>
      </c>
      <c r="L2078">
        <v>193</v>
      </c>
      <c r="M2078" t="s">
        <v>6</v>
      </c>
    </row>
    <row r="2079" spans="1:13" x14ac:dyDescent="0.2">
      <c r="A2079" s="1">
        <v>45514</v>
      </c>
      <c r="B2079" s="2">
        <v>0.25</v>
      </c>
      <c r="C2079" s="3">
        <v>45514.25</v>
      </c>
      <c r="D2079">
        <v>46.9</v>
      </c>
      <c r="E2079">
        <v>54.2</v>
      </c>
      <c r="F2079">
        <v>41.2</v>
      </c>
      <c r="G2079" t="s">
        <v>6</v>
      </c>
      <c r="H2079">
        <v>15.1</v>
      </c>
      <c r="I2079">
        <v>23.3</v>
      </c>
      <c r="J2079">
        <v>11.2</v>
      </c>
      <c r="K2079" t="s">
        <v>6</v>
      </c>
      <c r="L2079">
        <v>209</v>
      </c>
      <c r="M2079" t="s">
        <v>6</v>
      </c>
    </row>
    <row r="2080" spans="1:13" x14ac:dyDescent="0.2">
      <c r="A2080" s="1">
        <v>45514</v>
      </c>
      <c r="B2080" s="2">
        <v>0.29166666666666669</v>
      </c>
      <c r="C2080" s="3">
        <v>45514.291666666664</v>
      </c>
      <c r="D2080">
        <v>51.2</v>
      </c>
      <c r="E2080">
        <v>57.3</v>
      </c>
      <c r="F2080">
        <v>47</v>
      </c>
      <c r="G2080" t="s">
        <v>6</v>
      </c>
      <c r="H2080">
        <v>14.7</v>
      </c>
      <c r="I2080">
        <v>33.1</v>
      </c>
      <c r="J2080">
        <v>11.4</v>
      </c>
      <c r="K2080" t="s">
        <v>6</v>
      </c>
      <c r="L2080">
        <v>93</v>
      </c>
      <c r="M2080" t="s">
        <v>6</v>
      </c>
    </row>
    <row r="2081" spans="1:13" x14ac:dyDescent="0.2">
      <c r="A2081" s="13">
        <v>45514</v>
      </c>
      <c r="B2081" s="9">
        <v>0.33333333333333331</v>
      </c>
      <c r="C2081" s="8">
        <v>45514.333333333336</v>
      </c>
      <c r="D2081" s="10">
        <v>63.3</v>
      </c>
      <c r="E2081" s="10">
        <v>65</v>
      </c>
      <c r="F2081" s="10">
        <v>52.3</v>
      </c>
      <c r="G2081" s="10" t="s">
        <v>6</v>
      </c>
      <c r="H2081" s="10">
        <v>22.1</v>
      </c>
      <c r="I2081" s="10">
        <v>33.9</v>
      </c>
      <c r="J2081" s="10">
        <v>14.8</v>
      </c>
      <c r="K2081" s="10" t="s">
        <v>6</v>
      </c>
      <c r="L2081" s="10">
        <v>25</v>
      </c>
      <c r="M2081" t="s">
        <v>6</v>
      </c>
    </row>
    <row r="2082" spans="1:13" x14ac:dyDescent="0.2">
      <c r="A2082" s="14">
        <v>45514</v>
      </c>
      <c r="B2082" s="12">
        <v>0.375</v>
      </c>
      <c r="C2082" s="7">
        <v>45514.375</v>
      </c>
      <c r="D2082" s="11">
        <v>57.8</v>
      </c>
      <c r="E2082" s="11">
        <v>64.400000000000006</v>
      </c>
      <c r="F2082" s="11">
        <v>51.9</v>
      </c>
      <c r="G2082" s="11" t="s">
        <v>6</v>
      </c>
      <c r="H2082" s="11">
        <v>13.9</v>
      </c>
      <c r="I2082" s="11">
        <v>30.4</v>
      </c>
      <c r="J2082" s="11">
        <v>11.1</v>
      </c>
      <c r="K2082" s="11" t="s">
        <v>6</v>
      </c>
      <c r="L2082" s="11">
        <v>175</v>
      </c>
      <c r="M2082" t="s">
        <v>6</v>
      </c>
    </row>
    <row r="2083" spans="1:13" x14ac:dyDescent="0.2">
      <c r="A2083" s="1">
        <v>45514</v>
      </c>
      <c r="B2083" s="2">
        <v>0.41666666666666669</v>
      </c>
      <c r="C2083" s="3">
        <v>45514.416666666664</v>
      </c>
      <c r="D2083">
        <v>48.9</v>
      </c>
      <c r="E2083">
        <v>54.2</v>
      </c>
      <c r="F2083">
        <v>45.4</v>
      </c>
      <c r="G2083" t="s">
        <v>6</v>
      </c>
      <c r="H2083">
        <v>11.2</v>
      </c>
      <c r="I2083">
        <v>14.1</v>
      </c>
      <c r="J2083">
        <v>9.5</v>
      </c>
      <c r="K2083" t="s">
        <v>6</v>
      </c>
      <c r="L2083">
        <v>221</v>
      </c>
      <c r="M2083" t="s">
        <v>6</v>
      </c>
    </row>
    <row r="2084" spans="1:13" x14ac:dyDescent="0.2">
      <c r="A2084" s="1">
        <v>45514</v>
      </c>
      <c r="B2084" s="2">
        <v>0.45833333333333331</v>
      </c>
      <c r="C2084" s="3">
        <v>45514.458333333336</v>
      </c>
      <c r="D2084">
        <v>45</v>
      </c>
      <c r="E2084">
        <v>47.8</v>
      </c>
      <c r="F2084">
        <v>43.5</v>
      </c>
      <c r="G2084" t="s">
        <v>6</v>
      </c>
      <c r="H2084">
        <v>11.7</v>
      </c>
      <c r="I2084">
        <v>17.100000000000001</v>
      </c>
      <c r="J2084">
        <v>9.4</v>
      </c>
      <c r="K2084" t="s">
        <v>6</v>
      </c>
      <c r="L2084">
        <v>215</v>
      </c>
      <c r="M2084" t="s">
        <v>6</v>
      </c>
    </row>
    <row r="2085" spans="1:13" x14ac:dyDescent="0.2">
      <c r="A2085" s="1">
        <v>45514</v>
      </c>
      <c r="B2085" s="2">
        <v>0.5</v>
      </c>
      <c r="C2085" s="3">
        <v>45514.5</v>
      </c>
      <c r="D2085">
        <v>42.7</v>
      </c>
      <c r="E2085">
        <v>45.6</v>
      </c>
      <c r="F2085">
        <v>40.5</v>
      </c>
      <c r="G2085" t="s">
        <v>6</v>
      </c>
      <c r="H2085">
        <v>13.9</v>
      </c>
      <c r="I2085">
        <v>30.4</v>
      </c>
      <c r="J2085">
        <v>9</v>
      </c>
      <c r="K2085" t="s">
        <v>6</v>
      </c>
      <c r="L2085">
        <v>160</v>
      </c>
      <c r="M2085" t="s">
        <v>6</v>
      </c>
    </row>
    <row r="2086" spans="1:13" x14ac:dyDescent="0.2">
      <c r="A2086" s="1">
        <v>45514</v>
      </c>
      <c r="B2086" s="2">
        <v>0.54166666666666663</v>
      </c>
      <c r="C2086" s="3">
        <v>45514.541666666664</v>
      </c>
      <c r="D2086">
        <v>41.6</v>
      </c>
      <c r="E2086">
        <v>41.6</v>
      </c>
      <c r="F2086">
        <v>41.6</v>
      </c>
      <c r="G2086" t="s">
        <v>6</v>
      </c>
      <c r="H2086">
        <v>19.5</v>
      </c>
      <c r="I2086">
        <v>22.1</v>
      </c>
      <c r="J2086">
        <v>17.8</v>
      </c>
      <c r="K2086" t="s">
        <v>6</v>
      </c>
      <c r="L2086">
        <v>12</v>
      </c>
      <c r="M2086" t="s">
        <v>6</v>
      </c>
    </row>
    <row r="2087" spans="1:13" x14ac:dyDescent="0.2">
      <c r="A2087" s="1">
        <v>45514</v>
      </c>
      <c r="B2087" s="2">
        <v>0.58333333333333337</v>
      </c>
      <c r="C2087" s="3">
        <v>45514.583333333336</v>
      </c>
      <c r="D2087">
        <v>42.5</v>
      </c>
      <c r="E2087">
        <v>42.9</v>
      </c>
      <c r="F2087">
        <v>42.2</v>
      </c>
      <c r="G2087" t="s">
        <v>6</v>
      </c>
      <c r="H2087">
        <v>19.399999999999999</v>
      </c>
      <c r="I2087">
        <v>21</v>
      </c>
      <c r="J2087">
        <v>17.8</v>
      </c>
      <c r="K2087" t="s">
        <v>6</v>
      </c>
      <c r="L2087">
        <v>2</v>
      </c>
      <c r="M2087" t="s">
        <v>6</v>
      </c>
    </row>
    <row r="2088" spans="1:13" x14ac:dyDescent="0.2">
      <c r="A2088" s="1">
        <v>45514</v>
      </c>
      <c r="B2088" s="2">
        <v>0.625</v>
      </c>
      <c r="C2088" s="3">
        <v>45514.625</v>
      </c>
      <c r="D2088">
        <v>41.7</v>
      </c>
      <c r="E2088">
        <v>42.2</v>
      </c>
      <c r="F2088">
        <v>40.700000000000003</v>
      </c>
      <c r="G2088" t="s">
        <v>6</v>
      </c>
      <c r="H2088">
        <v>23.6</v>
      </c>
      <c r="I2088">
        <v>31.7</v>
      </c>
      <c r="J2088">
        <v>19.2</v>
      </c>
      <c r="K2088" t="s">
        <v>6</v>
      </c>
      <c r="L2088">
        <v>15</v>
      </c>
      <c r="M2088" t="s">
        <v>6</v>
      </c>
    </row>
    <row r="2089" spans="1:13" x14ac:dyDescent="0.2">
      <c r="A2089" s="1">
        <v>45514</v>
      </c>
      <c r="B2089" s="2">
        <v>0.83333333333333337</v>
      </c>
      <c r="C2089" s="3">
        <v>45514.833333333336</v>
      </c>
      <c r="D2089">
        <v>44.6</v>
      </c>
      <c r="E2089">
        <v>47.8</v>
      </c>
      <c r="F2089">
        <v>41.3</v>
      </c>
      <c r="G2089" t="s">
        <v>6</v>
      </c>
      <c r="H2089">
        <v>15.8</v>
      </c>
      <c r="I2089">
        <v>26.6</v>
      </c>
      <c r="J2089">
        <v>12.7</v>
      </c>
      <c r="K2089" t="s">
        <v>6</v>
      </c>
      <c r="L2089">
        <v>159</v>
      </c>
      <c r="M2089" t="s">
        <v>6</v>
      </c>
    </row>
    <row r="2090" spans="1:13" x14ac:dyDescent="0.2">
      <c r="A2090" s="1">
        <v>45514</v>
      </c>
      <c r="B2090" s="2">
        <v>0.875</v>
      </c>
      <c r="C2090" s="3">
        <v>45514.875</v>
      </c>
      <c r="D2090">
        <v>44.3</v>
      </c>
      <c r="E2090">
        <v>49.6</v>
      </c>
      <c r="F2090">
        <v>40.6</v>
      </c>
      <c r="G2090" t="s">
        <v>6</v>
      </c>
      <c r="H2090">
        <v>15.3</v>
      </c>
      <c r="I2090">
        <v>26.6</v>
      </c>
      <c r="J2090">
        <v>11.6</v>
      </c>
      <c r="K2090" t="s">
        <v>6</v>
      </c>
      <c r="L2090">
        <v>224</v>
      </c>
      <c r="M2090" t="s">
        <v>6</v>
      </c>
    </row>
    <row r="2091" spans="1:13" x14ac:dyDescent="0.2">
      <c r="A2091" s="1">
        <v>45514</v>
      </c>
      <c r="B2091" s="2">
        <v>0.91666666666666663</v>
      </c>
      <c r="C2091" s="3">
        <v>45514.916666666664</v>
      </c>
      <c r="D2091">
        <v>46.2</v>
      </c>
      <c r="E2091">
        <v>50.7</v>
      </c>
      <c r="F2091">
        <v>42.3</v>
      </c>
      <c r="G2091" t="s">
        <v>6</v>
      </c>
      <c r="H2091">
        <v>13</v>
      </c>
      <c r="I2091">
        <v>19.5</v>
      </c>
      <c r="J2091">
        <v>11.1</v>
      </c>
      <c r="K2091" t="s">
        <v>6</v>
      </c>
      <c r="L2091">
        <v>215</v>
      </c>
      <c r="M2091" t="s">
        <v>6</v>
      </c>
    </row>
    <row r="2092" spans="1:13" x14ac:dyDescent="0.2">
      <c r="A2092" s="1">
        <v>45514</v>
      </c>
      <c r="B2092" s="2">
        <v>0.95833333333333337</v>
      </c>
      <c r="C2092" s="3">
        <v>45514.958333333336</v>
      </c>
      <c r="D2092">
        <v>46.5</v>
      </c>
      <c r="E2092">
        <v>51.2</v>
      </c>
      <c r="F2092">
        <v>42.1</v>
      </c>
      <c r="G2092" t="s">
        <v>6</v>
      </c>
      <c r="H2092">
        <v>12.5</v>
      </c>
      <c r="I2092">
        <v>15.2</v>
      </c>
      <c r="J2092">
        <v>11.6</v>
      </c>
      <c r="K2092" t="s">
        <v>6</v>
      </c>
      <c r="L2092">
        <v>219</v>
      </c>
      <c r="M2092" t="s">
        <v>6</v>
      </c>
    </row>
    <row r="2093" spans="1:13" x14ac:dyDescent="0.2">
      <c r="A2093" s="1">
        <v>45515</v>
      </c>
      <c r="B2093" s="2">
        <v>0</v>
      </c>
      <c r="C2093" s="3">
        <v>45515</v>
      </c>
      <c r="D2093">
        <v>48</v>
      </c>
      <c r="E2093">
        <v>67.099999999999994</v>
      </c>
      <c r="F2093">
        <v>41</v>
      </c>
      <c r="G2093" t="s">
        <v>6</v>
      </c>
      <c r="H2093">
        <v>13.5</v>
      </c>
      <c r="I2093">
        <v>23.8</v>
      </c>
      <c r="J2093">
        <v>11.1</v>
      </c>
      <c r="K2093" t="s">
        <v>6</v>
      </c>
      <c r="L2093">
        <v>219</v>
      </c>
      <c r="M2093" t="s">
        <v>6</v>
      </c>
    </row>
    <row r="2094" spans="1:13" x14ac:dyDescent="0.2">
      <c r="A2094" s="1">
        <v>45515</v>
      </c>
      <c r="B2094" s="2">
        <v>4.1666666666666664E-2</v>
      </c>
      <c r="C2094" s="3">
        <v>45515.041666666664</v>
      </c>
      <c r="D2094">
        <v>48.4</v>
      </c>
      <c r="E2094">
        <v>67.099999999999994</v>
      </c>
      <c r="F2094">
        <v>43.1</v>
      </c>
      <c r="G2094" t="s">
        <v>6</v>
      </c>
      <c r="H2094">
        <v>11.9</v>
      </c>
      <c r="I2094">
        <v>18.100000000000001</v>
      </c>
      <c r="J2094">
        <v>10.7</v>
      </c>
      <c r="K2094" t="s">
        <v>6</v>
      </c>
      <c r="L2094">
        <v>223</v>
      </c>
      <c r="M2094" t="s">
        <v>6</v>
      </c>
    </row>
    <row r="2095" spans="1:13" x14ac:dyDescent="0.2">
      <c r="A2095" s="1">
        <v>45515</v>
      </c>
      <c r="B2095" s="2">
        <v>8.3333333333333329E-2</v>
      </c>
      <c r="C2095" s="3">
        <v>45515.083333333336</v>
      </c>
      <c r="D2095">
        <v>53.8</v>
      </c>
      <c r="E2095">
        <v>69.2</v>
      </c>
      <c r="F2095">
        <v>42.2</v>
      </c>
      <c r="G2095" t="s">
        <v>6</v>
      </c>
      <c r="H2095">
        <v>11.9</v>
      </c>
      <c r="I2095">
        <v>15.2</v>
      </c>
      <c r="J2095">
        <v>10.4</v>
      </c>
      <c r="K2095" t="s">
        <v>6</v>
      </c>
      <c r="L2095">
        <v>224</v>
      </c>
      <c r="M2095" t="s">
        <v>6</v>
      </c>
    </row>
    <row r="2096" spans="1:13" x14ac:dyDescent="0.2">
      <c r="A2096" s="1">
        <v>45515</v>
      </c>
      <c r="B2096" s="2">
        <v>0.125</v>
      </c>
      <c r="C2096" s="3">
        <v>45515.125</v>
      </c>
      <c r="D2096">
        <v>51.8</v>
      </c>
      <c r="E2096">
        <v>67</v>
      </c>
      <c r="F2096">
        <v>45.6</v>
      </c>
      <c r="G2096" t="s">
        <v>6</v>
      </c>
      <c r="H2096">
        <v>12</v>
      </c>
      <c r="I2096">
        <v>18.399999999999999</v>
      </c>
      <c r="J2096">
        <v>10.8</v>
      </c>
      <c r="K2096" t="s">
        <v>6</v>
      </c>
      <c r="L2096">
        <v>226</v>
      </c>
      <c r="M2096" t="s">
        <v>6</v>
      </c>
    </row>
    <row r="2097" spans="1:13" x14ac:dyDescent="0.2">
      <c r="A2097" s="1">
        <v>45515</v>
      </c>
      <c r="B2097" s="2">
        <v>0.16666666666666666</v>
      </c>
      <c r="C2097" s="3">
        <v>45515.166666666664</v>
      </c>
      <c r="D2097">
        <v>42.7</v>
      </c>
      <c r="E2097">
        <v>48.8</v>
      </c>
      <c r="F2097">
        <v>40.1</v>
      </c>
      <c r="G2097" t="s">
        <v>6</v>
      </c>
      <c r="H2097">
        <v>12.7</v>
      </c>
      <c r="I2097">
        <v>22.2</v>
      </c>
      <c r="J2097">
        <v>11.1</v>
      </c>
      <c r="K2097" t="s">
        <v>6</v>
      </c>
      <c r="L2097">
        <v>204</v>
      </c>
      <c r="M2097" t="s">
        <v>6</v>
      </c>
    </row>
    <row r="2098" spans="1:13" x14ac:dyDescent="0.2">
      <c r="A2098" s="1">
        <v>45515</v>
      </c>
      <c r="B2098" s="2">
        <v>0.20833333333333334</v>
      </c>
      <c r="C2098" s="3">
        <v>45515.208333333336</v>
      </c>
      <c r="D2098">
        <v>44.9</v>
      </c>
      <c r="E2098">
        <v>51</v>
      </c>
      <c r="F2098">
        <v>40.1</v>
      </c>
      <c r="G2098" t="s">
        <v>6</v>
      </c>
      <c r="H2098">
        <v>14.8</v>
      </c>
      <c r="I2098">
        <v>23.5</v>
      </c>
      <c r="J2098">
        <v>10.8</v>
      </c>
      <c r="K2098" t="s">
        <v>6</v>
      </c>
      <c r="L2098">
        <v>222</v>
      </c>
      <c r="M2098" t="s">
        <v>6</v>
      </c>
    </row>
    <row r="2099" spans="1:13" x14ac:dyDescent="0.2">
      <c r="A2099" s="1">
        <v>45515</v>
      </c>
      <c r="B2099" s="2">
        <v>0.25</v>
      </c>
      <c r="C2099" s="3">
        <v>45515.25</v>
      </c>
      <c r="D2099">
        <v>45.5</v>
      </c>
      <c r="E2099">
        <v>52.1</v>
      </c>
      <c r="F2099">
        <v>42.5</v>
      </c>
      <c r="G2099" t="s">
        <v>6</v>
      </c>
      <c r="H2099">
        <v>12.9</v>
      </c>
      <c r="I2099">
        <v>21.2</v>
      </c>
      <c r="J2099">
        <v>10.4</v>
      </c>
      <c r="K2099" t="s">
        <v>6</v>
      </c>
      <c r="L2099">
        <v>222</v>
      </c>
      <c r="M2099" t="s">
        <v>6</v>
      </c>
    </row>
    <row r="2100" spans="1:13" x14ac:dyDescent="0.2">
      <c r="A2100" s="1">
        <v>45515</v>
      </c>
      <c r="B2100" s="2">
        <v>0.29166666666666669</v>
      </c>
      <c r="C2100" s="3">
        <v>45515.291666666664</v>
      </c>
      <c r="D2100">
        <v>48.8</v>
      </c>
      <c r="E2100">
        <v>51.7</v>
      </c>
      <c r="F2100">
        <v>46.2</v>
      </c>
      <c r="G2100" t="s">
        <v>6</v>
      </c>
      <c r="H2100">
        <v>13.1</v>
      </c>
      <c r="I2100">
        <v>19.5</v>
      </c>
      <c r="J2100">
        <v>10.9</v>
      </c>
      <c r="K2100" t="s">
        <v>6</v>
      </c>
      <c r="L2100">
        <v>94</v>
      </c>
      <c r="M2100" t="s">
        <v>6</v>
      </c>
    </row>
    <row r="2101" spans="1:13" x14ac:dyDescent="0.2">
      <c r="A2101" s="13">
        <v>45515</v>
      </c>
      <c r="B2101" s="9">
        <v>0.33333333333333331</v>
      </c>
      <c r="C2101" s="8">
        <v>45515.333333333336</v>
      </c>
      <c r="D2101" s="10">
        <v>49.7</v>
      </c>
      <c r="E2101" s="10">
        <v>51.7</v>
      </c>
      <c r="F2101" s="10">
        <v>48.9</v>
      </c>
      <c r="G2101" s="10" t="s">
        <v>6</v>
      </c>
      <c r="H2101" s="10">
        <v>17</v>
      </c>
      <c r="I2101" s="10">
        <v>19.7</v>
      </c>
      <c r="J2101" s="10">
        <v>14.3</v>
      </c>
      <c r="K2101" s="10" t="s">
        <v>6</v>
      </c>
      <c r="L2101" s="10">
        <v>15</v>
      </c>
      <c r="M2101" t="s">
        <v>6</v>
      </c>
    </row>
    <row r="2102" spans="1:13" x14ac:dyDescent="0.2">
      <c r="A2102" s="14">
        <v>45515</v>
      </c>
      <c r="B2102" s="12">
        <v>0.375</v>
      </c>
      <c r="C2102" s="7">
        <v>45515.375</v>
      </c>
      <c r="D2102" s="11">
        <v>50.3</v>
      </c>
      <c r="E2102" s="11">
        <v>51.5</v>
      </c>
      <c r="F2102" s="11">
        <v>49.5</v>
      </c>
      <c r="G2102" s="11" t="s">
        <v>6</v>
      </c>
      <c r="H2102" s="11">
        <v>12.9</v>
      </c>
      <c r="I2102" s="11">
        <v>14.7</v>
      </c>
      <c r="J2102" s="11">
        <v>11.1</v>
      </c>
      <c r="K2102" s="11" t="s">
        <v>6</v>
      </c>
      <c r="L2102" s="11">
        <v>34</v>
      </c>
      <c r="M2102" t="s">
        <v>6</v>
      </c>
    </row>
    <row r="2103" spans="1:13" x14ac:dyDescent="0.2">
      <c r="A2103" s="1">
        <v>45515</v>
      </c>
      <c r="B2103" s="2">
        <v>0.41666666666666669</v>
      </c>
      <c r="C2103" s="3">
        <v>45515.416666666664</v>
      </c>
      <c r="D2103">
        <v>57.4</v>
      </c>
      <c r="E2103">
        <v>63.8</v>
      </c>
      <c r="F2103">
        <v>49.5</v>
      </c>
      <c r="G2103" t="s">
        <v>6</v>
      </c>
      <c r="H2103">
        <v>11.6</v>
      </c>
      <c r="I2103">
        <v>21.4</v>
      </c>
      <c r="J2103">
        <v>8.6</v>
      </c>
      <c r="K2103" t="s">
        <v>6</v>
      </c>
      <c r="L2103">
        <v>227</v>
      </c>
      <c r="M2103" t="s">
        <v>6</v>
      </c>
    </row>
    <row r="2104" spans="1:13" x14ac:dyDescent="0.2">
      <c r="A2104" s="1">
        <v>45515</v>
      </c>
      <c r="B2104" s="2">
        <v>0.45833333333333331</v>
      </c>
      <c r="C2104" s="3">
        <v>45515.458333333336</v>
      </c>
      <c r="D2104">
        <v>56.9</v>
      </c>
      <c r="E2104">
        <v>61.5</v>
      </c>
      <c r="F2104">
        <v>52.8</v>
      </c>
      <c r="G2104" t="s">
        <v>6</v>
      </c>
      <c r="H2104">
        <v>13.5</v>
      </c>
      <c r="I2104">
        <v>18.3</v>
      </c>
      <c r="J2104">
        <v>10.1</v>
      </c>
      <c r="K2104" t="s">
        <v>6</v>
      </c>
      <c r="L2104">
        <v>207</v>
      </c>
      <c r="M2104" t="s">
        <v>6</v>
      </c>
    </row>
    <row r="2105" spans="1:13" x14ac:dyDescent="0.2">
      <c r="A2105" s="1">
        <v>45515</v>
      </c>
      <c r="B2105" s="2">
        <v>0.5</v>
      </c>
      <c r="C2105" s="3">
        <v>45515.5</v>
      </c>
      <c r="D2105">
        <v>52.5</v>
      </c>
      <c r="E2105">
        <v>56</v>
      </c>
      <c r="F2105">
        <v>49.6</v>
      </c>
      <c r="G2105" t="s">
        <v>6</v>
      </c>
      <c r="H2105">
        <v>12.5</v>
      </c>
      <c r="I2105">
        <v>18.8</v>
      </c>
      <c r="J2105">
        <v>10</v>
      </c>
      <c r="K2105" t="s">
        <v>6</v>
      </c>
      <c r="L2105">
        <v>207</v>
      </c>
      <c r="M2105" t="s">
        <v>6</v>
      </c>
    </row>
    <row r="2106" spans="1:13" x14ac:dyDescent="0.2">
      <c r="A2106" s="1">
        <v>45515</v>
      </c>
      <c r="B2106" s="2">
        <v>0.54166666666666663</v>
      </c>
      <c r="C2106" s="3">
        <v>45515.541666666664</v>
      </c>
      <c r="D2106">
        <v>53.6</v>
      </c>
      <c r="E2106">
        <v>56.5</v>
      </c>
      <c r="F2106">
        <v>52</v>
      </c>
      <c r="G2106" t="s">
        <v>6</v>
      </c>
      <c r="H2106">
        <v>15.8</v>
      </c>
      <c r="I2106">
        <v>20.7</v>
      </c>
      <c r="J2106">
        <v>11.8</v>
      </c>
      <c r="K2106" t="s">
        <v>6</v>
      </c>
      <c r="L2106">
        <v>50</v>
      </c>
      <c r="M2106" t="s">
        <v>6</v>
      </c>
    </row>
    <row r="2107" spans="1:13" x14ac:dyDescent="0.2">
      <c r="A2107" s="1">
        <v>45515</v>
      </c>
      <c r="B2107" s="2">
        <v>0.58333333333333337</v>
      </c>
      <c r="C2107" s="3">
        <v>45515.583333333336</v>
      </c>
      <c r="D2107">
        <v>55.8</v>
      </c>
      <c r="E2107">
        <v>58.8</v>
      </c>
      <c r="F2107">
        <v>53.7</v>
      </c>
      <c r="G2107" t="s">
        <v>6</v>
      </c>
      <c r="H2107">
        <v>15.1</v>
      </c>
      <c r="I2107">
        <v>17.399999999999999</v>
      </c>
      <c r="J2107">
        <v>13.1</v>
      </c>
      <c r="K2107" t="s">
        <v>6</v>
      </c>
      <c r="L2107">
        <v>40</v>
      </c>
      <c r="M2107" t="s">
        <v>6</v>
      </c>
    </row>
    <row r="2108" spans="1:13" x14ac:dyDescent="0.2">
      <c r="A2108" s="1">
        <v>45515</v>
      </c>
      <c r="B2108" s="2">
        <v>0.625</v>
      </c>
      <c r="C2108" s="3">
        <v>45515.625</v>
      </c>
      <c r="D2108">
        <v>59.2</v>
      </c>
      <c r="E2108">
        <v>63.2</v>
      </c>
      <c r="F2108">
        <v>57</v>
      </c>
      <c r="G2108" t="s">
        <v>6</v>
      </c>
      <c r="H2108">
        <v>14.6</v>
      </c>
      <c r="I2108">
        <v>18.600000000000001</v>
      </c>
      <c r="J2108">
        <v>12.3</v>
      </c>
      <c r="K2108" t="s">
        <v>6</v>
      </c>
      <c r="L2108">
        <v>115</v>
      </c>
      <c r="M2108" t="s">
        <v>6</v>
      </c>
    </row>
    <row r="2109" spans="1:13" x14ac:dyDescent="0.2">
      <c r="A2109" s="1">
        <v>45515</v>
      </c>
      <c r="B2109" s="2">
        <v>0.66666666666666663</v>
      </c>
      <c r="C2109" s="3">
        <v>45515.666666666664</v>
      </c>
      <c r="D2109">
        <v>59.9</v>
      </c>
      <c r="E2109">
        <v>59.9</v>
      </c>
      <c r="F2109">
        <v>59.9</v>
      </c>
      <c r="G2109" t="s">
        <v>6</v>
      </c>
      <c r="H2109">
        <v>11</v>
      </c>
      <c r="I2109">
        <v>11</v>
      </c>
      <c r="J2109">
        <v>11</v>
      </c>
      <c r="K2109" t="s">
        <v>6</v>
      </c>
      <c r="L2109">
        <v>1</v>
      </c>
      <c r="M2109" t="s">
        <v>6</v>
      </c>
    </row>
    <row r="2110" spans="1:13" x14ac:dyDescent="0.2">
      <c r="A2110" s="1">
        <v>45515</v>
      </c>
      <c r="B2110" s="2">
        <v>0.75</v>
      </c>
      <c r="C2110" s="3">
        <v>45515.75</v>
      </c>
      <c r="D2110">
        <v>58</v>
      </c>
      <c r="E2110">
        <v>59.2</v>
      </c>
      <c r="F2110">
        <v>57.3</v>
      </c>
      <c r="G2110" t="s">
        <v>6</v>
      </c>
      <c r="H2110">
        <v>15.1</v>
      </c>
      <c r="I2110">
        <v>20.399999999999999</v>
      </c>
      <c r="J2110">
        <v>10.4</v>
      </c>
      <c r="K2110" t="s">
        <v>6</v>
      </c>
      <c r="L2110">
        <v>32</v>
      </c>
      <c r="M2110" t="s">
        <v>6</v>
      </c>
    </row>
    <row r="2111" spans="1:13" x14ac:dyDescent="0.2">
      <c r="A2111" s="1">
        <v>45515</v>
      </c>
      <c r="B2111" s="2">
        <v>0.79166666666666663</v>
      </c>
      <c r="C2111" s="3">
        <v>45515.791666666664</v>
      </c>
      <c r="D2111">
        <v>58.6</v>
      </c>
      <c r="E2111">
        <v>61.4</v>
      </c>
      <c r="F2111">
        <v>49.8</v>
      </c>
      <c r="G2111" t="s">
        <v>6</v>
      </c>
      <c r="H2111">
        <v>16.899999999999999</v>
      </c>
      <c r="I2111">
        <v>23.4</v>
      </c>
      <c r="J2111">
        <v>12.7</v>
      </c>
      <c r="K2111" t="s">
        <v>6</v>
      </c>
      <c r="L2111">
        <v>75</v>
      </c>
      <c r="M2111" t="s">
        <v>6</v>
      </c>
    </row>
    <row r="2112" spans="1:13" x14ac:dyDescent="0.2">
      <c r="A2112" s="1">
        <v>45515</v>
      </c>
      <c r="B2112" s="2">
        <v>0.83333333333333337</v>
      </c>
      <c r="C2112" s="3">
        <v>45515.833333333336</v>
      </c>
      <c r="D2112">
        <v>47.1</v>
      </c>
      <c r="E2112">
        <v>52.7</v>
      </c>
      <c r="F2112">
        <v>44.3</v>
      </c>
      <c r="G2112" t="s">
        <v>6</v>
      </c>
      <c r="H2112">
        <v>15.6</v>
      </c>
      <c r="I2112">
        <v>27.7</v>
      </c>
      <c r="J2112">
        <v>12.4</v>
      </c>
      <c r="K2112" t="s">
        <v>6</v>
      </c>
      <c r="L2112">
        <v>222</v>
      </c>
      <c r="M2112" t="s">
        <v>6</v>
      </c>
    </row>
    <row r="2113" spans="1:13" x14ac:dyDescent="0.2">
      <c r="A2113" s="1">
        <v>45515</v>
      </c>
      <c r="B2113" s="2">
        <v>0.875</v>
      </c>
      <c r="C2113" s="3">
        <v>45515.875</v>
      </c>
      <c r="D2113">
        <v>44.7</v>
      </c>
      <c r="E2113">
        <v>48.4</v>
      </c>
      <c r="F2113">
        <v>40.700000000000003</v>
      </c>
      <c r="G2113" t="s">
        <v>6</v>
      </c>
      <c r="H2113">
        <v>16.100000000000001</v>
      </c>
      <c r="I2113">
        <v>25.4</v>
      </c>
      <c r="J2113">
        <v>12.8</v>
      </c>
      <c r="K2113" t="s">
        <v>6</v>
      </c>
      <c r="L2113">
        <v>206</v>
      </c>
      <c r="M2113" t="s">
        <v>6</v>
      </c>
    </row>
    <row r="2114" spans="1:13" x14ac:dyDescent="0.2">
      <c r="A2114" s="1">
        <v>45515</v>
      </c>
      <c r="B2114" s="2">
        <v>0.91666666666666663</v>
      </c>
      <c r="C2114" s="3">
        <v>45515.916666666664</v>
      </c>
      <c r="D2114">
        <v>47.5</v>
      </c>
      <c r="E2114">
        <v>57.5</v>
      </c>
      <c r="F2114">
        <v>40.299999999999997</v>
      </c>
      <c r="G2114" t="s">
        <v>6</v>
      </c>
      <c r="H2114">
        <v>13.9</v>
      </c>
      <c r="I2114">
        <v>23.8</v>
      </c>
      <c r="J2114">
        <v>11.9</v>
      </c>
      <c r="K2114" t="s">
        <v>6</v>
      </c>
      <c r="L2114">
        <v>197</v>
      </c>
      <c r="M2114" t="s">
        <v>6</v>
      </c>
    </row>
    <row r="2115" spans="1:13" x14ac:dyDescent="0.2">
      <c r="A2115" s="1">
        <v>45515</v>
      </c>
      <c r="B2115" s="2">
        <v>0.95833333333333337</v>
      </c>
      <c r="C2115" s="3">
        <v>45515.958333333336</v>
      </c>
      <c r="D2115">
        <v>44.1</v>
      </c>
      <c r="E2115">
        <v>48.2</v>
      </c>
      <c r="F2115">
        <v>41.1</v>
      </c>
      <c r="G2115" t="s">
        <v>6</v>
      </c>
      <c r="H2115">
        <v>14</v>
      </c>
      <c r="I2115">
        <v>23.7</v>
      </c>
      <c r="J2115">
        <v>11.6</v>
      </c>
      <c r="K2115" t="s">
        <v>6</v>
      </c>
      <c r="L2115">
        <v>224</v>
      </c>
      <c r="M2115" t="s">
        <v>6</v>
      </c>
    </row>
    <row r="2116" spans="1:13" x14ac:dyDescent="0.2">
      <c r="A2116" s="1">
        <v>45516</v>
      </c>
      <c r="B2116" s="2">
        <v>0</v>
      </c>
      <c r="C2116" s="3">
        <v>45516</v>
      </c>
      <c r="D2116">
        <v>44.5</v>
      </c>
      <c r="E2116">
        <v>49.9</v>
      </c>
      <c r="F2116">
        <v>40.1</v>
      </c>
      <c r="G2116" t="s">
        <v>6</v>
      </c>
      <c r="H2116">
        <v>14</v>
      </c>
      <c r="I2116">
        <v>25.4</v>
      </c>
      <c r="J2116">
        <v>11.1</v>
      </c>
      <c r="K2116" t="s">
        <v>6</v>
      </c>
      <c r="L2116">
        <v>204</v>
      </c>
      <c r="M2116" t="s">
        <v>6</v>
      </c>
    </row>
    <row r="2117" spans="1:13" x14ac:dyDescent="0.2">
      <c r="A2117" s="1">
        <v>45516</v>
      </c>
      <c r="B2117" s="2">
        <v>4.1666666666666664E-2</v>
      </c>
      <c r="C2117" s="3">
        <v>45516.041666666664</v>
      </c>
      <c r="D2117">
        <v>44.6</v>
      </c>
      <c r="E2117">
        <v>48.7</v>
      </c>
      <c r="F2117">
        <v>40.200000000000003</v>
      </c>
      <c r="G2117" t="s">
        <v>6</v>
      </c>
      <c r="H2117">
        <v>14</v>
      </c>
      <c r="I2117">
        <v>23.8</v>
      </c>
      <c r="J2117">
        <v>11.2</v>
      </c>
      <c r="K2117" t="s">
        <v>6</v>
      </c>
      <c r="L2117">
        <v>226</v>
      </c>
      <c r="M2117" t="s">
        <v>6</v>
      </c>
    </row>
    <row r="2118" spans="1:13" x14ac:dyDescent="0.2">
      <c r="A2118" s="1">
        <v>45516</v>
      </c>
      <c r="B2118" s="2">
        <v>8.3333333333333329E-2</v>
      </c>
      <c r="C2118" s="3">
        <v>45516.083333333336</v>
      </c>
      <c r="D2118">
        <v>42.4</v>
      </c>
      <c r="E2118">
        <v>58.6</v>
      </c>
      <c r="F2118">
        <v>40.1</v>
      </c>
      <c r="G2118" t="s">
        <v>6</v>
      </c>
      <c r="H2118">
        <v>13.4</v>
      </c>
      <c r="I2118">
        <v>23</v>
      </c>
      <c r="J2118">
        <v>11.3</v>
      </c>
      <c r="K2118" t="s">
        <v>6</v>
      </c>
      <c r="L2118">
        <v>180</v>
      </c>
      <c r="M2118" t="s">
        <v>6</v>
      </c>
    </row>
    <row r="2119" spans="1:13" x14ac:dyDescent="0.2">
      <c r="A2119" s="1">
        <v>45516</v>
      </c>
      <c r="B2119" s="2">
        <v>0.125</v>
      </c>
      <c r="C2119" s="3">
        <v>45516.125</v>
      </c>
      <c r="D2119">
        <v>53.6</v>
      </c>
      <c r="E2119">
        <v>62.4</v>
      </c>
      <c r="F2119">
        <v>43.4</v>
      </c>
      <c r="G2119" t="s">
        <v>6</v>
      </c>
      <c r="H2119">
        <v>12.3</v>
      </c>
      <c r="I2119">
        <v>23.6</v>
      </c>
      <c r="J2119">
        <v>11</v>
      </c>
      <c r="K2119" t="s">
        <v>6</v>
      </c>
      <c r="L2119">
        <v>223</v>
      </c>
      <c r="M2119" t="s">
        <v>6</v>
      </c>
    </row>
    <row r="2120" spans="1:13" x14ac:dyDescent="0.2">
      <c r="A2120" s="1">
        <v>45516</v>
      </c>
      <c r="B2120" s="2">
        <v>0.16666666666666666</v>
      </c>
      <c r="C2120" s="3">
        <v>45516.166666666664</v>
      </c>
      <c r="D2120">
        <v>55.6</v>
      </c>
      <c r="E2120">
        <v>68.400000000000006</v>
      </c>
      <c r="F2120">
        <v>44.2</v>
      </c>
      <c r="G2120" t="s">
        <v>6</v>
      </c>
      <c r="H2120">
        <v>11.9</v>
      </c>
      <c r="I2120">
        <v>16.100000000000001</v>
      </c>
      <c r="J2120">
        <v>10.8</v>
      </c>
      <c r="K2120" t="s">
        <v>6</v>
      </c>
      <c r="L2120">
        <v>220</v>
      </c>
      <c r="M2120" t="s">
        <v>6</v>
      </c>
    </row>
    <row r="2121" spans="1:13" x14ac:dyDescent="0.2">
      <c r="A2121" s="1">
        <v>45516</v>
      </c>
      <c r="B2121" s="2">
        <v>0.20833333333333334</v>
      </c>
      <c r="C2121" s="3">
        <v>45516.208333333336</v>
      </c>
      <c r="D2121">
        <v>58.7</v>
      </c>
      <c r="E2121">
        <v>63.8</v>
      </c>
      <c r="F2121">
        <v>53.7</v>
      </c>
      <c r="G2121" t="s">
        <v>6</v>
      </c>
      <c r="H2121">
        <v>12.8</v>
      </c>
      <c r="I2121">
        <v>20.8</v>
      </c>
      <c r="J2121">
        <v>11</v>
      </c>
      <c r="K2121" t="s">
        <v>6</v>
      </c>
      <c r="L2121">
        <v>218</v>
      </c>
      <c r="M2121" t="s">
        <v>6</v>
      </c>
    </row>
    <row r="2122" spans="1:13" x14ac:dyDescent="0.2">
      <c r="A2122" s="1">
        <v>45516</v>
      </c>
      <c r="B2122" s="2">
        <v>0.25</v>
      </c>
      <c r="C2122" s="3">
        <v>45516.25</v>
      </c>
      <c r="D2122">
        <v>52.1</v>
      </c>
      <c r="E2122">
        <v>54.6</v>
      </c>
      <c r="F2122">
        <v>48.5</v>
      </c>
      <c r="G2122" t="s">
        <v>6</v>
      </c>
      <c r="H2122">
        <v>14</v>
      </c>
      <c r="I2122">
        <v>29.2</v>
      </c>
      <c r="J2122">
        <v>10.9</v>
      </c>
      <c r="K2122" t="s">
        <v>6</v>
      </c>
      <c r="L2122">
        <v>123</v>
      </c>
      <c r="M2122" t="s">
        <v>6</v>
      </c>
    </row>
    <row r="2123" spans="1:13" x14ac:dyDescent="0.2">
      <c r="A2123" s="1">
        <v>45516</v>
      </c>
      <c r="B2123" s="2">
        <v>0.29166666666666669</v>
      </c>
      <c r="C2123" s="3">
        <v>45516.291666666664</v>
      </c>
      <c r="D2123">
        <v>49.9</v>
      </c>
      <c r="E2123">
        <v>50.8</v>
      </c>
      <c r="F2123">
        <v>49</v>
      </c>
      <c r="G2123" t="s">
        <v>6</v>
      </c>
      <c r="H2123">
        <v>14.6</v>
      </c>
      <c r="I2123">
        <v>16.7</v>
      </c>
      <c r="J2123">
        <v>12</v>
      </c>
      <c r="K2123" t="s">
        <v>6</v>
      </c>
      <c r="L2123">
        <v>18</v>
      </c>
      <c r="M2123" t="s">
        <v>6</v>
      </c>
    </row>
    <row r="2124" spans="1:13" x14ac:dyDescent="0.2">
      <c r="A2124" s="13">
        <v>45516</v>
      </c>
      <c r="B2124" s="9">
        <v>0.33333333333333331</v>
      </c>
      <c r="C2124" s="8">
        <v>45516.333333333336</v>
      </c>
      <c r="D2124" s="10">
        <v>49.4</v>
      </c>
      <c r="E2124" s="10">
        <v>49.4</v>
      </c>
      <c r="F2124" s="10">
        <v>49.4</v>
      </c>
      <c r="G2124" s="10" t="s">
        <v>6</v>
      </c>
      <c r="H2124" s="10">
        <v>11.5</v>
      </c>
      <c r="I2124" s="10">
        <v>11.6</v>
      </c>
      <c r="J2124" s="10">
        <v>11.4</v>
      </c>
      <c r="K2124" s="10" t="s">
        <v>6</v>
      </c>
      <c r="L2124" s="10">
        <v>8</v>
      </c>
      <c r="M2124" t="s">
        <v>6</v>
      </c>
    </row>
    <row r="2125" spans="1:13" x14ac:dyDescent="0.2">
      <c r="A2125" s="14">
        <v>45516</v>
      </c>
      <c r="B2125" s="12">
        <v>0.375</v>
      </c>
      <c r="C2125" s="7">
        <v>45516.375</v>
      </c>
      <c r="D2125" s="11">
        <v>49.8</v>
      </c>
      <c r="E2125" s="11">
        <v>51.7</v>
      </c>
      <c r="F2125" s="11">
        <v>48.2</v>
      </c>
      <c r="G2125" s="11" t="s">
        <v>6</v>
      </c>
      <c r="H2125" s="11">
        <v>16.899999999999999</v>
      </c>
      <c r="I2125" s="11">
        <v>27.3</v>
      </c>
      <c r="J2125" s="11">
        <v>13.7</v>
      </c>
      <c r="K2125" s="11" t="s">
        <v>6</v>
      </c>
      <c r="L2125" s="11">
        <v>49</v>
      </c>
      <c r="M2125" t="s">
        <v>6</v>
      </c>
    </row>
    <row r="2126" spans="1:13" x14ac:dyDescent="0.2">
      <c r="A2126" s="1">
        <v>45516</v>
      </c>
      <c r="B2126" s="2">
        <v>0.41666666666666669</v>
      </c>
      <c r="C2126" s="3">
        <v>45516.416666666664</v>
      </c>
      <c r="D2126">
        <v>47.1</v>
      </c>
      <c r="E2126">
        <v>51.3</v>
      </c>
      <c r="F2126">
        <v>44</v>
      </c>
      <c r="G2126" t="s">
        <v>6</v>
      </c>
      <c r="H2126">
        <v>14.6</v>
      </c>
      <c r="I2126">
        <v>26.9</v>
      </c>
      <c r="J2126">
        <v>10.6</v>
      </c>
      <c r="K2126" t="s">
        <v>6</v>
      </c>
      <c r="L2126">
        <v>202</v>
      </c>
      <c r="M2126" t="s">
        <v>6</v>
      </c>
    </row>
    <row r="2127" spans="1:13" x14ac:dyDescent="0.2">
      <c r="A2127" s="1">
        <v>45516</v>
      </c>
      <c r="B2127" s="2">
        <v>0.45833333333333331</v>
      </c>
      <c r="C2127" s="3">
        <v>45516.458333333336</v>
      </c>
      <c r="D2127">
        <v>52.8</v>
      </c>
      <c r="E2127">
        <v>69.5</v>
      </c>
      <c r="F2127">
        <v>43.4</v>
      </c>
      <c r="G2127" t="s">
        <v>6</v>
      </c>
      <c r="H2127">
        <v>14.8</v>
      </c>
      <c r="I2127">
        <v>27.6</v>
      </c>
      <c r="J2127">
        <v>11.5</v>
      </c>
      <c r="K2127" t="s">
        <v>6</v>
      </c>
      <c r="L2127">
        <v>196</v>
      </c>
      <c r="M2127" t="s">
        <v>6</v>
      </c>
    </row>
    <row r="2128" spans="1:13" x14ac:dyDescent="0.2">
      <c r="A2128" s="1">
        <v>45516</v>
      </c>
      <c r="B2128" s="2">
        <v>0.5</v>
      </c>
      <c r="C2128" s="3">
        <v>45516.5</v>
      </c>
      <c r="D2128">
        <v>60.8</v>
      </c>
      <c r="E2128">
        <v>68.3</v>
      </c>
      <c r="F2128">
        <v>57</v>
      </c>
      <c r="G2128" t="s">
        <v>6</v>
      </c>
      <c r="H2128">
        <v>14.2</v>
      </c>
      <c r="I2128">
        <v>20.8</v>
      </c>
      <c r="J2128">
        <v>11</v>
      </c>
      <c r="K2128" t="s">
        <v>6</v>
      </c>
      <c r="L2128">
        <v>120</v>
      </c>
      <c r="M2128" t="s">
        <v>6</v>
      </c>
    </row>
    <row r="2129" spans="1:13" x14ac:dyDescent="0.2">
      <c r="A2129" s="1">
        <v>45516</v>
      </c>
      <c r="B2129" s="2">
        <v>0.54166666666666663</v>
      </c>
      <c r="C2129" s="3">
        <v>45516.541666666664</v>
      </c>
      <c r="D2129">
        <v>43.5</v>
      </c>
      <c r="E2129">
        <v>68.3</v>
      </c>
      <c r="F2129">
        <v>40.200000000000003</v>
      </c>
      <c r="G2129" t="s">
        <v>6</v>
      </c>
      <c r="H2129">
        <v>14.8</v>
      </c>
      <c r="I2129">
        <v>19.7</v>
      </c>
      <c r="J2129">
        <v>10.9</v>
      </c>
      <c r="K2129" t="s">
        <v>6</v>
      </c>
      <c r="L2129">
        <v>39</v>
      </c>
      <c r="M2129" t="s">
        <v>6</v>
      </c>
    </row>
    <row r="2130" spans="1:13" x14ac:dyDescent="0.2">
      <c r="A2130" s="1">
        <v>45516</v>
      </c>
      <c r="B2130" s="2">
        <v>0.58333333333333337</v>
      </c>
      <c r="C2130" s="3">
        <v>45516.583333333336</v>
      </c>
      <c r="D2130">
        <v>54</v>
      </c>
      <c r="E2130">
        <v>71</v>
      </c>
      <c r="F2130">
        <v>40.4</v>
      </c>
      <c r="G2130" t="s">
        <v>6</v>
      </c>
      <c r="H2130">
        <v>14.3</v>
      </c>
      <c r="I2130">
        <v>22.2</v>
      </c>
      <c r="J2130">
        <v>11.4</v>
      </c>
      <c r="K2130" t="s">
        <v>6</v>
      </c>
      <c r="L2130">
        <v>177</v>
      </c>
      <c r="M2130" t="s">
        <v>6</v>
      </c>
    </row>
    <row r="2131" spans="1:13" x14ac:dyDescent="0.2">
      <c r="A2131" s="1">
        <v>45516</v>
      </c>
      <c r="B2131" s="2">
        <v>0.625</v>
      </c>
      <c r="C2131" s="3">
        <v>45516.625</v>
      </c>
      <c r="D2131">
        <v>64.099999999999994</v>
      </c>
      <c r="E2131">
        <v>69.8</v>
      </c>
      <c r="F2131">
        <v>58.1</v>
      </c>
      <c r="G2131" t="s">
        <v>6</v>
      </c>
      <c r="H2131">
        <v>13.9</v>
      </c>
      <c r="I2131">
        <v>18</v>
      </c>
      <c r="J2131">
        <v>11</v>
      </c>
      <c r="K2131" t="s">
        <v>6</v>
      </c>
      <c r="L2131">
        <v>186</v>
      </c>
      <c r="M2131" t="s">
        <v>6</v>
      </c>
    </row>
    <row r="2132" spans="1:13" x14ac:dyDescent="0.2">
      <c r="A2132" s="1">
        <v>45516</v>
      </c>
      <c r="B2132" s="2">
        <v>0.66666666666666663</v>
      </c>
      <c r="C2132" s="3">
        <v>45516.666666666664</v>
      </c>
      <c r="D2132">
        <v>62.5</v>
      </c>
      <c r="E2132">
        <v>67.7</v>
      </c>
      <c r="F2132">
        <v>57</v>
      </c>
      <c r="G2132" t="s">
        <v>6</v>
      </c>
      <c r="H2132">
        <v>13.5</v>
      </c>
      <c r="I2132">
        <v>19.5</v>
      </c>
      <c r="J2132">
        <v>10.6</v>
      </c>
      <c r="K2132" t="s">
        <v>6</v>
      </c>
      <c r="L2132">
        <v>159</v>
      </c>
      <c r="M2132" t="s">
        <v>6</v>
      </c>
    </row>
    <row r="2133" spans="1:13" x14ac:dyDescent="0.2">
      <c r="A2133" s="1">
        <v>45516</v>
      </c>
      <c r="B2133" s="2">
        <v>0.70833333333333337</v>
      </c>
      <c r="C2133" s="3">
        <v>45516.708333333336</v>
      </c>
      <c r="D2133">
        <v>60.7</v>
      </c>
      <c r="E2133">
        <v>64.599999999999994</v>
      </c>
      <c r="F2133">
        <v>58.1</v>
      </c>
      <c r="G2133" t="s">
        <v>6</v>
      </c>
      <c r="H2133">
        <v>14.6</v>
      </c>
      <c r="I2133">
        <v>20.8</v>
      </c>
      <c r="J2133">
        <v>11.2</v>
      </c>
      <c r="K2133" t="s">
        <v>6</v>
      </c>
      <c r="L2133">
        <v>44</v>
      </c>
      <c r="M2133" t="s">
        <v>6</v>
      </c>
    </row>
    <row r="2134" spans="1:13" x14ac:dyDescent="0.2">
      <c r="A2134" s="1">
        <v>45516</v>
      </c>
      <c r="B2134" s="2">
        <v>0.75</v>
      </c>
      <c r="C2134" s="3">
        <v>45516.75</v>
      </c>
      <c r="D2134">
        <v>52.9</v>
      </c>
      <c r="E2134">
        <v>65.099999999999994</v>
      </c>
      <c r="F2134">
        <v>45.3</v>
      </c>
      <c r="G2134" t="s">
        <v>6</v>
      </c>
      <c r="H2134">
        <v>14.9</v>
      </c>
      <c r="I2134">
        <v>18.7</v>
      </c>
      <c r="J2134">
        <v>12.1</v>
      </c>
      <c r="K2134" t="s">
        <v>6</v>
      </c>
      <c r="L2134">
        <v>118</v>
      </c>
      <c r="M2134" t="s">
        <v>6</v>
      </c>
    </row>
    <row r="2135" spans="1:13" x14ac:dyDescent="0.2">
      <c r="A2135" s="1">
        <v>45516</v>
      </c>
      <c r="B2135" s="2">
        <v>0.79166666666666663</v>
      </c>
      <c r="C2135" s="3">
        <v>45516.791666666664</v>
      </c>
      <c r="D2135">
        <v>46.6</v>
      </c>
      <c r="E2135">
        <v>52.7</v>
      </c>
      <c r="F2135">
        <v>43.4</v>
      </c>
      <c r="G2135" t="s">
        <v>6</v>
      </c>
      <c r="H2135">
        <v>16.5</v>
      </c>
      <c r="I2135">
        <v>21.1</v>
      </c>
      <c r="J2135">
        <v>12.8</v>
      </c>
      <c r="K2135" t="s">
        <v>6</v>
      </c>
      <c r="L2135">
        <v>202</v>
      </c>
      <c r="M2135" t="s">
        <v>6</v>
      </c>
    </row>
    <row r="2136" spans="1:13" x14ac:dyDescent="0.2">
      <c r="A2136" s="1">
        <v>45516</v>
      </c>
      <c r="B2136" s="2">
        <v>0.83333333333333337</v>
      </c>
      <c r="C2136" s="3">
        <v>45516.833333333336</v>
      </c>
      <c r="D2136">
        <v>46.1</v>
      </c>
      <c r="E2136">
        <v>48.6</v>
      </c>
      <c r="F2136">
        <v>44</v>
      </c>
      <c r="G2136" t="s">
        <v>6</v>
      </c>
      <c r="H2136">
        <v>17.8</v>
      </c>
      <c r="I2136">
        <v>27.2</v>
      </c>
      <c r="J2136">
        <v>12.6</v>
      </c>
      <c r="K2136" t="s">
        <v>6</v>
      </c>
      <c r="L2136">
        <v>224</v>
      </c>
      <c r="M2136" t="s">
        <v>6</v>
      </c>
    </row>
    <row r="2137" spans="1:13" x14ac:dyDescent="0.2">
      <c r="A2137" s="1">
        <v>45516</v>
      </c>
      <c r="B2137" s="2">
        <v>0.875</v>
      </c>
      <c r="C2137" s="3">
        <v>45516.875</v>
      </c>
      <c r="D2137">
        <v>46.1</v>
      </c>
      <c r="E2137">
        <v>53.3</v>
      </c>
      <c r="F2137">
        <v>42</v>
      </c>
      <c r="G2137" t="s">
        <v>6</v>
      </c>
      <c r="H2137">
        <v>14.6</v>
      </c>
      <c r="I2137">
        <v>25.9</v>
      </c>
      <c r="J2137">
        <v>12.3</v>
      </c>
      <c r="K2137" t="s">
        <v>6</v>
      </c>
      <c r="L2137">
        <v>172</v>
      </c>
      <c r="M2137" t="s">
        <v>6</v>
      </c>
    </row>
    <row r="2138" spans="1:13" x14ac:dyDescent="0.2">
      <c r="A2138" s="1">
        <v>45516</v>
      </c>
      <c r="B2138" s="2">
        <v>0.91666666666666663</v>
      </c>
      <c r="C2138" s="3">
        <v>45516.916666666664</v>
      </c>
      <c r="D2138">
        <v>46</v>
      </c>
      <c r="E2138">
        <v>64.5</v>
      </c>
      <c r="F2138">
        <v>40.1</v>
      </c>
      <c r="G2138" t="s">
        <v>6</v>
      </c>
      <c r="H2138">
        <v>14.6</v>
      </c>
      <c r="I2138">
        <v>25.4</v>
      </c>
      <c r="J2138">
        <v>11.2</v>
      </c>
      <c r="K2138" t="s">
        <v>6</v>
      </c>
      <c r="L2138">
        <v>167</v>
      </c>
      <c r="M2138" t="s">
        <v>6</v>
      </c>
    </row>
    <row r="2139" spans="1:13" x14ac:dyDescent="0.2">
      <c r="A2139" s="1">
        <v>45516</v>
      </c>
      <c r="B2139" s="2">
        <v>0.95833333333333337</v>
      </c>
      <c r="C2139" s="3">
        <v>45516.958333333336</v>
      </c>
      <c r="D2139">
        <v>40.4</v>
      </c>
      <c r="E2139">
        <v>40.700000000000003</v>
      </c>
      <c r="F2139">
        <v>40.200000000000003</v>
      </c>
      <c r="G2139" t="s">
        <v>6</v>
      </c>
      <c r="H2139">
        <v>13</v>
      </c>
      <c r="I2139">
        <v>13.8</v>
      </c>
      <c r="J2139">
        <v>12.2</v>
      </c>
      <c r="K2139" t="s">
        <v>6</v>
      </c>
      <c r="L2139">
        <v>14</v>
      </c>
      <c r="M2139" t="s">
        <v>6</v>
      </c>
    </row>
    <row r="2140" spans="1:13" x14ac:dyDescent="0.2">
      <c r="A2140" s="1">
        <v>45517</v>
      </c>
      <c r="B2140" s="2">
        <v>0</v>
      </c>
      <c r="C2140" s="3">
        <v>45517</v>
      </c>
      <c r="D2140">
        <v>43.1</v>
      </c>
      <c r="E2140">
        <v>65.3</v>
      </c>
      <c r="F2140">
        <v>40.299999999999997</v>
      </c>
      <c r="G2140" t="s">
        <v>6</v>
      </c>
      <c r="H2140">
        <v>14.3</v>
      </c>
      <c r="I2140">
        <v>24.4</v>
      </c>
      <c r="J2140">
        <v>11.5</v>
      </c>
      <c r="K2140" t="s">
        <v>6</v>
      </c>
      <c r="L2140">
        <v>141</v>
      </c>
      <c r="M2140" t="s">
        <v>6</v>
      </c>
    </row>
    <row r="2141" spans="1:13" x14ac:dyDescent="0.2">
      <c r="A2141" s="1">
        <v>45517</v>
      </c>
      <c r="B2141" s="2">
        <v>4.1666666666666664E-2</v>
      </c>
      <c r="C2141" s="3">
        <v>45517.041666666664</v>
      </c>
      <c r="D2141">
        <v>46.2</v>
      </c>
      <c r="E2141">
        <v>54.4</v>
      </c>
      <c r="F2141">
        <v>40.1</v>
      </c>
      <c r="G2141" t="s">
        <v>6</v>
      </c>
      <c r="H2141">
        <v>12.8</v>
      </c>
      <c r="I2141">
        <v>17.7</v>
      </c>
      <c r="J2141">
        <v>11.4</v>
      </c>
      <c r="K2141" t="s">
        <v>6</v>
      </c>
      <c r="L2141">
        <v>207</v>
      </c>
      <c r="M2141" t="s">
        <v>6</v>
      </c>
    </row>
    <row r="2142" spans="1:13" x14ac:dyDescent="0.2">
      <c r="A2142" s="1">
        <v>45517</v>
      </c>
      <c r="B2142" s="2">
        <v>8.3333333333333329E-2</v>
      </c>
      <c r="C2142" s="3">
        <v>45517.083333333336</v>
      </c>
      <c r="D2142">
        <v>43.3</v>
      </c>
      <c r="E2142">
        <v>49.2</v>
      </c>
      <c r="F2142">
        <v>40.200000000000003</v>
      </c>
      <c r="G2142" t="s">
        <v>6</v>
      </c>
      <c r="H2142">
        <v>12.5</v>
      </c>
      <c r="I2142">
        <v>14.3</v>
      </c>
      <c r="J2142">
        <v>11.1</v>
      </c>
      <c r="K2142" t="s">
        <v>6</v>
      </c>
      <c r="L2142">
        <v>123</v>
      </c>
      <c r="M2142" t="s">
        <v>6</v>
      </c>
    </row>
    <row r="2143" spans="1:13" x14ac:dyDescent="0.2">
      <c r="A2143" s="1">
        <v>45517</v>
      </c>
      <c r="B2143" s="2">
        <v>0.125</v>
      </c>
      <c r="C2143" s="3">
        <v>45517.125</v>
      </c>
      <c r="D2143">
        <v>41.9</v>
      </c>
      <c r="E2143">
        <v>43.6</v>
      </c>
      <c r="F2143">
        <v>40.5</v>
      </c>
      <c r="G2143" t="s">
        <v>6</v>
      </c>
      <c r="H2143">
        <v>13.3</v>
      </c>
      <c r="I2143">
        <v>18.8</v>
      </c>
      <c r="J2143">
        <v>11.5</v>
      </c>
      <c r="K2143" t="s">
        <v>6</v>
      </c>
      <c r="L2143">
        <v>46</v>
      </c>
      <c r="M2143" t="s">
        <v>6</v>
      </c>
    </row>
    <row r="2144" spans="1:13" x14ac:dyDescent="0.2">
      <c r="A2144" s="1">
        <v>45517</v>
      </c>
      <c r="B2144" s="2">
        <v>0.16666666666666666</v>
      </c>
      <c r="C2144" s="3">
        <v>45517.166666666664</v>
      </c>
      <c r="D2144">
        <v>47</v>
      </c>
      <c r="E2144">
        <v>59.8</v>
      </c>
      <c r="F2144">
        <v>41</v>
      </c>
      <c r="G2144" t="s">
        <v>6</v>
      </c>
      <c r="H2144">
        <v>14.5</v>
      </c>
      <c r="I2144">
        <v>33.700000000000003</v>
      </c>
      <c r="J2144">
        <v>10.7</v>
      </c>
      <c r="K2144" t="s">
        <v>6</v>
      </c>
      <c r="L2144">
        <v>219</v>
      </c>
      <c r="M2144" t="s">
        <v>6</v>
      </c>
    </row>
    <row r="2145" spans="1:13" x14ac:dyDescent="0.2">
      <c r="A2145" s="1">
        <v>45517</v>
      </c>
      <c r="B2145" s="2">
        <v>0.20833333333333334</v>
      </c>
      <c r="C2145" s="3">
        <v>45517.208333333336</v>
      </c>
      <c r="D2145">
        <v>58.5</v>
      </c>
      <c r="E2145">
        <v>79.099999999999994</v>
      </c>
      <c r="F2145">
        <v>45.8</v>
      </c>
      <c r="G2145" t="s">
        <v>6</v>
      </c>
      <c r="H2145">
        <v>13</v>
      </c>
      <c r="I2145">
        <v>24.6</v>
      </c>
      <c r="J2145">
        <v>10.9</v>
      </c>
      <c r="K2145" t="s">
        <v>6</v>
      </c>
      <c r="L2145">
        <v>201</v>
      </c>
      <c r="M2145" t="s">
        <v>6</v>
      </c>
    </row>
    <row r="2146" spans="1:13" x14ac:dyDescent="0.2">
      <c r="A2146" s="13">
        <v>45517</v>
      </c>
      <c r="B2146" s="9">
        <v>0.25</v>
      </c>
      <c r="C2146" s="8">
        <v>45517.25</v>
      </c>
      <c r="D2146" s="10">
        <v>59.2</v>
      </c>
      <c r="E2146" s="10">
        <v>59.4</v>
      </c>
      <c r="F2146" s="10">
        <v>59.2</v>
      </c>
      <c r="G2146" s="10" t="s">
        <v>6</v>
      </c>
      <c r="H2146" s="10">
        <v>12.4</v>
      </c>
      <c r="I2146" s="10">
        <v>13.9</v>
      </c>
      <c r="J2146" s="10">
        <v>11.2</v>
      </c>
      <c r="K2146" s="10" t="s">
        <v>6</v>
      </c>
      <c r="L2146" s="10">
        <v>15</v>
      </c>
      <c r="M2146" t="s">
        <v>6</v>
      </c>
    </row>
    <row r="2147" spans="1:13" x14ac:dyDescent="0.2">
      <c r="A2147" s="14">
        <v>45517</v>
      </c>
      <c r="B2147" s="12">
        <v>0.375</v>
      </c>
      <c r="C2147" s="7">
        <v>45517.375</v>
      </c>
      <c r="D2147" s="11">
        <v>59.8</v>
      </c>
      <c r="E2147" s="11">
        <v>61.8</v>
      </c>
      <c r="F2147" s="11">
        <v>55.6</v>
      </c>
      <c r="G2147" s="11" t="s">
        <v>6</v>
      </c>
      <c r="H2147" s="11">
        <v>12.3</v>
      </c>
      <c r="I2147" s="11">
        <v>15.1</v>
      </c>
      <c r="J2147" s="11">
        <v>10.6</v>
      </c>
      <c r="K2147" s="11" t="s">
        <v>6</v>
      </c>
      <c r="L2147" s="11">
        <v>20</v>
      </c>
      <c r="M2147" t="s">
        <v>6</v>
      </c>
    </row>
    <row r="2148" spans="1:13" x14ac:dyDescent="0.2">
      <c r="A2148" s="1">
        <v>45517</v>
      </c>
      <c r="B2148" s="2">
        <v>0.41666666666666669</v>
      </c>
      <c r="C2148" s="3">
        <v>45517.416666666664</v>
      </c>
      <c r="D2148">
        <v>62.2</v>
      </c>
      <c r="E2148">
        <v>70.2</v>
      </c>
      <c r="F2148">
        <v>60.2</v>
      </c>
      <c r="G2148" t="s">
        <v>6</v>
      </c>
      <c r="H2148">
        <v>25.4</v>
      </c>
      <c r="I2148">
        <v>34.799999999999997</v>
      </c>
      <c r="J2148">
        <v>14.2</v>
      </c>
      <c r="K2148" t="s">
        <v>6</v>
      </c>
      <c r="L2148">
        <v>24</v>
      </c>
      <c r="M2148" t="s">
        <v>6</v>
      </c>
    </row>
    <row r="2149" spans="1:13" x14ac:dyDescent="0.2">
      <c r="A2149" s="1">
        <v>45517</v>
      </c>
      <c r="B2149" s="2">
        <v>0.45833333333333331</v>
      </c>
      <c r="C2149" s="3">
        <v>45517.458333333336</v>
      </c>
      <c r="D2149">
        <v>65.599999999999994</v>
      </c>
      <c r="E2149">
        <v>67.5</v>
      </c>
      <c r="F2149">
        <v>64.7</v>
      </c>
      <c r="G2149" t="s">
        <v>6</v>
      </c>
      <c r="H2149">
        <v>17.399999999999999</v>
      </c>
      <c r="I2149">
        <v>20</v>
      </c>
      <c r="J2149">
        <v>15.6</v>
      </c>
      <c r="K2149" t="s">
        <v>6</v>
      </c>
      <c r="L2149">
        <v>7</v>
      </c>
      <c r="M2149" t="s">
        <v>6</v>
      </c>
    </row>
    <row r="2150" spans="1:13" x14ac:dyDescent="0.2">
      <c r="A2150" s="1">
        <v>45517</v>
      </c>
      <c r="B2150" s="2">
        <v>0.5</v>
      </c>
      <c r="C2150" s="3">
        <v>45517.5</v>
      </c>
      <c r="D2150">
        <v>64.900000000000006</v>
      </c>
      <c r="E2150">
        <v>70</v>
      </c>
      <c r="F2150">
        <v>61.5</v>
      </c>
      <c r="G2150" t="s">
        <v>6</v>
      </c>
      <c r="H2150">
        <v>13.2</v>
      </c>
      <c r="I2150">
        <v>22.4</v>
      </c>
      <c r="J2150">
        <v>10.5</v>
      </c>
      <c r="K2150" t="s">
        <v>6</v>
      </c>
      <c r="L2150">
        <v>166</v>
      </c>
      <c r="M2150" t="s">
        <v>6</v>
      </c>
    </row>
    <row r="2151" spans="1:13" x14ac:dyDescent="0.2">
      <c r="A2151" s="1">
        <v>45517</v>
      </c>
      <c r="B2151" s="2">
        <v>0.54166666666666663</v>
      </c>
      <c r="C2151" s="3">
        <v>45517.541666666664</v>
      </c>
      <c r="D2151">
        <v>60.2</v>
      </c>
      <c r="E2151">
        <v>62.8</v>
      </c>
      <c r="F2151">
        <v>57.9</v>
      </c>
      <c r="G2151" t="s">
        <v>6</v>
      </c>
      <c r="H2151">
        <v>13.2</v>
      </c>
      <c r="I2151">
        <v>17.899999999999999</v>
      </c>
      <c r="J2151">
        <v>10.9</v>
      </c>
      <c r="K2151" t="s">
        <v>6</v>
      </c>
      <c r="L2151">
        <v>115</v>
      </c>
      <c r="M2151" t="s">
        <v>6</v>
      </c>
    </row>
    <row r="2152" spans="1:13" x14ac:dyDescent="0.2">
      <c r="A2152" s="1">
        <v>45517</v>
      </c>
      <c r="B2152" s="2">
        <v>0.58333333333333337</v>
      </c>
      <c r="C2152" s="3">
        <v>45517.583333333336</v>
      </c>
      <c r="D2152">
        <v>56.4</v>
      </c>
      <c r="E2152">
        <v>59.8</v>
      </c>
      <c r="F2152">
        <v>52.1</v>
      </c>
      <c r="G2152" t="s">
        <v>6</v>
      </c>
      <c r="H2152">
        <v>13.7</v>
      </c>
      <c r="I2152">
        <v>18.2</v>
      </c>
      <c r="J2152">
        <v>11.5</v>
      </c>
      <c r="K2152" t="s">
        <v>6</v>
      </c>
      <c r="L2152">
        <v>216</v>
      </c>
      <c r="M2152" t="s">
        <v>6</v>
      </c>
    </row>
    <row r="2153" spans="1:13" x14ac:dyDescent="0.2">
      <c r="A2153" s="1">
        <v>45517</v>
      </c>
      <c r="B2153" s="2">
        <v>0.625</v>
      </c>
      <c r="C2153" s="3">
        <v>45517.625</v>
      </c>
      <c r="D2153">
        <v>47.9</v>
      </c>
      <c r="E2153">
        <v>54.1</v>
      </c>
      <c r="F2153">
        <v>44.1</v>
      </c>
      <c r="G2153" t="s">
        <v>6</v>
      </c>
      <c r="H2153">
        <v>12.3</v>
      </c>
      <c r="I2153">
        <v>17.399999999999999</v>
      </c>
      <c r="J2153">
        <v>9.6</v>
      </c>
      <c r="K2153" t="s">
        <v>6</v>
      </c>
      <c r="L2153">
        <v>227</v>
      </c>
      <c r="M2153" t="s">
        <v>6</v>
      </c>
    </row>
    <row r="2154" spans="1:13" x14ac:dyDescent="0.2">
      <c r="A2154" s="1">
        <v>45517</v>
      </c>
      <c r="B2154" s="2">
        <v>0.66666666666666663</v>
      </c>
      <c r="C2154" s="3">
        <v>45517.666666666664</v>
      </c>
      <c r="D2154">
        <v>48.1</v>
      </c>
      <c r="E2154">
        <v>49.7</v>
      </c>
      <c r="F2154">
        <v>46.6</v>
      </c>
      <c r="G2154" t="s">
        <v>6</v>
      </c>
      <c r="H2154">
        <v>15.2</v>
      </c>
      <c r="I2154">
        <v>20.3</v>
      </c>
      <c r="J2154">
        <v>10.1</v>
      </c>
      <c r="K2154" t="s">
        <v>6</v>
      </c>
      <c r="L2154">
        <v>128</v>
      </c>
      <c r="M2154" t="s">
        <v>6</v>
      </c>
    </row>
    <row r="2155" spans="1:13" x14ac:dyDescent="0.2">
      <c r="A2155" s="1">
        <v>45517</v>
      </c>
      <c r="B2155" s="2">
        <v>0.75</v>
      </c>
      <c r="C2155" s="3">
        <v>45517.75</v>
      </c>
      <c r="D2155">
        <v>49.3</v>
      </c>
      <c r="E2155">
        <v>50.7</v>
      </c>
      <c r="F2155">
        <v>48.2</v>
      </c>
      <c r="G2155" t="s">
        <v>6</v>
      </c>
      <c r="H2155">
        <v>14.1</v>
      </c>
      <c r="I2155">
        <v>15.9</v>
      </c>
      <c r="J2155">
        <v>11.4</v>
      </c>
      <c r="K2155" t="s">
        <v>6</v>
      </c>
      <c r="L2155">
        <v>39</v>
      </c>
      <c r="M2155" t="s">
        <v>6</v>
      </c>
    </row>
    <row r="2156" spans="1:13" x14ac:dyDescent="0.2">
      <c r="A2156" s="1">
        <v>45517</v>
      </c>
      <c r="B2156" s="2">
        <v>0.79166666666666663</v>
      </c>
      <c r="C2156" s="3">
        <v>45517.791666666664</v>
      </c>
      <c r="D2156">
        <v>48.7</v>
      </c>
      <c r="E2156">
        <v>52.4</v>
      </c>
      <c r="F2156">
        <v>47.5</v>
      </c>
      <c r="G2156" t="s">
        <v>6</v>
      </c>
      <c r="H2156">
        <v>14.5</v>
      </c>
      <c r="I2156">
        <v>15.6</v>
      </c>
      <c r="J2156">
        <v>13.4</v>
      </c>
      <c r="K2156" t="s">
        <v>6</v>
      </c>
      <c r="L2156">
        <v>14</v>
      </c>
      <c r="M2156" t="s">
        <v>6</v>
      </c>
    </row>
    <row r="2157" spans="1:13" x14ac:dyDescent="0.2">
      <c r="A2157" s="1">
        <v>45517</v>
      </c>
      <c r="B2157" s="2">
        <v>0.83333333333333337</v>
      </c>
      <c r="C2157" s="3">
        <v>45517.833333333336</v>
      </c>
      <c r="D2157">
        <v>50.1</v>
      </c>
      <c r="E2157">
        <v>53.3</v>
      </c>
      <c r="F2157">
        <v>47.8</v>
      </c>
      <c r="G2157" t="s">
        <v>6</v>
      </c>
      <c r="H2157">
        <v>16.8</v>
      </c>
      <c r="I2157">
        <v>28</v>
      </c>
      <c r="J2157">
        <v>13.7</v>
      </c>
      <c r="K2157" t="s">
        <v>6</v>
      </c>
      <c r="L2157">
        <v>66</v>
      </c>
      <c r="M2157" t="s">
        <v>6</v>
      </c>
    </row>
    <row r="2158" spans="1:13" x14ac:dyDescent="0.2">
      <c r="A2158" s="1">
        <v>45517</v>
      </c>
      <c r="B2158" s="2">
        <v>0.875</v>
      </c>
      <c r="C2158" s="3">
        <v>45517.875</v>
      </c>
      <c r="D2158">
        <v>50.4</v>
      </c>
      <c r="E2158">
        <v>55</v>
      </c>
      <c r="F2158">
        <v>42.5</v>
      </c>
      <c r="G2158" t="s">
        <v>6</v>
      </c>
      <c r="H2158">
        <v>16.7</v>
      </c>
      <c r="I2158">
        <v>33</v>
      </c>
      <c r="J2158">
        <v>12.7</v>
      </c>
      <c r="K2158" t="s">
        <v>6</v>
      </c>
      <c r="L2158">
        <v>164</v>
      </c>
      <c r="M2158" t="s">
        <v>6</v>
      </c>
    </row>
    <row r="2159" spans="1:13" x14ac:dyDescent="0.2">
      <c r="A2159" s="1">
        <v>45517</v>
      </c>
      <c r="B2159" s="2">
        <v>0.91666666666666663</v>
      </c>
      <c r="C2159" s="3">
        <v>45517.916666666664</v>
      </c>
      <c r="D2159">
        <v>45.2</v>
      </c>
      <c r="E2159">
        <v>55.7</v>
      </c>
      <c r="F2159">
        <v>40.1</v>
      </c>
      <c r="G2159" t="s">
        <v>6</v>
      </c>
      <c r="H2159">
        <v>16.600000000000001</v>
      </c>
      <c r="I2159">
        <v>26.5</v>
      </c>
      <c r="J2159">
        <v>12.4</v>
      </c>
      <c r="K2159" t="s">
        <v>6</v>
      </c>
      <c r="L2159">
        <v>220</v>
      </c>
      <c r="M2159" t="s">
        <v>6</v>
      </c>
    </row>
    <row r="2160" spans="1:13" x14ac:dyDescent="0.2">
      <c r="A2160" s="1">
        <v>45517</v>
      </c>
      <c r="B2160" s="2">
        <v>0.95833333333333337</v>
      </c>
      <c r="C2160" s="3">
        <v>45517.958333333336</v>
      </c>
      <c r="D2160">
        <v>44.5</v>
      </c>
      <c r="E2160">
        <v>58.6</v>
      </c>
      <c r="F2160">
        <v>40.4</v>
      </c>
      <c r="G2160" t="s">
        <v>6</v>
      </c>
      <c r="H2160">
        <v>13.6</v>
      </c>
      <c r="I2160">
        <v>21.5</v>
      </c>
      <c r="J2160">
        <v>11.4</v>
      </c>
      <c r="K2160" t="s">
        <v>6</v>
      </c>
      <c r="L2160">
        <v>220</v>
      </c>
      <c r="M2160" t="s">
        <v>6</v>
      </c>
    </row>
    <row r="2161" spans="1:13" x14ac:dyDescent="0.2">
      <c r="A2161" s="1">
        <v>45518</v>
      </c>
      <c r="B2161" s="2">
        <v>0</v>
      </c>
      <c r="C2161" s="3">
        <v>45518</v>
      </c>
      <c r="D2161">
        <v>42.2</v>
      </c>
      <c r="E2161">
        <v>45</v>
      </c>
      <c r="F2161">
        <v>40.700000000000003</v>
      </c>
      <c r="G2161" t="s">
        <v>6</v>
      </c>
      <c r="H2161">
        <v>12.5</v>
      </c>
      <c r="I2161">
        <v>14.2</v>
      </c>
      <c r="J2161">
        <v>10.8</v>
      </c>
      <c r="K2161" t="s">
        <v>6</v>
      </c>
      <c r="L2161">
        <v>225</v>
      </c>
      <c r="M2161" t="s">
        <v>6</v>
      </c>
    </row>
    <row r="2162" spans="1:13" x14ac:dyDescent="0.2">
      <c r="A2162" s="1">
        <v>45518</v>
      </c>
      <c r="B2162" s="2">
        <v>4.1666666666666664E-2</v>
      </c>
      <c r="C2162" s="3">
        <v>45518.041666666664</v>
      </c>
      <c r="D2162">
        <v>48</v>
      </c>
      <c r="E2162">
        <v>54</v>
      </c>
      <c r="F2162">
        <v>42.7</v>
      </c>
      <c r="G2162" t="s">
        <v>6</v>
      </c>
      <c r="H2162">
        <v>12.3</v>
      </c>
      <c r="I2162">
        <v>16.3</v>
      </c>
      <c r="J2162">
        <v>11.1</v>
      </c>
      <c r="K2162" t="s">
        <v>6</v>
      </c>
      <c r="L2162">
        <v>222</v>
      </c>
      <c r="M2162" t="s">
        <v>6</v>
      </c>
    </row>
    <row r="2163" spans="1:13" x14ac:dyDescent="0.2">
      <c r="A2163" s="1">
        <v>45518</v>
      </c>
      <c r="B2163" s="2">
        <v>8.3333333333333329E-2</v>
      </c>
      <c r="C2163" s="3">
        <v>45518.083333333336</v>
      </c>
      <c r="D2163">
        <v>42.2</v>
      </c>
      <c r="E2163">
        <v>45.5</v>
      </c>
      <c r="F2163">
        <v>40.1</v>
      </c>
      <c r="G2163" t="s">
        <v>6</v>
      </c>
      <c r="H2163">
        <v>13.2</v>
      </c>
      <c r="I2163">
        <v>16.7</v>
      </c>
      <c r="J2163">
        <v>11.7</v>
      </c>
      <c r="K2163" t="s">
        <v>6</v>
      </c>
      <c r="L2163">
        <v>175</v>
      </c>
      <c r="M2163" t="s">
        <v>6</v>
      </c>
    </row>
    <row r="2164" spans="1:13" x14ac:dyDescent="0.2">
      <c r="A2164" s="1">
        <v>45518</v>
      </c>
      <c r="B2164" s="2">
        <v>0.125</v>
      </c>
      <c r="C2164" s="3">
        <v>45518.125</v>
      </c>
      <c r="D2164">
        <v>42.3</v>
      </c>
      <c r="E2164">
        <v>47.1</v>
      </c>
      <c r="F2164">
        <v>40.1</v>
      </c>
      <c r="G2164" t="s">
        <v>6</v>
      </c>
      <c r="H2164">
        <v>12.8</v>
      </c>
      <c r="I2164">
        <v>15.9</v>
      </c>
      <c r="J2164">
        <v>11.3</v>
      </c>
      <c r="K2164" t="s">
        <v>6</v>
      </c>
      <c r="L2164">
        <v>143</v>
      </c>
      <c r="M2164" t="s">
        <v>6</v>
      </c>
    </row>
    <row r="2165" spans="1:13" x14ac:dyDescent="0.2">
      <c r="A2165" s="1">
        <v>45518</v>
      </c>
      <c r="B2165" s="2">
        <v>0.16666666666666666</v>
      </c>
      <c r="C2165" s="3">
        <v>45518.166666666664</v>
      </c>
      <c r="D2165">
        <v>48.3</v>
      </c>
      <c r="E2165">
        <v>56.9</v>
      </c>
      <c r="F2165">
        <v>42.9</v>
      </c>
      <c r="G2165" t="s">
        <v>6</v>
      </c>
      <c r="H2165">
        <v>13.3</v>
      </c>
      <c r="I2165">
        <v>23.7</v>
      </c>
      <c r="J2165">
        <v>10.4</v>
      </c>
      <c r="K2165" t="s">
        <v>6</v>
      </c>
      <c r="L2165">
        <v>222</v>
      </c>
      <c r="M2165" t="s">
        <v>6</v>
      </c>
    </row>
    <row r="2166" spans="1:13" x14ac:dyDescent="0.2">
      <c r="A2166" s="1">
        <v>45518</v>
      </c>
      <c r="B2166" s="2">
        <v>0.20833333333333334</v>
      </c>
      <c r="C2166" s="3">
        <v>45518.208333333336</v>
      </c>
      <c r="D2166">
        <v>46.2</v>
      </c>
      <c r="E2166">
        <v>53.2</v>
      </c>
      <c r="F2166">
        <v>41.7</v>
      </c>
      <c r="G2166" t="s">
        <v>6</v>
      </c>
      <c r="H2166">
        <v>12.7</v>
      </c>
      <c r="I2166">
        <v>19.399999999999999</v>
      </c>
      <c r="J2166">
        <v>10.7</v>
      </c>
      <c r="K2166" t="s">
        <v>6</v>
      </c>
      <c r="L2166">
        <v>214</v>
      </c>
      <c r="M2166" t="s">
        <v>6</v>
      </c>
    </row>
    <row r="2167" spans="1:13" x14ac:dyDescent="0.2">
      <c r="A2167" s="1">
        <v>45518</v>
      </c>
      <c r="B2167" s="2">
        <v>0.25</v>
      </c>
      <c r="C2167" s="3">
        <v>45518.25</v>
      </c>
      <c r="D2167">
        <v>46.9</v>
      </c>
      <c r="E2167">
        <v>53</v>
      </c>
      <c r="F2167">
        <v>43.5</v>
      </c>
      <c r="G2167" t="s">
        <v>6</v>
      </c>
      <c r="H2167">
        <v>13.1</v>
      </c>
      <c r="I2167">
        <v>23.4</v>
      </c>
      <c r="J2167">
        <v>10.9</v>
      </c>
      <c r="K2167" t="s">
        <v>6</v>
      </c>
      <c r="L2167">
        <v>223</v>
      </c>
      <c r="M2167" t="s">
        <v>6</v>
      </c>
    </row>
    <row r="2168" spans="1:13" x14ac:dyDescent="0.2">
      <c r="A2168" s="13">
        <v>45518</v>
      </c>
      <c r="B2168" s="9">
        <v>0.29166666666666669</v>
      </c>
      <c r="C2168" s="8">
        <v>45518.291666666664</v>
      </c>
      <c r="D2168" s="10">
        <v>43.7</v>
      </c>
      <c r="E2168" s="10">
        <v>47.6</v>
      </c>
      <c r="F2168" s="10">
        <v>41.2</v>
      </c>
      <c r="G2168" s="10" t="s">
        <v>6</v>
      </c>
      <c r="H2168" s="10">
        <v>11.8</v>
      </c>
      <c r="I2168" s="10">
        <v>15.2</v>
      </c>
      <c r="J2168" s="10">
        <v>10.3</v>
      </c>
      <c r="K2168" s="10" t="s">
        <v>6</v>
      </c>
      <c r="L2168" s="10">
        <v>110</v>
      </c>
      <c r="M2168" t="s">
        <v>6</v>
      </c>
    </row>
    <row r="2169" spans="1:13" x14ac:dyDescent="0.2">
      <c r="A2169" s="14">
        <v>45518</v>
      </c>
      <c r="B2169" s="12">
        <v>0.375</v>
      </c>
      <c r="C2169" s="7">
        <v>45518.375</v>
      </c>
      <c r="D2169" s="11">
        <v>47.1</v>
      </c>
      <c r="E2169" s="11">
        <v>49.5</v>
      </c>
      <c r="F2169" s="11">
        <v>45.5</v>
      </c>
      <c r="G2169" s="11" t="s">
        <v>6</v>
      </c>
      <c r="H2169" s="11">
        <v>15.7</v>
      </c>
      <c r="I2169" s="11">
        <v>20.7</v>
      </c>
      <c r="J2169" s="11">
        <v>13.4</v>
      </c>
      <c r="K2169" s="11" t="s">
        <v>6</v>
      </c>
      <c r="L2169" s="11">
        <v>59</v>
      </c>
      <c r="M2169" t="s">
        <v>6</v>
      </c>
    </row>
    <row r="2170" spans="1:13" x14ac:dyDescent="0.2">
      <c r="A2170" s="1">
        <v>45518</v>
      </c>
      <c r="B2170" s="2">
        <v>0.41666666666666669</v>
      </c>
      <c r="C2170" s="3">
        <v>45518.416666666664</v>
      </c>
      <c r="D2170">
        <v>44</v>
      </c>
      <c r="E2170">
        <v>46</v>
      </c>
      <c r="F2170">
        <v>42.7</v>
      </c>
      <c r="G2170" t="s">
        <v>6</v>
      </c>
      <c r="H2170">
        <v>13.4</v>
      </c>
      <c r="I2170">
        <v>22.6</v>
      </c>
      <c r="J2170">
        <v>11.1</v>
      </c>
      <c r="K2170" t="s">
        <v>6</v>
      </c>
      <c r="L2170">
        <v>224</v>
      </c>
      <c r="M2170" t="s">
        <v>6</v>
      </c>
    </row>
    <row r="2171" spans="1:13" x14ac:dyDescent="0.2">
      <c r="A2171" s="1">
        <v>45518</v>
      </c>
      <c r="B2171" s="2">
        <v>0.45833333333333331</v>
      </c>
      <c r="C2171" s="3">
        <v>45518.458333333336</v>
      </c>
      <c r="D2171">
        <v>46.1</v>
      </c>
      <c r="E2171">
        <v>51.7</v>
      </c>
      <c r="F2171">
        <v>42.4</v>
      </c>
      <c r="G2171" t="s">
        <v>6</v>
      </c>
      <c r="H2171">
        <v>16.5</v>
      </c>
      <c r="I2171">
        <v>22.5</v>
      </c>
      <c r="J2171">
        <v>12.5</v>
      </c>
      <c r="K2171" t="s">
        <v>6</v>
      </c>
      <c r="L2171">
        <v>41</v>
      </c>
      <c r="M2171" t="s">
        <v>6</v>
      </c>
    </row>
    <row r="2172" spans="1:13" x14ac:dyDescent="0.2">
      <c r="A2172" s="1">
        <v>45518</v>
      </c>
      <c r="B2172" s="2">
        <v>0.5</v>
      </c>
      <c r="C2172" s="3">
        <v>45518.5</v>
      </c>
      <c r="D2172">
        <v>49.2</v>
      </c>
      <c r="E2172">
        <v>51.6</v>
      </c>
      <c r="F2172">
        <v>48.3</v>
      </c>
      <c r="G2172" t="s">
        <v>6</v>
      </c>
      <c r="H2172">
        <v>19.600000000000001</v>
      </c>
      <c r="I2172">
        <v>23.7</v>
      </c>
      <c r="J2172">
        <v>14.5</v>
      </c>
      <c r="K2172" t="s">
        <v>6</v>
      </c>
      <c r="L2172">
        <v>24</v>
      </c>
      <c r="M2172" t="s">
        <v>6</v>
      </c>
    </row>
    <row r="2173" spans="1:13" x14ac:dyDescent="0.2">
      <c r="A2173" s="1">
        <v>45518</v>
      </c>
      <c r="B2173" s="2">
        <v>0.54166666666666663</v>
      </c>
      <c r="C2173" s="3">
        <v>45518.541666666664</v>
      </c>
      <c r="D2173">
        <v>51.4</v>
      </c>
      <c r="E2173">
        <v>52.3</v>
      </c>
      <c r="F2173">
        <v>50</v>
      </c>
      <c r="G2173" t="s">
        <v>6</v>
      </c>
      <c r="H2173">
        <v>21.8</v>
      </c>
      <c r="I2173">
        <v>34.5</v>
      </c>
      <c r="J2173">
        <v>14.9</v>
      </c>
      <c r="K2173" t="s">
        <v>6</v>
      </c>
      <c r="L2173">
        <v>43</v>
      </c>
      <c r="M2173" t="s">
        <v>6</v>
      </c>
    </row>
    <row r="2174" spans="1:13" x14ac:dyDescent="0.2">
      <c r="A2174" s="1">
        <v>45518</v>
      </c>
      <c r="B2174" s="2">
        <v>0.58333333333333337</v>
      </c>
      <c r="C2174" s="3">
        <v>45518.583333333336</v>
      </c>
      <c r="D2174">
        <v>55.3</v>
      </c>
      <c r="E2174">
        <v>56.3</v>
      </c>
      <c r="F2174">
        <v>51.3</v>
      </c>
      <c r="G2174" t="s">
        <v>6</v>
      </c>
      <c r="H2174">
        <v>28.1</v>
      </c>
      <c r="I2174">
        <v>34.6</v>
      </c>
      <c r="J2174">
        <v>17</v>
      </c>
      <c r="K2174" t="s">
        <v>6</v>
      </c>
      <c r="L2174">
        <v>51</v>
      </c>
      <c r="M2174" t="s">
        <v>6</v>
      </c>
    </row>
    <row r="2175" spans="1:13" x14ac:dyDescent="0.2">
      <c r="A2175" s="1">
        <v>45518</v>
      </c>
      <c r="B2175" s="2">
        <v>0.625</v>
      </c>
      <c r="C2175" s="3">
        <v>45518.625</v>
      </c>
      <c r="D2175">
        <v>57.1</v>
      </c>
      <c r="E2175">
        <v>61.5</v>
      </c>
      <c r="F2175">
        <v>54.2</v>
      </c>
      <c r="G2175" t="s">
        <v>6</v>
      </c>
      <c r="H2175">
        <v>14.8</v>
      </c>
      <c r="I2175">
        <v>29</v>
      </c>
      <c r="J2175">
        <v>11.9</v>
      </c>
      <c r="K2175" t="s">
        <v>6</v>
      </c>
      <c r="L2175">
        <v>209</v>
      </c>
      <c r="M2175" t="s">
        <v>6</v>
      </c>
    </row>
    <row r="2176" spans="1:13" x14ac:dyDescent="0.2">
      <c r="A2176" s="1">
        <v>45518</v>
      </c>
      <c r="B2176" s="2">
        <v>0.66666666666666663</v>
      </c>
      <c r="C2176" s="3">
        <v>45518.666666666664</v>
      </c>
      <c r="D2176">
        <v>58.2</v>
      </c>
      <c r="E2176">
        <v>63.3</v>
      </c>
      <c r="F2176">
        <v>53.5</v>
      </c>
      <c r="G2176" t="s">
        <v>6</v>
      </c>
      <c r="H2176">
        <v>18.2</v>
      </c>
      <c r="I2176">
        <v>24.6</v>
      </c>
      <c r="J2176">
        <v>13.9</v>
      </c>
      <c r="K2176" t="s">
        <v>6</v>
      </c>
      <c r="L2176">
        <v>202</v>
      </c>
      <c r="M2176" t="s">
        <v>6</v>
      </c>
    </row>
    <row r="2177" spans="1:13" x14ac:dyDescent="0.2">
      <c r="A2177" s="1">
        <v>45518</v>
      </c>
      <c r="B2177" s="2">
        <v>0.70833333333333337</v>
      </c>
      <c r="C2177" s="3">
        <v>45518.708333333336</v>
      </c>
      <c r="D2177">
        <v>53.3</v>
      </c>
      <c r="E2177">
        <v>58.4</v>
      </c>
      <c r="F2177">
        <v>49.8</v>
      </c>
      <c r="G2177" t="s">
        <v>6</v>
      </c>
      <c r="H2177">
        <v>15.7</v>
      </c>
      <c r="I2177">
        <v>20.8</v>
      </c>
      <c r="J2177">
        <v>12.4</v>
      </c>
      <c r="K2177" t="s">
        <v>6</v>
      </c>
      <c r="L2177">
        <v>179</v>
      </c>
      <c r="M2177" t="s">
        <v>6</v>
      </c>
    </row>
    <row r="2178" spans="1:13" x14ac:dyDescent="0.2">
      <c r="A2178" s="1">
        <v>45518</v>
      </c>
      <c r="B2178" s="2">
        <v>0.75</v>
      </c>
      <c r="C2178" s="3">
        <v>45518.75</v>
      </c>
      <c r="D2178">
        <v>45.3</v>
      </c>
      <c r="E2178">
        <v>50.1</v>
      </c>
      <c r="F2178">
        <v>40.9</v>
      </c>
      <c r="G2178" t="s">
        <v>6</v>
      </c>
      <c r="H2178">
        <v>15.9</v>
      </c>
      <c r="I2178">
        <v>20.3</v>
      </c>
      <c r="J2178">
        <v>11.1</v>
      </c>
      <c r="K2178" t="s">
        <v>6</v>
      </c>
      <c r="L2178">
        <v>230</v>
      </c>
      <c r="M2178" t="s">
        <v>6</v>
      </c>
    </row>
    <row r="2179" spans="1:13" x14ac:dyDescent="0.2">
      <c r="A2179" s="1">
        <v>45518</v>
      </c>
      <c r="B2179" s="2">
        <v>0.79166666666666663</v>
      </c>
      <c r="C2179" s="3">
        <v>45518.791666666664</v>
      </c>
      <c r="D2179">
        <v>44.2</v>
      </c>
      <c r="E2179">
        <v>49.1</v>
      </c>
      <c r="F2179">
        <v>40.1</v>
      </c>
      <c r="G2179" t="s">
        <v>6</v>
      </c>
      <c r="H2179">
        <v>17</v>
      </c>
      <c r="I2179">
        <v>21.9</v>
      </c>
      <c r="J2179">
        <v>12.3</v>
      </c>
      <c r="K2179" t="s">
        <v>6</v>
      </c>
      <c r="L2179">
        <v>157</v>
      </c>
      <c r="M2179" t="s">
        <v>6</v>
      </c>
    </row>
    <row r="2180" spans="1:13" x14ac:dyDescent="0.2">
      <c r="A2180" s="1">
        <v>45518</v>
      </c>
      <c r="B2180" s="2">
        <v>0.83333333333333337</v>
      </c>
      <c r="C2180" s="3">
        <v>45518.833333333336</v>
      </c>
      <c r="D2180">
        <v>42.9</v>
      </c>
      <c r="E2180">
        <v>46.1</v>
      </c>
      <c r="F2180">
        <v>40.1</v>
      </c>
      <c r="G2180" t="s">
        <v>6</v>
      </c>
      <c r="H2180">
        <v>17.3</v>
      </c>
      <c r="I2180">
        <v>30.7</v>
      </c>
      <c r="J2180">
        <v>12.1</v>
      </c>
      <c r="K2180" t="s">
        <v>6</v>
      </c>
      <c r="L2180">
        <v>154</v>
      </c>
      <c r="M2180" t="s">
        <v>6</v>
      </c>
    </row>
    <row r="2181" spans="1:13" x14ac:dyDescent="0.2">
      <c r="A2181" s="1">
        <v>45518</v>
      </c>
      <c r="B2181" s="2">
        <v>0.875</v>
      </c>
      <c r="C2181" s="3">
        <v>45518.875</v>
      </c>
      <c r="D2181">
        <v>47.2</v>
      </c>
      <c r="E2181">
        <v>51.4</v>
      </c>
      <c r="F2181">
        <v>41</v>
      </c>
      <c r="G2181" t="s">
        <v>6</v>
      </c>
      <c r="H2181">
        <v>13.4</v>
      </c>
      <c r="I2181">
        <v>19.3</v>
      </c>
      <c r="J2181">
        <v>11.8</v>
      </c>
      <c r="K2181" t="s">
        <v>6</v>
      </c>
      <c r="L2181">
        <v>223</v>
      </c>
      <c r="M2181" t="s">
        <v>6</v>
      </c>
    </row>
    <row r="2182" spans="1:13" x14ac:dyDescent="0.2">
      <c r="A2182" s="1">
        <v>45518</v>
      </c>
      <c r="B2182" s="2">
        <v>0.91666666666666663</v>
      </c>
      <c r="C2182" s="3">
        <v>45518.916666666664</v>
      </c>
      <c r="D2182">
        <v>48.9</v>
      </c>
      <c r="E2182">
        <v>51.2</v>
      </c>
      <c r="F2182">
        <v>44</v>
      </c>
      <c r="G2182" t="s">
        <v>6</v>
      </c>
      <c r="H2182">
        <v>14.1</v>
      </c>
      <c r="I2182">
        <v>19.5</v>
      </c>
      <c r="J2182">
        <v>12.2</v>
      </c>
      <c r="K2182" t="s">
        <v>6</v>
      </c>
      <c r="L2182">
        <v>210</v>
      </c>
      <c r="M2182" t="s">
        <v>6</v>
      </c>
    </row>
    <row r="2183" spans="1:13" x14ac:dyDescent="0.2">
      <c r="A2183" s="1">
        <v>45518</v>
      </c>
      <c r="B2183" s="2">
        <v>0.95833333333333337</v>
      </c>
      <c r="C2183" s="3">
        <v>45518.958333333336</v>
      </c>
      <c r="D2183">
        <v>48.7</v>
      </c>
      <c r="E2183">
        <v>53.4</v>
      </c>
      <c r="F2183">
        <v>44.3</v>
      </c>
      <c r="G2183" t="s">
        <v>6</v>
      </c>
      <c r="H2183">
        <v>13.2</v>
      </c>
      <c r="I2183">
        <v>16.899999999999999</v>
      </c>
      <c r="J2183">
        <v>11.9</v>
      </c>
      <c r="K2183" t="s">
        <v>6</v>
      </c>
      <c r="L2183">
        <v>229</v>
      </c>
      <c r="M2183" t="s">
        <v>6</v>
      </c>
    </row>
    <row r="2184" spans="1:13" x14ac:dyDescent="0.2">
      <c r="A2184" s="1">
        <v>45519</v>
      </c>
      <c r="B2184" s="2">
        <v>0</v>
      </c>
      <c r="C2184" s="3">
        <v>45519</v>
      </c>
      <c r="D2184">
        <v>41.4</v>
      </c>
      <c r="E2184">
        <v>44.4</v>
      </c>
      <c r="F2184">
        <v>40.1</v>
      </c>
      <c r="G2184" t="s">
        <v>6</v>
      </c>
      <c r="H2184">
        <v>15.3</v>
      </c>
      <c r="I2184">
        <v>26.4</v>
      </c>
      <c r="J2184">
        <v>11.8</v>
      </c>
      <c r="K2184" t="s">
        <v>6</v>
      </c>
      <c r="L2184">
        <v>185</v>
      </c>
      <c r="M2184" t="s">
        <v>6</v>
      </c>
    </row>
    <row r="2185" spans="1:13" x14ac:dyDescent="0.2">
      <c r="A2185" s="1">
        <v>45519</v>
      </c>
      <c r="B2185" s="2">
        <v>4.1666666666666664E-2</v>
      </c>
      <c r="C2185" s="3">
        <v>45519.041666666664</v>
      </c>
      <c r="D2185">
        <v>40.799999999999997</v>
      </c>
      <c r="E2185">
        <v>41.2</v>
      </c>
      <c r="F2185">
        <v>40.200000000000003</v>
      </c>
      <c r="G2185" t="s">
        <v>6</v>
      </c>
      <c r="H2185">
        <v>14</v>
      </c>
      <c r="I2185">
        <v>20.6</v>
      </c>
      <c r="J2185">
        <v>11.8</v>
      </c>
      <c r="K2185" t="s">
        <v>6</v>
      </c>
      <c r="L2185">
        <v>76</v>
      </c>
      <c r="M2185" t="s">
        <v>6</v>
      </c>
    </row>
    <row r="2186" spans="1:13" x14ac:dyDescent="0.2">
      <c r="A2186" s="1">
        <v>45519</v>
      </c>
      <c r="B2186" s="2">
        <v>8.3333333333333329E-2</v>
      </c>
      <c r="C2186" s="3">
        <v>45519.083333333336</v>
      </c>
      <c r="D2186">
        <v>40.700000000000003</v>
      </c>
      <c r="E2186">
        <v>42</v>
      </c>
      <c r="F2186">
        <v>40.1</v>
      </c>
      <c r="G2186" t="s">
        <v>6</v>
      </c>
      <c r="H2186">
        <v>13</v>
      </c>
      <c r="I2186">
        <v>23.1</v>
      </c>
      <c r="J2186">
        <v>11.4</v>
      </c>
      <c r="K2186" t="s">
        <v>6</v>
      </c>
      <c r="L2186">
        <v>146</v>
      </c>
      <c r="M2186" t="s">
        <v>6</v>
      </c>
    </row>
    <row r="2187" spans="1:13" x14ac:dyDescent="0.2">
      <c r="A2187" s="1">
        <v>45519</v>
      </c>
      <c r="B2187" s="2">
        <v>0.125</v>
      </c>
      <c r="C2187" s="3">
        <v>45519.125</v>
      </c>
      <c r="D2187">
        <v>41.6</v>
      </c>
      <c r="E2187">
        <v>45.1</v>
      </c>
      <c r="F2187">
        <v>40.1</v>
      </c>
      <c r="G2187" t="s">
        <v>6</v>
      </c>
      <c r="H2187">
        <v>13.7</v>
      </c>
      <c r="I2187">
        <v>22.4</v>
      </c>
      <c r="J2187">
        <v>10.8</v>
      </c>
      <c r="K2187" t="s">
        <v>6</v>
      </c>
      <c r="L2187">
        <v>215</v>
      </c>
      <c r="M2187" t="s">
        <v>6</v>
      </c>
    </row>
    <row r="2188" spans="1:13" x14ac:dyDescent="0.2">
      <c r="A2188" s="1">
        <v>45519</v>
      </c>
      <c r="B2188" s="2">
        <v>0.16666666666666666</v>
      </c>
      <c r="C2188" s="3">
        <v>45519.166666666664</v>
      </c>
      <c r="D2188">
        <v>47.6</v>
      </c>
      <c r="E2188">
        <v>53.5</v>
      </c>
      <c r="F2188">
        <v>43.4</v>
      </c>
      <c r="G2188" t="s">
        <v>6</v>
      </c>
      <c r="H2188">
        <v>13.6</v>
      </c>
      <c r="I2188">
        <v>26.2</v>
      </c>
      <c r="J2188">
        <v>10.9</v>
      </c>
      <c r="K2188" t="s">
        <v>6</v>
      </c>
      <c r="L2188">
        <v>219</v>
      </c>
      <c r="M2188" t="s">
        <v>6</v>
      </c>
    </row>
    <row r="2189" spans="1:13" x14ac:dyDescent="0.2">
      <c r="A2189" s="1">
        <v>45519</v>
      </c>
      <c r="B2189" s="2">
        <v>0.20833333333333334</v>
      </c>
      <c r="C2189" s="3">
        <v>45519.208333333336</v>
      </c>
      <c r="D2189">
        <v>48.9</v>
      </c>
      <c r="E2189">
        <v>58.4</v>
      </c>
      <c r="F2189">
        <v>44</v>
      </c>
      <c r="G2189" t="s">
        <v>6</v>
      </c>
      <c r="H2189">
        <v>12.5</v>
      </c>
      <c r="I2189">
        <v>23.2</v>
      </c>
      <c r="J2189">
        <v>10.8</v>
      </c>
      <c r="K2189" t="s">
        <v>6</v>
      </c>
      <c r="L2189">
        <v>227</v>
      </c>
      <c r="M2189" t="s">
        <v>6</v>
      </c>
    </row>
    <row r="2190" spans="1:13" x14ac:dyDescent="0.2">
      <c r="A2190" s="1">
        <v>45519</v>
      </c>
      <c r="B2190" s="2">
        <v>0.25</v>
      </c>
      <c r="C2190" s="3">
        <v>45519.25</v>
      </c>
      <c r="D2190">
        <v>45.4</v>
      </c>
      <c r="E2190">
        <v>47.5</v>
      </c>
      <c r="F2190">
        <v>44</v>
      </c>
      <c r="G2190" t="s">
        <v>6</v>
      </c>
      <c r="H2190">
        <v>11.3</v>
      </c>
      <c r="I2190">
        <v>12.8</v>
      </c>
      <c r="J2190">
        <v>10.3</v>
      </c>
      <c r="K2190" t="s">
        <v>6</v>
      </c>
      <c r="L2190">
        <v>26</v>
      </c>
      <c r="M2190" t="s">
        <v>6</v>
      </c>
    </row>
    <row r="2191" spans="1:13" x14ac:dyDescent="0.2">
      <c r="A2191" s="1">
        <v>45519</v>
      </c>
      <c r="B2191" s="2">
        <v>0.29166666666666669</v>
      </c>
      <c r="C2191" s="3">
        <v>45519.291666666664</v>
      </c>
      <c r="D2191">
        <v>58.7</v>
      </c>
      <c r="E2191">
        <v>63.3</v>
      </c>
      <c r="F2191">
        <v>53.8</v>
      </c>
      <c r="G2191" t="s">
        <v>6</v>
      </c>
      <c r="H2191">
        <v>13.2</v>
      </c>
      <c r="I2191">
        <v>18.2</v>
      </c>
      <c r="J2191">
        <v>10.6</v>
      </c>
      <c r="K2191" t="s">
        <v>6</v>
      </c>
      <c r="L2191">
        <v>137</v>
      </c>
      <c r="M2191" t="s">
        <v>6</v>
      </c>
    </row>
    <row r="2192" spans="1:13" x14ac:dyDescent="0.2">
      <c r="A2192" s="13">
        <v>45519</v>
      </c>
      <c r="B2192" s="9">
        <v>0.33333333333333331</v>
      </c>
      <c r="C2192" s="8">
        <v>45519.333333333336</v>
      </c>
      <c r="D2192" s="10">
        <v>62.3</v>
      </c>
      <c r="E2192" s="10">
        <v>68.8</v>
      </c>
      <c r="F2192" s="10">
        <v>55.9</v>
      </c>
      <c r="G2192" s="10" t="s">
        <v>6</v>
      </c>
      <c r="H2192" s="10">
        <v>11.9</v>
      </c>
      <c r="I2192" s="10">
        <v>18.8</v>
      </c>
      <c r="J2192" s="10">
        <v>9.8000000000000007</v>
      </c>
      <c r="K2192" s="10" t="s">
        <v>6</v>
      </c>
      <c r="L2192" s="10">
        <v>203</v>
      </c>
      <c r="M2192" t="s">
        <v>6</v>
      </c>
    </row>
    <row r="2193" spans="1:13" x14ac:dyDescent="0.2">
      <c r="A2193" s="14">
        <v>45519</v>
      </c>
      <c r="B2193" s="12">
        <v>0.375</v>
      </c>
      <c r="C2193" s="7">
        <v>45519.375</v>
      </c>
      <c r="D2193" s="11">
        <v>58.3</v>
      </c>
      <c r="E2193" s="11">
        <v>65.900000000000006</v>
      </c>
      <c r="F2193" s="11">
        <v>53</v>
      </c>
      <c r="G2193" s="11" t="s">
        <v>6</v>
      </c>
      <c r="H2193" s="11">
        <v>14.7</v>
      </c>
      <c r="I2193" s="11">
        <v>18.399999999999999</v>
      </c>
      <c r="J2193" s="11">
        <v>10.199999999999999</v>
      </c>
      <c r="K2193" s="11" t="s">
        <v>6</v>
      </c>
      <c r="L2193" s="11">
        <v>228</v>
      </c>
      <c r="M2193" t="s">
        <v>6</v>
      </c>
    </row>
    <row r="2194" spans="1:13" x14ac:dyDescent="0.2">
      <c r="A2194" s="1">
        <v>45519</v>
      </c>
      <c r="B2194" s="2">
        <v>0.41666666666666669</v>
      </c>
      <c r="C2194" s="3">
        <v>45519.416666666664</v>
      </c>
      <c r="D2194">
        <v>60.5</v>
      </c>
      <c r="E2194">
        <v>64.400000000000006</v>
      </c>
      <c r="F2194">
        <v>54</v>
      </c>
      <c r="G2194" t="s">
        <v>6</v>
      </c>
      <c r="H2194">
        <v>12.3</v>
      </c>
      <c r="I2194">
        <v>18.5</v>
      </c>
      <c r="J2194">
        <v>9.5</v>
      </c>
      <c r="K2194" t="s">
        <v>6</v>
      </c>
      <c r="L2194">
        <v>70</v>
      </c>
      <c r="M2194" t="s">
        <v>6</v>
      </c>
    </row>
    <row r="2195" spans="1:13" x14ac:dyDescent="0.2">
      <c r="A2195" s="1">
        <v>45519</v>
      </c>
      <c r="B2195" s="2">
        <v>0.45833333333333331</v>
      </c>
      <c r="C2195" s="3">
        <v>45519.458333333336</v>
      </c>
      <c r="D2195">
        <v>56.4</v>
      </c>
      <c r="E2195">
        <v>57.6</v>
      </c>
      <c r="F2195">
        <v>55.8</v>
      </c>
      <c r="G2195" t="s">
        <v>6</v>
      </c>
      <c r="H2195">
        <v>16</v>
      </c>
      <c r="I2195">
        <v>17</v>
      </c>
      <c r="J2195">
        <v>15.5</v>
      </c>
      <c r="K2195" t="s">
        <v>6</v>
      </c>
      <c r="L2195">
        <v>5</v>
      </c>
      <c r="M2195" t="s">
        <v>6</v>
      </c>
    </row>
    <row r="2196" spans="1:13" x14ac:dyDescent="0.2">
      <c r="A2196" s="1">
        <v>45519</v>
      </c>
      <c r="B2196" s="2">
        <v>0.5</v>
      </c>
      <c r="C2196" s="3">
        <v>45519.5</v>
      </c>
      <c r="D2196">
        <v>56.5</v>
      </c>
      <c r="E2196">
        <v>57.5</v>
      </c>
      <c r="F2196">
        <v>55.5</v>
      </c>
      <c r="G2196" t="s">
        <v>6</v>
      </c>
      <c r="H2196">
        <v>16.8</v>
      </c>
      <c r="I2196">
        <v>18.899999999999999</v>
      </c>
      <c r="J2196">
        <v>13.8</v>
      </c>
      <c r="K2196" t="s">
        <v>6</v>
      </c>
      <c r="L2196">
        <v>20</v>
      </c>
      <c r="M2196" t="s">
        <v>6</v>
      </c>
    </row>
    <row r="2197" spans="1:13" x14ac:dyDescent="0.2">
      <c r="A2197" s="1">
        <v>45519</v>
      </c>
      <c r="B2197" s="2">
        <v>0.66666666666666663</v>
      </c>
      <c r="C2197" s="3">
        <v>45519.666666666664</v>
      </c>
      <c r="D2197">
        <v>54.2</v>
      </c>
      <c r="E2197">
        <v>55.8</v>
      </c>
      <c r="F2197">
        <v>52.8</v>
      </c>
      <c r="G2197" t="s">
        <v>6</v>
      </c>
      <c r="H2197">
        <v>15.4</v>
      </c>
      <c r="I2197">
        <v>19.5</v>
      </c>
      <c r="J2197">
        <v>12.2</v>
      </c>
      <c r="K2197" t="s">
        <v>6</v>
      </c>
      <c r="L2197">
        <v>91</v>
      </c>
      <c r="M2197" t="s">
        <v>6</v>
      </c>
    </row>
    <row r="2198" spans="1:13" x14ac:dyDescent="0.2">
      <c r="A2198" s="1">
        <v>45519</v>
      </c>
      <c r="B2198" s="2">
        <v>0.70833333333333337</v>
      </c>
      <c r="C2198" s="3">
        <v>45519.708333333336</v>
      </c>
      <c r="D2198">
        <v>51.7</v>
      </c>
      <c r="E2198">
        <v>53.4</v>
      </c>
      <c r="F2198">
        <v>50.2</v>
      </c>
      <c r="G2198" t="s">
        <v>6</v>
      </c>
      <c r="H2198">
        <v>16.899999999999999</v>
      </c>
      <c r="I2198">
        <v>24.9</v>
      </c>
      <c r="J2198">
        <v>11.3</v>
      </c>
      <c r="K2198" t="s">
        <v>6</v>
      </c>
      <c r="L2198">
        <v>79</v>
      </c>
      <c r="M2198" t="s">
        <v>6</v>
      </c>
    </row>
    <row r="2199" spans="1:13" x14ac:dyDescent="0.2">
      <c r="A2199" s="1">
        <v>45519</v>
      </c>
      <c r="B2199" s="2">
        <v>0.75</v>
      </c>
      <c r="C2199" s="3">
        <v>45519.75</v>
      </c>
      <c r="D2199">
        <v>63.8</v>
      </c>
      <c r="E2199">
        <v>69.400000000000006</v>
      </c>
      <c r="F2199">
        <v>59.5</v>
      </c>
      <c r="G2199" t="s">
        <v>6</v>
      </c>
      <c r="H2199">
        <v>14.4</v>
      </c>
      <c r="I2199">
        <v>18.7</v>
      </c>
      <c r="J2199">
        <v>12.4</v>
      </c>
      <c r="K2199" t="s">
        <v>6</v>
      </c>
      <c r="L2199">
        <v>117</v>
      </c>
      <c r="M2199" t="s">
        <v>6</v>
      </c>
    </row>
    <row r="2200" spans="1:13" x14ac:dyDescent="0.2">
      <c r="A2200" s="1">
        <v>45519</v>
      </c>
      <c r="B2200" s="2">
        <v>0.79166666666666663</v>
      </c>
      <c r="C2200" s="3">
        <v>45519.791666666664</v>
      </c>
      <c r="D2200">
        <v>57.8</v>
      </c>
      <c r="E2200">
        <v>62.4</v>
      </c>
      <c r="F2200">
        <v>54.8</v>
      </c>
      <c r="G2200" t="s">
        <v>6</v>
      </c>
      <c r="H2200">
        <v>16.8</v>
      </c>
      <c r="I2200">
        <v>19.8</v>
      </c>
      <c r="J2200">
        <v>12.8</v>
      </c>
      <c r="K2200" t="s">
        <v>6</v>
      </c>
      <c r="L2200">
        <v>60</v>
      </c>
      <c r="M2200" t="s">
        <v>6</v>
      </c>
    </row>
    <row r="2201" spans="1:13" x14ac:dyDescent="0.2">
      <c r="A2201" s="1">
        <v>45519</v>
      </c>
      <c r="B2201" s="2">
        <v>0.83333333333333337</v>
      </c>
      <c r="C2201" s="3">
        <v>45519.833333333336</v>
      </c>
      <c r="D2201">
        <v>48.6</v>
      </c>
      <c r="E2201">
        <v>58.1</v>
      </c>
      <c r="F2201">
        <v>40.1</v>
      </c>
      <c r="G2201" t="s">
        <v>6</v>
      </c>
      <c r="H2201">
        <v>16.2</v>
      </c>
      <c r="I2201">
        <v>30.1</v>
      </c>
      <c r="J2201">
        <v>12.6</v>
      </c>
      <c r="K2201" t="s">
        <v>6</v>
      </c>
      <c r="L2201">
        <v>188</v>
      </c>
      <c r="M2201" t="s">
        <v>6</v>
      </c>
    </row>
    <row r="2202" spans="1:13" x14ac:dyDescent="0.2">
      <c r="A2202" s="1">
        <v>45519</v>
      </c>
      <c r="B2202" s="2">
        <v>0.875</v>
      </c>
      <c r="C2202" s="3">
        <v>45519.875</v>
      </c>
      <c r="D2202">
        <v>43</v>
      </c>
      <c r="E2202">
        <v>55</v>
      </c>
      <c r="F2202">
        <v>40.1</v>
      </c>
      <c r="G2202" t="s">
        <v>6</v>
      </c>
      <c r="H2202">
        <v>15.9</v>
      </c>
      <c r="I2202">
        <v>28.2</v>
      </c>
      <c r="J2202">
        <v>11.9</v>
      </c>
      <c r="K2202" t="s">
        <v>6</v>
      </c>
      <c r="L2202">
        <v>212</v>
      </c>
      <c r="M2202" t="s">
        <v>6</v>
      </c>
    </row>
    <row r="2203" spans="1:13" x14ac:dyDescent="0.2">
      <c r="A2203" s="1">
        <v>45519</v>
      </c>
      <c r="B2203" s="2">
        <v>0.91666666666666663</v>
      </c>
      <c r="C2203" s="3">
        <v>45519.916666666664</v>
      </c>
      <c r="D2203">
        <v>44.8</v>
      </c>
      <c r="E2203">
        <v>50</v>
      </c>
      <c r="F2203">
        <v>40.200000000000003</v>
      </c>
      <c r="G2203" t="s">
        <v>6</v>
      </c>
      <c r="H2203">
        <v>12.8</v>
      </c>
      <c r="I2203">
        <v>20.6</v>
      </c>
      <c r="J2203">
        <v>11.3</v>
      </c>
      <c r="K2203" t="s">
        <v>6</v>
      </c>
      <c r="L2203">
        <v>200</v>
      </c>
      <c r="M2203" t="s">
        <v>6</v>
      </c>
    </row>
    <row r="2204" spans="1:13" x14ac:dyDescent="0.2">
      <c r="A2204" s="1">
        <v>45519</v>
      </c>
      <c r="B2204" s="2">
        <v>0.95833333333333337</v>
      </c>
      <c r="C2204" s="3">
        <v>45519.958333333336</v>
      </c>
      <c r="D2204">
        <v>46.6</v>
      </c>
      <c r="E2204">
        <v>51</v>
      </c>
      <c r="F2204">
        <v>43.4</v>
      </c>
      <c r="G2204" t="s">
        <v>6</v>
      </c>
      <c r="H2204">
        <v>20.6</v>
      </c>
      <c r="I2204">
        <v>28.5</v>
      </c>
      <c r="J2204">
        <v>11.5</v>
      </c>
      <c r="K2204" t="s">
        <v>6</v>
      </c>
      <c r="L2204">
        <v>221</v>
      </c>
      <c r="M2204" t="s">
        <v>6</v>
      </c>
    </row>
    <row r="2205" spans="1:13" x14ac:dyDescent="0.2">
      <c r="A2205" s="1">
        <v>45520</v>
      </c>
      <c r="B2205" s="2">
        <v>0</v>
      </c>
      <c r="C2205" s="3">
        <v>45520</v>
      </c>
      <c r="D2205">
        <v>46.2</v>
      </c>
      <c r="E2205">
        <v>54.5</v>
      </c>
      <c r="F2205">
        <v>42.7</v>
      </c>
      <c r="G2205" t="s">
        <v>6</v>
      </c>
      <c r="H2205">
        <v>15.5</v>
      </c>
      <c r="I2205">
        <v>26</v>
      </c>
      <c r="J2205">
        <v>11.4</v>
      </c>
      <c r="K2205" t="s">
        <v>6</v>
      </c>
      <c r="L2205">
        <v>217</v>
      </c>
      <c r="M2205" t="s">
        <v>6</v>
      </c>
    </row>
    <row r="2206" spans="1:13" x14ac:dyDescent="0.2">
      <c r="A2206" s="1">
        <v>45520</v>
      </c>
      <c r="B2206" s="2">
        <v>4.1666666666666664E-2</v>
      </c>
      <c r="C2206" s="3">
        <v>45520.041666666664</v>
      </c>
      <c r="D2206">
        <v>42.6</v>
      </c>
      <c r="E2206">
        <v>46.9</v>
      </c>
      <c r="F2206">
        <v>40.1</v>
      </c>
      <c r="G2206" t="s">
        <v>6</v>
      </c>
      <c r="H2206">
        <v>13.1</v>
      </c>
      <c r="I2206">
        <v>21.1</v>
      </c>
      <c r="J2206">
        <v>11.4</v>
      </c>
      <c r="K2206" t="s">
        <v>6</v>
      </c>
      <c r="L2206">
        <v>200</v>
      </c>
      <c r="M2206" t="s">
        <v>6</v>
      </c>
    </row>
    <row r="2207" spans="1:13" x14ac:dyDescent="0.2">
      <c r="A2207" s="1">
        <v>45520</v>
      </c>
      <c r="B2207" s="2">
        <v>8.3333333333333329E-2</v>
      </c>
      <c r="C2207" s="3">
        <v>45520.083333333336</v>
      </c>
      <c r="D2207">
        <v>49.3</v>
      </c>
      <c r="E2207">
        <v>65.7</v>
      </c>
      <c r="F2207">
        <v>40.4</v>
      </c>
      <c r="G2207" t="s">
        <v>6</v>
      </c>
      <c r="H2207">
        <v>14.2</v>
      </c>
      <c r="I2207">
        <v>23.2</v>
      </c>
      <c r="J2207">
        <v>11.2</v>
      </c>
      <c r="K2207" t="s">
        <v>6</v>
      </c>
      <c r="L2207">
        <v>190</v>
      </c>
      <c r="M2207" t="s">
        <v>6</v>
      </c>
    </row>
    <row r="2208" spans="1:13" x14ac:dyDescent="0.2">
      <c r="A2208" s="1">
        <v>45520</v>
      </c>
      <c r="B2208" s="2">
        <v>0.125</v>
      </c>
      <c r="C2208" s="3">
        <v>45520.125</v>
      </c>
      <c r="D2208">
        <v>45.5</v>
      </c>
      <c r="E2208">
        <v>49.8</v>
      </c>
      <c r="F2208">
        <v>41.8</v>
      </c>
      <c r="G2208" t="s">
        <v>6</v>
      </c>
      <c r="H2208">
        <v>14.1</v>
      </c>
      <c r="I2208">
        <v>24.2</v>
      </c>
      <c r="J2208">
        <v>10.8</v>
      </c>
      <c r="K2208" t="s">
        <v>6</v>
      </c>
      <c r="L2208">
        <v>229</v>
      </c>
      <c r="M2208" t="s">
        <v>6</v>
      </c>
    </row>
    <row r="2209" spans="1:13" x14ac:dyDescent="0.2">
      <c r="A2209" s="1">
        <v>45520</v>
      </c>
      <c r="B2209" s="2">
        <v>0.16666666666666666</v>
      </c>
      <c r="C2209" s="3">
        <v>45520.166666666664</v>
      </c>
      <c r="D2209">
        <v>46.5</v>
      </c>
      <c r="E2209">
        <v>54.2</v>
      </c>
      <c r="F2209">
        <v>42.7</v>
      </c>
      <c r="G2209" t="s">
        <v>6</v>
      </c>
      <c r="H2209">
        <v>13.4</v>
      </c>
      <c r="I2209">
        <v>24.3</v>
      </c>
      <c r="J2209">
        <v>11.5</v>
      </c>
      <c r="K2209" t="s">
        <v>6</v>
      </c>
      <c r="L2209">
        <v>208</v>
      </c>
      <c r="M2209" t="s">
        <v>6</v>
      </c>
    </row>
    <row r="2210" spans="1:13" x14ac:dyDescent="0.2">
      <c r="A2210" s="1">
        <v>45520</v>
      </c>
      <c r="B2210" s="2">
        <v>0.20833333333333334</v>
      </c>
      <c r="C2210" s="3">
        <v>45520.208333333336</v>
      </c>
      <c r="D2210">
        <v>45.4</v>
      </c>
      <c r="E2210">
        <v>49.7</v>
      </c>
      <c r="F2210">
        <v>42</v>
      </c>
      <c r="G2210" t="s">
        <v>6</v>
      </c>
      <c r="H2210">
        <v>12.3</v>
      </c>
      <c r="I2210">
        <v>16.600000000000001</v>
      </c>
      <c r="J2210">
        <v>10.6</v>
      </c>
      <c r="K2210" t="s">
        <v>6</v>
      </c>
      <c r="L2210">
        <v>224</v>
      </c>
      <c r="M2210" t="s">
        <v>6</v>
      </c>
    </row>
    <row r="2211" spans="1:13" x14ac:dyDescent="0.2">
      <c r="A2211" s="1">
        <v>45520</v>
      </c>
      <c r="B2211" s="2">
        <v>0.25</v>
      </c>
      <c r="C2211" s="3">
        <v>45520.25</v>
      </c>
      <c r="D2211">
        <v>45.1</v>
      </c>
      <c r="E2211">
        <v>57.1</v>
      </c>
      <c r="F2211">
        <v>40.700000000000003</v>
      </c>
      <c r="G2211" t="s">
        <v>6</v>
      </c>
      <c r="H2211">
        <v>14.6</v>
      </c>
      <c r="I2211">
        <v>23.7</v>
      </c>
      <c r="J2211">
        <v>11.3</v>
      </c>
      <c r="K2211" t="s">
        <v>6</v>
      </c>
      <c r="L2211">
        <v>204</v>
      </c>
      <c r="M2211" t="s">
        <v>6</v>
      </c>
    </row>
    <row r="2212" spans="1:13" x14ac:dyDescent="0.2">
      <c r="A2212" s="1">
        <v>45520</v>
      </c>
      <c r="B2212" s="2">
        <v>0.29166666666666669</v>
      </c>
      <c r="C2212" s="3">
        <v>45520.291666666664</v>
      </c>
      <c r="D2212">
        <v>51.6</v>
      </c>
      <c r="E2212">
        <v>54.3</v>
      </c>
      <c r="F2212">
        <v>49.9</v>
      </c>
      <c r="G2212" t="s">
        <v>6</v>
      </c>
      <c r="H2212">
        <v>24.9</v>
      </c>
      <c r="I2212">
        <v>34.5</v>
      </c>
      <c r="J2212">
        <v>16.399999999999999</v>
      </c>
      <c r="K2212" t="s">
        <v>6</v>
      </c>
      <c r="L2212">
        <v>139</v>
      </c>
      <c r="M2212" t="s">
        <v>6</v>
      </c>
    </row>
    <row r="2213" spans="1:13" x14ac:dyDescent="0.2">
      <c r="A2213" s="13">
        <v>45520</v>
      </c>
      <c r="B2213" s="9">
        <v>0.33333333333333331</v>
      </c>
      <c r="C2213" s="8">
        <v>45520.333333333336</v>
      </c>
      <c r="D2213" s="10">
        <v>57.4</v>
      </c>
      <c r="E2213" s="10">
        <v>73.3</v>
      </c>
      <c r="F2213" s="10">
        <v>50.5</v>
      </c>
      <c r="G2213" s="10" t="s">
        <v>6</v>
      </c>
      <c r="H2213" s="10">
        <v>22.3</v>
      </c>
      <c r="I2213" s="10">
        <v>34.1</v>
      </c>
      <c r="J2213" s="10">
        <v>9</v>
      </c>
      <c r="K2213" s="10" t="s">
        <v>6</v>
      </c>
      <c r="L2213" s="10">
        <v>96</v>
      </c>
      <c r="M2213" t="s">
        <v>6</v>
      </c>
    </row>
    <row r="2214" spans="1:13" x14ac:dyDescent="0.2">
      <c r="A2214" s="1">
        <v>45520</v>
      </c>
      <c r="B2214" s="2">
        <v>0.375</v>
      </c>
      <c r="C2214" s="3">
        <v>45520.375</v>
      </c>
      <c r="D2214">
        <v>54.9</v>
      </c>
      <c r="E2214">
        <v>57.3</v>
      </c>
      <c r="F2214">
        <v>52.9</v>
      </c>
      <c r="G2214" t="s">
        <v>6</v>
      </c>
      <c r="H2214">
        <v>22.7</v>
      </c>
      <c r="I2214">
        <v>34</v>
      </c>
      <c r="J2214">
        <v>13.2</v>
      </c>
      <c r="K2214" t="s">
        <v>6</v>
      </c>
      <c r="L2214">
        <v>93</v>
      </c>
      <c r="M2214" t="s">
        <v>6</v>
      </c>
    </row>
    <row r="2215" spans="1:13" x14ac:dyDescent="0.2">
      <c r="A2215" s="1">
        <v>45520</v>
      </c>
      <c r="B2215" s="2">
        <v>0.41666666666666669</v>
      </c>
      <c r="C2215" s="3">
        <v>45520.416666666664</v>
      </c>
      <c r="D2215">
        <v>56</v>
      </c>
      <c r="E2215">
        <v>58.7</v>
      </c>
      <c r="F2215">
        <v>54.1</v>
      </c>
      <c r="G2215" t="s">
        <v>6</v>
      </c>
      <c r="H2215">
        <v>14.2</v>
      </c>
      <c r="I2215">
        <v>16.7</v>
      </c>
      <c r="J2215">
        <v>11</v>
      </c>
      <c r="K2215" t="s">
        <v>6</v>
      </c>
      <c r="L2215">
        <v>65</v>
      </c>
      <c r="M2215" t="s">
        <v>6</v>
      </c>
    </row>
    <row r="2216" spans="1:13" x14ac:dyDescent="0.2">
      <c r="A2216" s="1">
        <v>45520</v>
      </c>
      <c r="B2216" s="2">
        <v>0.45833333333333331</v>
      </c>
      <c r="C2216" s="3">
        <v>45520.458333333336</v>
      </c>
      <c r="D2216">
        <v>57.8</v>
      </c>
      <c r="E2216">
        <v>61.2</v>
      </c>
      <c r="F2216">
        <v>54.4</v>
      </c>
      <c r="G2216" t="s">
        <v>6</v>
      </c>
      <c r="H2216">
        <v>12.6</v>
      </c>
      <c r="I2216">
        <v>18.899999999999999</v>
      </c>
      <c r="J2216">
        <v>10.5</v>
      </c>
      <c r="K2216" t="s">
        <v>6</v>
      </c>
      <c r="L2216">
        <v>91</v>
      </c>
      <c r="M2216" t="s">
        <v>6</v>
      </c>
    </row>
    <row r="2217" spans="1:13" x14ac:dyDescent="0.2">
      <c r="A2217" s="1">
        <v>45520</v>
      </c>
      <c r="B2217" s="2">
        <v>0.5</v>
      </c>
      <c r="C2217" s="3">
        <v>45520.5</v>
      </c>
      <c r="D2217">
        <v>60.5</v>
      </c>
      <c r="E2217">
        <v>62.1</v>
      </c>
      <c r="F2217">
        <v>58</v>
      </c>
      <c r="G2217" t="s">
        <v>6</v>
      </c>
      <c r="H2217">
        <v>13.4</v>
      </c>
      <c r="I2217">
        <v>15.5</v>
      </c>
      <c r="J2217">
        <v>12.1</v>
      </c>
      <c r="K2217" t="s">
        <v>6</v>
      </c>
      <c r="L2217">
        <v>33</v>
      </c>
      <c r="M2217" t="s">
        <v>6</v>
      </c>
    </row>
    <row r="2218" spans="1:13" x14ac:dyDescent="0.2">
      <c r="A2218" s="1">
        <v>45520</v>
      </c>
      <c r="B2218" s="2">
        <v>0.54166666666666663</v>
      </c>
      <c r="C2218" s="3">
        <v>45520.541666666664</v>
      </c>
      <c r="D2218">
        <v>59</v>
      </c>
      <c r="E2218">
        <v>65.099999999999994</v>
      </c>
      <c r="F2218">
        <v>53.2</v>
      </c>
      <c r="G2218" t="s">
        <v>6</v>
      </c>
      <c r="H2218">
        <v>14.6</v>
      </c>
      <c r="I2218">
        <v>19.5</v>
      </c>
      <c r="J2218">
        <v>11.5</v>
      </c>
      <c r="K2218" t="s">
        <v>6</v>
      </c>
      <c r="L2218">
        <v>163</v>
      </c>
      <c r="M2218" t="s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934297-0122 J.LivRm_PVitalsag_2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WayneH</dc:creator>
  <cp:lastModifiedBy>Sajol Ghoshal</cp:lastModifiedBy>
  <dcterms:modified xsi:type="dcterms:W3CDTF">2025-04-23T15:00:08Z</dcterms:modified>
</cp:coreProperties>
</file>